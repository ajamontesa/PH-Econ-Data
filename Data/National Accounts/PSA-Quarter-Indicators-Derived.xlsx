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:\Shared drives\QNAP\Derived indicators\Q4 2025\"/>
    </mc:Choice>
  </mc:AlternateContent>
  <xr:revisionPtr revIDLastSave="0" documentId="13_ncr:1_{17619A39-D648-4BC0-8B14-C3F071A77E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42025pre" sheetId="1" r:id="rId1"/>
  </sheets>
  <externalReferences>
    <externalReference r:id="rId2"/>
    <externalReference r:id="rId3"/>
  </externalReferences>
  <definedNames>
    <definedName name="_xlnm.Print_Area" localSheetId="0">Q42025pre!$A$1:$DF$61</definedName>
    <definedName name="_xlnm.Print_Titles" localSheetId="0">Q42025pre!$A:$A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13" i="1" l="1"/>
  <c r="DA14" i="1"/>
  <c r="DA15" i="1"/>
  <c r="DA16" i="1"/>
  <c r="DA18" i="1"/>
  <c r="DA19" i="1"/>
  <c r="DA20" i="1"/>
  <c r="DA21" i="1"/>
  <c r="DA22" i="1"/>
  <c r="DA24" i="1"/>
  <c r="DA25" i="1"/>
  <c r="DA26" i="1"/>
  <c r="DA27" i="1"/>
  <c r="DA28" i="1"/>
  <c r="DA29" i="1"/>
  <c r="DA30" i="1"/>
  <c r="DA33" i="1"/>
  <c r="DA34" i="1"/>
  <c r="DA35" i="1"/>
  <c r="DA36" i="1"/>
  <c r="DA38" i="1"/>
  <c r="DA39" i="1"/>
  <c r="DA40" i="1"/>
  <c r="DA42" i="1"/>
  <c r="DA43" i="1"/>
  <c r="DA44" i="1"/>
  <c r="DA45" i="1"/>
  <c r="DA46" i="1"/>
  <c r="DA47" i="1"/>
  <c r="DA49" i="1"/>
  <c r="DA50" i="1"/>
  <c r="DA51" i="1"/>
  <c r="DA52" i="1"/>
  <c r="DA53" i="1"/>
  <c r="DA54" i="1"/>
  <c r="DA55" i="1"/>
  <c r="DA56" i="1"/>
  <c r="DA57" i="1"/>
  <c r="CZ13" i="1"/>
  <c r="CZ14" i="1"/>
  <c r="CZ15" i="1"/>
  <c r="CZ16" i="1"/>
  <c r="CZ18" i="1"/>
  <c r="CZ19" i="1"/>
  <c r="CZ20" i="1"/>
  <c r="CZ21" i="1"/>
  <c r="CZ22" i="1"/>
  <c r="CZ24" i="1"/>
  <c r="CZ25" i="1"/>
  <c r="CZ26" i="1"/>
  <c r="CZ27" i="1"/>
  <c r="CZ28" i="1"/>
  <c r="CZ29" i="1"/>
  <c r="CZ30" i="1"/>
  <c r="CZ33" i="1"/>
  <c r="CZ34" i="1"/>
  <c r="CZ35" i="1"/>
  <c r="CZ36" i="1"/>
  <c r="CZ38" i="1"/>
  <c r="CZ39" i="1"/>
  <c r="CZ40" i="1"/>
  <c r="CZ42" i="1"/>
  <c r="CZ43" i="1"/>
  <c r="CZ44" i="1"/>
  <c r="CZ45" i="1"/>
  <c r="CZ46" i="1"/>
  <c r="CZ47" i="1"/>
  <c r="CZ49" i="1"/>
  <c r="CZ50" i="1"/>
  <c r="CZ51" i="1"/>
  <c r="CZ52" i="1"/>
  <c r="CZ53" i="1"/>
  <c r="CZ54" i="1"/>
  <c r="CZ55" i="1"/>
  <c r="CZ56" i="1"/>
  <c r="CZ57" i="1"/>
  <c r="CZ58" i="1"/>
  <c r="DC34" i="1" l="1"/>
  <c r="DD34" i="1"/>
  <c r="DE34" i="1"/>
  <c r="DC35" i="1"/>
  <c r="DD35" i="1"/>
  <c r="DE35" i="1"/>
  <c r="DC36" i="1"/>
  <c r="DD36" i="1"/>
  <c r="DE36" i="1"/>
  <c r="DC38" i="1"/>
  <c r="DD38" i="1"/>
  <c r="DE38" i="1"/>
  <c r="DC39" i="1"/>
  <c r="DD39" i="1"/>
  <c r="DE39" i="1"/>
  <c r="DC40" i="1"/>
  <c r="DD40" i="1"/>
  <c r="DE40" i="1"/>
  <c r="DC42" i="1"/>
  <c r="DD42" i="1"/>
  <c r="DE42" i="1"/>
  <c r="DC43" i="1"/>
  <c r="DD43" i="1"/>
  <c r="DE43" i="1"/>
  <c r="DC44" i="1"/>
  <c r="DD44" i="1"/>
  <c r="DE44" i="1"/>
  <c r="DC45" i="1"/>
  <c r="DD45" i="1"/>
  <c r="DE45" i="1"/>
  <c r="DC46" i="1"/>
  <c r="DD46" i="1"/>
  <c r="DE46" i="1"/>
  <c r="DC47" i="1"/>
  <c r="DD47" i="1"/>
  <c r="DE47" i="1"/>
  <c r="DC49" i="1"/>
  <c r="DD49" i="1"/>
  <c r="DE49" i="1"/>
  <c r="DC50" i="1"/>
  <c r="DD50" i="1"/>
  <c r="DE50" i="1"/>
  <c r="DC51" i="1"/>
  <c r="DD51" i="1"/>
  <c r="DE51" i="1"/>
  <c r="DC52" i="1"/>
  <c r="DD52" i="1"/>
  <c r="DE52" i="1"/>
  <c r="DC53" i="1"/>
  <c r="DD53" i="1"/>
  <c r="DE53" i="1"/>
  <c r="DC54" i="1"/>
  <c r="DD54" i="1"/>
  <c r="DE54" i="1"/>
  <c r="DC55" i="1"/>
  <c r="DD55" i="1"/>
  <c r="DE55" i="1"/>
  <c r="DC56" i="1"/>
  <c r="DD56" i="1"/>
  <c r="DE56" i="1"/>
  <c r="DC57" i="1"/>
  <c r="DD57" i="1"/>
  <c r="DE57" i="1"/>
  <c r="DC58" i="1"/>
  <c r="DD58" i="1"/>
  <c r="DC33" i="1"/>
  <c r="DD33" i="1"/>
  <c r="DE33" i="1"/>
  <c r="DC13" i="1"/>
  <c r="DD13" i="1"/>
  <c r="DE13" i="1"/>
  <c r="DC14" i="1"/>
  <c r="DD14" i="1"/>
  <c r="DE14" i="1"/>
  <c r="DC15" i="1"/>
  <c r="DD15" i="1"/>
  <c r="DE15" i="1"/>
  <c r="DC16" i="1"/>
  <c r="DD16" i="1"/>
  <c r="DE16" i="1"/>
  <c r="DC18" i="1"/>
  <c r="DD18" i="1"/>
  <c r="DE18" i="1"/>
  <c r="DC19" i="1"/>
  <c r="DD19" i="1"/>
  <c r="DE19" i="1"/>
  <c r="DC20" i="1"/>
  <c r="DD20" i="1"/>
  <c r="DE20" i="1"/>
  <c r="DC21" i="1"/>
  <c r="DD21" i="1"/>
  <c r="DE21" i="1"/>
  <c r="DC22" i="1"/>
  <c r="DD22" i="1"/>
  <c r="DE22" i="1"/>
  <c r="DC24" i="1"/>
  <c r="DD24" i="1"/>
  <c r="DE24" i="1"/>
  <c r="DC25" i="1"/>
  <c r="DD25" i="1"/>
  <c r="DE25" i="1"/>
  <c r="DC26" i="1"/>
  <c r="DD26" i="1"/>
  <c r="DE26" i="1"/>
  <c r="DC27" i="1"/>
  <c r="DD27" i="1"/>
  <c r="DE27" i="1"/>
  <c r="DC28" i="1"/>
  <c r="DD28" i="1"/>
  <c r="DE28" i="1"/>
  <c r="DC29" i="1"/>
  <c r="DD29" i="1"/>
  <c r="DE29" i="1"/>
  <c r="DC30" i="1"/>
  <c r="DD30" i="1"/>
  <c r="DE30" i="1"/>
  <c r="CY13" i="1"/>
  <c r="CY14" i="1"/>
  <c r="CY15" i="1"/>
  <c r="CY16" i="1"/>
  <c r="CY18" i="1"/>
  <c r="CY19" i="1"/>
  <c r="CY20" i="1"/>
  <c r="CY21" i="1"/>
  <c r="CY22" i="1"/>
  <c r="CY24" i="1"/>
  <c r="CY25" i="1"/>
  <c r="CY26" i="1"/>
  <c r="CY27" i="1"/>
  <c r="CY28" i="1"/>
  <c r="CY29" i="1"/>
  <c r="CY30" i="1"/>
  <c r="CY33" i="1"/>
  <c r="CY34" i="1"/>
  <c r="CY35" i="1"/>
  <c r="CY36" i="1"/>
  <c r="CY38" i="1"/>
  <c r="CY39" i="1"/>
  <c r="CY40" i="1"/>
  <c r="CY42" i="1"/>
  <c r="CY43" i="1"/>
  <c r="CY44" i="1"/>
  <c r="CY45" i="1"/>
  <c r="CY46" i="1"/>
  <c r="CY47" i="1"/>
  <c r="CY49" i="1"/>
  <c r="CY50" i="1"/>
  <c r="CY51" i="1"/>
  <c r="CY52" i="1"/>
  <c r="CY53" i="1"/>
  <c r="CY54" i="1"/>
  <c r="CY55" i="1"/>
  <c r="CY56" i="1"/>
  <c r="CY57" i="1"/>
  <c r="CY58" i="1"/>
</calcChain>
</file>

<file path=xl/sharedStrings.xml><?xml version="1.0" encoding="utf-8"?>
<sst xmlns="http://schemas.openxmlformats.org/spreadsheetml/2006/main" count="163" uniqueCount="51">
  <si>
    <t>National Accounts of the Philippines</t>
  </si>
  <si>
    <t>Q1</t>
  </si>
  <si>
    <t>Q2</t>
  </si>
  <si>
    <t>Q3</t>
  </si>
  <si>
    <t>Q4</t>
  </si>
  <si>
    <t>Base Year: 2018</t>
  </si>
  <si>
    <t>Indicators</t>
  </si>
  <si>
    <t>01. Labor Productivity</t>
  </si>
  <si>
    <t xml:space="preserve">A. GDP to Total Employment </t>
  </si>
  <si>
    <t>Levels (in pesos, constant)</t>
  </si>
  <si>
    <t>Total</t>
  </si>
  <si>
    <t>Agriculture, Forestry and Fishing</t>
  </si>
  <si>
    <t>Industry</t>
  </si>
  <si>
    <t>Services</t>
  </si>
  <si>
    <t>Growth Rates (in percent)</t>
  </si>
  <si>
    <t>B. GDP to Total Hours Worked (in pesos, constant)</t>
  </si>
  <si>
    <t>02. Major Industries Contribution to GNI 
       (in percentage points, constant)</t>
  </si>
  <si>
    <t>Net Primary Income</t>
  </si>
  <si>
    <t>Total GNI</t>
  </si>
  <si>
    <t>04. Trading Gains/Losses (in million pesos, constant)</t>
  </si>
  <si>
    <t>05. Trade Balance</t>
  </si>
  <si>
    <t xml:space="preserve">A. Net Export </t>
  </si>
  <si>
    <t>Levels (in million pesos, current)</t>
  </si>
  <si>
    <t>Share to GDP (in percent, current)</t>
  </si>
  <si>
    <t>B. Net Merchandise Export (in million pesos, current)</t>
  </si>
  <si>
    <t>06. Trade to GDP (in percent, current)</t>
  </si>
  <si>
    <t>07. Total Exports (in million, current)</t>
  </si>
  <si>
    <t>Pesos</t>
  </si>
  <si>
    <t>Share to GDP (in percent)</t>
  </si>
  <si>
    <t>08. Total Imports (in million, current)</t>
  </si>
  <si>
    <t>US $ (CIF)</t>
  </si>
  <si>
    <t>10. Share of Top Five Imports to Total Merchandise 
       Imports (in percent, current)</t>
  </si>
  <si>
    <t>11. Ratio of NPI to GNI (in percent, current)</t>
  </si>
  <si>
    <t>12. Inflow of compensation</t>
  </si>
  <si>
    <t>US $</t>
  </si>
  <si>
    <t>Growth Rates (pesos)</t>
  </si>
  <si>
    <t>Growth Rates (US $)</t>
  </si>
  <si>
    <t>13. Fixed Capital Formation to GDP (in percent, current)</t>
  </si>
  <si>
    <t>14. HFCE/GDP (in percent, current)</t>
  </si>
  <si>
    <t>15. Manufacturing to GDP (in percent, current)</t>
  </si>
  <si>
    <t>Source: Philippine Statistics Authority</t>
  </si>
  <si>
    <t>Pesos (att current prices)</t>
  </si>
  <si>
    <t>Share to GNI (in percent, current)</t>
  </si>
  <si>
    <t>03. Terms of Trade (in percent)</t>
  </si>
  <si>
    <t>Table 23. Indicators Derived from the National Accounts</t>
  </si>
  <si>
    <t>09. Share of Top Five Exports to Total Merchandise 
        Exports (in percent, current)</t>
  </si>
  <si>
    <t>16. Debt Service to GDP (in percent, current)</t>
  </si>
  <si>
    <t>As of January 2026</t>
  </si>
  <si>
    <t>Annual</t>
  </si>
  <si>
    <t>Note: * December 2025 interest payment and amortization data are not yet available as of posting.</t>
  </si>
  <si>
    <t>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</si>
</sst>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#,##0.0"/>
    <numFmt numFmtId="166" formatCode="General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Helv"/>
    </font>
    <font>
      <sz val="10"/>
      <name val="MS Sans Serif"/>
      <family val="2"/>
    </font>
    <font>
      <sz val="10"/>
      <name val="Courier"/>
      <family val="3"/>
    </font>
    <font>
      <sz val="8"/>
      <name val="Calibri"/>
      <family val="2"/>
      <scheme val="minor"/>
    </font>
    <font>
      <sz val="10"/>
      <color theme="1"/>
      <name val="Arial"/>
      <family val="2"/>
    </font>
    <font>
      <sz val="10"/>
      <color rgb="FF0000FF"/>
      <name val="Arial"/>
      <family val="2"/>
    </font>
    <font>
      <i/>
      <sz val="10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166" fontId="3" fillId="0" borderId="0"/>
    <xf numFmtId="40" fontId="4" fillId="0" borderId="0" applyFont="0" applyFill="0" applyBorder="0" applyAlignment="0" applyProtection="0"/>
    <xf numFmtId="37" fontId="5" fillId="0" borderId="0"/>
  </cellStyleXfs>
  <cellXfs count="36">
    <xf numFmtId="0" fontId="0" fillId="0" borderId="0" xfId="0"/>
    <xf numFmtId="0" fontId="2" fillId="0" borderId="0" xfId="0" applyFont="1"/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Continuous"/>
    </xf>
    <xf numFmtId="165" fontId="2" fillId="0" borderId="0" xfId="0" quotePrefix="1" applyNumberFormat="1" applyFont="1"/>
    <xf numFmtId="165" fontId="2" fillId="0" borderId="0" xfId="0" applyNumberFormat="1" applyFont="1"/>
    <xf numFmtId="165" fontId="2" fillId="0" borderId="0" xfId="0" applyNumberFormat="1" applyFont="1" applyAlignment="1">
      <alignment horizontal="left" indent="3"/>
    </xf>
    <xf numFmtId="165" fontId="2" fillId="0" borderId="0" xfId="0" applyNumberFormat="1" applyFont="1" applyAlignment="1">
      <alignment horizontal="left" indent="6"/>
    </xf>
    <xf numFmtId="4" fontId="2" fillId="0" borderId="0" xfId="0" applyNumberFormat="1" applyFont="1"/>
    <xf numFmtId="165" fontId="2" fillId="0" borderId="0" xfId="0" applyNumberFormat="1" applyFont="1" applyAlignment="1">
      <alignment horizontal="left" indent="8"/>
    </xf>
    <xf numFmtId="165" fontId="2" fillId="0" borderId="0" xfId="0" quotePrefix="1" applyNumberFormat="1" applyFont="1" applyAlignment="1">
      <alignment wrapText="1"/>
    </xf>
    <xf numFmtId="165" fontId="2" fillId="0" borderId="0" xfId="0" quotePrefix="1" applyNumberFormat="1" applyFont="1" applyAlignment="1">
      <alignment horizontal="left"/>
    </xf>
    <xf numFmtId="165" fontId="2" fillId="0" borderId="0" xfId="0" quotePrefix="1" applyNumberFormat="1" applyFont="1" applyAlignment="1">
      <alignment vertical="top"/>
    </xf>
    <xf numFmtId="165" fontId="2" fillId="0" borderId="0" xfId="0" applyNumberFormat="1" applyFont="1" applyAlignment="1">
      <alignment horizontal="left" wrapText="1" indent="3"/>
    </xf>
    <xf numFmtId="0" fontId="2" fillId="0" borderId="2" xfId="0" applyFont="1" applyBorder="1"/>
    <xf numFmtId="0" fontId="7" fillId="0" borderId="1" xfId="0" applyFont="1" applyBorder="1" applyAlignment="1">
      <alignment horizontal="centerContinuous"/>
    </xf>
    <xf numFmtId="0" fontId="7" fillId="0" borderId="2" xfId="0" applyFont="1" applyBorder="1" applyAlignment="1">
      <alignment horizontal="center"/>
    </xf>
    <xf numFmtId="3" fontId="7" fillId="0" borderId="0" xfId="1" applyNumberFormat="1" applyFont="1"/>
    <xf numFmtId="165" fontId="7" fillId="0" borderId="0" xfId="0" applyNumberFormat="1" applyFont="1"/>
    <xf numFmtId="165" fontId="7" fillId="0" borderId="0" xfId="1" applyNumberFormat="1" applyFont="1"/>
    <xf numFmtId="3" fontId="7" fillId="0" borderId="0" xfId="0" applyNumberFormat="1" applyFont="1"/>
    <xf numFmtId="0" fontId="8" fillId="0" borderId="0" xfId="0" applyFont="1"/>
    <xf numFmtId="165" fontId="7" fillId="0" borderId="0" xfId="1" applyNumberFormat="1" applyFont="1" applyAlignment="1">
      <alignment horizontal="right"/>
    </xf>
    <xf numFmtId="3" fontId="2" fillId="0" borderId="0" xfId="1" applyNumberFormat="1" applyFont="1"/>
    <xf numFmtId="165" fontId="2" fillId="0" borderId="0" xfId="1" applyNumberFormat="1" applyFont="1"/>
    <xf numFmtId="0" fontId="9" fillId="0" borderId="0" xfId="0" applyFo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Continuous"/>
    </xf>
    <xf numFmtId="0" fontId="2" fillId="0" borderId="1" xfId="0" applyFont="1" applyBorder="1" applyAlignment="1">
      <alignment horizontal="center"/>
    </xf>
    <xf numFmtId="3" fontId="2" fillId="0" borderId="0" xfId="1" applyNumberFormat="1" applyFont="1" applyFill="1"/>
    <xf numFmtId="165" fontId="7" fillId="0" borderId="0" xfId="1" applyNumberFormat="1" applyFont="1" applyFill="1"/>
    <xf numFmtId="3" fontId="7" fillId="0" borderId="0" xfId="1" applyNumberFormat="1" applyFont="1" applyFill="1"/>
    <xf numFmtId="165" fontId="2" fillId="0" borderId="0" xfId="1" applyNumberFormat="1" applyFont="1" applyFill="1"/>
    <xf numFmtId="165" fontId="2" fillId="0" borderId="0" xfId="1" applyNumberFormat="1" applyFont="1" applyAlignment="1">
      <alignment horizontal="right"/>
    </xf>
    <xf numFmtId="165" fontId="2" fillId="0" borderId="0" xfId="1" applyNumberFormat="1" applyFont="1" applyFill="1" applyAlignment="1">
      <alignment horizontal="right"/>
    </xf>
  </cellXfs>
  <cellStyles count="5">
    <cellStyle name="Comma" xfId="1" builtinId="3"/>
    <cellStyle name="Comma 2" xfId="3" xr:uid="{00000000-0005-0000-0000-000001000000}"/>
    <cellStyle name="Normal" xfId="0" builtinId="0"/>
    <cellStyle name="Normal 10" xfId="4" xr:uid="{00000000-0005-0000-0000-000003000000}"/>
    <cellStyle name="Normal 2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Shared%20drives\QNAP\Derived%20indicators\Q3%202025\18Indicators_November2025.xlsx" TargetMode="External"/><Relationship Id="rId1" Type="http://schemas.openxmlformats.org/officeDocument/2006/relationships/externalLinkPath" Target="/Shared%20drives/QNAP/Derived%20indicators/Q3%202025/18Indicators_November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Shared%20drives\QNAP\Derived%20indicators\Q4%202025\18Indicators_January2026.xlsx" TargetMode="External"/><Relationship Id="rId1" Type="http://schemas.openxmlformats.org/officeDocument/2006/relationships/externalLinkPath" Target="18Indicators_January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tr"/>
      <sheetName val="Annual (2)"/>
      <sheetName val="Annual (3)"/>
      <sheetName val="Sem"/>
      <sheetName val="3Qs"/>
      <sheetName val="Annual"/>
      <sheetName val="Checking"/>
      <sheetName val="Metadata"/>
      <sheetName val="Sheet3"/>
    </sheetNames>
    <sheetDataSet>
      <sheetData sheetId="0">
        <row r="13">
          <cell r="CY13">
            <v>117301.69391252004</v>
          </cell>
        </row>
        <row r="14">
          <cell r="CY14">
            <v>41994.02207358936</v>
          </cell>
        </row>
        <row r="15">
          <cell r="CY15">
            <v>196984.39542271438</v>
          </cell>
        </row>
        <row r="16">
          <cell r="CY16">
            <v>120248.75615382899</v>
          </cell>
        </row>
        <row r="18">
          <cell r="CY18">
            <v>4.1198922941201488</v>
          </cell>
        </row>
        <row r="19">
          <cell r="CY19">
            <v>4.9262019408885465</v>
          </cell>
        </row>
        <row r="20">
          <cell r="CY20">
            <v>10.96965991599734</v>
          </cell>
        </row>
        <row r="21">
          <cell r="CY21">
            <v>2.768193732514959</v>
          </cell>
        </row>
        <row r="22">
          <cell r="CY22">
            <v>225.31731040552691</v>
          </cell>
        </row>
        <row r="24">
          <cell r="CY24">
            <v>0.46099307954295343</v>
          </cell>
        </row>
        <row r="25">
          <cell r="CY25">
            <v>0.57447453952453242</v>
          </cell>
        </row>
        <row r="26">
          <cell r="CY26">
            <v>3.9008201251027743</v>
          </cell>
        </row>
        <row r="27">
          <cell r="CY27">
            <v>3.0435512698072813</v>
          </cell>
        </row>
        <row r="28">
          <cell r="CY28">
            <v>7.979839013977541</v>
          </cell>
        </row>
        <row r="29">
          <cell r="CY29">
            <v>88.163033544188224</v>
          </cell>
        </row>
        <row r="30">
          <cell r="CY30">
            <v>-235111.27521004539</v>
          </cell>
        </row>
        <row r="33">
          <cell r="CY33">
            <v>-1021730.0670920163</v>
          </cell>
        </row>
        <row r="34">
          <cell r="CY34">
            <v>-14.668995913750571</v>
          </cell>
        </row>
        <row r="35">
          <cell r="CY35">
            <v>-1335996.3863735721</v>
          </cell>
        </row>
        <row r="36">
          <cell r="CY36">
            <v>63.257404794161133</v>
          </cell>
        </row>
        <row r="38">
          <cell r="CY38">
            <v>1692148.4795949869</v>
          </cell>
        </row>
        <row r="39">
          <cell r="CY39">
            <v>30063.610420200243</v>
          </cell>
        </row>
        <row r="40">
          <cell r="CY40">
            <v>24.294204440205284</v>
          </cell>
        </row>
        <row r="42">
          <cell r="CY42">
            <v>2713878.5466870032</v>
          </cell>
        </row>
        <row r="43">
          <cell r="CY43">
            <v>48216.210538962558</v>
          </cell>
        </row>
        <row r="44">
          <cell r="CY44">
            <v>38.963200353955848</v>
          </cell>
        </row>
        <row r="45">
          <cell r="CY45">
            <v>69.771791253783832</v>
          </cell>
        </row>
        <row r="46">
          <cell r="CY46">
            <v>60.882202696752067</v>
          </cell>
        </row>
        <row r="47">
          <cell r="CY47">
            <v>12.633612078933506</v>
          </cell>
        </row>
        <row r="49">
          <cell r="CY49">
            <v>1080537.6203077766</v>
          </cell>
        </row>
        <row r="50">
          <cell r="CY50">
            <v>19197.406405540987</v>
          </cell>
        </row>
        <row r="51">
          <cell r="CY51">
            <v>27.677295073447468</v>
          </cell>
        </row>
        <row r="52">
          <cell r="CY52">
            <v>31.146416297901169</v>
          </cell>
        </row>
        <row r="53">
          <cell r="CY53">
            <v>13.553407195596961</v>
          </cell>
        </row>
        <row r="54">
          <cell r="CY54">
            <v>15.513296953334216</v>
          </cell>
        </row>
        <row r="55">
          <cell r="CY55">
            <v>26.887540602802503</v>
          </cell>
        </row>
        <row r="56">
          <cell r="CY56">
            <v>72.165368431976617</v>
          </cell>
        </row>
        <row r="57">
          <cell r="CY57">
            <v>13.309536873237112</v>
          </cell>
        </row>
        <row r="58">
          <cell r="CY58">
            <v>6.1173239334097351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Qtr"/>
      <sheetName val="Annual (2)"/>
      <sheetName val="Annual (3)"/>
      <sheetName val="Sem"/>
      <sheetName val="3Qs"/>
      <sheetName val="Annual"/>
      <sheetName val="Checking"/>
      <sheetName val="Metadata"/>
      <sheetName val="Sheet3"/>
    </sheetNames>
    <sheetDataSet>
      <sheetData sheetId="0">
        <row r="13">
          <cell r="CZ13">
            <v>113747.34660423963</v>
          </cell>
          <cell r="DA13">
            <v>130352.56984848021</v>
          </cell>
        </row>
        <row r="14">
          <cell r="CZ14">
            <v>42344.373151024862</v>
          </cell>
          <cell r="DA14">
            <v>52123.298366297015</v>
          </cell>
        </row>
        <row r="15">
          <cell r="CZ15">
            <v>161761.47904426185</v>
          </cell>
          <cell r="DA15">
            <v>206597.78291890325</v>
          </cell>
        </row>
        <row r="16">
          <cell r="CZ16">
            <v>122690.10593064924</v>
          </cell>
          <cell r="DA16">
            <v>134481.2855768571</v>
          </cell>
        </row>
        <row r="18">
          <cell r="CZ18">
            <v>4.6486548382153217</v>
          </cell>
          <cell r="DA18">
            <v>3.7466071953441258</v>
          </cell>
        </row>
        <row r="19">
          <cell r="CZ19">
            <v>4.2210259600083475</v>
          </cell>
          <cell r="DA19">
            <v>2.0898872931976626</v>
          </cell>
        </row>
        <row r="20">
          <cell r="CZ20">
            <v>-2.0674852468478377</v>
          </cell>
          <cell r="DA20">
            <v>0.15660653027185845</v>
          </cell>
        </row>
        <row r="21">
          <cell r="CZ21">
            <v>6.9496906105525085</v>
          </cell>
          <cell r="DA21">
            <v>5.6613575471759106</v>
          </cell>
        </row>
        <row r="22">
          <cell r="CZ22">
            <v>212.39258896747646</v>
          </cell>
          <cell r="DA22">
            <v>245.45293948999179</v>
          </cell>
        </row>
        <row r="24">
          <cell r="CZ24">
            <v>0.18944193793117245</v>
          </cell>
          <cell r="DA24">
            <v>7.1986934793378629E-2</v>
          </cell>
        </row>
        <row r="25">
          <cell r="CZ25">
            <v>0.15371188215365694</v>
          </cell>
          <cell r="DA25">
            <v>-0.24224717960529984</v>
          </cell>
        </row>
        <row r="26">
          <cell r="CZ26">
            <v>3.1251262171906991</v>
          </cell>
          <cell r="DA26">
            <v>2.8276298202988608</v>
          </cell>
        </row>
        <row r="27">
          <cell r="CZ27">
            <v>1.9726436235757321</v>
          </cell>
          <cell r="DA27">
            <v>1.265724460061425</v>
          </cell>
        </row>
        <row r="28">
          <cell r="CZ28">
            <v>5.4409236608512606</v>
          </cell>
          <cell r="DA28">
            <v>3.9230940355483646</v>
          </cell>
        </row>
        <row r="29">
          <cell r="CZ29">
            <v>84.649465030012379</v>
          </cell>
          <cell r="DA29">
            <v>97.003352742754217</v>
          </cell>
        </row>
        <row r="30">
          <cell r="CZ30">
            <v>-323404.74156422715</v>
          </cell>
          <cell r="DA30">
            <v>-56818.781024602242</v>
          </cell>
        </row>
        <row r="33">
          <cell r="CZ33">
            <v>-1083419.5766625446</v>
          </cell>
          <cell r="DA33">
            <v>-664803.30271641118</v>
          </cell>
        </row>
        <row r="34">
          <cell r="CZ34">
            <v>-16.528005268411604</v>
          </cell>
          <cell r="DA34">
            <v>-8.4025863767719056</v>
          </cell>
        </row>
        <row r="35">
          <cell r="CZ35">
            <v>-1249755.6623946209</v>
          </cell>
          <cell r="DA35">
            <v>-857966.3567111739</v>
          </cell>
        </row>
        <row r="36">
          <cell r="CZ36">
            <v>74.483811073038055</v>
          </cell>
          <cell r="DA36">
            <v>58.9848651337308</v>
          </cell>
        </row>
        <row r="38">
          <cell r="CZ38">
            <v>1899517.0188501338</v>
          </cell>
          <cell r="DA38">
            <v>2001006.8607867928</v>
          </cell>
        </row>
        <row r="39">
          <cell r="CZ39">
            <v>33277.211049957579</v>
          </cell>
          <cell r="DA39">
            <v>34097.826878441738</v>
          </cell>
        </row>
        <row r="40">
          <cell r="CZ40">
            <v>28.977902902313225</v>
          </cell>
          <cell r="DA40">
            <v>25.29113937847945</v>
          </cell>
        </row>
        <row r="42">
          <cell r="CZ42">
            <v>2982936.5955126784</v>
          </cell>
          <cell r="DA42">
            <v>2665810.163503204</v>
          </cell>
        </row>
        <row r="43">
          <cell r="CZ43">
            <v>52257.394723215679</v>
          </cell>
          <cell r="DA43">
            <v>45426.297744017545</v>
          </cell>
        </row>
        <row r="44">
          <cell r="CZ44">
            <v>45.505908170724837</v>
          </cell>
          <cell r="DA44">
            <v>33.69372575525135</v>
          </cell>
        </row>
        <row r="45">
          <cell r="CZ45">
            <v>76.7471908887902</v>
          </cell>
          <cell r="DA45">
            <v>73.749008933674219</v>
          </cell>
        </row>
        <row r="46">
          <cell r="CZ46">
            <v>62.624740222904478</v>
          </cell>
          <cell r="DA46">
            <v>57.833878769360801</v>
          </cell>
        </row>
        <row r="47">
          <cell r="CZ47">
            <v>14.243531930775541</v>
          </cell>
          <cell r="DA47">
            <v>12.591279989748344</v>
          </cell>
        </row>
        <row r="49">
          <cell r="CZ49">
            <v>1119267.4854969983</v>
          </cell>
          <cell r="DA49">
            <v>1173097.0138368974</v>
          </cell>
        </row>
        <row r="50">
          <cell r="CZ50">
            <v>19608.195118349478</v>
          </cell>
          <cell r="DA50">
            <v>19989.965888322611</v>
          </cell>
        </row>
        <row r="51">
          <cell r="CZ51">
            <v>17.41890517021875</v>
          </cell>
          <cell r="DA51">
            <v>14.326024376541469</v>
          </cell>
        </row>
        <row r="52">
          <cell r="CZ52">
            <v>17.743959122828386</v>
          </cell>
          <cell r="DA52">
            <v>13.284629828899881</v>
          </cell>
        </row>
        <row r="53">
          <cell r="CZ53">
            <v>14.642813726854467</v>
          </cell>
          <cell r="DA53">
            <v>12.960104613200048</v>
          </cell>
        </row>
        <row r="54">
          <cell r="CZ54">
            <v>17.074879663927476</v>
          </cell>
          <cell r="DA54">
            <v>14.827015670381668</v>
          </cell>
        </row>
        <row r="55">
          <cell r="CZ55">
            <v>22.807364952019636</v>
          </cell>
          <cell r="DA55">
            <v>19.287838667032695</v>
          </cell>
        </row>
        <row r="56">
          <cell r="CZ56">
            <v>79.178903480486042</v>
          </cell>
          <cell r="DA56">
            <v>76.340595872822192</v>
          </cell>
        </row>
        <row r="57">
          <cell r="CZ57">
            <v>12.537542297637389</v>
          </cell>
          <cell r="DA57">
            <v>17.618472579865564</v>
          </cell>
        </row>
        <row r="58">
          <cell r="CZ58">
            <v>16.791121710027078</v>
          </cell>
        </row>
      </sheetData>
      <sheetData sheetId="1"/>
      <sheetData sheetId="2"/>
      <sheetData sheetId="3">
        <row r="13">
          <cell r="AV13">
            <v>209261.31574341244</v>
          </cell>
        </row>
      </sheetData>
      <sheetData sheetId="4"/>
      <sheetData sheetId="5">
        <row r="13">
          <cell r="Y13">
            <v>436782.51145746571</v>
          </cell>
          <cell r="Z13">
            <v>455396.3328883358</v>
          </cell>
          <cell r="AA13">
            <v>454218.95209772373</v>
          </cell>
        </row>
        <row r="14">
          <cell r="Y14">
            <v>161274.78898220428</v>
          </cell>
          <cell r="Z14">
            <v>176071.43830514236</v>
          </cell>
          <cell r="AA14">
            <v>177103.79864746798</v>
          </cell>
        </row>
        <row r="15">
          <cell r="Y15">
            <v>726989.53836764488</v>
          </cell>
          <cell r="Z15">
            <v>726004.88495674066</v>
          </cell>
          <cell r="AA15">
            <v>740831.51346674026</v>
          </cell>
        </row>
        <row r="16">
          <cell r="Y16">
            <v>459103.86478587711</v>
          </cell>
          <cell r="Z16">
            <v>469073.99679361412</v>
          </cell>
          <cell r="AA16">
            <v>463419.84757838334</v>
          </cell>
        </row>
        <row r="18">
          <cell r="Y18">
            <v>2.6755665873665464</v>
          </cell>
          <cell r="Z18">
            <v>4.261576629695881</v>
          </cell>
          <cell r="AA18">
            <v>-0.25853980490896333</v>
          </cell>
        </row>
        <row r="19">
          <cell r="Y19">
            <v>-2.0245058755007648</v>
          </cell>
          <cell r="Z19">
            <v>9.1748061903034426</v>
          </cell>
          <cell r="AA19">
            <v>0.58633038513404756</v>
          </cell>
        </row>
        <row r="20">
          <cell r="Y20">
            <v>4.834606598944589</v>
          </cell>
          <cell r="Z20">
            <v>-0.13544258327500813</v>
          </cell>
          <cell r="AA20">
            <v>2.0422215906829706</v>
          </cell>
        </row>
        <row r="21">
          <cell r="Y21">
            <v>3.1642172890647942</v>
          </cell>
          <cell r="Z21">
            <v>2.1716506377891278</v>
          </cell>
          <cell r="AA21">
            <v>-1.2053853451438528</v>
          </cell>
        </row>
        <row r="22">
          <cell r="Y22">
            <v>209.39260567101309</v>
          </cell>
          <cell r="Z22">
            <v>214.33812568807002</v>
          </cell>
          <cell r="AA22">
            <v>223.84278425504519</v>
          </cell>
        </row>
        <row r="24">
          <cell r="Y24">
            <v>0.10192828700729931</v>
          </cell>
          <cell r="Z24">
            <v>-0.11596456502639445</v>
          </cell>
          <cell r="AA24">
            <v>0.21901636414747241</v>
          </cell>
        </row>
        <row r="25">
          <cell r="Y25">
            <v>1.0177013095465106</v>
          </cell>
          <cell r="Z25">
            <v>1.4854386351558211</v>
          </cell>
          <cell r="AA25">
            <v>0.39374978826718887</v>
          </cell>
        </row>
        <row r="26">
          <cell r="Y26">
            <v>4.1033859429299371</v>
          </cell>
          <cell r="Z26">
            <v>3.7791492762411636</v>
          </cell>
          <cell r="AA26">
            <v>3.2965400857662495</v>
          </cell>
        </row>
        <row r="27">
          <cell r="Y27">
            <v>5.1773073804286156</v>
          </cell>
          <cell r="Z27">
            <v>2.5362180893583552</v>
          </cell>
          <cell r="AA27">
            <v>2.1450298031547304</v>
          </cell>
        </row>
        <row r="28">
          <cell r="Y28">
            <v>10.400322919912362</v>
          </cell>
          <cell r="Z28">
            <v>7.684841435728945</v>
          </cell>
          <cell r="AA28">
            <v>6.0543360413356409</v>
          </cell>
        </row>
        <row r="29">
          <cell r="Y29">
            <v>90.520623891965187</v>
          </cell>
          <cell r="Z29">
            <v>89.807891774966578</v>
          </cell>
          <cell r="AA29">
            <v>90.465097043109495</v>
          </cell>
        </row>
        <row r="30">
          <cell r="Y30">
            <v>-688251.0006017437</v>
          </cell>
          <cell r="Z30">
            <v>-768473.2722657501</v>
          </cell>
          <cell r="AA30">
            <v>-769625.39020690694</v>
          </cell>
        </row>
        <row r="33">
          <cell r="Y33">
            <v>-3439462.4476467725</v>
          </cell>
          <cell r="Z33">
            <v>-3792036.5496865455</v>
          </cell>
          <cell r="AA33">
            <v>-3749444.1978886165</v>
          </cell>
        </row>
        <row r="35">
          <cell r="Y35">
            <v>-14.146270623043703</v>
          </cell>
          <cell r="Z35">
            <v>-14.338590219059522</v>
          </cell>
          <cell r="AA35">
            <v>-13.384053707901659</v>
          </cell>
        </row>
        <row r="36">
          <cell r="Y36">
            <v>-4611454.0525397006</v>
          </cell>
          <cell r="Z36">
            <v>-4953939.9732527984</v>
          </cell>
          <cell r="AA36">
            <v>-4841507.111179946</v>
          </cell>
        </row>
        <row r="37">
          <cell r="Y37">
            <v>67.41996931716065</v>
          </cell>
          <cell r="Z37">
            <v>65.885472528789066</v>
          </cell>
          <cell r="AA37">
            <v>66.654331642365534</v>
          </cell>
        </row>
        <row r="39">
          <cell r="Y39">
            <v>6476367.1991113052</v>
          </cell>
          <cell r="Z39">
            <v>6816139.4793562237</v>
          </cell>
          <cell r="AA39">
            <v>7461638.2629789859</v>
          </cell>
        </row>
        <row r="40">
          <cell r="Y40">
            <v>116404.75854930759</v>
          </cell>
          <cell r="Z40">
            <v>119009.57990885559</v>
          </cell>
          <cell r="AA40">
            <v>129678.14611222115</v>
          </cell>
        </row>
        <row r="41">
          <cell r="Y41">
            <v>26.63684934705848</v>
          </cell>
          <cell r="Z41">
            <v>25.773441154864766</v>
          </cell>
          <cell r="AA41">
            <v>26.635138967231935</v>
          </cell>
        </row>
        <row r="43">
          <cell r="Y43">
            <v>9915829.6467580777</v>
          </cell>
          <cell r="Z43">
            <v>10608176.029042769</v>
          </cell>
          <cell r="AA43">
            <v>11211082.460867602</v>
          </cell>
        </row>
        <row r="44">
          <cell r="Y44">
            <v>178258.05802405308</v>
          </cell>
          <cell r="Z44">
            <v>185161.1211680992</v>
          </cell>
          <cell r="AA44">
            <v>195035.53886749747</v>
          </cell>
        </row>
        <row r="45">
          <cell r="Y45">
            <v>40.783119970102177</v>
          </cell>
          <cell r="Z45">
            <v>40.112031373924289</v>
          </cell>
          <cell r="AA45">
            <v>40.019192675133588</v>
          </cell>
        </row>
        <row r="46">
          <cell r="Y46">
            <v>71.866323848529376</v>
          </cell>
          <cell r="Z46">
            <v>68.25689514322201</v>
          </cell>
          <cell r="AA46">
            <v>71.941820755228875</v>
          </cell>
        </row>
        <row r="47">
          <cell r="Y47">
            <v>62.686398373811549</v>
          </cell>
          <cell r="Z47">
            <v>60.864942674198815</v>
          </cell>
          <cell r="AA47">
            <v>61.120819461796977</v>
          </cell>
        </row>
        <row r="48">
          <cell r="Y48">
            <v>9.8768427964064571</v>
          </cell>
          <cell r="Z48">
            <v>11.527940954855797</v>
          </cell>
          <cell r="AA48">
            <v>12.995682033828485</v>
          </cell>
        </row>
        <row r="50">
          <cell r="Y50">
            <v>2879901.4275458022</v>
          </cell>
          <cell r="Z50">
            <v>3659967.0427601235</v>
          </cell>
          <cell r="AA50">
            <v>4379637.3553943578</v>
          </cell>
        </row>
        <row r="51">
          <cell r="Y51">
            <v>51709.915317827734</v>
          </cell>
          <cell r="Z51">
            <v>63851.08111834828</v>
          </cell>
          <cell r="AA51">
            <v>76161.661847930576</v>
          </cell>
        </row>
        <row r="52">
          <cell r="Y52">
            <v>96.013651417030133</v>
          </cell>
          <cell r="Z52">
            <v>27.086538718065725</v>
          </cell>
          <cell r="AA52">
            <v>19.663300358341559</v>
          </cell>
        </row>
        <row r="53">
          <cell r="Y53">
            <v>92.316644286210163</v>
          </cell>
          <cell r="Z53">
            <v>23.479376684136071</v>
          </cell>
          <cell r="AA53">
            <v>19.280144539392481</v>
          </cell>
        </row>
        <row r="54">
          <cell r="Y54">
            <v>10.674939210088704</v>
          </cell>
          <cell r="Z54">
            <v>12.243828793712911</v>
          </cell>
          <cell r="AA54">
            <v>13.60190491261544</v>
          </cell>
        </row>
        <row r="55">
          <cell r="Y55">
            <v>11.84483493623441</v>
          </cell>
          <cell r="Z55">
            <v>13.839204067201955</v>
          </cell>
          <cell r="AA55">
            <v>15.633597539267017</v>
          </cell>
        </row>
        <row r="56">
          <cell r="Y56">
            <v>23.634505580337862</v>
          </cell>
          <cell r="Z56">
            <v>23.570507069845377</v>
          </cell>
          <cell r="AA56">
            <v>22.686153371928842</v>
          </cell>
        </row>
        <row r="57">
          <cell r="Y57">
            <v>76.518844218519618</v>
          </cell>
          <cell r="Z57">
            <v>76.145393421070068</v>
          </cell>
          <cell r="AA57">
            <v>76.419216296468377</v>
          </cell>
        </row>
        <row r="58">
          <cell r="Y58">
            <v>16.23032629491793</v>
          </cell>
          <cell r="Z58">
            <v>15.677153099355342</v>
          </cell>
          <cell r="AA58">
            <v>15.32570445775093</v>
          </cell>
        </row>
        <row r="59">
          <cell r="Y59">
            <v>6.5955408804101179</v>
          </cell>
          <cell r="Z59">
            <v>7.6405269932896163</v>
          </cell>
        </row>
      </sheetData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1048576"/>
  <sheetViews>
    <sheetView tabSelected="1" view="pageBreakPreview" zoomScale="115" zoomScaleNormal="85" zoomScaleSheetLayoutView="115" workbookViewId="0">
      <pane xSplit="1" ySplit="8" topLeftCell="CR48" activePane="bottomRight" state="frozen"/>
      <selection activeCell="Z29" sqref="Z29"/>
      <selection pane="topRight" activeCell="Z29" sqref="Z29"/>
      <selection pane="bottomLeft" activeCell="Z29" sqref="Z29"/>
      <selection pane="bottomRight" activeCell="CV51" sqref="CV51"/>
    </sheetView>
  </sheetViews>
  <sheetFormatPr defaultColWidth="8.85546875" defaultRowHeight="12.75" x14ac:dyDescent="0.2"/>
  <cols>
    <col min="1" max="1" width="53.5703125" style="1" bestFit="1" customWidth="1"/>
    <col min="2" max="81" width="12.140625" style="1" customWidth="1"/>
    <col min="82" max="82" width="10.42578125" style="1" customWidth="1"/>
    <col min="83" max="85" width="9.140625" style="1" bestFit="1" customWidth="1"/>
    <col min="86" max="87" width="9.28515625" style="1" bestFit="1" customWidth="1"/>
    <col min="88" max="89" width="9.28515625" style="1" customWidth="1"/>
    <col min="90" max="90" width="9.85546875" style="1" bestFit="1" customWidth="1"/>
    <col min="91" max="91" width="9.5703125" style="1" customWidth="1"/>
    <col min="92" max="105" width="11.7109375" style="1" customWidth="1"/>
    <col min="106" max="106" width="2" style="1" customWidth="1"/>
    <col min="107" max="109" width="13.42578125" style="1" customWidth="1"/>
    <col min="110" max="110" width="0.7109375" style="1" customWidth="1"/>
    <col min="111" max="16384" width="8.85546875" style="1"/>
  </cols>
  <sheetData>
    <row r="1" spans="1:110" x14ac:dyDescent="0.2">
      <c r="A1" s="1" t="s">
        <v>0</v>
      </c>
    </row>
    <row r="2" spans="1:110" x14ac:dyDescent="0.2">
      <c r="A2" s="1" t="s">
        <v>5</v>
      </c>
    </row>
    <row r="3" spans="1:110" x14ac:dyDescent="0.2">
      <c r="A3" s="22" t="s">
        <v>47</v>
      </c>
    </row>
    <row r="5" spans="1:110" x14ac:dyDescent="0.2">
      <c r="A5" s="1" t="s">
        <v>44</v>
      </c>
    </row>
    <row r="6" spans="1:110" x14ac:dyDescent="0.2">
      <c r="CU6" s="26"/>
    </row>
    <row r="7" spans="1:110" x14ac:dyDescent="0.2">
      <c r="A7" s="3"/>
      <c r="B7" s="16">
        <v>2000</v>
      </c>
      <c r="C7" s="16"/>
      <c r="D7" s="16"/>
      <c r="E7" s="16"/>
      <c r="F7" s="16">
        <v>2001</v>
      </c>
      <c r="G7" s="16"/>
      <c r="H7" s="16"/>
      <c r="I7" s="16"/>
      <c r="J7" s="16">
        <v>2002</v>
      </c>
      <c r="K7" s="16"/>
      <c r="L7" s="16"/>
      <c r="M7" s="16"/>
      <c r="N7" s="16">
        <v>2003</v>
      </c>
      <c r="O7" s="16"/>
      <c r="P7" s="16"/>
      <c r="Q7" s="16"/>
      <c r="R7" s="16">
        <v>2004</v>
      </c>
      <c r="S7" s="16"/>
      <c r="T7" s="16"/>
      <c r="U7" s="16"/>
      <c r="V7" s="16">
        <v>2005</v>
      </c>
      <c r="W7" s="16"/>
      <c r="X7" s="16"/>
      <c r="Y7" s="16"/>
      <c r="Z7" s="16">
        <v>2006</v>
      </c>
      <c r="AA7" s="16"/>
      <c r="AB7" s="16"/>
      <c r="AC7" s="16"/>
      <c r="AD7" s="16">
        <v>2007</v>
      </c>
      <c r="AE7" s="16"/>
      <c r="AF7" s="16"/>
      <c r="AG7" s="16"/>
      <c r="AH7" s="16">
        <v>2008</v>
      </c>
      <c r="AI7" s="16"/>
      <c r="AJ7" s="16"/>
      <c r="AK7" s="16"/>
      <c r="AL7" s="16">
        <v>2009</v>
      </c>
      <c r="AM7" s="16"/>
      <c r="AN7" s="16"/>
      <c r="AO7" s="16"/>
      <c r="AP7" s="16">
        <v>2010</v>
      </c>
      <c r="AQ7" s="16"/>
      <c r="AR7" s="16"/>
      <c r="AS7" s="16"/>
      <c r="AT7" s="16">
        <v>2011</v>
      </c>
      <c r="AU7" s="16"/>
      <c r="AV7" s="16"/>
      <c r="AW7" s="16"/>
      <c r="AX7" s="16">
        <v>2012</v>
      </c>
      <c r="AY7" s="16"/>
      <c r="AZ7" s="16"/>
      <c r="BA7" s="16"/>
      <c r="BB7" s="16">
        <v>2013</v>
      </c>
      <c r="BC7" s="16"/>
      <c r="BD7" s="16"/>
      <c r="BE7" s="16"/>
      <c r="BF7" s="16">
        <v>2014</v>
      </c>
      <c r="BG7" s="16"/>
      <c r="BH7" s="16"/>
      <c r="BI7" s="16"/>
      <c r="BJ7" s="16">
        <v>2015</v>
      </c>
      <c r="BK7" s="16"/>
      <c r="BL7" s="16"/>
      <c r="BM7" s="16"/>
      <c r="BN7" s="16">
        <v>2016</v>
      </c>
      <c r="BO7" s="16"/>
      <c r="BP7" s="16"/>
      <c r="BQ7" s="16"/>
      <c r="BR7" s="16">
        <v>2017</v>
      </c>
      <c r="BS7" s="16"/>
      <c r="BT7" s="16"/>
      <c r="BU7" s="16"/>
      <c r="BV7" s="16">
        <v>2018</v>
      </c>
      <c r="BW7" s="16"/>
      <c r="BX7" s="16"/>
      <c r="BY7" s="16"/>
      <c r="BZ7" s="4">
        <v>2019</v>
      </c>
      <c r="CA7" s="4"/>
      <c r="CB7" s="4"/>
      <c r="CC7" s="4"/>
      <c r="CD7" s="4">
        <v>2020</v>
      </c>
      <c r="CE7" s="4"/>
      <c r="CF7" s="4"/>
      <c r="CG7" s="4"/>
      <c r="CH7" s="4">
        <v>2021</v>
      </c>
      <c r="CI7" s="4"/>
      <c r="CJ7" s="4"/>
      <c r="CK7" s="4"/>
      <c r="CL7" s="4">
        <v>2022</v>
      </c>
      <c r="CM7" s="4"/>
      <c r="CN7" s="4"/>
      <c r="CO7" s="4"/>
      <c r="CP7" s="4">
        <v>2023</v>
      </c>
      <c r="CQ7" s="4"/>
      <c r="CR7" s="4"/>
      <c r="CS7" s="4"/>
      <c r="CT7" s="4">
        <v>2024</v>
      </c>
      <c r="CU7" s="4"/>
      <c r="CV7" s="4"/>
      <c r="CW7" s="4"/>
      <c r="CX7" s="29">
        <v>2025</v>
      </c>
      <c r="CY7" s="4"/>
      <c r="CZ7" s="4"/>
      <c r="DA7" s="4"/>
      <c r="DB7" s="4"/>
      <c r="DC7" s="4" t="s">
        <v>48</v>
      </c>
      <c r="DD7" s="4"/>
      <c r="DE7" s="4"/>
      <c r="DF7" s="28"/>
    </row>
    <row r="8" spans="1:110" x14ac:dyDescent="0.2">
      <c r="A8" s="2" t="s">
        <v>6</v>
      </c>
      <c r="B8" s="17" t="s">
        <v>1</v>
      </c>
      <c r="C8" s="17" t="s">
        <v>2</v>
      </c>
      <c r="D8" s="17" t="s">
        <v>3</v>
      </c>
      <c r="E8" s="17" t="s">
        <v>4</v>
      </c>
      <c r="F8" s="17" t="s">
        <v>1</v>
      </c>
      <c r="G8" s="17" t="s">
        <v>2</v>
      </c>
      <c r="H8" s="17" t="s">
        <v>3</v>
      </c>
      <c r="I8" s="17" t="s">
        <v>4</v>
      </c>
      <c r="J8" s="17" t="s">
        <v>1</v>
      </c>
      <c r="K8" s="17" t="s">
        <v>2</v>
      </c>
      <c r="L8" s="17" t="s">
        <v>3</v>
      </c>
      <c r="M8" s="17" t="s">
        <v>4</v>
      </c>
      <c r="N8" s="17" t="s">
        <v>1</v>
      </c>
      <c r="O8" s="17" t="s">
        <v>2</v>
      </c>
      <c r="P8" s="17" t="s">
        <v>3</v>
      </c>
      <c r="Q8" s="17" t="s">
        <v>4</v>
      </c>
      <c r="R8" s="17" t="s">
        <v>1</v>
      </c>
      <c r="S8" s="17" t="s">
        <v>2</v>
      </c>
      <c r="T8" s="17" t="s">
        <v>3</v>
      </c>
      <c r="U8" s="17" t="s">
        <v>4</v>
      </c>
      <c r="V8" s="17" t="s">
        <v>1</v>
      </c>
      <c r="W8" s="17" t="s">
        <v>2</v>
      </c>
      <c r="X8" s="17" t="s">
        <v>3</v>
      </c>
      <c r="Y8" s="17" t="s">
        <v>4</v>
      </c>
      <c r="Z8" s="17" t="s">
        <v>1</v>
      </c>
      <c r="AA8" s="17" t="s">
        <v>2</v>
      </c>
      <c r="AB8" s="17" t="s">
        <v>3</v>
      </c>
      <c r="AC8" s="17" t="s">
        <v>4</v>
      </c>
      <c r="AD8" s="17" t="s">
        <v>1</v>
      </c>
      <c r="AE8" s="17" t="s">
        <v>2</v>
      </c>
      <c r="AF8" s="17" t="s">
        <v>3</v>
      </c>
      <c r="AG8" s="17" t="s">
        <v>4</v>
      </c>
      <c r="AH8" s="17" t="s">
        <v>1</v>
      </c>
      <c r="AI8" s="17" t="s">
        <v>2</v>
      </c>
      <c r="AJ8" s="17" t="s">
        <v>3</v>
      </c>
      <c r="AK8" s="17" t="s">
        <v>4</v>
      </c>
      <c r="AL8" s="17" t="s">
        <v>1</v>
      </c>
      <c r="AM8" s="17" t="s">
        <v>2</v>
      </c>
      <c r="AN8" s="17" t="s">
        <v>3</v>
      </c>
      <c r="AO8" s="17" t="s">
        <v>4</v>
      </c>
      <c r="AP8" s="17" t="s">
        <v>1</v>
      </c>
      <c r="AQ8" s="17" t="s">
        <v>2</v>
      </c>
      <c r="AR8" s="17" t="s">
        <v>3</v>
      </c>
      <c r="AS8" s="17" t="s">
        <v>4</v>
      </c>
      <c r="AT8" s="17" t="s">
        <v>1</v>
      </c>
      <c r="AU8" s="17" t="s">
        <v>2</v>
      </c>
      <c r="AV8" s="17" t="s">
        <v>3</v>
      </c>
      <c r="AW8" s="17" t="s">
        <v>4</v>
      </c>
      <c r="AX8" s="17" t="s">
        <v>1</v>
      </c>
      <c r="AY8" s="17" t="s">
        <v>2</v>
      </c>
      <c r="AZ8" s="17" t="s">
        <v>3</v>
      </c>
      <c r="BA8" s="17" t="s">
        <v>4</v>
      </c>
      <c r="BB8" s="17" t="s">
        <v>1</v>
      </c>
      <c r="BC8" s="17" t="s">
        <v>2</v>
      </c>
      <c r="BD8" s="17" t="s">
        <v>3</v>
      </c>
      <c r="BE8" s="17" t="s">
        <v>4</v>
      </c>
      <c r="BF8" s="17" t="s">
        <v>1</v>
      </c>
      <c r="BG8" s="17" t="s">
        <v>2</v>
      </c>
      <c r="BH8" s="17" t="s">
        <v>3</v>
      </c>
      <c r="BI8" s="17" t="s">
        <v>4</v>
      </c>
      <c r="BJ8" s="17" t="s">
        <v>1</v>
      </c>
      <c r="BK8" s="17" t="s">
        <v>2</v>
      </c>
      <c r="BL8" s="17" t="s">
        <v>3</v>
      </c>
      <c r="BM8" s="17" t="s">
        <v>4</v>
      </c>
      <c r="BN8" s="17" t="s">
        <v>1</v>
      </c>
      <c r="BO8" s="17" t="s">
        <v>2</v>
      </c>
      <c r="BP8" s="17" t="s">
        <v>3</v>
      </c>
      <c r="BQ8" s="17" t="s">
        <v>4</v>
      </c>
      <c r="BR8" s="17" t="s">
        <v>1</v>
      </c>
      <c r="BS8" s="17" t="s">
        <v>2</v>
      </c>
      <c r="BT8" s="17" t="s">
        <v>3</v>
      </c>
      <c r="BU8" s="17" t="s">
        <v>4</v>
      </c>
      <c r="BV8" s="17" t="s">
        <v>1</v>
      </c>
      <c r="BW8" s="17" t="s">
        <v>2</v>
      </c>
      <c r="BX8" s="17" t="s">
        <v>3</v>
      </c>
      <c r="BY8" s="17" t="s">
        <v>4</v>
      </c>
      <c r="BZ8" s="2" t="s">
        <v>1</v>
      </c>
      <c r="CA8" s="2" t="s">
        <v>2</v>
      </c>
      <c r="CB8" s="2" t="s">
        <v>3</v>
      </c>
      <c r="CC8" s="2" t="s">
        <v>4</v>
      </c>
      <c r="CD8" s="2" t="s">
        <v>1</v>
      </c>
      <c r="CE8" s="2" t="s">
        <v>2</v>
      </c>
      <c r="CF8" s="2" t="s">
        <v>3</v>
      </c>
      <c r="CG8" s="2" t="s">
        <v>4</v>
      </c>
      <c r="CH8" s="2" t="s">
        <v>1</v>
      </c>
      <c r="CI8" s="2" t="s">
        <v>2</v>
      </c>
      <c r="CJ8" s="2" t="s">
        <v>3</v>
      </c>
      <c r="CK8" s="2" t="s">
        <v>4</v>
      </c>
      <c r="CL8" s="2" t="s">
        <v>1</v>
      </c>
      <c r="CM8" s="2" t="s">
        <v>2</v>
      </c>
      <c r="CN8" s="2" t="s">
        <v>3</v>
      </c>
      <c r="CO8" s="2" t="s">
        <v>4</v>
      </c>
      <c r="CP8" s="2" t="s">
        <v>1</v>
      </c>
      <c r="CQ8" s="2" t="s">
        <v>2</v>
      </c>
      <c r="CR8" s="2" t="s">
        <v>3</v>
      </c>
      <c r="CS8" s="2" t="s">
        <v>4</v>
      </c>
      <c r="CT8" s="2" t="s">
        <v>1</v>
      </c>
      <c r="CU8" s="2" t="s">
        <v>2</v>
      </c>
      <c r="CV8" s="2" t="s">
        <v>3</v>
      </c>
      <c r="CW8" s="2" t="s">
        <v>4</v>
      </c>
      <c r="CX8" s="2" t="s">
        <v>1</v>
      </c>
      <c r="CY8" s="27" t="s">
        <v>2</v>
      </c>
      <c r="CZ8" s="2" t="s">
        <v>3</v>
      </c>
      <c r="DA8" s="27" t="s">
        <v>4</v>
      </c>
      <c r="DB8" s="27"/>
      <c r="DC8" s="1">
        <v>2023</v>
      </c>
      <c r="DD8" s="1">
        <v>2024</v>
      </c>
      <c r="DE8" s="27">
        <v>2025</v>
      </c>
      <c r="DF8" s="27"/>
    </row>
    <row r="9" spans="1:110" ht="7.15" customHeight="1" x14ac:dyDescent="0.2"/>
    <row r="10" spans="1:110" x14ac:dyDescent="0.2">
      <c r="A10" s="5" t="s">
        <v>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6"/>
      <c r="CA10" s="6"/>
      <c r="CB10" s="6"/>
      <c r="CC10" s="6"/>
      <c r="CD10" s="6"/>
      <c r="CE10" s="6"/>
      <c r="CF10" s="6"/>
    </row>
    <row r="11" spans="1:110" x14ac:dyDescent="0.2">
      <c r="A11" s="7" t="s">
        <v>8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  <c r="BZ11" s="6"/>
      <c r="CA11" s="6"/>
      <c r="CB11" s="6"/>
      <c r="CC11" s="6"/>
      <c r="CD11" s="6"/>
      <c r="CE11" s="6"/>
      <c r="CF11" s="6"/>
    </row>
    <row r="12" spans="1:110" x14ac:dyDescent="0.2">
      <c r="A12" s="8" t="s">
        <v>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  <c r="BV12" s="8"/>
      <c r="BW12" s="8"/>
      <c r="BX12" s="8"/>
      <c r="BY12" s="8"/>
      <c r="BZ12" s="6"/>
      <c r="CA12" s="6"/>
      <c r="CB12" s="6"/>
      <c r="CC12" s="6"/>
      <c r="CD12" s="6"/>
      <c r="CE12" s="6"/>
      <c r="CF12" s="6"/>
      <c r="CG12" s="9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</row>
    <row r="13" spans="1:110" x14ac:dyDescent="0.2">
      <c r="A13" s="10" t="s">
        <v>10</v>
      </c>
      <c r="B13" s="18">
        <v>59614.755485005611</v>
      </c>
      <c r="C13" s="18">
        <v>63574.163324976347</v>
      </c>
      <c r="D13" s="18">
        <v>63094.264308708858</v>
      </c>
      <c r="E13" s="18">
        <v>68150.671951651399</v>
      </c>
      <c r="F13" s="18">
        <v>60284.43189375021</v>
      </c>
      <c r="G13" s="18">
        <v>61261.432921750144</v>
      </c>
      <c r="H13" s="18">
        <v>60195.460522650705</v>
      </c>
      <c r="I13" s="18">
        <v>65022.585078903285</v>
      </c>
      <c r="J13" s="18">
        <v>59208.468940395214</v>
      </c>
      <c r="K13" s="18">
        <v>61343.164848851142</v>
      </c>
      <c r="L13" s="18">
        <v>60117.159991666122</v>
      </c>
      <c r="M13" s="18">
        <v>67617.859783528911</v>
      </c>
      <c r="N13" s="18">
        <v>61093.619820804393</v>
      </c>
      <c r="O13" s="18">
        <v>63547.097712328818</v>
      </c>
      <c r="P13" s="18">
        <v>62713.889989122661</v>
      </c>
      <c r="Q13" s="18">
        <v>68611.927677395273</v>
      </c>
      <c r="R13" s="18">
        <v>62515.933071918967</v>
      </c>
      <c r="S13" s="18">
        <v>65893.244934017755</v>
      </c>
      <c r="T13" s="18">
        <v>64145.638615469084</v>
      </c>
      <c r="U13" s="18">
        <v>71895.012782154561</v>
      </c>
      <c r="V13" s="18">
        <v>65476.096148191449</v>
      </c>
      <c r="W13" s="18">
        <v>68136.830796084148</v>
      </c>
      <c r="X13" s="18">
        <v>65122.673153028139</v>
      </c>
      <c r="Y13" s="18">
        <v>72696.700948780781</v>
      </c>
      <c r="Z13" s="18">
        <v>66851.408927494078</v>
      </c>
      <c r="AA13" s="18">
        <v>70414.986354874869</v>
      </c>
      <c r="AB13" s="18">
        <v>66676.468986082735</v>
      </c>
      <c r="AC13" s="18">
        <v>76336.023537381305</v>
      </c>
      <c r="AD13" s="18">
        <v>68496.895743333298</v>
      </c>
      <c r="AE13" s="18">
        <v>73708.450006491403</v>
      </c>
      <c r="AF13" s="18">
        <v>70881.780019861253</v>
      </c>
      <c r="AG13" s="18">
        <v>80128.648623135072</v>
      </c>
      <c r="AH13" s="18">
        <v>71043.787527582594</v>
      </c>
      <c r="AI13" s="18">
        <v>77619.907146406476</v>
      </c>
      <c r="AJ13" s="18">
        <v>72006.604305871515</v>
      </c>
      <c r="AK13" s="18">
        <v>80591.760258982598</v>
      </c>
      <c r="AL13" s="18">
        <v>70649.800890968108</v>
      </c>
      <c r="AM13" s="18">
        <v>75792.932284524897</v>
      </c>
      <c r="AN13" s="18">
        <v>70807.232579671865</v>
      </c>
      <c r="AO13" s="18">
        <v>79845.779839136405</v>
      </c>
      <c r="AP13" s="18">
        <v>72708.268736665326</v>
      </c>
      <c r="AQ13" s="18">
        <v>80872.233966588028</v>
      </c>
      <c r="AR13" s="18">
        <v>74191.417623502144</v>
      </c>
      <c r="AS13" s="18">
        <v>82522.678320813007</v>
      </c>
      <c r="AT13" s="18">
        <v>75585.781700024716</v>
      </c>
      <c r="AU13" s="18">
        <v>80545.4430486645</v>
      </c>
      <c r="AV13" s="18">
        <v>74751.346918701514</v>
      </c>
      <c r="AW13" s="18">
        <v>81272.52244322357</v>
      </c>
      <c r="AX13" s="18">
        <v>77790.60076666309</v>
      </c>
      <c r="AY13" s="18">
        <v>83248.65856819434</v>
      </c>
      <c r="AZ13" s="18">
        <v>79262.066180472088</v>
      </c>
      <c r="BA13" s="18">
        <v>89688.779354328188</v>
      </c>
      <c r="BB13" s="18">
        <v>82492.822743759956</v>
      </c>
      <c r="BC13" s="18">
        <v>89553.027714322845</v>
      </c>
      <c r="BD13" s="18">
        <v>83270.718108715722</v>
      </c>
      <c r="BE13" s="18">
        <v>94323.691620979487</v>
      </c>
      <c r="BF13" s="18">
        <v>90836.700649537204</v>
      </c>
      <c r="BG13" s="18">
        <v>92851.503058146976</v>
      </c>
      <c r="BH13" s="18">
        <v>87576.688036668158</v>
      </c>
      <c r="BI13" s="18">
        <v>97802.714332112388</v>
      </c>
      <c r="BJ13" s="18">
        <v>90526.81992555008</v>
      </c>
      <c r="BK13" s="18">
        <v>98408.182135688228</v>
      </c>
      <c r="BL13" s="18">
        <v>91037.802567299048</v>
      </c>
      <c r="BM13" s="18">
        <v>102230.4236714094</v>
      </c>
      <c r="BN13" s="18">
        <v>91491.485762902259</v>
      </c>
      <c r="BO13" s="18">
        <v>101814.49624360986</v>
      </c>
      <c r="BP13" s="18">
        <v>94069.035072980565</v>
      </c>
      <c r="BQ13" s="18">
        <v>104290.33531853466</v>
      </c>
      <c r="BR13" s="18">
        <v>100641.40633399803</v>
      </c>
      <c r="BS13" s="18">
        <v>110186.60478596778</v>
      </c>
      <c r="BT13" s="18">
        <v>103125.03539161698</v>
      </c>
      <c r="BU13" s="18">
        <v>111586.59466572564</v>
      </c>
      <c r="BV13" s="18">
        <v>100959.71614792135</v>
      </c>
      <c r="BW13" s="18">
        <v>115424.95734979531</v>
      </c>
      <c r="BX13" s="18">
        <v>108173.98472955088</v>
      </c>
      <c r="BY13" s="18">
        <v>119334.83029072493</v>
      </c>
      <c r="BZ13" s="18">
        <v>109061.12135240114</v>
      </c>
      <c r="CA13" s="18">
        <v>119366.38565347223</v>
      </c>
      <c r="CB13" s="18">
        <v>109957.21046301845</v>
      </c>
      <c r="CC13" s="18">
        <v>123612.49348593432</v>
      </c>
      <c r="CD13" s="18">
        <v>104219.53403230879</v>
      </c>
      <c r="CE13" s="18">
        <v>122462.82605345658</v>
      </c>
      <c r="CF13" s="18">
        <v>100129.14278050384</v>
      </c>
      <c r="CG13" s="18">
        <v>121134.82910553491</v>
      </c>
      <c r="CH13" s="18">
        <v>98667.383597993321</v>
      </c>
      <c r="CI13" s="18">
        <v>104654.41954247559</v>
      </c>
      <c r="CJ13" s="18">
        <v>102551.41440004043</v>
      </c>
      <c r="CK13" s="18">
        <v>115176.37860010812</v>
      </c>
      <c r="CL13" s="18">
        <v>101928.35062809815</v>
      </c>
      <c r="CM13" s="18">
        <v>108258.94280790923</v>
      </c>
      <c r="CN13" s="18">
        <v>100127.17102563092</v>
      </c>
      <c r="CO13" s="18">
        <v>114754.16615988311</v>
      </c>
      <c r="CP13" s="18">
        <v>101713.86344478281</v>
      </c>
      <c r="CQ13" s="18">
        <v>107538.80390921778</v>
      </c>
      <c r="CR13" s="18">
        <v>107959.56950914217</v>
      </c>
      <c r="CS13" s="18">
        <v>119312.07904916872</v>
      </c>
      <c r="CT13" s="18">
        <v>108206.54158957444</v>
      </c>
      <c r="CU13" s="24">
        <v>112660.21442008761</v>
      </c>
      <c r="CV13" s="24">
        <v>108694.51382828638</v>
      </c>
      <c r="CW13" s="24">
        <v>125645.13999290581</v>
      </c>
      <c r="CX13" s="24">
        <v>112759.42572539853</v>
      </c>
      <c r="CY13" s="24">
        <f>[1]Qtr!CY13</f>
        <v>117301.69391252004</v>
      </c>
      <c r="CZ13" s="30">
        <f>[2]Qtr!CZ13</f>
        <v>113747.34660423963</v>
      </c>
      <c r="DA13" s="30">
        <f>[2]Qtr!DA13</f>
        <v>130352.56984848021</v>
      </c>
      <c r="DB13" s="24"/>
      <c r="DC13" s="24">
        <f>[2]Annual!Y13</f>
        <v>436782.51145746571</v>
      </c>
      <c r="DD13" s="24">
        <f>[2]Annual!Z13</f>
        <v>455396.3328883358</v>
      </c>
      <c r="DE13" s="24">
        <f>[2]Annual!AA13</f>
        <v>454218.95209772373</v>
      </c>
      <c r="DF13" s="24"/>
    </row>
    <row r="14" spans="1:110" x14ac:dyDescent="0.2">
      <c r="A14" s="10" t="s">
        <v>11</v>
      </c>
      <c r="B14" s="18">
        <v>24716.590126185027</v>
      </c>
      <c r="C14" s="18">
        <v>25892.811010495934</v>
      </c>
      <c r="D14" s="18">
        <v>23306.033498753397</v>
      </c>
      <c r="E14" s="18">
        <v>30465.318921028509</v>
      </c>
      <c r="F14" s="18">
        <v>26152.490951709999</v>
      </c>
      <c r="G14" s="18">
        <v>24439.437591677768</v>
      </c>
      <c r="H14" s="18">
        <v>21777.29643793482</v>
      </c>
      <c r="I14" s="18">
        <v>29426.017346540506</v>
      </c>
      <c r="J14" s="18">
        <v>25492.197944697647</v>
      </c>
      <c r="K14" s="18">
        <v>24214.434550808186</v>
      </c>
      <c r="L14" s="18">
        <v>21988.661668222485</v>
      </c>
      <c r="M14" s="18">
        <v>31169.060044210357</v>
      </c>
      <c r="N14" s="18">
        <v>26673.290956416375</v>
      </c>
      <c r="O14" s="18">
        <v>24475.583101056054</v>
      </c>
      <c r="P14" s="18">
        <v>23692.738741290617</v>
      </c>
      <c r="Q14" s="18">
        <v>31725.706883543888</v>
      </c>
      <c r="R14" s="18">
        <v>28259.885180097364</v>
      </c>
      <c r="S14" s="18">
        <v>25654.158865230682</v>
      </c>
      <c r="T14" s="18">
        <v>24292.908930408168</v>
      </c>
      <c r="U14" s="18">
        <v>32081.86521589286</v>
      </c>
      <c r="V14" s="18">
        <v>27661.688896811305</v>
      </c>
      <c r="W14" s="18">
        <v>26818.824082845731</v>
      </c>
      <c r="X14" s="18">
        <v>24231.029703632415</v>
      </c>
      <c r="Y14" s="18">
        <v>32989.13161304895</v>
      </c>
      <c r="Z14" s="18">
        <v>28292.422470061214</v>
      </c>
      <c r="AA14" s="18">
        <v>28008.696311641885</v>
      </c>
      <c r="AB14" s="18">
        <v>25801.173013216132</v>
      </c>
      <c r="AC14" s="18">
        <v>32947.07782653717</v>
      </c>
      <c r="AD14" s="18">
        <v>29883.583073142468</v>
      </c>
      <c r="AE14" s="18">
        <v>28224.278559755207</v>
      </c>
      <c r="AF14" s="18">
        <v>28041.332057949996</v>
      </c>
      <c r="AG14" s="18">
        <v>35278.89352468423</v>
      </c>
      <c r="AH14" s="18">
        <v>30873.258184432547</v>
      </c>
      <c r="AI14" s="18">
        <v>29046.701910128959</v>
      </c>
      <c r="AJ14" s="18">
        <v>27738.412785797882</v>
      </c>
      <c r="AK14" s="18">
        <v>35460.53999481583</v>
      </c>
      <c r="AL14" s="18">
        <v>31159.166181626719</v>
      </c>
      <c r="AM14" s="18">
        <v>28572.55914510525</v>
      </c>
      <c r="AN14" s="18">
        <v>27700.89249443357</v>
      </c>
      <c r="AO14" s="18">
        <v>35506.622664634662</v>
      </c>
      <c r="AP14" s="18">
        <v>31352.561989213507</v>
      </c>
      <c r="AQ14" s="18">
        <v>29470.483215294174</v>
      </c>
      <c r="AR14" s="18">
        <v>27191.763871781146</v>
      </c>
      <c r="AS14" s="18">
        <v>37169.293574301773</v>
      </c>
      <c r="AT14" s="18">
        <v>32657.262548600858</v>
      </c>
      <c r="AU14" s="18">
        <v>30213.022551325037</v>
      </c>
      <c r="AV14" s="18">
        <v>28585.658381780984</v>
      </c>
      <c r="AW14" s="18">
        <v>34767.943723993529</v>
      </c>
      <c r="AX14" s="18">
        <v>32233.368507523064</v>
      </c>
      <c r="AY14" s="18">
        <v>29546.34349575562</v>
      </c>
      <c r="AZ14" s="18">
        <v>31192.990353075827</v>
      </c>
      <c r="BA14" s="18">
        <v>39085.080315294254</v>
      </c>
      <c r="BB14" s="18">
        <v>35553.619447965175</v>
      </c>
      <c r="BC14" s="18">
        <v>31510.56457893749</v>
      </c>
      <c r="BD14" s="18">
        <v>31296.687900839359</v>
      </c>
      <c r="BE14" s="18">
        <v>41548.044347196672</v>
      </c>
      <c r="BF14" s="18">
        <v>38113.103074032093</v>
      </c>
      <c r="BG14" s="18">
        <v>32539.989603117359</v>
      </c>
      <c r="BH14" s="18">
        <v>31223.156613181898</v>
      </c>
      <c r="BI14" s="18">
        <v>42747.856897827965</v>
      </c>
      <c r="BJ14" s="18">
        <v>36916.201321815199</v>
      </c>
      <c r="BK14" s="18">
        <v>33792.028996113164</v>
      </c>
      <c r="BL14" s="18">
        <v>33060.207882160037</v>
      </c>
      <c r="BM14" s="18">
        <v>43664.013847422066</v>
      </c>
      <c r="BN14" s="18">
        <v>37278.60979946328</v>
      </c>
      <c r="BO14" s="18">
        <v>36796.902445804735</v>
      </c>
      <c r="BP14" s="18">
        <v>33643.775424395644</v>
      </c>
      <c r="BQ14" s="18">
        <v>43031.097436401345</v>
      </c>
      <c r="BR14" s="18">
        <v>42638.307355065735</v>
      </c>
      <c r="BS14" s="18">
        <v>38672.713689479948</v>
      </c>
      <c r="BT14" s="18">
        <v>38348.371224264811</v>
      </c>
      <c r="BU14" s="18">
        <v>50182.501329917184</v>
      </c>
      <c r="BV14" s="18">
        <v>40343.476268409067</v>
      </c>
      <c r="BW14" s="18">
        <v>41547.859056520152</v>
      </c>
      <c r="BX14" s="18">
        <v>41430.809562615148</v>
      </c>
      <c r="BY14" s="18">
        <v>53120.493503565645</v>
      </c>
      <c r="BZ14" s="18">
        <v>50034.279765217419</v>
      </c>
      <c r="CA14" s="18">
        <v>45203.337359352758</v>
      </c>
      <c r="CB14" s="18">
        <v>41114.855472246367</v>
      </c>
      <c r="CC14" s="18">
        <v>55000.728756403296</v>
      </c>
      <c r="CD14" s="18">
        <v>45685.721042127909</v>
      </c>
      <c r="CE14" s="18">
        <v>47484.261595759941</v>
      </c>
      <c r="CF14" s="18">
        <v>37258.457707691356</v>
      </c>
      <c r="CG14" s="18">
        <v>53245.356466283374</v>
      </c>
      <c r="CH14" s="18">
        <v>41370.557376542078</v>
      </c>
      <c r="CI14" s="18">
        <v>38838.081450922167</v>
      </c>
      <c r="CJ14" s="18">
        <v>39141.201988969347</v>
      </c>
      <c r="CK14" s="18">
        <v>46841.493278956623</v>
      </c>
      <c r="CL14" s="18">
        <v>40646.170343835474</v>
      </c>
      <c r="CM14" s="18">
        <v>38746.911474691718</v>
      </c>
      <c r="CN14" s="18">
        <v>37329.92426074481</v>
      </c>
      <c r="CO14" s="18">
        <v>47780.68631574561</v>
      </c>
      <c r="CP14" s="18">
        <v>39611.816967481907</v>
      </c>
      <c r="CQ14" s="18">
        <v>36965.178063823994</v>
      </c>
      <c r="CR14" s="18">
        <v>38913.155913121984</v>
      </c>
      <c r="CS14" s="18">
        <v>45503.408134622689</v>
      </c>
      <c r="CT14" s="18">
        <v>44200.520460258893</v>
      </c>
      <c r="CU14" s="24">
        <v>40022.436052004632</v>
      </c>
      <c r="CV14" s="24">
        <v>40629.395806632368</v>
      </c>
      <c r="CW14" s="24">
        <v>51056.279665194656</v>
      </c>
      <c r="CX14" s="24">
        <v>46062.685811079034</v>
      </c>
      <c r="CY14" s="24">
        <f>[1]Qtr!CY14</f>
        <v>41994.02207358936</v>
      </c>
      <c r="CZ14" s="30">
        <f>[2]Qtr!CZ14</f>
        <v>42344.373151024862</v>
      </c>
      <c r="DA14" s="30">
        <f>[2]Qtr!DA14</f>
        <v>52123.298366297015</v>
      </c>
      <c r="DB14" s="24"/>
      <c r="DC14" s="24">
        <f>[2]Annual!Y14</f>
        <v>161274.78898220428</v>
      </c>
      <c r="DD14" s="24">
        <f>[2]Annual!Z14</f>
        <v>176071.43830514236</v>
      </c>
      <c r="DE14" s="24">
        <f>[2]Annual!AA14</f>
        <v>177103.79864746798</v>
      </c>
      <c r="DF14" s="24"/>
    </row>
    <row r="15" spans="1:110" x14ac:dyDescent="0.2">
      <c r="A15" s="10" t="s">
        <v>12</v>
      </c>
      <c r="B15" s="18">
        <v>119062.3135078247</v>
      </c>
      <c r="C15" s="18">
        <v>120205.35688483028</v>
      </c>
      <c r="D15" s="18">
        <v>128915.70863527032</v>
      </c>
      <c r="E15" s="18">
        <v>133300.72207436941</v>
      </c>
      <c r="F15" s="18">
        <v>113112.83822053659</v>
      </c>
      <c r="G15" s="18">
        <v>116426.10781532609</v>
      </c>
      <c r="H15" s="18">
        <v>122830.94822055944</v>
      </c>
      <c r="I15" s="18">
        <v>128052.19872411013</v>
      </c>
      <c r="J15" s="18">
        <v>119776.20012491132</v>
      </c>
      <c r="K15" s="18">
        <v>121783.3914313125</v>
      </c>
      <c r="L15" s="18">
        <v>124650.88885482588</v>
      </c>
      <c r="M15" s="18">
        <v>136019.22407675057</v>
      </c>
      <c r="N15" s="18">
        <v>126334.35512875464</v>
      </c>
      <c r="O15" s="18">
        <v>126523.30044106119</v>
      </c>
      <c r="P15" s="18">
        <v>125045.73852453104</v>
      </c>
      <c r="Q15" s="18">
        <v>131607.72571870405</v>
      </c>
      <c r="R15" s="18">
        <v>120568.03877562315</v>
      </c>
      <c r="S15" s="18">
        <v>125758.99731902684</v>
      </c>
      <c r="T15" s="18">
        <v>126380.03862221772</v>
      </c>
      <c r="U15" s="18">
        <v>142205.19508122487</v>
      </c>
      <c r="V15" s="18">
        <v>128002.42601201122</v>
      </c>
      <c r="W15" s="18">
        <v>131628.40894992693</v>
      </c>
      <c r="X15" s="18">
        <v>130061.63882225381</v>
      </c>
      <c r="Y15" s="18">
        <v>148439.9331639783</v>
      </c>
      <c r="Z15" s="18">
        <v>134897.45746524204</v>
      </c>
      <c r="AA15" s="18">
        <v>135497.56089946532</v>
      </c>
      <c r="AB15" s="18">
        <v>134639.19212250962</v>
      </c>
      <c r="AC15" s="18">
        <v>155122.51617280958</v>
      </c>
      <c r="AD15" s="18">
        <v>138734.96481787082</v>
      </c>
      <c r="AE15" s="18">
        <v>145360.0704557368</v>
      </c>
      <c r="AF15" s="18">
        <v>134646.12545952364</v>
      </c>
      <c r="AG15" s="18">
        <v>155452.52511965414</v>
      </c>
      <c r="AH15" s="18">
        <v>141571.98035143534</v>
      </c>
      <c r="AI15" s="18">
        <v>158732.77436519469</v>
      </c>
      <c r="AJ15" s="18">
        <v>149148.8568766352</v>
      </c>
      <c r="AK15" s="18">
        <v>165143.95354397513</v>
      </c>
      <c r="AL15" s="18">
        <v>143768.25095440025</v>
      </c>
      <c r="AM15" s="18">
        <v>154929.0730171006</v>
      </c>
      <c r="AN15" s="18">
        <v>137275.36347237739</v>
      </c>
      <c r="AO15" s="18">
        <v>164646.50619849574</v>
      </c>
      <c r="AP15" s="18">
        <v>146458.05529082569</v>
      </c>
      <c r="AQ15" s="18">
        <v>162663.44614145416</v>
      </c>
      <c r="AR15" s="18">
        <v>145043.174074465</v>
      </c>
      <c r="AS15" s="18">
        <v>168437.52834730718</v>
      </c>
      <c r="AT15" s="18">
        <v>158806.65727348794</v>
      </c>
      <c r="AU15" s="18">
        <v>155940.64496733758</v>
      </c>
      <c r="AV15" s="18">
        <v>136628.78497726517</v>
      </c>
      <c r="AW15" s="18">
        <v>165934.90009381968</v>
      </c>
      <c r="AX15" s="18">
        <v>159441.64205468804</v>
      </c>
      <c r="AY15" s="18">
        <v>158148.41589458328</v>
      </c>
      <c r="AZ15" s="18">
        <v>140478.40868610507</v>
      </c>
      <c r="BA15" s="18">
        <v>179730.59059513969</v>
      </c>
      <c r="BB15" s="18">
        <v>167023.17844061778</v>
      </c>
      <c r="BC15" s="18">
        <v>167232.30653987514</v>
      </c>
      <c r="BD15" s="18">
        <v>147504.08089178006</v>
      </c>
      <c r="BE15" s="18">
        <v>182203.39754356627</v>
      </c>
      <c r="BF15" s="18">
        <v>175811.62509200216</v>
      </c>
      <c r="BG15" s="18">
        <v>173247.36707566955</v>
      </c>
      <c r="BH15" s="18">
        <v>155511.77895515814</v>
      </c>
      <c r="BI15" s="18">
        <v>190746.37481956216</v>
      </c>
      <c r="BJ15" s="18">
        <v>176083.36177065331</v>
      </c>
      <c r="BK15" s="18">
        <v>181530.09719394695</v>
      </c>
      <c r="BL15" s="18">
        <v>155977.65558192023</v>
      </c>
      <c r="BM15" s="18">
        <v>195726.36770684636</v>
      </c>
      <c r="BN15" s="18">
        <v>169368.65753601908</v>
      </c>
      <c r="BO15" s="18">
        <v>171382.52445576762</v>
      </c>
      <c r="BP15" s="18">
        <v>151412.85388914758</v>
      </c>
      <c r="BQ15" s="18">
        <v>187151.91623113648</v>
      </c>
      <c r="BR15" s="18">
        <v>178571.15399545795</v>
      </c>
      <c r="BS15" s="18">
        <v>182408.71033486279</v>
      </c>
      <c r="BT15" s="18">
        <v>154911.58014003906</v>
      </c>
      <c r="BU15" s="18">
        <v>190874.42800274794</v>
      </c>
      <c r="BV15" s="18">
        <v>172917.72563870726</v>
      </c>
      <c r="BW15" s="18">
        <v>181250.24772875721</v>
      </c>
      <c r="BX15" s="18">
        <v>161498.65185797389</v>
      </c>
      <c r="BY15" s="18">
        <v>195566.82710709583</v>
      </c>
      <c r="BZ15" s="18">
        <v>168239.96507010146</v>
      </c>
      <c r="CA15" s="18">
        <v>186527.22292918887</v>
      </c>
      <c r="CB15" s="18">
        <v>167787.39133925526</v>
      </c>
      <c r="CC15" s="18">
        <v>203769.77851704959</v>
      </c>
      <c r="CD15" s="18">
        <v>167557.23774385132</v>
      </c>
      <c r="CE15" s="18">
        <v>205333.74087991187</v>
      </c>
      <c r="CF15" s="18">
        <v>143187.89681986632</v>
      </c>
      <c r="CG15" s="18">
        <v>202868.85251657487</v>
      </c>
      <c r="CH15" s="18">
        <v>159991.86074763152</v>
      </c>
      <c r="CI15" s="18">
        <v>177111.9372733793</v>
      </c>
      <c r="CJ15" s="18">
        <v>146287.49858618004</v>
      </c>
      <c r="CK15" s="18">
        <v>203539.65898924886</v>
      </c>
      <c r="CL15" s="18">
        <v>171679.22750735926</v>
      </c>
      <c r="CM15" s="18">
        <v>175281.56206380422</v>
      </c>
      <c r="CN15" s="18">
        <v>150090.24843294747</v>
      </c>
      <c r="CO15" s="18">
        <v>195962.5536748399</v>
      </c>
      <c r="CP15" s="18">
        <v>179858.19867779623</v>
      </c>
      <c r="CQ15" s="18">
        <v>185348.5496016191</v>
      </c>
      <c r="CR15" s="18">
        <v>156886.68650204767</v>
      </c>
      <c r="CS15" s="18">
        <v>205086.33281196895</v>
      </c>
      <c r="CT15" s="18">
        <v>176704.70455132306</v>
      </c>
      <c r="CU15" s="24">
        <v>177511.93936417319</v>
      </c>
      <c r="CV15" s="24">
        <v>165176.47836573626</v>
      </c>
      <c r="CW15" s="24">
        <v>206274.74320074939</v>
      </c>
      <c r="CX15" s="24">
        <v>187022.98613259595</v>
      </c>
      <c r="CY15" s="24">
        <f>[1]Qtr!CY15</f>
        <v>196984.39542271438</v>
      </c>
      <c r="CZ15" s="30">
        <f>[2]Qtr!CZ15</f>
        <v>161761.47904426185</v>
      </c>
      <c r="DA15" s="30">
        <f>[2]Qtr!DA15</f>
        <v>206597.78291890325</v>
      </c>
      <c r="DB15" s="24"/>
      <c r="DC15" s="24">
        <f>[2]Annual!Y15</f>
        <v>726989.53836764488</v>
      </c>
      <c r="DD15" s="24">
        <f>[2]Annual!Z15</f>
        <v>726004.88495674066</v>
      </c>
      <c r="DE15" s="24">
        <f>[2]Annual!AA15</f>
        <v>740831.51346674026</v>
      </c>
      <c r="DF15" s="24"/>
    </row>
    <row r="16" spans="1:110" x14ac:dyDescent="0.2">
      <c r="A16" s="10" t="s">
        <v>13</v>
      </c>
      <c r="B16" s="18">
        <v>68215.471680114468</v>
      </c>
      <c r="C16" s="18">
        <v>72479.865366732993</v>
      </c>
      <c r="D16" s="18">
        <v>71009.327409455058</v>
      </c>
      <c r="E16" s="18">
        <v>76102.647772611395</v>
      </c>
      <c r="F16" s="18">
        <v>68100.376729395168</v>
      </c>
      <c r="G16" s="18">
        <v>71507.676419081487</v>
      </c>
      <c r="H16" s="18">
        <v>69561.785080173606</v>
      </c>
      <c r="I16" s="18">
        <v>72475.311077448932</v>
      </c>
      <c r="J16" s="18">
        <v>65791.25173662923</v>
      </c>
      <c r="K16" s="18">
        <v>69572.881005915478</v>
      </c>
      <c r="L16" s="18">
        <v>68638.316247208873</v>
      </c>
      <c r="M16" s="18">
        <v>74491.448218155565</v>
      </c>
      <c r="N16" s="18">
        <v>67094.223694854911</v>
      </c>
      <c r="O16" s="18">
        <v>72557.609427048548</v>
      </c>
      <c r="P16" s="18">
        <v>70416.879882930793</v>
      </c>
      <c r="Q16" s="18">
        <v>76619.326045090216</v>
      </c>
      <c r="R16" s="18">
        <v>68364.643771534451</v>
      </c>
      <c r="S16" s="18">
        <v>75053.850149670761</v>
      </c>
      <c r="T16" s="18">
        <v>73936.554003053112</v>
      </c>
      <c r="U16" s="18">
        <v>80258.255979881447</v>
      </c>
      <c r="V16" s="18">
        <v>73212.779479532721</v>
      </c>
      <c r="W16" s="18">
        <v>75751.548111143173</v>
      </c>
      <c r="X16" s="18">
        <v>75787.081262838619</v>
      </c>
      <c r="Y16" s="18">
        <v>79866.525441725345</v>
      </c>
      <c r="Z16" s="18">
        <v>74740.863300802259</v>
      </c>
      <c r="AA16" s="18">
        <v>79179.644145642378</v>
      </c>
      <c r="AB16" s="18">
        <v>75433.706501811466</v>
      </c>
      <c r="AC16" s="18">
        <v>85140.592380159724</v>
      </c>
      <c r="AD16" s="18">
        <v>74394.443078500321</v>
      </c>
      <c r="AE16" s="18">
        <v>83527.625302618617</v>
      </c>
      <c r="AF16" s="18">
        <v>80602.11222422951</v>
      </c>
      <c r="AG16" s="18">
        <v>90049.794492571702</v>
      </c>
      <c r="AH16" s="18">
        <v>78277.663853536535</v>
      </c>
      <c r="AI16" s="18">
        <v>88001.281253272158</v>
      </c>
      <c r="AJ16" s="18">
        <v>80082.398142492239</v>
      </c>
      <c r="AK16" s="18">
        <v>87991.251333793902</v>
      </c>
      <c r="AL16" s="18">
        <v>77047.104894670105</v>
      </c>
      <c r="AM16" s="18">
        <v>85957.449650379218</v>
      </c>
      <c r="AN16" s="18">
        <v>79812.694442355511</v>
      </c>
      <c r="AO16" s="18">
        <v>90215.91825067121</v>
      </c>
      <c r="AP16" s="18">
        <v>77772.423173597825</v>
      </c>
      <c r="AQ16" s="18">
        <v>88649.78545763882</v>
      </c>
      <c r="AR16" s="18">
        <v>84790.078993983014</v>
      </c>
      <c r="AS16" s="18">
        <v>87533.120881738898</v>
      </c>
      <c r="AT16" s="18">
        <v>79529.913381154634</v>
      </c>
      <c r="AU16" s="18">
        <v>90436.34718287173</v>
      </c>
      <c r="AV16" s="18">
        <v>85589.371994533198</v>
      </c>
      <c r="AW16" s="18">
        <v>87401.978522765974</v>
      </c>
      <c r="AX16" s="18">
        <v>83111.345298691987</v>
      </c>
      <c r="AY16" s="18">
        <v>94904.873979164637</v>
      </c>
      <c r="AZ16" s="18">
        <v>88970.776132716041</v>
      </c>
      <c r="BA16" s="18">
        <v>94791.004236701294</v>
      </c>
      <c r="BB16" s="18">
        <v>84746.534222607152</v>
      </c>
      <c r="BC16" s="18">
        <v>100357.1102110973</v>
      </c>
      <c r="BD16" s="18">
        <v>94560.167612282035</v>
      </c>
      <c r="BE16" s="18">
        <v>100268.20275247641</v>
      </c>
      <c r="BF16" s="18">
        <v>95210.375430479893</v>
      </c>
      <c r="BG16" s="18">
        <v>102769.79545469589</v>
      </c>
      <c r="BH16" s="18">
        <v>99020.094755958053</v>
      </c>
      <c r="BI16" s="18">
        <v>102390.09939300513</v>
      </c>
      <c r="BJ16" s="18">
        <v>95179.392270514407</v>
      </c>
      <c r="BK16" s="18">
        <v>108018.98251984619</v>
      </c>
      <c r="BL16" s="18">
        <v>100860.89987105435</v>
      </c>
      <c r="BM16" s="18">
        <v>106639.57784360251</v>
      </c>
      <c r="BN16" s="18">
        <v>94064.037863164674</v>
      </c>
      <c r="BO16" s="18">
        <v>108862.3066963809</v>
      </c>
      <c r="BP16" s="18">
        <v>105466.14297854219</v>
      </c>
      <c r="BQ16" s="18">
        <v>110094.03378472825</v>
      </c>
      <c r="BR16" s="18">
        <v>102819.49796205641</v>
      </c>
      <c r="BS16" s="18">
        <v>119820.36642740975</v>
      </c>
      <c r="BT16" s="18">
        <v>114618.62798001354</v>
      </c>
      <c r="BU16" s="18">
        <v>113378.34356657494</v>
      </c>
      <c r="BV16" s="18">
        <v>105907.88494471343</v>
      </c>
      <c r="BW16" s="18">
        <v>123846.37794755092</v>
      </c>
      <c r="BX16" s="18">
        <v>116952.56477106566</v>
      </c>
      <c r="BY16" s="18">
        <v>121744.25104253899</v>
      </c>
      <c r="BZ16" s="18">
        <v>110632.64327625798</v>
      </c>
      <c r="CA16" s="18">
        <v>124605.63184062715</v>
      </c>
      <c r="CB16" s="18">
        <v>118213.37304782355</v>
      </c>
      <c r="CC16" s="18">
        <v>124162.62783507364</v>
      </c>
      <c r="CD16" s="18">
        <v>106521.50671720997</v>
      </c>
      <c r="CE16" s="18">
        <v>131786.18482225155</v>
      </c>
      <c r="CF16" s="18">
        <v>115495.72712145615</v>
      </c>
      <c r="CG16" s="18">
        <v>124037.2218267744</v>
      </c>
      <c r="CH16" s="18">
        <v>103091.82487865063</v>
      </c>
      <c r="CI16" s="18">
        <v>109293.75380776619</v>
      </c>
      <c r="CJ16" s="18">
        <v>114001.44438322091</v>
      </c>
      <c r="CK16" s="18">
        <v>117625.3644394031</v>
      </c>
      <c r="CL16" s="18">
        <v>105050.79302675347</v>
      </c>
      <c r="CM16" s="18">
        <v>114465.15069531553</v>
      </c>
      <c r="CN16" s="18">
        <v>109263.26519751314</v>
      </c>
      <c r="CO16" s="18">
        <v>115885.53207356905</v>
      </c>
      <c r="CP16" s="18">
        <v>103743.93609003042</v>
      </c>
      <c r="CQ16" s="18">
        <v>112609.76812055559</v>
      </c>
      <c r="CR16" s="18">
        <v>119065.32879489547</v>
      </c>
      <c r="CS16" s="18">
        <v>123785.45504607089</v>
      </c>
      <c r="CT16" s="18">
        <v>109846.66828779364</v>
      </c>
      <c r="CU16" s="24">
        <v>117009.70094581252</v>
      </c>
      <c r="CV16" s="24">
        <v>114717.58845700079</v>
      </c>
      <c r="CW16" s="24">
        <v>127275.75028251327</v>
      </c>
      <c r="CX16" s="24">
        <v>113407.85245504465</v>
      </c>
      <c r="CY16" s="24">
        <f>[1]Qtr!CY16</f>
        <v>120248.75615382899</v>
      </c>
      <c r="CZ16" s="30">
        <f>[2]Qtr!CZ16</f>
        <v>122690.10593064924</v>
      </c>
      <c r="DA16" s="30">
        <f>[2]Qtr!DA16</f>
        <v>134481.2855768571</v>
      </c>
      <c r="DB16" s="24"/>
      <c r="DC16" s="24">
        <f>[2]Annual!Y16</f>
        <v>459103.86478587711</v>
      </c>
      <c r="DD16" s="24">
        <f>[2]Annual!Z16</f>
        <v>469073.99679361412</v>
      </c>
      <c r="DE16" s="24">
        <f>[2]Annual!AA16</f>
        <v>463419.84757838334</v>
      </c>
      <c r="DF16" s="24"/>
    </row>
    <row r="17" spans="1:110" x14ac:dyDescent="0.2">
      <c r="A17" s="8" t="s">
        <v>14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  <c r="AW17" s="8"/>
      <c r="AX17" s="8"/>
      <c r="AY17" s="8"/>
      <c r="AZ17" s="8"/>
      <c r="BA17" s="8"/>
      <c r="BB17" s="8"/>
      <c r="BC17" s="8"/>
      <c r="BD17" s="8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8"/>
      <c r="BU17" s="8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  <c r="CP17" s="8"/>
      <c r="CQ17" s="8"/>
      <c r="CR17" s="8"/>
      <c r="CS17" s="8"/>
      <c r="CT17" s="8"/>
      <c r="CU17" s="24"/>
      <c r="CV17" s="24"/>
      <c r="CW17" s="24"/>
      <c r="CX17" s="24"/>
      <c r="CY17" s="24"/>
      <c r="CZ17" s="30"/>
      <c r="DA17" s="30"/>
      <c r="DB17" s="24"/>
      <c r="DC17" s="24"/>
      <c r="DD17" s="24"/>
      <c r="DE17" s="24"/>
      <c r="DF17" s="24"/>
    </row>
    <row r="18" spans="1:110" x14ac:dyDescent="0.2">
      <c r="A18" s="10" t="s">
        <v>10</v>
      </c>
      <c r="B18" s="10"/>
      <c r="C18" s="10"/>
      <c r="D18" s="10"/>
      <c r="E18" s="10"/>
      <c r="F18" s="19">
        <v>1.1233400242881828</v>
      </c>
      <c r="G18" s="19">
        <v>-3.6378463864385679</v>
      </c>
      <c r="H18" s="19">
        <v>-4.5944014369908928</v>
      </c>
      <c r="I18" s="19">
        <v>-4.589957491493692</v>
      </c>
      <c r="J18" s="19">
        <v>-1.7848106377635844</v>
      </c>
      <c r="K18" s="19">
        <v>0.13341497774854361</v>
      </c>
      <c r="L18" s="19">
        <v>-0.1300771358915398</v>
      </c>
      <c r="M18" s="19">
        <v>3.9913434716203966</v>
      </c>
      <c r="N18" s="19">
        <v>3.1839210068190624</v>
      </c>
      <c r="O18" s="19">
        <v>3.5927928872077928</v>
      </c>
      <c r="P18" s="19">
        <v>4.3194488858364366</v>
      </c>
      <c r="Q18" s="19">
        <v>1.4701262315145271</v>
      </c>
      <c r="R18" s="19">
        <v>2.3280880315921735</v>
      </c>
      <c r="S18" s="19">
        <v>3.6919817051436468</v>
      </c>
      <c r="T18" s="19">
        <v>2.2829848803745989</v>
      </c>
      <c r="U18" s="19">
        <v>4.7850063624446477</v>
      </c>
      <c r="V18" s="19">
        <v>4.7350538187874065</v>
      </c>
      <c r="W18" s="19">
        <v>3.4048799149487934</v>
      </c>
      <c r="X18" s="19">
        <v>1.5231503788060081</v>
      </c>
      <c r="Y18" s="19">
        <v>1.1150817499057553</v>
      </c>
      <c r="Z18" s="19">
        <v>2.1004807253472961</v>
      </c>
      <c r="AA18" s="19">
        <v>3.3435009115828223</v>
      </c>
      <c r="AB18" s="19">
        <v>2.3859521696896877</v>
      </c>
      <c r="AC18" s="19">
        <v>5.0061729639762547</v>
      </c>
      <c r="AD18" s="19">
        <v>2.4614093288952006</v>
      </c>
      <c r="AE18" s="19">
        <v>4.6772197540708902</v>
      </c>
      <c r="AF18" s="19">
        <v>6.3070391964761683</v>
      </c>
      <c r="AG18" s="19">
        <v>4.968329381077254</v>
      </c>
      <c r="AH18" s="19">
        <v>3.7182586986026678</v>
      </c>
      <c r="AI18" s="19">
        <v>5.306660416235303</v>
      </c>
      <c r="AJ18" s="19">
        <v>1.5869018606686751</v>
      </c>
      <c r="AK18" s="19">
        <v>0.57796012263435159</v>
      </c>
      <c r="AL18" s="19">
        <v>-0.55456873897878722</v>
      </c>
      <c r="AM18" s="19">
        <v>-2.3537452298616444</v>
      </c>
      <c r="AN18" s="19">
        <v>-1.6656412807704868</v>
      </c>
      <c r="AO18" s="19">
        <v>-0.9256286467115018</v>
      </c>
      <c r="AP18" s="19">
        <v>2.9136215810062822</v>
      </c>
      <c r="AQ18" s="19">
        <v>6.7015505654215275</v>
      </c>
      <c r="AR18" s="19">
        <v>4.7794341348144371</v>
      </c>
      <c r="AS18" s="19">
        <v>3.3525860566077341</v>
      </c>
      <c r="AT18" s="19">
        <v>3.9576144685567556</v>
      </c>
      <c r="AU18" s="19">
        <v>-0.40408296135177579</v>
      </c>
      <c r="AV18" s="19">
        <v>0.75470898539886377</v>
      </c>
      <c r="AW18" s="19">
        <v>-1.5149240221328739</v>
      </c>
      <c r="AX18" s="19">
        <v>2.9169759405129696</v>
      </c>
      <c r="AY18" s="19">
        <v>3.356137128572982</v>
      </c>
      <c r="AZ18" s="19">
        <v>6.0342983072617642</v>
      </c>
      <c r="BA18" s="19">
        <v>10.355599479497087</v>
      </c>
      <c r="BB18" s="19">
        <v>6.0447173961304372</v>
      </c>
      <c r="BC18" s="19">
        <v>7.5729378161261138</v>
      </c>
      <c r="BD18" s="19">
        <v>5.0574658489425701</v>
      </c>
      <c r="BE18" s="19">
        <v>5.1677727136194136</v>
      </c>
      <c r="BF18" s="19">
        <v>10.114671347463869</v>
      </c>
      <c r="BG18" s="19">
        <v>3.6832650196332537</v>
      </c>
      <c r="BH18" s="19">
        <v>5.1710493505420487</v>
      </c>
      <c r="BI18" s="19">
        <v>3.6883869273402183</v>
      </c>
      <c r="BJ18" s="19">
        <v>-0.34114044408404709</v>
      </c>
      <c r="BK18" s="19">
        <v>5.984479404777602</v>
      </c>
      <c r="BL18" s="19">
        <v>3.9520957097415277</v>
      </c>
      <c r="BM18" s="19">
        <v>4.5271845158219861</v>
      </c>
      <c r="BN18" s="19">
        <v>1.0656133045936258</v>
      </c>
      <c r="BO18" s="19">
        <v>3.4614135064753953</v>
      </c>
      <c r="BP18" s="19">
        <v>3.3296415557050523</v>
      </c>
      <c r="BQ18" s="19">
        <v>2.0149692949979965</v>
      </c>
      <c r="BR18" s="19">
        <v>10.000843788686041</v>
      </c>
      <c r="BS18" s="19">
        <v>8.2229042535614099</v>
      </c>
      <c r="BT18" s="19">
        <v>9.6269726925662695</v>
      </c>
      <c r="BU18" s="19">
        <v>6.996103066411635</v>
      </c>
      <c r="BV18" s="19">
        <v>0.31628116648822413</v>
      </c>
      <c r="BW18" s="19">
        <v>4.754073849541669</v>
      </c>
      <c r="BX18" s="19">
        <v>4.8959491929001757</v>
      </c>
      <c r="BY18" s="19">
        <v>6.9436975366174494</v>
      </c>
      <c r="BZ18" s="19">
        <v>8.0243938013949929</v>
      </c>
      <c r="CA18" s="19">
        <v>3.4147106433251082</v>
      </c>
      <c r="CB18" s="19">
        <v>1.6484792881817754</v>
      </c>
      <c r="CC18" s="19">
        <v>3.5845889961783115</v>
      </c>
      <c r="CD18" s="19">
        <v>-4.4393338891575098</v>
      </c>
      <c r="CE18" s="19">
        <v>2.5940639678690474</v>
      </c>
      <c r="CF18" s="19">
        <v>-8.9380838611034505</v>
      </c>
      <c r="CG18" s="19">
        <v>-2.0043802293182722</v>
      </c>
      <c r="CH18" s="19">
        <v>-5.3273606391238104</v>
      </c>
      <c r="CI18" s="19">
        <v>-14.541887595511966</v>
      </c>
      <c r="CJ18" s="19">
        <v>2.4191474652355112</v>
      </c>
      <c r="CK18" s="19">
        <v>-4.9188582255196565</v>
      </c>
      <c r="CL18" s="19">
        <v>3.3050101372822382</v>
      </c>
      <c r="CM18" s="19">
        <v>3.4442150471922304</v>
      </c>
      <c r="CN18" s="19">
        <v>-2.363929730849776</v>
      </c>
      <c r="CO18" s="19">
        <v>-0.36657902024418831</v>
      </c>
      <c r="CP18" s="20">
        <v>-0.21042936728950679</v>
      </c>
      <c r="CQ18" s="20">
        <v>-0.66520037976837898</v>
      </c>
      <c r="CR18" s="20">
        <v>7.8224505928628361</v>
      </c>
      <c r="CS18" s="20">
        <v>3.9718931711248047</v>
      </c>
      <c r="CT18" s="20">
        <v>6.3832774853904652</v>
      </c>
      <c r="CU18" s="20">
        <v>4.7623837393553572</v>
      </c>
      <c r="CV18" s="20">
        <v>0.68075884563616285</v>
      </c>
      <c r="CW18" s="20">
        <v>5.3079797068385801</v>
      </c>
      <c r="CX18" s="20">
        <v>4.2075867770482063</v>
      </c>
      <c r="CY18" s="20">
        <f>[1]Qtr!CY18</f>
        <v>4.1198922941201488</v>
      </c>
      <c r="CZ18" s="31">
        <f>[2]Qtr!CZ18</f>
        <v>4.6486548382153217</v>
      </c>
      <c r="DA18" s="31">
        <f>[2]Qtr!DA18</f>
        <v>3.7466071953441258</v>
      </c>
      <c r="DB18" s="20"/>
      <c r="DC18" s="20">
        <f>[2]Annual!Y18</f>
        <v>2.6755665873665464</v>
      </c>
      <c r="DD18" s="20">
        <f>[2]Annual!Z18</f>
        <v>4.261576629695881</v>
      </c>
      <c r="DE18" s="20">
        <f>[2]Annual!AA18</f>
        <v>-0.25853980490896333</v>
      </c>
      <c r="DF18" s="20"/>
    </row>
    <row r="19" spans="1:110" x14ac:dyDescent="0.2">
      <c r="A19" s="10" t="s">
        <v>11</v>
      </c>
      <c r="B19" s="10"/>
      <c r="C19" s="10"/>
      <c r="D19" s="10"/>
      <c r="E19" s="10"/>
      <c r="F19" s="19">
        <v>5.8094616538701302</v>
      </c>
      <c r="G19" s="19">
        <v>-5.6130383766715255</v>
      </c>
      <c r="H19" s="19">
        <v>-6.5594047176682722</v>
      </c>
      <c r="I19" s="19">
        <v>-3.4114252248008796</v>
      </c>
      <c r="J19" s="19">
        <v>-2.5247805581180387</v>
      </c>
      <c r="K19" s="19">
        <v>-0.92065555938243904</v>
      </c>
      <c r="L19" s="19">
        <v>0.97057608087420988</v>
      </c>
      <c r="M19" s="19">
        <v>5.9234747167535886</v>
      </c>
      <c r="N19" s="19">
        <v>4.6331548746050544</v>
      </c>
      <c r="O19" s="19">
        <v>1.0784829589966591</v>
      </c>
      <c r="P19" s="19">
        <v>7.7497989590281691</v>
      </c>
      <c r="Q19" s="19">
        <v>1.7858954955458444</v>
      </c>
      <c r="R19" s="19">
        <v>5.9482507286913204</v>
      </c>
      <c r="S19" s="19">
        <v>4.8153123025035427</v>
      </c>
      <c r="T19" s="19">
        <v>2.5331397761610503</v>
      </c>
      <c r="U19" s="19">
        <v>1.1226174838478045</v>
      </c>
      <c r="V19" s="19">
        <v>-2.1167682723189216</v>
      </c>
      <c r="W19" s="19">
        <v>4.53986904709447</v>
      </c>
      <c r="X19" s="19">
        <v>-0.25472135491479264</v>
      </c>
      <c r="Y19" s="19">
        <v>2.8279727224421123</v>
      </c>
      <c r="Z19" s="19">
        <v>2.2801701501408189</v>
      </c>
      <c r="AA19" s="19">
        <v>4.4367054465942743</v>
      </c>
      <c r="AB19" s="19">
        <v>6.4798868590728631</v>
      </c>
      <c r="AC19" s="19">
        <v>-0.1274777008532908</v>
      </c>
      <c r="AD19" s="19">
        <v>5.6239814910335326</v>
      </c>
      <c r="AE19" s="19">
        <v>0.76969754577159222</v>
      </c>
      <c r="AF19" s="19">
        <v>8.6823922446719308</v>
      </c>
      <c r="AG19" s="19">
        <v>7.0774583118533769</v>
      </c>
      <c r="AH19" s="19">
        <v>3.3117685682729814</v>
      </c>
      <c r="AI19" s="19">
        <v>2.9138861729718144</v>
      </c>
      <c r="AJ19" s="19">
        <v>-1.0802599231951717</v>
      </c>
      <c r="AK19" s="19">
        <v>0.51488709532374344</v>
      </c>
      <c r="AL19" s="19">
        <v>0.92607004899254264</v>
      </c>
      <c r="AM19" s="19">
        <v>-1.6323463038616808</v>
      </c>
      <c r="AN19" s="19">
        <v>-0.13526473794320282</v>
      </c>
      <c r="AO19" s="19">
        <v>0.12995478869066801</v>
      </c>
      <c r="AP19" s="19">
        <v>0.62067067667821618</v>
      </c>
      <c r="AQ19" s="19">
        <v>3.1426098923405164</v>
      </c>
      <c r="AR19" s="19">
        <v>-1.83795024927349</v>
      </c>
      <c r="AS19" s="19">
        <v>4.6827064499242397</v>
      </c>
      <c r="AT19" s="19">
        <v>4.1613841951296422</v>
      </c>
      <c r="AU19" s="19">
        <v>2.519603532138575</v>
      </c>
      <c r="AV19" s="19">
        <v>5.1261643656974343</v>
      </c>
      <c r="AW19" s="19">
        <v>-6.4605743596065963</v>
      </c>
      <c r="AX19" s="19">
        <v>-1.2980084918230688</v>
      </c>
      <c r="AY19" s="19">
        <v>-2.2065950350941677</v>
      </c>
      <c r="AZ19" s="19">
        <v>9.1211191866639609</v>
      </c>
      <c r="BA19" s="19">
        <v>12.417002931126603</v>
      </c>
      <c r="BB19" s="19">
        <v>10.300663859153246</v>
      </c>
      <c r="BC19" s="19">
        <v>6.6479328769193842</v>
      </c>
      <c r="BD19" s="19">
        <v>0.33243862351693565</v>
      </c>
      <c r="BE19" s="19">
        <v>6.3015452751638463</v>
      </c>
      <c r="BF19" s="19">
        <v>7.1989397023638446</v>
      </c>
      <c r="BG19" s="19">
        <v>3.2669202787561744</v>
      </c>
      <c r="BH19" s="19">
        <v>-0.23494910352954435</v>
      </c>
      <c r="BI19" s="19">
        <v>2.8877714209724274</v>
      </c>
      <c r="BJ19" s="19">
        <v>-3.1403943937390721</v>
      </c>
      <c r="BK19" s="19">
        <v>3.8476945084083809</v>
      </c>
      <c r="BL19" s="19">
        <v>5.8836180202310686</v>
      </c>
      <c r="BM19" s="19">
        <v>2.1431646311154537</v>
      </c>
      <c r="BN19" s="19">
        <v>0.98170576785190633</v>
      </c>
      <c r="BO19" s="19">
        <v>8.8922551825378662</v>
      </c>
      <c r="BP19" s="19">
        <v>1.7651659793419299</v>
      </c>
      <c r="BQ19" s="19">
        <v>-1.4495149557994296</v>
      </c>
      <c r="BR19" s="19">
        <v>14.377407270374178</v>
      </c>
      <c r="BS19" s="19">
        <v>5.097742252728878</v>
      </c>
      <c r="BT19" s="19">
        <v>13.983554879092992</v>
      </c>
      <c r="BU19" s="19">
        <v>16.619152937211041</v>
      </c>
      <c r="BV19" s="19">
        <v>-5.3820876789191487</v>
      </c>
      <c r="BW19" s="19">
        <v>7.4345580972827463</v>
      </c>
      <c r="BX19" s="19">
        <v>8.037990245593349</v>
      </c>
      <c r="BY19" s="19">
        <v>5.8546148473809296</v>
      </c>
      <c r="BZ19" s="19">
        <v>24.020744846910304</v>
      </c>
      <c r="CA19" s="19">
        <v>8.7982350615463361</v>
      </c>
      <c r="CB19" s="19">
        <v>-0.76260660533623081</v>
      </c>
      <c r="CC19" s="19">
        <v>3.5395666132345838</v>
      </c>
      <c r="CD19" s="19">
        <v>-8.6911588284968531</v>
      </c>
      <c r="CE19" s="19">
        <v>5.0459199909832506</v>
      </c>
      <c r="CF19" s="19">
        <v>-9.3795727122479775</v>
      </c>
      <c r="CG19" s="19">
        <v>-3.1915436937107131</v>
      </c>
      <c r="CH19" s="19">
        <v>-9.4453224490135881</v>
      </c>
      <c r="CI19" s="19">
        <v>-18.208517631471025</v>
      </c>
      <c r="CJ19" s="19">
        <v>5.0531997219233489</v>
      </c>
      <c r="CK19" s="19">
        <v>-12.027082946438497</v>
      </c>
      <c r="CL19" s="19">
        <v>-1.7509723790120972</v>
      </c>
      <c r="CM19" s="19">
        <v>-0.23474376906504801</v>
      </c>
      <c r="CN19" s="19">
        <v>-4.6275475360592822</v>
      </c>
      <c r="CO19" s="19">
        <v>2.0050450381583289</v>
      </c>
      <c r="CP19" s="20">
        <v>-2.5447744956135523</v>
      </c>
      <c r="CQ19" s="20">
        <v>-4.5983882148426147</v>
      </c>
      <c r="CR19" s="20">
        <v>4.2411863504423479</v>
      </c>
      <c r="CS19" s="20">
        <v>-4.7661060497836871</v>
      </c>
      <c r="CT19" s="20">
        <v>11.584178268176743</v>
      </c>
      <c r="CU19" s="20">
        <v>8.2706432061600879</v>
      </c>
      <c r="CV19" s="20">
        <v>4.4104361448916762</v>
      </c>
      <c r="CW19" s="20">
        <v>12.203199184869163</v>
      </c>
      <c r="CX19" s="20">
        <v>4.2129941716284378</v>
      </c>
      <c r="CY19" s="20">
        <f>[1]Qtr!CY19</f>
        <v>4.9262019408885465</v>
      </c>
      <c r="CZ19" s="31">
        <f>[2]Qtr!CZ19</f>
        <v>4.2210259600083475</v>
      </c>
      <c r="DA19" s="31">
        <f>[2]Qtr!DA19</f>
        <v>2.0898872931976626</v>
      </c>
      <c r="DB19" s="20"/>
      <c r="DC19" s="20">
        <f>[2]Annual!Y19</f>
        <v>-2.0245058755007648</v>
      </c>
      <c r="DD19" s="20">
        <f>[2]Annual!Z19</f>
        <v>9.1748061903034426</v>
      </c>
      <c r="DE19" s="20">
        <f>[2]Annual!AA19</f>
        <v>0.58633038513404756</v>
      </c>
      <c r="DF19" s="20"/>
    </row>
    <row r="20" spans="1:110" x14ac:dyDescent="0.2">
      <c r="A20" s="10" t="s">
        <v>12</v>
      </c>
      <c r="B20" s="10"/>
      <c r="C20" s="10"/>
      <c r="D20" s="10"/>
      <c r="E20" s="10"/>
      <c r="F20" s="19">
        <v>-4.9969424513971887</v>
      </c>
      <c r="G20" s="19">
        <v>-3.1439938846694844</v>
      </c>
      <c r="H20" s="19">
        <v>-4.719952656759574</v>
      </c>
      <c r="I20" s="19">
        <v>-3.9373555286002784</v>
      </c>
      <c r="J20" s="19">
        <v>5.8908979822282816</v>
      </c>
      <c r="K20" s="19">
        <v>4.6014452570072137</v>
      </c>
      <c r="L20" s="19">
        <v>1.4816629364437688</v>
      </c>
      <c r="M20" s="19">
        <v>6.2217013311934437</v>
      </c>
      <c r="N20" s="19">
        <v>5.4753406745279989</v>
      </c>
      <c r="O20" s="19">
        <v>3.8920816328407568</v>
      </c>
      <c r="P20" s="19">
        <v>0.31676442368977575</v>
      </c>
      <c r="Q20" s="19">
        <v>-3.2432903422219681</v>
      </c>
      <c r="R20" s="19">
        <v>-4.5643295897261709</v>
      </c>
      <c r="S20" s="19">
        <v>-0.60408092372708211</v>
      </c>
      <c r="T20" s="19">
        <v>1.0670496359417569</v>
      </c>
      <c r="U20" s="19">
        <v>8.0523155495990011</v>
      </c>
      <c r="V20" s="19">
        <v>6.1661343353386115</v>
      </c>
      <c r="W20" s="19">
        <v>4.667190225770085</v>
      </c>
      <c r="X20" s="19">
        <v>2.9131184324458985</v>
      </c>
      <c r="Y20" s="19">
        <v>4.3843251149806974</v>
      </c>
      <c r="Z20" s="19">
        <v>5.3866412286465817</v>
      </c>
      <c r="AA20" s="19">
        <v>2.9394505186264581</v>
      </c>
      <c r="AB20" s="19">
        <v>3.5195260814079319</v>
      </c>
      <c r="AC20" s="19">
        <v>4.5018768645288816</v>
      </c>
      <c r="AD20" s="19">
        <v>2.8447588447821914</v>
      </c>
      <c r="AE20" s="19">
        <v>7.2787358612227138</v>
      </c>
      <c r="AF20" s="19">
        <v>5.1495681938575899E-3</v>
      </c>
      <c r="AG20" s="19">
        <v>0.21274084187554365</v>
      </c>
      <c r="AH20" s="19">
        <v>2.0449174707247977</v>
      </c>
      <c r="AI20" s="19">
        <v>9.1997092926079631</v>
      </c>
      <c r="AJ20" s="19">
        <v>10.770997953053808</v>
      </c>
      <c r="AK20" s="19">
        <v>6.2343332260838906</v>
      </c>
      <c r="AL20" s="19">
        <v>1.551345539924597</v>
      </c>
      <c r="AM20" s="19">
        <v>-2.3962923619938579</v>
      </c>
      <c r="AN20" s="19">
        <v>-7.9608343321589672</v>
      </c>
      <c r="AO20" s="19">
        <v>-0.30122044119946167</v>
      </c>
      <c r="AP20" s="19">
        <v>1.8709306947599913</v>
      </c>
      <c r="AQ20" s="19">
        <v>4.9922025438697801</v>
      </c>
      <c r="AR20" s="19">
        <v>5.658561307434212</v>
      </c>
      <c r="AS20" s="19">
        <v>2.3025220737092411</v>
      </c>
      <c r="AT20" s="19">
        <v>8.431493889592673</v>
      </c>
      <c r="AU20" s="19">
        <v>-4.1329513997080483</v>
      </c>
      <c r="AV20" s="19">
        <v>-5.8012996136446162</v>
      </c>
      <c r="AW20" s="19">
        <v>-1.4857901787345327</v>
      </c>
      <c r="AX20" s="19">
        <v>0.39984770922201562</v>
      </c>
      <c r="AY20" s="19">
        <v>1.4157764498845751</v>
      </c>
      <c r="AZ20" s="19">
        <v>2.817578820949393</v>
      </c>
      <c r="BA20" s="19">
        <v>8.3139173817683485</v>
      </c>
      <c r="BB20" s="19">
        <v>4.7550541302938285</v>
      </c>
      <c r="BC20" s="19">
        <v>5.7439023931462572</v>
      </c>
      <c r="BD20" s="19">
        <v>5.0012470039959283</v>
      </c>
      <c r="BE20" s="19">
        <v>1.3758408850927424</v>
      </c>
      <c r="BF20" s="19">
        <v>5.2618126019610827</v>
      </c>
      <c r="BG20" s="19">
        <v>3.5968292611931361</v>
      </c>
      <c r="BH20" s="19">
        <v>5.4287976406924798</v>
      </c>
      <c r="BI20" s="19">
        <v>4.6887036088079554</v>
      </c>
      <c r="BJ20" s="19">
        <v>0.15456126892003397</v>
      </c>
      <c r="BK20" s="19">
        <v>4.7808692611528869</v>
      </c>
      <c r="BL20" s="19">
        <v>0.29957642430187548</v>
      </c>
      <c r="BM20" s="19">
        <v>2.6107929400991594</v>
      </c>
      <c r="BN20" s="19">
        <v>-3.8133666730988836</v>
      </c>
      <c r="BO20" s="19">
        <v>-5.5900222029505358</v>
      </c>
      <c r="BP20" s="19">
        <v>-2.9265741145693767</v>
      </c>
      <c r="BQ20" s="19">
        <v>-4.380836152108273</v>
      </c>
      <c r="BR20" s="19">
        <v>5.4334117028009103</v>
      </c>
      <c r="BS20" s="19">
        <v>6.4336698937708263</v>
      </c>
      <c r="BT20" s="19">
        <v>2.3107194409353013</v>
      </c>
      <c r="BU20" s="19">
        <v>1.9890321438195144</v>
      </c>
      <c r="BV20" s="19">
        <v>-3.1659247477868036</v>
      </c>
      <c r="BW20" s="19">
        <v>-0.63509171463297776</v>
      </c>
      <c r="BX20" s="19">
        <v>4.2521493305924309</v>
      </c>
      <c r="BY20" s="19">
        <v>2.458369700670616</v>
      </c>
      <c r="BZ20" s="19">
        <v>-2.7051943641564407</v>
      </c>
      <c r="CA20" s="19">
        <v>2.9114306140583608</v>
      </c>
      <c r="CB20" s="19">
        <v>3.8939888407315379</v>
      </c>
      <c r="CC20" s="19">
        <v>4.1944492996563838</v>
      </c>
      <c r="CD20" s="19">
        <v>-0.40580567522447097</v>
      </c>
      <c r="CE20" s="19">
        <v>10.082452124354262</v>
      </c>
      <c r="CF20" s="19">
        <v>-14.661110303366215</v>
      </c>
      <c r="CG20" s="19">
        <v>-0.4421293515806326</v>
      </c>
      <c r="CH20" s="19">
        <v>-4.5151000924144853</v>
      </c>
      <c r="CI20" s="19">
        <v>-13.74435759344486</v>
      </c>
      <c r="CJ20" s="19">
        <v>2.1647093330891636</v>
      </c>
      <c r="CK20" s="19">
        <v>0.33066016017374977</v>
      </c>
      <c r="CL20" s="19">
        <v>7.3049758313413093</v>
      </c>
      <c r="CM20" s="19">
        <v>-1.0334567154272776</v>
      </c>
      <c r="CN20" s="19">
        <v>2.5995043209568394</v>
      </c>
      <c r="CO20" s="19">
        <v>-3.7226677847628622</v>
      </c>
      <c r="CP20" s="20">
        <v>4.7641006365119836</v>
      </c>
      <c r="CQ20" s="20">
        <v>5.7433237240037869</v>
      </c>
      <c r="CR20" s="20">
        <v>4.5282342724194393</v>
      </c>
      <c r="CS20" s="20">
        <v>4.6558788738118437</v>
      </c>
      <c r="CT20" s="20">
        <v>-1.753322422695021</v>
      </c>
      <c r="CU20" s="20">
        <v>-4.2280396875452197</v>
      </c>
      <c r="CV20" s="20">
        <v>5.2839358447285463</v>
      </c>
      <c r="CW20" s="20">
        <v>0.57946834998021757</v>
      </c>
      <c r="CX20" s="20">
        <v>5.8392794959660961</v>
      </c>
      <c r="CY20" s="20">
        <f>[1]Qtr!CY20</f>
        <v>10.96965991599734</v>
      </c>
      <c r="CZ20" s="31">
        <f>[2]Qtr!CZ20</f>
        <v>-2.0674852468478377</v>
      </c>
      <c r="DA20" s="31">
        <f>[2]Qtr!DA20</f>
        <v>0.15660653027185845</v>
      </c>
      <c r="DB20" s="20"/>
      <c r="DC20" s="20">
        <f>[2]Annual!Y20</f>
        <v>4.834606598944589</v>
      </c>
      <c r="DD20" s="20">
        <f>[2]Annual!Z20</f>
        <v>-0.13544258327500813</v>
      </c>
      <c r="DE20" s="20">
        <f>[2]Annual!AA20</f>
        <v>2.0422215906829706</v>
      </c>
      <c r="DF20" s="20"/>
    </row>
    <row r="21" spans="1:110" x14ac:dyDescent="0.2">
      <c r="A21" s="10" t="s">
        <v>13</v>
      </c>
      <c r="B21" s="10"/>
      <c r="C21" s="10"/>
      <c r="D21" s="10"/>
      <c r="E21" s="10"/>
      <c r="F21" s="19">
        <v>-0.16872264881348542</v>
      </c>
      <c r="G21" s="19">
        <v>-1.3413227835515897</v>
      </c>
      <c r="H21" s="19">
        <v>-2.0385242081432722</v>
      </c>
      <c r="I21" s="19">
        <v>-4.7663738402383302</v>
      </c>
      <c r="J21" s="19">
        <v>-3.3907668410433587</v>
      </c>
      <c r="K21" s="19">
        <v>-2.7057170782991875</v>
      </c>
      <c r="L21" s="19">
        <v>-1.3275519480996536</v>
      </c>
      <c r="M21" s="19">
        <v>2.7818261291105557</v>
      </c>
      <c r="N21" s="19">
        <v>1.9804638517012023</v>
      </c>
      <c r="O21" s="19">
        <v>4.2900744916388902</v>
      </c>
      <c r="P21" s="19">
        <v>2.591211050860025</v>
      </c>
      <c r="Q21" s="19">
        <v>2.8565397476270675</v>
      </c>
      <c r="R21" s="19">
        <v>1.8934865130229639</v>
      </c>
      <c r="S21" s="19">
        <v>3.4403569003083021</v>
      </c>
      <c r="T21" s="19">
        <v>4.9983386454694312</v>
      </c>
      <c r="U21" s="19">
        <v>4.7493630166490135</v>
      </c>
      <c r="V21" s="19">
        <v>7.0915833690293084</v>
      </c>
      <c r="W21" s="19">
        <v>0.92959649649029075</v>
      </c>
      <c r="X21" s="19">
        <v>2.5028584098051141</v>
      </c>
      <c r="Y21" s="19">
        <v>-0.48808752865785721</v>
      </c>
      <c r="Z21" s="19">
        <v>2.0871818173447707</v>
      </c>
      <c r="AA21" s="19">
        <v>4.5254468324125554</v>
      </c>
      <c r="AB21" s="19">
        <v>-0.46627308393314593</v>
      </c>
      <c r="AC21" s="19">
        <v>6.6036013326792329</v>
      </c>
      <c r="AD21" s="19">
        <v>-0.46349507752904628</v>
      </c>
      <c r="AE21" s="19">
        <v>5.4912865596852072</v>
      </c>
      <c r="AF21" s="19">
        <v>6.851586594507225</v>
      </c>
      <c r="AG21" s="19">
        <v>5.7659947801302422</v>
      </c>
      <c r="AH21" s="19">
        <v>5.2197726259455806</v>
      </c>
      <c r="AI21" s="19">
        <v>5.3558998408557557</v>
      </c>
      <c r="AJ21" s="19">
        <v>-0.64478965550117096</v>
      </c>
      <c r="AK21" s="19">
        <v>-2.286005393324487</v>
      </c>
      <c r="AL21" s="19">
        <v>-1.572043541269835</v>
      </c>
      <c r="AM21" s="19">
        <v>-2.32250209745321</v>
      </c>
      <c r="AN21" s="19">
        <v>-0.33678274676145747</v>
      </c>
      <c r="AO21" s="19">
        <v>2.5282819407102863</v>
      </c>
      <c r="AP21" s="19">
        <v>0.94139589011072644</v>
      </c>
      <c r="AQ21" s="19">
        <v>3.1321727415253946</v>
      </c>
      <c r="AR21" s="19">
        <v>6.2363319349184536</v>
      </c>
      <c r="AS21" s="19">
        <v>-45.822630821207945</v>
      </c>
      <c r="AT21" s="19">
        <v>2.2597858416136347</v>
      </c>
      <c r="AU21" s="19">
        <v>2.0153029316541478</v>
      </c>
      <c r="AV21" s="19">
        <v>0.94267278676187516</v>
      </c>
      <c r="AW21" s="19">
        <v>-0.14982027106071882</v>
      </c>
      <c r="AX21" s="19">
        <v>4.503251374577772</v>
      </c>
      <c r="AY21" s="19">
        <v>4.9410739547640787</v>
      </c>
      <c r="AZ21" s="19">
        <v>3.9507289975194908</v>
      </c>
      <c r="BA21" s="19">
        <v>8.4540714510377626</v>
      </c>
      <c r="BB21" s="19">
        <v>1.9674677603141788</v>
      </c>
      <c r="BC21" s="19">
        <v>5.7449486030924533</v>
      </c>
      <c r="BD21" s="19">
        <v>6.2822779821864287</v>
      </c>
      <c r="BE21" s="19">
        <v>5.7781838686908173</v>
      </c>
      <c r="BF21" s="19">
        <v>12.347220218335934</v>
      </c>
      <c r="BG21" s="19">
        <v>2.4040999571665793</v>
      </c>
      <c r="BH21" s="19">
        <v>4.7164966563540105</v>
      </c>
      <c r="BI21" s="19">
        <v>2.1162208778857377</v>
      </c>
      <c r="BJ21" s="19">
        <v>-3.2541789511270736E-2</v>
      </c>
      <c r="BK21" s="19">
        <v>5.1077138393880546</v>
      </c>
      <c r="BL21" s="19">
        <v>1.8590217668778166</v>
      </c>
      <c r="BM21" s="19">
        <v>4.1502825720351808</v>
      </c>
      <c r="BN21" s="19">
        <v>-1.1718444305461873</v>
      </c>
      <c r="BO21" s="19">
        <v>0.78071849675103522</v>
      </c>
      <c r="BP21" s="19">
        <v>4.5659349791399961</v>
      </c>
      <c r="BQ21" s="19">
        <v>3.2393751091100995</v>
      </c>
      <c r="BR21" s="19">
        <v>9.3079781580590151</v>
      </c>
      <c r="BS21" s="19">
        <v>10.065981572107489</v>
      </c>
      <c r="BT21" s="19">
        <v>8.6781262147165705</v>
      </c>
      <c r="BU21" s="19">
        <v>2.9831859810574741</v>
      </c>
      <c r="BV21" s="19">
        <v>3.0036977848274802</v>
      </c>
      <c r="BW21" s="19">
        <v>3.3600393991285387</v>
      </c>
      <c r="BX21" s="19">
        <v>2.0362630683898146</v>
      </c>
      <c r="BY21" s="19">
        <v>7.3787526019478662</v>
      </c>
      <c r="BZ21" s="19">
        <v>4.4611960044438632</v>
      </c>
      <c r="CA21" s="19">
        <v>0.61306104034611053</v>
      </c>
      <c r="CB21" s="19">
        <v>1.0780509852228732</v>
      </c>
      <c r="CC21" s="19">
        <v>1.9864402399499141</v>
      </c>
      <c r="CD21" s="19">
        <v>-3.7160248885875262</v>
      </c>
      <c r="CE21" s="19">
        <v>5.7626231459654065</v>
      </c>
      <c r="CF21" s="19">
        <v>-2.2989327318052091</v>
      </c>
      <c r="CG21" s="19">
        <v>-0.10100141281304786</v>
      </c>
      <c r="CH21" s="19">
        <v>-3.2197083427146396</v>
      </c>
      <c r="CI21" s="19">
        <v>-17.067366389597169</v>
      </c>
      <c r="CJ21" s="19">
        <v>-1.2937991521226166</v>
      </c>
      <c r="CK21" s="19">
        <v>-5.1693010315289456</v>
      </c>
      <c r="CL21" s="19">
        <v>1.9002167731619295</v>
      </c>
      <c r="CM21" s="19">
        <v>4.7316490717714572</v>
      </c>
      <c r="CN21" s="19">
        <v>-4.1562448715826434</v>
      </c>
      <c r="CO21" s="19">
        <v>-1.4791302659303227</v>
      </c>
      <c r="CP21" s="20">
        <v>-1.2440238660456799</v>
      </c>
      <c r="CQ21" s="20">
        <v>-1.620914805501485</v>
      </c>
      <c r="CR21" s="20">
        <v>8.9710513223848096</v>
      </c>
      <c r="CS21" s="20">
        <v>6.8170053941562117</v>
      </c>
      <c r="CT21" s="20">
        <v>5.8824953320328888</v>
      </c>
      <c r="CU21" s="20">
        <v>3.9072390421286798</v>
      </c>
      <c r="CV21" s="20">
        <v>-3.6515586711091856</v>
      </c>
      <c r="CW21" s="20">
        <v>2.8196327550303408</v>
      </c>
      <c r="CX21" s="20">
        <v>3.2419591989088445</v>
      </c>
      <c r="CY21" s="20">
        <f>[1]Qtr!CY21</f>
        <v>2.768193732514959</v>
      </c>
      <c r="CZ21" s="31">
        <f>[2]Qtr!CZ21</f>
        <v>6.9496906105525085</v>
      </c>
      <c r="DA21" s="31">
        <f>[2]Qtr!DA21</f>
        <v>5.6613575471759106</v>
      </c>
      <c r="DB21" s="20"/>
      <c r="DC21" s="20">
        <f>[2]Annual!Y21</f>
        <v>3.1642172890647942</v>
      </c>
      <c r="DD21" s="20">
        <f>[2]Annual!Z21</f>
        <v>2.1716506377891278</v>
      </c>
      <c r="DE21" s="20">
        <f>[2]Annual!AA21</f>
        <v>-1.2053853451438528</v>
      </c>
      <c r="DF21" s="20"/>
    </row>
    <row r="22" spans="1:110" x14ac:dyDescent="0.2">
      <c r="A22" s="7" t="s">
        <v>15</v>
      </c>
      <c r="B22" s="19">
        <v>110.23438514239201</v>
      </c>
      <c r="C22" s="19">
        <v>113.72837804110259</v>
      </c>
      <c r="D22" s="19">
        <v>109.80554178334295</v>
      </c>
      <c r="E22" s="19">
        <v>124.52160049634823</v>
      </c>
      <c r="F22" s="19">
        <v>109.11209392533975</v>
      </c>
      <c r="G22" s="19">
        <v>119.00045245095208</v>
      </c>
      <c r="H22" s="19">
        <v>113.2132039169658</v>
      </c>
      <c r="I22" s="19">
        <v>123.4996867595504</v>
      </c>
      <c r="J22" s="19">
        <v>113.1903724336659</v>
      </c>
      <c r="K22" s="19">
        <v>115.09036557007718</v>
      </c>
      <c r="L22" s="19">
        <v>113.06593942385956</v>
      </c>
      <c r="M22" s="19">
        <v>127.17295426655808</v>
      </c>
      <c r="N22" s="19">
        <v>117.19474356570954</v>
      </c>
      <c r="O22" s="19">
        <v>123.44036074655945</v>
      </c>
      <c r="P22" s="19">
        <v>112.45094134682208</v>
      </c>
      <c r="Q22" s="19">
        <v>126.87116804252084</v>
      </c>
      <c r="R22" s="19">
        <v>114.77131094532579</v>
      </c>
      <c r="S22" s="19">
        <v>127.67534379774801</v>
      </c>
      <c r="T22" s="19">
        <v>118.61249743984668</v>
      </c>
      <c r="U22" s="19">
        <v>135.24697612804408</v>
      </c>
      <c r="V22" s="19">
        <v>121.65755508768387</v>
      </c>
      <c r="W22" s="19">
        <v>124.52703647012687</v>
      </c>
      <c r="X22" s="19">
        <v>122.69330263098978</v>
      </c>
      <c r="Y22" s="19">
        <v>134.42437305617747</v>
      </c>
      <c r="Z22" s="19">
        <v>125.42478222794385</v>
      </c>
      <c r="AA22" s="19">
        <v>134.73973661476248</v>
      </c>
      <c r="AB22" s="19">
        <v>122.55286555728095</v>
      </c>
      <c r="AC22" s="19">
        <v>142.87109028145483</v>
      </c>
      <c r="AD22" s="19">
        <v>126.05243971905283</v>
      </c>
      <c r="AE22" s="19">
        <v>135.9683637824966</v>
      </c>
      <c r="AF22" s="19">
        <v>127.99165767400008</v>
      </c>
      <c r="AG22" s="19">
        <v>147.81156359183743</v>
      </c>
      <c r="AH22" s="19">
        <v>131.36795030987903</v>
      </c>
      <c r="AI22" s="19">
        <v>143.62412687483535</v>
      </c>
      <c r="AJ22" s="19">
        <v>130.27120151950228</v>
      </c>
      <c r="AK22" s="19">
        <v>148.95523542774524</v>
      </c>
      <c r="AL22" s="19">
        <v>131.68594605323841</v>
      </c>
      <c r="AM22" s="19">
        <v>146.6593793991029</v>
      </c>
      <c r="AN22" s="19">
        <v>128.24217821418495</v>
      </c>
      <c r="AO22" s="19">
        <v>148.55085403653186</v>
      </c>
      <c r="AP22" s="19">
        <v>132.31074842331608</v>
      </c>
      <c r="AQ22" s="19">
        <v>151.01681133042931</v>
      </c>
      <c r="AR22" s="19">
        <v>136.83440407064214</v>
      </c>
      <c r="AS22" s="19">
        <v>152.63719639692559</v>
      </c>
      <c r="AT22" s="19">
        <v>141.70233686428384</v>
      </c>
      <c r="AU22" s="19">
        <v>151.61876732069206</v>
      </c>
      <c r="AV22" s="19">
        <v>137.5127564977214</v>
      </c>
      <c r="AW22" s="19">
        <v>153.03897613969733</v>
      </c>
      <c r="AX22" s="19">
        <v>145.6986973675323</v>
      </c>
      <c r="AY22" s="19">
        <v>163.48294621742161</v>
      </c>
      <c r="AZ22" s="19">
        <v>143.25390892827014</v>
      </c>
      <c r="BA22" s="19">
        <v>164.73162130694945</v>
      </c>
      <c r="BB22" s="19">
        <v>150.26228340276427</v>
      </c>
      <c r="BC22" s="19">
        <v>164.61999809720947</v>
      </c>
      <c r="BD22" s="19">
        <v>153.3748547892977</v>
      </c>
      <c r="BE22" s="19">
        <v>176.82719440922335</v>
      </c>
      <c r="BF22" s="19">
        <v>170.56708340274079</v>
      </c>
      <c r="BG22" s="19">
        <v>177.37945004624234</v>
      </c>
      <c r="BH22" s="19">
        <v>161.30683830376483</v>
      </c>
      <c r="BI22" s="19">
        <v>182.45425786710808</v>
      </c>
      <c r="BJ22" s="19">
        <v>172.62294678479429</v>
      </c>
      <c r="BK22" s="19">
        <v>191.34133881728599</v>
      </c>
      <c r="BL22" s="19">
        <v>165.11861641296315</v>
      </c>
      <c r="BM22" s="19">
        <v>189.12199765506472</v>
      </c>
      <c r="BN22" s="19">
        <v>165.48492550511779</v>
      </c>
      <c r="BO22" s="19">
        <v>185.58967598178975</v>
      </c>
      <c r="BP22" s="19">
        <v>169.86102396710103</v>
      </c>
      <c r="BQ22" s="19">
        <v>192.38209798659778</v>
      </c>
      <c r="BR22" s="19">
        <v>187.44907121251265</v>
      </c>
      <c r="BS22" s="19">
        <v>210.31991751473143</v>
      </c>
      <c r="BT22" s="19">
        <v>187.97855521621761</v>
      </c>
      <c r="BU22" s="19">
        <v>205.84134784306517</v>
      </c>
      <c r="BV22" s="19">
        <v>191.28403968912724</v>
      </c>
      <c r="BW22" s="19">
        <v>211.40102078717089</v>
      </c>
      <c r="BX22" s="19">
        <v>193.5133894983021</v>
      </c>
      <c r="BY22" s="19">
        <v>214.26476445733877</v>
      </c>
      <c r="BZ22" s="19">
        <v>193.5022243568821</v>
      </c>
      <c r="CA22" s="19">
        <v>220.31820060113552</v>
      </c>
      <c r="CB22" s="19">
        <v>201.19332663815067</v>
      </c>
      <c r="CC22" s="19">
        <v>227.49556570264093</v>
      </c>
      <c r="CD22" s="19">
        <v>194.11349233061796</v>
      </c>
      <c r="CE22" s="19">
        <v>269.14906824935508</v>
      </c>
      <c r="CF22" s="19">
        <v>201.62936524467139</v>
      </c>
      <c r="CG22" s="19">
        <v>228.11034445591704</v>
      </c>
      <c r="CH22" s="19">
        <v>193.01823604392433</v>
      </c>
      <c r="CI22" s="19">
        <v>208.14461686130687</v>
      </c>
      <c r="CJ22" s="19">
        <v>194.76348461356224</v>
      </c>
      <c r="CK22" s="19">
        <v>223.4626958339652</v>
      </c>
      <c r="CL22" s="19">
        <v>190.9294201935254</v>
      </c>
      <c r="CM22" s="19">
        <v>207.79837502952512</v>
      </c>
      <c r="CN22" s="19">
        <v>191.66069185726616</v>
      </c>
      <c r="CO22" s="19">
        <v>220.93125621635477</v>
      </c>
      <c r="CP22" s="20">
        <v>197.23736639933369</v>
      </c>
      <c r="CQ22" s="20">
        <v>213.50408272872485</v>
      </c>
      <c r="CR22" s="20">
        <v>201.2346900825174</v>
      </c>
      <c r="CS22" s="20">
        <v>225.59428347347639</v>
      </c>
      <c r="CT22" s="20">
        <v>203.18594882522515</v>
      </c>
      <c r="CU22" s="20">
        <v>213.05539774001014</v>
      </c>
      <c r="CV22" s="20">
        <v>205.43283656829789</v>
      </c>
      <c r="CW22" s="20">
        <v>235.67831961874683</v>
      </c>
      <c r="CX22" s="20">
        <v>212.20829815718571</v>
      </c>
      <c r="CY22" s="20">
        <f>[1]Qtr!CY22</f>
        <v>225.31731040552691</v>
      </c>
      <c r="CZ22" s="31">
        <f>[2]Qtr!CZ22</f>
        <v>212.39258896747646</v>
      </c>
      <c r="DA22" s="31">
        <f>[2]Qtr!DA22</f>
        <v>245.45293948999179</v>
      </c>
      <c r="DB22" s="20"/>
      <c r="DC22" s="20">
        <f>[2]Annual!Y22</f>
        <v>209.39260567101309</v>
      </c>
      <c r="DD22" s="20">
        <f>[2]Annual!Z22</f>
        <v>214.33812568807002</v>
      </c>
      <c r="DE22" s="20">
        <f>[2]Annual!AA22</f>
        <v>223.84278425504519</v>
      </c>
      <c r="DF22" s="20"/>
    </row>
    <row r="23" spans="1:110" ht="25.5" x14ac:dyDescent="0.2">
      <c r="A23" s="11" t="s">
        <v>16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11"/>
      <c r="BB23" s="11"/>
      <c r="BC23" s="11"/>
      <c r="BD23" s="11"/>
      <c r="BE23" s="11"/>
      <c r="BF23" s="11"/>
      <c r="BG23" s="11"/>
      <c r="BH23" s="11"/>
      <c r="BI23" s="11"/>
      <c r="BJ23" s="11"/>
      <c r="BK23" s="11"/>
      <c r="BL23" s="11"/>
      <c r="BM23" s="11"/>
      <c r="BN23" s="11"/>
      <c r="BO23" s="11"/>
      <c r="BP23" s="11"/>
      <c r="BQ23" s="11"/>
      <c r="BR23" s="11"/>
      <c r="BS23" s="11"/>
      <c r="BT23" s="11"/>
      <c r="BU23" s="11"/>
      <c r="BV23" s="11"/>
      <c r="BW23" s="11"/>
      <c r="BX23" s="11"/>
      <c r="BY23" s="11"/>
      <c r="BZ23" s="11"/>
      <c r="CA23" s="11"/>
      <c r="CB23" s="11"/>
      <c r="CC23" s="11"/>
      <c r="CD23" s="11"/>
      <c r="CE23" s="11"/>
      <c r="CF23" s="11"/>
      <c r="CG23" s="11"/>
      <c r="CH23" s="11"/>
      <c r="CI23" s="11"/>
      <c r="CJ23" s="11"/>
      <c r="CK23" s="11"/>
      <c r="CL23" s="11"/>
      <c r="CM23" s="11"/>
      <c r="CN23" s="11"/>
      <c r="CO23" s="11"/>
      <c r="CP23" s="11"/>
      <c r="CQ23" s="11"/>
      <c r="CR23" s="11"/>
      <c r="CS23" s="11"/>
      <c r="CT23" s="11"/>
      <c r="CU23" s="24"/>
      <c r="CV23" s="24"/>
      <c r="CW23" s="24"/>
      <c r="CX23" s="24"/>
      <c r="CY23" s="24"/>
      <c r="CZ23" s="30"/>
      <c r="DA23" s="30"/>
      <c r="DB23" s="24"/>
      <c r="DC23" s="24"/>
      <c r="DD23" s="24"/>
      <c r="DE23" s="24"/>
      <c r="DF23" s="24"/>
    </row>
    <row r="24" spans="1:110" x14ac:dyDescent="0.2">
      <c r="A24" s="10" t="s">
        <v>11</v>
      </c>
      <c r="B24" s="19"/>
      <c r="C24" s="19"/>
      <c r="D24" s="19"/>
      <c r="E24" s="19"/>
      <c r="F24" s="19">
        <v>0.30498188404871857</v>
      </c>
      <c r="G24" s="19">
        <v>0.62629591223944914</v>
      </c>
      <c r="H24" s="19">
        <v>0.50457280324776965</v>
      </c>
      <c r="I24" s="19">
        <v>0.68381281200075972</v>
      </c>
      <c r="J24" s="19">
        <v>0.66809777638241541</v>
      </c>
      <c r="K24" s="19">
        <v>1.0472433235406789E-2</v>
      </c>
      <c r="L24" s="19">
        <v>0.29439299448008571</v>
      </c>
      <c r="M24" s="19">
        <v>1.0135629393693915</v>
      </c>
      <c r="N24" s="19">
        <v>0.8553182994979458</v>
      </c>
      <c r="O24" s="19">
        <v>0.29947670750648875</v>
      </c>
      <c r="P24" s="19">
        <v>0.59534995076270825</v>
      </c>
      <c r="Q24" s="19">
        <v>0.79196014861351749</v>
      </c>
      <c r="R24" s="19">
        <v>0.91215510583586035</v>
      </c>
      <c r="S24" s="19">
        <v>0.56704274664171728</v>
      </c>
      <c r="T24" s="19">
        <v>1.0228492281905803</v>
      </c>
      <c r="U24" s="19">
        <v>0.32460670466298303</v>
      </c>
      <c r="V24" s="19">
        <v>-7.1993981509020893E-2</v>
      </c>
      <c r="W24" s="19">
        <v>0.42501011651263998</v>
      </c>
      <c r="X24" s="19">
        <v>0.55574737091772552</v>
      </c>
      <c r="Y24" s="19">
        <v>0.9439216823753126</v>
      </c>
      <c r="Z24" s="19">
        <v>0.88652884962864131</v>
      </c>
      <c r="AA24" s="19">
        <v>1.0415874863168952</v>
      </c>
      <c r="AB24" s="19">
        <v>0.64187339794995635</v>
      </c>
      <c r="AC24" s="19">
        <v>-2.5709096178789814E-2</v>
      </c>
      <c r="AD24" s="19">
        <v>0.56089579864005767</v>
      </c>
      <c r="AE24" s="19">
        <v>0.57201312215082301</v>
      </c>
      <c r="AF24" s="19">
        <v>0.70175717666600457</v>
      </c>
      <c r="AG24" s="19">
        <v>1.0186041580132474</v>
      </c>
      <c r="AH24" s="19">
        <v>0.65006489715792815</v>
      </c>
      <c r="AI24" s="19">
        <v>0.41459213424163577</v>
      </c>
      <c r="AJ24" s="19">
        <v>0.50711162268586996</v>
      </c>
      <c r="AK24" s="19">
        <v>0.26916442953467895</v>
      </c>
      <c r="AL24" s="19">
        <v>0.18920629001291348</v>
      </c>
      <c r="AM24" s="19">
        <v>0.21037902986000376</v>
      </c>
      <c r="AN24" s="19">
        <v>-0.17381477109523427</v>
      </c>
      <c r="AO24" s="19">
        <v>-0.27195025085671071</v>
      </c>
      <c r="AP24" s="19">
        <v>3.447597596289851E-2</v>
      </c>
      <c r="AQ24" s="19">
        <v>-0.42116622363950246</v>
      </c>
      <c r="AR24" s="19">
        <v>0.1435763387457864</v>
      </c>
      <c r="AS24" s="19">
        <v>0.85737736255332497</v>
      </c>
      <c r="AT24" s="19">
        <v>0.70046589743719712</v>
      </c>
      <c r="AU24" s="19">
        <v>0.87677535669147466</v>
      </c>
      <c r="AV24" s="19">
        <v>0.36265190557800053</v>
      </c>
      <c r="AW24" s="19">
        <v>-0.26311577673634695</v>
      </c>
      <c r="AX24" s="19">
        <v>7.3434285672981714E-2</v>
      </c>
      <c r="AY24" s="19">
        <v>3.4675100663264381E-2</v>
      </c>
      <c r="AZ24" s="19">
        <v>0.52594924328544457</v>
      </c>
      <c r="BA24" s="19">
        <v>0.80930682154838751</v>
      </c>
      <c r="BB24" s="19">
        <v>0.54529843054675453</v>
      </c>
      <c r="BC24" s="19">
        <v>0.13565100208788389</v>
      </c>
      <c r="BD24" s="19">
        <v>0.22819477579630687</v>
      </c>
      <c r="BE24" s="19">
        <v>0.45070085722696451</v>
      </c>
      <c r="BF24" s="19">
        <v>0.19626444699496701</v>
      </c>
      <c r="BG24" s="19">
        <v>0.35778975868724006</v>
      </c>
      <c r="BH24" s="19">
        <v>-0.22726599738840611</v>
      </c>
      <c r="BI24" s="19">
        <v>0.46830368536691536</v>
      </c>
      <c r="BJ24" s="19">
        <v>0.18610315745947892</v>
      </c>
      <c r="BK24" s="19">
        <v>3.1948674087395865E-2</v>
      </c>
      <c r="BL24" s="19">
        <v>3.4262151876896123E-2</v>
      </c>
      <c r="BM24" s="19">
        <v>6.6802971885498039E-2</v>
      </c>
      <c r="BN24" s="19">
        <v>-0.44761433245569637</v>
      </c>
      <c r="BO24" s="19">
        <v>-0.13258980807784479</v>
      </c>
      <c r="BP24" s="19">
        <v>0.31572611717653809</v>
      </c>
      <c r="BQ24" s="19">
        <v>-0.12664940014134679</v>
      </c>
      <c r="BR24" s="19">
        <v>0.49967647974643886</v>
      </c>
      <c r="BS24" s="19">
        <v>0.53098137218697616</v>
      </c>
      <c r="BT24" s="19">
        <v>0.30542602987144629</v>
      </c>
      <c r="BU24" s="19">
        <v>0.2646722378785421</v>
      </c>
      <c r="BV24" s="19">
        <v>0.24558982710176691</v>
      </c>
      <c r="BW24" s="19">
        <v>4.1437833141308644E-3</v>
      </c>
      <c r="BX24" s="19">
        <v>3.3810146032425166E-3</v>
      </c>
      <c r="BY24" s="19">
        <v>0.16027542492588737</v>
      </c>
      <c r="BZ24" s="19">
        <v>5.014306243975044E-2</v>
      </c>
      <c r="CA24" s="19">
        <v>5.8261780084396891E-2</v>
      </c>
      <c r="CB24" s="19">
        <v>0.2355300817460533</v>
      </c>
      <c r="CC24" s="19">
        <v>7.9815708557816084E-2</v>
      </c>
      <c r="CD24" s="19">
        <v>-2.3329838525198775E-2</v>
      </c>
      <c r="CE24" s="19">
        <v>0.11363532430006665</v>
      </c>
      <c r="CF24" s="19">
        <v>9.277060840895153E-2</v>
      </c>
      <c r="CG24" s="19">
        <v>-0.23227148643060433</v>
      </c>
      <c r="CH24" s="19">
        <v>-0.11557409005806712</v>
      </c>
      <c r="CI24" s="19">
        <v>-2.6733070075084181E-3</v>
      </c>
      <c r="CJ24" s="19">
        <v>-0.15124330358769852</v>
      </c>
      <c r="CK24" s="19">
        <v>0.14591806684273878</v>
      </c>
      <c r="CL24" s="19">
        <v>1.8128081429223293E-2</v>
      </c>
      <c r="CM24" s="19">
        <v>1.9235098275212831E-2</v>
      </c>
      <c r="CN24" s="19">
        <v>0.18373572287758869</v>
      </c>
      <c r="CO24" s="19">
        <v>-2.9505898870060027E-2</v>
      </c>
      <c r="CP24" s="20">
        <v>0.20402217009880366</v>
      </c>
      <c r="CQ24" s="20">
        <v>1.5460509954791958E-2</v>
      </c>
      <c r="CR24" s="20">
        <v>7.8711398241941857E-2</v>
      </c>
      <c r="CS24" s="20">
        <v>0.1150049287483763</v>
      </c>
      <c r="CT24" s="20">
        <v>4.0837657081010281E-2</v>
      </c>
      <c r="CU24" s="20">
        <v>-0.16807308004109389</v>
      </c>
      <c r="CV24" s="20">
        <v>-0.19499363431113695</v>
      </c>
      <c r="CW24" s="20">
        <v>-0.1294754831231778</v>
      </c>
      <c r="CX24" s="20">
        <v>0.17086361149411602</v>
      </c>
      <c r="CY24" s="20">
        <f>[1]Qtr!CY24</f>
        <v>0.46099307954295343</v>
      </c>
      <c r="CZ24" s="31">
        <f>[2]Qtr!CZ24</f>
        <v>0.18944193793117245</v>
      </c>
      <c r="DA24" s="31">
        <f>[2]Qtr!DA24</f>
        <v>7.1986934793378629E-2</v>
      </c>
      <c r="DB24" s="20"/>
      <c r="DC24" s="20">
        <f>[2]Annual!Y24</f>
        <v>0.10192828700729931</v>
      </c>
      <c r="DD24" s="20">
        <f>[2]Annual!Z24</f>
        <v>-0.11596456502639445</v>
      </c>
      <c r="DE24" s="20">
        <f>[2]Annual!AA24</f>
        <v>0.21901636414747241</v>
      </c>
      <c r="DF24" s="20"/>
    </row>
    <row r="25" spans="1:110" x14ac:dyDescent="0.2">
      <c r="A25" s="10" t="s">
        <v>12</v>
      </c>
      <c r="B25" s="19"/>
      <c r="C25" s="19"/>
      <c r="D25" s="19"/>
      <c r="E25" s="19"/>
      <c r="F25" s="19">
        <v>0.28194561258945411</v>
      </c>
      <c r="G25" s="19">
        <v>0.59460935896696188</v>
      </c>
      <c r="H25" s="19">
        <v>0.33865654321543209</v>
      </c>
      <c r="I25" s="19">
        <v>0.34293203841258213</v>
      </c>
      <c r="J25" s="19">
        <v>1.151574127065347</v>
      </c>
      <c r="K25" s="19">
        <v>1.501713578942431</v>
      </c>
      <c r="L25" s="19">
        <v>0.39479907976265394</v>
      </c>
      <c r="M25" s="19">
        <v>1.1437299466604718</v>
      </c>
      <c r="N25" s="19">
        <v>1.3081865192217608</v>
      </c>
      <c r="O25" s="19">
        <v>1.3789143899902674</v>
      </c>
      <c r="P25" s="19">
        <v>1.8391066009459818</v>
      </c>
      <c r="Q25" s="19">
        <v>1.1835190324546447</v>
      </c>
      <c r="R25" s="19">
        <v>1.6185817010563603</v>
      </c>
      <c r="S25" s="19">
        <v>1.4207344671601116</v>
      </c>
      <c r="T25" s="19">
        <v>9.2864356796836064E-2</v>
      </c>
      <c r="U25" s="19">
        <v>1.8468673966637468</v>
      </c>
      <c r="V25" s="19">
        <v>1.2957302778181417</v>
      </c>
      <c r="W25" s="19">
        <v>1.9257310144297632</v>
      </c>
      <c r="X25" s="19">
        <v>1.200985771636331</v>
      </c>
      <c r="Y25" s="19">
        <v>1.243905587549657</v>
      </c>
      <c r="Z25" s="19">
        <v>0.94066491400030372</v>
      </c>
      <c r="AA25" s="19">
        <v>0.84834449237744103</v>
      </c>
      <c r="AB25" s="19">
        <v>1.0265549816955439</v>
      </c>
      <c r="AC25" s="19">
        <v>1.3283667342020311</v>
      </c>
      <c r="AD25" s="19">
        <v>1.3416819507603235</v>
      </c>
      <c r="AE25" s="19">
        <v>2.0767579152767981</v>
      </c>
      <c r="AF25" s="19">
        <v>1.0073821813951886</v>
      </c>
      <c r="AG25" s="19">
        <v>1.0581473138927369</v>
      </c>
      <c r="AH25" s="19">
        <v>0.58777677671336093</v>
      </c>
      <c r="AI25" s="19">
        <v>1.1386991410914054</v>
      </c>
      <c r="AJ25" s="19">
        <v>2.5334400897711942</v>
      </c>
      <c r="AK25" s="19">
        <v>1.6854200845382701</v>
      </c>
      <c r="AL25" s="19">
        <v>-0.2494459625990576</v>
      </c>
      <c r="AM25" s="19">
        <v>-0.19733291177051365</v>
      </c>
      <c r="AN25" s="19">
        <v>-1.5132168977738156</v>
      </c>
      <c r="AO25" s="19">
        <v>0.30728060063385132</v>
      </c>
      <c r="AP25" s="19">
        <v>2.9953244420817806</v>
      </c>
      <c r="AQ25" s="19">
        <v>3.4799231877623757</v>
      </c>
      <c r="AR25" s="19">
        <v>2.08818519512349</v>
      </c>
      <c r="AS25" s="19">
        <v>1.802651281603433</v>
      </c>
      <c r="AT25" s="19">
        <v>1.9336696866502556</v>
      </c>
      <c r="AU25" s="19">
        <v>-0.49697115130539121</v>
      </c>
      <c r="AV25" s="19">
        <v>-0.41913739558232738</v>
      </c>
      <c r="AW25" s="19">
        <v>0.76106538817330016</v>
      </c>
      <c r="AX25" s="19">
        <v>1.4142792648381968</v>
      </c>
      <c r="AY25" s="19">
        <v>1.8020014099819726</v>
      </c>
      <c r="AZ25" s="19">
        <v>2.0823411953399971</v>
      </c>
      <c r="BA25" s="19">
        <v>2.7503251053695883</v>
      </c>
      <c r="BB25" s="19">
        <v>3.0876948438755289</v>
      </c>
      <c r="BC25" s="19">
        <v>2.3430173328412582</v>
      </c>
      <c r="BD25" s="19">
        <v>1.4180040605531936</v>
      </c>
      <c r="BE25" s="19">
        <v>0.5710862871650394</v>
      </c>
      <c r="BF25" s="19">
        <v>1.0541892589646829</v>
      </c>
      <c r="BG25" s="19">
        <v>2.2100841150572386</v>
      </c>
      <c r="BH25" s="19">
        <v>1.902037549990127</v>
      </c>
      <c r="BI25" s="19">
        <v>2.6612939398888185</v>
      </c>
      <c r="BJ25" s="19">
        <v>1.3845762845976681</v>
      </c>
      <c r="BK25" s="19">
        <v>1.850526130315435</v>
      </c>
      <c r="BL25" s="19">
        <v>1.5911962791006291</v>
      </c>
      <c r="BM25" s="19">
        <v>2.0880625002421342</v>
      </c>
      <c r="BN25" s="19">
        <v>2.3099860413972273</v>
      </c>
      <c r="BO25" s="19">
        <v>2.1492439994550949</v>
      </c>
      <c r="BP25" s="19">
        <v>2.3321490228233546</v>
      </c>
      <c r="BQ25" s="19">
        <v>2.0377769228250862</v>
      </c>
      <c r="BR25" s="19">
        <v>1.5004079994889885</v>
      </c>
      <c r="BS25" s="19">
        <v>1.9455026056112361</v>
      </c>
      <c r="BT25" s="19">
        <v>2.1618882178276064</v>
      </c>
      <c r="BU25" s="19">
        <v>2.0093279747776234</v>
      </c>
      <c r="BV25" s="19">
        <v>1.9150403730320156</v>
      </c>
      <c r="BW25" s="19">
        <v>2.0593727059126055</v>
      </c>
      <c r="BX25" s="19">
        <v>1.7174467794540018</v>
      </c>
      <c r="BY25" s="19">
        <v>2.2378179913253629</v>
      </c>
      <c r="BZ25" s="19">
        <v>1.3947905855066856</v>
      </c>
      <c r="CA25" s="19">
        <v>1.01132703183204</v>
      </c>
      <c r="CB25" s="19">
        <v>1.5721412076507852</v>
      </c>
      <c r="CC25" s="19">
        <v>2.0338137401024374</v>
      </c>
      <c r="CD25" s="19">
        <v>-0.66422059210850259</v>
      </c>
      <c r="CE25" s="19">
        <v>-6.0106356847943561</v>
      </c>
      <c r="CF25" s="19">
        <v>-4.5916280366847451</v>
      </c>
      <c r="CG25" s="19">
        <v>-3.0599973537142264</v>
      </c>
      <c r="CH25" s="19">
        <v>-1.1383420599163696</v>
      </c>
      <c r="CI25" s="19">
        <v>5.5968586405073921</v>
      </c>
      <c r="CJ25" s="19">
        <v>2.1666243677144617</v>
      </c>
      <c r="CK25" s="19">
        <v>2.8678843814186652</v>
      </c>
      <c r="CL25" s="19">
        <v>2.9360942640825942</v>
      </c>
      <c r="CM25" s="19">
        <v>1.876163594059445</v>
      </c>
      <c r="CN25" s="19">
        <v>1.5281265747793518</v>
      </c>
      <c r="CO25" s="19">
        <v>1.3566972193944695</v>
      </c>
      <c r="CP25" s="20">
        <v>1.2100701126584081</v>
      </c>
      <c r="CQ25" s="20">
        <v>0.56201238523728103</v>
      </c>
      <c r="CR25" s="20">
        <v>1.4110482739941836</v>
      </c>
      <c r="CS25" s="20">
        <v>0.92867550641354046</v>
      </c>
      <c r="CT25" s="20">
        <v>1.4315119749786425</v>
      </c>
      <c r="CU25" s="20">
        <v>2.1614385192235881</v>
      </c>
      <c r="CV25" s="20">
        <v>1.2027143071139121</v>
      </c>
      <c r="CW25" s="20">
        <v>1.1878461691482249</v>
      </c>
      <c r="CX25" s="20">
        <v>1.2145186361288638</v>
      </c>
      <c r="CY25" s="20">
        <f>[1]Qtr!CY25</f>
        <v>0.57447453952453242</v>
      </c>
      <c r="CZ25" s="31">
        <f>[2]Qtr!CZ25</f>
        <v>0.15371188215365694</v>
      </c>
      <c r="DA25" s="31">
        <f>[2]Qtr!DA25</f>
        <v>-0.24224717960529984</v>
      </c>
      <c r="DB25" s="20"/>
      <c r="DC25" s="20">
        <f>[2]Annual!Y25</f>
        <v>1.0177013095465106</v>
      </c>
      <c r="DD25" s="20">
        <f>[2]Annual!Z25</f>
        <v>1.4854386351558211</v>
      </c>
      <c r="DE25" s="20">
        <f>[2]Annual!AA25</f>
        <v>0.39374978826718887</v>
      </c>
      <c r="DF25" s="20"/>
    </row>
    <row r="26" spans="1:110" x14ac:dyDescent="0.2">
      <c r="A26" s="10" t="s">
        <v>13</v>
      </c>
      <c r="B26" s="19"/>
      <c r="C26" s="19"/>
      <c r="D26" s="19"/>
      <c r="E26" s="19"/>
      <c r="F26" s="19">
        <v>1.5962336407011664</v>
      </c>
      <c r="G26" s="19">
        <v>1.7690451979631374</v>
      </c>
      <c r="H26" s="19">
        <v>2.0006357615768686</v>
      </c>
      <c r="I26" s="19">
        <v>2.0124955898216612</v>
      </c>
      <c r="J26" s="19">
        <v>1.7021149093537584</v>
      </c>
      <c r="K26" s="19">
        <v>1.7847936715523871</v>
      </c>
      <c r="L26" s="19">
        <v>1.7353973233612756</v>
      </c>
      <c r="M26" s="19">
        <v>2.0558289951949376</v>
      </c>
      <c r="N26" s="19">
        <v>1.9886281713669136</v>
      </c>
      <c r="O26" s="19">
        <v>2.3372450522235466</v>
      </c>
      <c r="P26" s="19">
        <v>2.6193972246387993</v>
      </c>
      <c r="Q26" s="19">
        <v>3.2414985475815832</v>
      </c>
      <c r="R26" s="19">
        <v>3.9886729757007746</v>
      </c>
      <c r="S26" s="19">
        <v>4.8168117882752775</v>
      </c>
      <c r="T26" s="19">
        <v>4.5555806021742828</v>
      </c>
      <c r="U26" s="19">
        <v>2.878504455678466</v>
      </c>
      <c r="V26" s="19">
        <v>3.3257509834293035</v>
      </c>
      <c r="W26" s="19">
        <v>2.7870100408267553</v>
      </c>
      <c r="X26" s="19">
        <v>2.2337268498455263</v>
      </c>
      <c r="Y26" s="19">
        <v>2.1563248960728703</v>
      </c>
      <c r="Z26" s="19">
        <v>2.2520389178983562</v>
      </c>
      <c r="AA26" s="19">
        <v>3.5154044384437602</v>
      </c>
      <c r="AB26" s="19">
        <v>2.5991751400956309</v>
      </c>
      <c r="AC26" s="19">
        <v>4.1572339332972721</v>
      </c>
      <c r="AD26" s="19">
        <v>3.7061952489467576</v>
      </c>
      <c r="AE26" s="19">
        <v>3.5733773719697237</v>
      </c>
      <c r="AF26" s="19">
        <v>4.3166616074535726</v>
      </c>
      <c r="AG26" s="19">
        <v>3.8752125914523976</v>
      </c>
      <c r="AH26" s="19">
        <v>2.5967425980077596</v>
      </c>
      <c r="AI26" s="19">
        <v>2.7929910259867388</v>
      </c>
      <c r="AJ26" s="19">
        <v>1.9050217834000487</v>
      </c>
      <c r="AK26" s="19">
        <v>0.94180942203370188</v>
      </c>
      <c r="AL26" s="19">
        <v>1.0865672873957142</v>
      </c>
      <c r="AM26" s="19">
        <v>1.7125534353678005</v>
      </c>
      <c r="AN26" s="19">
        <v>2.5356353293867384</v>
      </c>
      <c r="AO26" s="19">
        <v>1.582510615604908</v>
      </c>
      <c r="AP26" s="19">
        <v>4.2822998676284385</v>
      </c>
      <c r="AQ26" s="19">
        <v>4.0353605288860397</v>
      </c>
      <c r="AR26" s="19">
        <v>4.0611118073712076</v>
      </c>
      <c r="AS26" s="19">
        <v>2.9706991995003262</v>
      </c>
      <c r="AT26" s="19">
        <v>1.6627413020472441</v>
      </c>
      <c r="AU26" s="19">
        <v>2.8054974420324523</v>
      </c>
      <c r="AV26" s="19">
        <v>2.7777396338539275</v>
      </c>
      <c r="AW26" s="19">
        <v>3.1373589276564262</v>
      </c>
      <c r="AX26" s="19">
        <v>3.9223060217580352</v>
      </c>
      <c r="AY26" s="19">
        <v>3.784377275208763</v>
      </c>
      <c r="AZ26" s="19">
        <v>4.0654701839812359</v>
      </c>
      <c r="BA26" s="19">
        <v>3.4936942470237291</v>
      </c>
      <c r="BB26" s="19">
        <v>3.2071967785448385</v>
      </c>
      <c r="BC26" s="19">
        <v>4.2708548295151498</v>
      </c>
      <c r="BD26" s="19">
        <v>4.3720572573243528</v>
      </c>
      <c r="BE26" s="19">
        <v>3.7888261664083758</v>
      </c>
      <c r="BF26" s="19">
        <v>3.8355737392120224</v>
      </c>
      <c r="BG26" s="19">
        <v>3.679104433803813</v>
      </c>
      <c r="BH26" s="19">
        <v>3.5767820686711076</v>
      </c>
      <c r="BI26" s="19">
        <v>2.8856374751157099</v>
      </c>
      <c r="BJ26" s="19">
        <v>3.0920844965468008</v>
      </c>
      <c r="BK26" s="19">
        <v>3.8660184398809232</v>
      </c>
      <c r="BL26" s="19">
        <v>4.2550462067493378</v>
      </c>
      <c r="BM26" s="19">
        <v>4.1720263897655396</v>
      </c>
      <c r="BN26" s="19">
        <v>4.3006628093777266</v>
      </c>
      <c r="BO26" s="19">
        <v>4.699152244293427</v>
      </c>
      <c r="BP26" s="19">
        <v>3.9206323363377265</v>
      </c>
      <c r="BQ26" s="19">
        <v>4.2812144730409889</v>
      </c>
      <c r="BR26" s="19">
        <v>3.6702906159651598</v>
      </c>
      <c r="BS26" s="19">
        <v>4.0146694470415314</v>
      </c>
      <c r="BT26" s="19">
        <v>4.3025954414273428</v>
      </c>
      <c r="BU26" s="19">
        <v>3.7229685363833585</v>
      </c>
      <c r="BV26" s="19">
        <v>3.5857251198013209</v>
      </c>
      <c r="BW26" s="19">
        <v>3.7065325639285116</v>
      </c>
      <c r="BX26" s="19">
        <v>3.795981511245631</v>
      </c>
      <c r="BY26" s="19">
        <v>3.3872853017974083</v>
      </c>
      <c r="BZ26" s="19">
        <v>3.8065968416611931</v>
      </c>
      <c r="CA26" s="19">
        <v>4.0524487004283065</v>
      </c>
      <c r="CB26" s="19">
        <v>3.8775711199836063</v>
      </c>
      <c r="CC26" s="19">
        <v>3.9054489646506658</v>
      </c>
      <c r="CD26" s="19">
        <v>9.6448749798762723E-2</v>
      </c>
      <c r="CE26" s="19">
        <v>-9.5590085057902971</v>
      </c>
      <c r="CF26" s="19">
        <v>-5.9774516909554558</v>
      </c>
      <c r="CG26" s="19">
        <v>-4.2694677556824496</v>
      </c>
      <c r="CH26" s="19">
        <v>-2.1606060417812545</v>
      </c>
      <c r="CI26" s="19">
        <v>5.5060522041361111</v>
      </c>
      <c r="CJ26" s="19">
        <v>4.5240625070120082</v>
      </c>
      <c r="CK26" s="19">
        <v>4.5397594059662731</v>
      </c>
      <c r="CL26" s="19">
        <v>4.9123029744949873</v>
      </c>
      <c r="CM26" s="19">
        <v>5.3812264596231678</v>
      </c>
      <c r="CN26" s="19">
        <v>5.73718816509541</v>
      </c>
      <c r="CO26" s="19">
        <v>5.5106388001266717</v>
      </c>
      <c r="CP26" s="20">
        <v>4.7020269716866583</v>
      </c>
      <c r="CQ26" s="20">
        <v>3.4712028135412396</v>
      </c>
      <c r="CR26" s="20">
        <v>4.1215994076491649</v>
      </c>
      <c r="CS26" s="20">
        <v>4.1592027877167155</v>
      </c>
      <c r="CT26" s="20">
        <v>3.9558523301488804</v>
      </c>
      <c r="CU26" s="20">
        <v>3.8999569760562722</v>
      </c>
      <c r="CV26" s="20">
        <v>3.6630807546998208</v>
      </c>
      <c r="CW26" s="20">
        <v>3.6320013967057565</v>
      </c>
      <c r="CX26" s="20">
        <v>3.3993745254689327</v>
      </c>
      <c r="CY26" s="20">
        <f>[1]Qtr!CY26</f>
        <v>3.9008201251027743</v>
      </c>
      <c r="CZ26" s="31">
        <f>[2]Qtr!CZ26</f>
        <v>3.1251262171906991</v>
      </c>
      <c r="DA26" s="31">
        <f>[2]Qtr!DA26</f>
        <v>2.8276298202988608</v>
      </c>
      <c r="DB26" s="20"/>
      <c r="DC26" s="20">
        <f>[2]Annual!Y26</f>
        <v>4.1033859429299371</v>
      </c>
      <c r="DD26" s="20">
        <f>[2]Annual!Z26</f>
        <v>3.7791492762411636</v>
      </c>
      <c r="DE26" s="20">
        <f>[2]Annual!AA26</f>
        <v>3.2965400857662495</v>
      </c>
      <c r="DF26" s="20"/>
    </row>
    <row r="27" spans="1:110" x14ac:dyDescent="0.2">
      <c r="A27" s="10" t="s">
        <v>17</v>
      </c>
      <c r="B27" s="19"/>
      <c r="C27" s="19"/>
      <c r="D27" s="19"/>
      <c r="E27" s="19"/>
      <c r="F27" s="19">
        <v>-0.23833142948754693</v>
      </c>
      <c r="G27" s="19">
        <v>1.894335775712819</v>
      </c>
      <c r="H27" s="19">
        <v>1.2423203062690447</v>
      </c>
      <c r="I27" s="19">
        <v>-1.4007874134242304</v>
      </c>
      <c r="J27" s="19">
        <v>1.4478714193790823</v>
      </c>
      <c r="K27" s="19">
        <v>-1.2420102473423522</v>
      </c>
      <c r="L27" s="19">
        <v>-0.81484239427687322</v>
      </c>
      <c r="M27" s="19">
        <v>1.9017068985202805</v>
      </c>
      <c r="N27" s="19">
        <v>-0.62103697252101508</v>
      </c>
      <c r="O27" s="19">
        <v>1.1549830522778772</v>
      </c>
      <c r="P27" s="19">
        <v>1.4338795193209577</v>
      </c>
      <c r="Q27" s="19">
        <v>-0.36918301505666834</v>
      </c>
      <c r="R27" s="19">
        <v>0.92900090145101388</v>
      </c>
      <c r="S27" s="19">
        <v>0.69345592531313238</v>
      </c>
      <c r="T27" s="19">
        <v>8.8957963831351378E-2</v>
      </c>
      <c r="U27" s="19">
        <v>0.18232106160154468</v>
      </c>
      <c r="V27" s="19">
        <v>0.4781434931969174</v>
      </c>
      <c r="W27" s="19">
        <v>-7.1607990469783611E-2</v>
      </c>
      <c r="X27" s="19">
        <v>0.81859728108669227</v>
      </c>
      <c r="Y27" s="19">
        <v>1.6949827635175991</v>
      </c>
      <c r="Z27" s="19">
        <v>-1.3230044175035566E-2</v>
      </c>
      <c r="AA27" s="19">
        <v>0.95986987200471685</v>
      </c>
      <c r="AB27" s="19">
        <v>-1.0429004149699697</v>
      </c>
      <c r="AC27" s="19">
        <v>-0.28779372748485554</v>
      </c>
      <c r="AD27" s="19">
        <v>-0.56856607900321887</v>
      </c>
      <c r="AE27" s="19">
        <v>0.47780961120494891</v>
      </c>
      <c r="AF27" s="19">
        <v>1.7522548052728804</v>
      </c>
      <c r="AG27" s="19">
        <v>-0.14141492848084455</v>
      </c>
      <c r="AH27" s="19">
        <v>0.45138018327324392</v>
      </c>
      <c r="AI27" s="19">
        <v>0.26609808278396668</v>
      </c>
      <c r="AJ27" s="19">
        <v>-4.7382852617691443E-2</v>
      </c>
      <c r="AK27" s="19">
        <v>1.885577266761963</v>
      </c>
      <c r="AL27" s="19">
        <v>2.1286969620252427</v>
      </c>
      <c r="AM27" s="19">
        <v>2.7362947015741539</v>
      </c>
      <c r="AN27" s="19">
        <v>2.8435557500351005</v>
      </c>
      <c r="AO27" s="19">
        <v>1.6495313151374542</v>
      </c>
      <c r="AP27" s="19">
        <v>2.05855798035252</v>
      </c>
      <c r="AQ27" s="19">
        <v>0.26368890760537833</v>
      </c>
      <c r="AR27" s="19">
        <v>3.4801960335950261E-2</v>
      </c>
      <c r="AS27" s="19">
        <v>-0.16296814038673987</v>
      </c>
      <c r="AT27" s="19">
        <v>-0.11626370635006147</v>
      </c>
      <c r="AU27" s="19">
        <v>-0.67189907264596727</v>
      </c>
      <c r="AV27" s="19">
        <v>-0.31657181174380666</v>
      </c>
      <c r="AW27" s="19">
        <v>0.60172552503719146</v>
      </c>
      <c r="AX27" s="19">
        <v>2.4499404112663454E-2</v>
      </c>
      <c r="AY27" s="19">
        <v>1.2313818926086</v>
      </c>
      <c r="AZ27" s="19">
        <v>1.3089597666564947</v>
      </c>
      <c r="BA27" s="19">
        <v>0.81991272718242414</v>
      </c>
      <c r="BB27" s="19">
        <v>1.7620098575125644</v>
      </c>
      <c r="BC27" s="19">
        <v>0.50634354453086139</v>
      </c>
      <c r="BD27" s="19">
        <v>2.1640000266910362</v>
      </c>
      <c r="BE27" s="19">
        <v>1.1130722229549039</v>
      </c>
      <c r="BF27" s="19">
        <v>1.1171689173615522</v>
      </c>
      <c r="BG27" s="19">
        <v>0.95416500652883551</v>
      </c>
      <c r="BH27" s="19">
        <v>-0.24907877137840553</v>
      </c>
      <c r="BI27" s="19">
        <v>0.24475480679845324</v>
      </c>
      <c r="BJ27" s="19">
        <v>0.28421526525457197</v>
      </c>
      <c r="BK27" s="19">
        <v>0.13787341339643039</v>
      </c>
      <c r="BL27" s="19">
        <v>0.29685264024011043</v>
      </c>
      <c r="BM27" s="19">
        <v>0.99309871632787883</v>
      </c>
      <c r="BN27" s="19">
        <v>0.89975213462330339</v>
      </c>
      <c r="BO27" s="19">
        <v>0.52120321433421546</v>
      </c>
      <c r="BP27" s="19">
        <v>0.43524094946245134</v>
      </c>
      <c r="BQ27" s="19">
        <v>-0.13731394981662826</v>
      </c>
      <c r="BR27" s="19">
        <v>0.62169948409829257</v>
      </c>
      <c r="BS27" s="19">
        <v>0.67086014895656421</v>
      </c>
      <c r="BT27" s="19">
        <v>0.90994818418391132</v>
      </c>
      <c r="BU27" s="19">
        <v>0.26000385837301132</v>
      </c>
      <c r="BV27" s="19">
        <v>0.25573803610306733</v>
      </c>
      <c r="BW27" s="19">
        <v>-8.8281543596690035E-2</v>
      </c>
      <c r="BX27" s="19">
        <v>0.55241289482642841</v>
      </c>
      <c r="BY27" s="19">
        <v>0.12459447866971801</v>
      </c>
      <c r="BZ27" s="19">
        <v>0.16645090578294086</v>
      </c>
      <c r="CA27" s="19">
        <v>8.2037617861243806E-2</v>
      </c>
      <c r="CB27" s="19">
        <v>-0.379210246924016</v>
      </c>
      <c r="CC27" s="19">
        <v>-0.45063619735299926</v>
      </c>
      <c r="CD27" s="19">
        <v>-1.0049466656466337</v>
      </c>
      <c r="CE27" s="19">
        <v>-2.14071322681077</v>
      </c>
      <c r="CF27" s="19">
        <v>-3.1609927934428641</v>
      </c>
      <c r="CG27" s="19">
        <v>-4.6586587047741554</v>
      </c>
      <c r="CH27" s="19">
        <v>-7.0696363880649251</v>
      </c>
      <c r="CI27" s="19">
        <v>-4.3505456909856104</v>
      </c>
      <c r="CJ27" s="19">
        <v>-3.7372838367347172</v>
      </c>
      <c r="CK27" s="19">
        <v>0.53465690074111327</v>
      </c>
      <c r="CL27" s="19">
        <v>2.5931772978047909</v>
      </c>
      <c r="CM27" s="19">
        <v>2.133653758470587</v>
      </c>
      <c r="CN27" s="19">
        <v>3.0772010757312813</v>
      </c>
      <c r="CO27" s="19">
        <v>2.4702078012441349</v>
      </c>
      <c r="CP27" s="20">
        <v>3.8075479675345925</v>
      </c>
      <c r="CQ27" s="20">
        <v>4.4457327809648719</v>
      </c>
      <c r="CR27" s="20">
        <v>6.4041993887227369</v>
      </c>
      <c r="CS27" s="20">
        <v>5.8952226211821106</v>
      </c>
      <c r="CT27" s="20">
        <v>4.4476143459929141</v>
      </c>
      <c r="CU27" s="20">
        <v>2.2277961190987514</v>
      </c>
      <c r="CV27" s="20">
        <v>2.1686370875916778</v>
      </c>
      <c r="CW27" s="20">
        <v>1.576887235010076</v>
      </c>
      <c r="CX27" s="20">
        <v>2.4307279018674306</v>
      </c>
      <c r="CY27" s="20">
        <f>[1]Qtr!CY27</f>
        <v>3.0435512698072813</v>
      </c>
      <c r="CZ27" s="31">
        <f>[2]Qtr!CZ27</f>
        <v>1.9726436235757321</v>
      </c>
      <c r="DA27" s="31">
        <f>[2]Qtr!DA27</f>
        <v>1.265724460061425</v>
      </c>
      <c r="DB27" s="20"/>
      <c r="DC27" s="20">
        <f>[2]Annual!Y27</f>
        <v>5.1773073804286156</v>
      </c>
      <c r="DD27" s="20">
        <f>[2]Annual!Z27</f>
        <v>2.5362180893583552</v>
      </c>
      <c r="DE27" s="20">
        <f>[2]Annual!AA27</f>
        <v>2.1450298031547304</v>
      </c>
      <c r="DF27" s="20"/>
    </row>
    <row r="28" spans="1:110" x14ac:dyDescent="0.2">
      <c r="A28" s="10" t="s">
        <v>18</v>
      </c>
      <c r="B28" s="19"/>
      <c r="C28" s="19"/>
      <c r="D28" s="19"/>
      <c r="E28" s="19"/>
      <c r="F28" s="19">
        <v>1.9448297078517922</v>
      </c>
      <c r="G28" s="19">
        <v>4.8842862448823672</v>
      </c>
      <c r="H28" s="19">
        <v>4.0861854143091154</v>
      </c>
      <c r="I28" s="19">
        <v>1.6384530268107727</v>
      </c>
      <c r="J28" s="19">
        <v>4.9696582321806027</v>
      </c>
      <c r="K28" s="19">
        <v>2.0549694363878723</v>
      </c>
      <c r="L28" s="19">
        <v>1.6097470033271419</v>
      </c>
      <c r="M28" s="19">
        <v>6.1148287797450811</v>
      </c>
      <c r="N28" s="19">
        <v>3.5310960175656056</v>
      </c>
      <c r="O28" s="19">
        <v>5.1706192019981803</v>
      </c>
      <c r="P28" s="19">
        <v>6.4877332956684475</v>
      </c>
      <c r="Q28" s="19">
        <v>4.8477947135930766</v>
      </c>
      <c r="R28" s="19">
        <v>7.448410684044009</v>
      </c>
      <c r="S28" s="19">
        <v>7.4980449273902385</v>
      </c>
      <c r="T28" s="19">
        <v>5.7602521509930504</v>
      </c>
      <c r="U28" s="19">
        <v>5.2322996186067403</v>
      </c>
      <c r="V28" s="19">
        <v>5.0276307729353418</v>
      </c>
      <c r="W28" s="19">
        <v>5.0661431812993749</v>
      </c>
      <c r="X28" s="19">
        <v>4.8090572734862755</v>
      </c>
      <c r="Y28" s="19">
        <v>6.0391349295154386</v>
      </c>
      <c r="Z28" s="19">
        <v>4.0660026373522662</v>
      </c>
      <c r="AA28" s="19">
        <v>6.3652062891428134</v>
      </c>
      <c r="AB28" s="19">
        <v>3.2247031047711614</v>
      </c>
      <c r="AC28" s="19">
        <v>5.1720978438356582</v>
      </c>
      <c r="AD28" s="19">
        <v>5.0402069193439196</v>
      </c>
      <c r="AE28" s="19">
        <v>6.6999580206022937</v>
      </c>
      <c r="AF28" s="19">
        <v>7.7780557707876454</v>
      </c>
      <c r="AG28" s="19">
        <v>5.8105491348775375</v>
      </c>
      <c r="AH28" s="19">
        <v>4.2859644551522926</v>
      </c>
      <c r="AI28" s="19">
        <v>4.612380384103747</v>
      </c>
      <c r="AJ28" s="19">
        <v>4.8981906432394213</v>
      </c>
      <c r="AK28" s="19">
        <v>4.7819712028686139</v>
      </c>
      <c r="AL28" s="19">
        <v>3.1550245768348129</v>
      </c>
      <c r="AM28" s="19">
        <v>4.461894255031444</v>
      </c>
      <c r="AN28" s="19">
        <v>3.6921594105527893</v>
      </c>
      <c r="AO28" s="19">
        <v>3.2673722805195027</v>
      </c>
      <c r="AP28" s="19">
        <v>9.3706582660256377</v>
      </c>
      <c r="AQ28" s="19">
        <v>7.3578064006142911</v>
      </c>
      <c r="AR28" s="19">
        <v>6.3276753015764342</v>
      </c>
      <c r="AS28" s="19">
        <v>5.4677597032703442</v>
      </c>
      <c r="AT28" s="19">
        <v>4.1806131797846362</v>
      </c>
      <c r="AU28" s="19">
        <v>2.5134025747725683</v>
      </c>
      <c r="AV28" s="19">
        <v>2.4046823321057942</v>
      </c>
      <c r="AW28" s="19">
        <v>4.2370340641305706</v>
      </c>
      <c r="AX28" s="19">
        <v>5.4345189763818773</v>
      </c>
      <c r="AY28" s="19">
        <v>6.8524356784626006</v>
      </c>
      <c r="AZ28" s="19">
        <v>7.9827203892631715</v>
      </c>
      <c r="BA28" s="19">
        <v>7.8732389011241288</v>
      </c>
      <c r="BB28" s="19">
        <v>8.6021999104796869</v>
      </c>
      <c r="BC28" s="19">
        <v>7.2558667089751534</v>
      </c>
      <c r="BD28" s="19">
        <v>8.1822561203648903</v>
      </c>
      <c r="BE28" s="19">
        <v>5.9236855337552834</v>
      </c>
      <c r="BF28" s="19">
        <v>6.2031963625332249</v>
      </c>
      <c r="BG28" s="19">
        <v>7.201143314077127</v>
      </c>
      <c r="BH28" s="19">
        <v>5.0024748498944227</v>
      </c>
      <c r="BI28" s="19">
        <v>6.2599899071698966</v>
      </c>
      <c r="BJ28" s="19">
        <v>4.9469792038585201</v>
      </c>
      <c r="BK28" s="19">
        <v>5.8863666576801847</v>
      </c>
      <c r="BL28" s="19">
        <v>6.1773572779669736</v>
      </c>
      <c r="BM28" s="19">
        <v>7.3199905782210504</v>
      </c>
      <c r="BN28" s="19">
        <v>7.0627866529425605</v>
      </c>
      <c r="BO28" s="19">
        <v>7.2370096500048922</v>
      </c>
      <c r="BP28" s="19">
        <v>7.0037484258000697</v>
      </c>
      <c r="BQ28" s="19">
        <v>6.0550280459081005</v>
      </c>
      <c r="BR28" s="19">
        <v>6.2920745792988795</v>
      </c>
      <c r="BS28" s="19">
        <v>7.1620135737963082</v>
      </c>
      <c r="BT28" s="19">
        <v>7.6798578733103069</v>
      </c>
      <c r="BU28" s="19">
        <v>6.2569726074125356</v>
      </c>
      <c r="BV28" s="19">
        <v>6.0020933560381708</v>
      </c>
      <c r="BW28" s="19">
        <v>5.6817675095585578</v>
      </c>
      <c r="BX28" s="19">
        <v>6.0692222001293032</v>
      </c>
      <c r="BY28" s="19">
        <v>5.9099731967183766</v>
      </c>
      <c r="BZ28" s="19">
        <v>5.4179813953905693</v>
      </c>
      <c r="CA28" s="19">
        <v>5.2040751302059869</v>
      </c>
      <c r="CB28" s="19">
        <v>5.3060321624564288</v>
      </c>
      <c r="CC28" s="19">
        <v>5.5684422159579201</v>
      </c>
      <c r="CD28" s="19">
        <v>-1.5960483464815725</v>
      </c>
      <c r="CE28" s="19">
        <v>-17.596722093095359</v>
      </c>
      <c r="CF28" s="19">
        <v>-13.637301912674113</v>
      </c>
      <c r="CG28" s="19">
        <v>-12.220395300601435</v>
      </c>
      <c r="CH28" s="19">
        <v>-10.484158579820615</v>
      </c>
      <c r="CI28" s="19">
        <v>6.7496918466503839</v>
      </c>
      <c r="CJ28" s="19">
        <v>2.8021597344040541</v>
      </c>
      <c r="CK28" s="19">
        <v>8.0882187549687909</v>
      </c>
      <c r="CL28" s="19">
        <v>10.459702617811596</v>
      </c>
      <c r="CM28" s="19">
        <v>9.4102789104284117</v>
      </c>
      <c r="CN28" s="19">
        <v>10.526251538483631</v>
      </c>
      <c r="CO28" s="19">
        <v>9.3080379218952167</v>
      </c>
      <c r="CP28" s="20">
        <v>9.9236672219784623</v>
      </c>
      <c r="CQ28" s="20">
        <v>8.4944084896981842</v>
      </c>
      <c r="CR28" s="20">
        <v>12.015558468608027</v>
      </c>
      <c r="CS28" s="20">
        <v>11.098105844060743</v>
      </c>
      <c r="CT28" s="20">
        <v>9.875816308201447</v>
      </c>
      <c r="CU28" s="20">
        <v>8.1211185343375174</v>
      </c>
      <c r="CV28" s="20">
        <v>6.8394385150942743</v>
      </c>
      <c r="CW28" s="20">
        <v>6.26725931774088</v>
      </c>
      <c r="CX28" s="20">
        <v>7.2154846749593426</v>
      </c>
      <c r="CY28" s="20">
        <f>[1]Qtr!CY28</f>
        <v>7.979839013977541</v>
      </c>
      <c r="CZ28" s="31">
        <f>[2]Qtr!CZ28</f>
        <v>5.4409236608512606</v>
      </c>
      <c r="DA28" s="31">
        <f>[2]Qtr!DA28</f>
        <v>3.9230940355483646</v>
      </c>
      <c r="DB28" s="20"/>
      <c r="DC28" s="20">
        <f>[2]Annual!Y28</f>
        <v>10.400322919912362</v>
      </c>
      <c r="DD28" s="20">
        <f>[2]Annual!Z28</f>
        <v>7.684841435728945</v>
      </c>
      <c r="DE28" s="20">
        <f>[2]Annual!AA28</f>
        <v>6.0543360413356409</v>
      </c>
      <c r="DF28" s="20"/>
    </row>
    <row r="29" spans="1:110" x14ac:dyDescent="0.2">
      <c r="A29" s="12" t="s">
        <v>43</v>
      </c>
      <c r="B29" s="19">
        <v>119.17519342015272</v>
      </c>
      <c r="C29" s="19">
        <v>122.32502742068239</v>
      </c>
      <c r="D29" s="19">
        <v>116.65871540844783</v>
      </c>
      <c r="E29" s="19">
        <v>133.95338560361031</v>
      </c>
      <c r="F29" s="19">
        <v>125.818660136228</v>
      </c>
      <c r="G29" s="19">
        <v>123.95183732797594</v>
      </c>
      <c r="H29" s="19">
        <v>116.2444129391001</v>
      </c>
      <c r="I29" s="19">
        <v>131.65328153862339</v>
      </c>
      <c r="J29" s="19">
        <v>133.5826552556361</v>
      </c>
      <c r="K29" s="19">
        <v>123.66744803651586</v>
      </c>
      <c r="L29" s="19">
        <v>113.62129685396975</v>
      </c>
      <c r="M29" s="19">
        <v>123.29999377597767</v>
      </c>
      <c r="N29" s="19">
        <v>121.7128691892988</v>
      </c>
      <c r="O29" s="19">
        <v>125.39018395936577</v>
      </c>
      <c r="P29" s="19">
        <v>112.92236786233045</v>
      </c>
      <c r="Q29" s="19">
        <v>126.46041652621373</v>
      </c>
      <c r="R29" s="19">
        <v>117.57534569148757</v>
      </c>
      <c r="S29" s="19">
        <v>124.57709446340033</v>
      </c>
      <c r="T29" s="19">
        <v>108.17440578960276</v>
      </c>
      <c r="U29" s="19">
        <v>116.00612877574419</v>
      </c>
      <c r="V29" s="19">
        <v>109.07961031905418</v>
      </c>
      <c r="W29" s="19">
        <v>117.95306335895499</v>
      </c>
      <c r="X29" s="19">
        <v>103.47880875459454</v>
      </c>
      <c r="Y29" s="19">
        <v>119.33103452904277</v>
      </c>
      <c r="Z29" s="19">
        <v>115.75402488348668</v>
      </c>
      <c r="AA29" s="19">
        <v>111.21079817019964</v>
      </c>
      <c r="AB29" s="19">
        <v>100.09045956808187</v>
      </c>
      <c r="AC29" s="19">
        <v>114.99581210613337</v>
      </c>
      <c r="AD29" s="19">
        <v>116.8925396880702</v>
      </c>
      <c r="AE29" s="19">
        <v>111.80831752597915</v>
      </c>
      <c r="AF29" s="19">
        <v>100.09065600996117</v>
      </c>
      <c r="AG29" s="19">
        <v>110.70307044992724</v>
      </c>
      <c r="AH29" s="19">
        <v>111.73034802407678</v>
      </c>
      <c r="AI29" s="19">
        <v>103.05277645152826</v>
      </c>
      <c r="AJ29" s="19">
        <v>98.35034024285207</v>
      </c>
      <c r="AK29" s="19">
        <v>128.26831972583793</v>
      </c>
      <c r="AL29" s="19">
        <v>105.74448308276104</v>
      </c>
      <c r="AM29" s="19">
        <v>113.77201250212488</v>
      </c>
      <c r="AN29" s="19">
        <v>106.22751298427605</v>
      </c>
      <c r="AO29" s="19">
        <v>130.73467134730109</v>
      </c>
      <c r="AP29" s="19">
        <v>107.01665534803469</v>
      </c>
      <c r="AQ29" s="19">
        <v>115.45282966567495</v>
      </c>
      <c r="AR29" s="19">
        <v>111.16472708311194</v>
      </c>
      <c r="AS29" s="19">
        <v>125.62339213362471</v>
      </c>
      <c r="AT29" s="19">
        <v>104.6116384425488</v>
      </c>
      <c r="AU29" s="19">
        <v>106.55849406756457</v>
      </c>
      <c r="AV29" s="19">
        <v>101.88232209832186</v>
      </c>
      <c r="AW29" s="19">
        <v>113.23183918644382</v>
      </c>
      <c r="AX29" s="19">
        <v>102.5894706712258</v>
      </c>
      <c r="AY29" s="19">
        <v>105.47639758136627</v>
      </c>
      <c r="AZ29" s="19">
        <v>105.61578782627505</v>
      </c>
      <c r="BA29" s="19">
        <v>114.12865055060819</v>
      </c>
      <c r="BB29" s="19">
        <v>108.40782416441799</v>
      </c>
      <c r="BC29" s="19">
        <v>107.97142836345337</v>
      </c>
      <c r="BD29" s="19">
        <v>107.03562190946205</v>
      </c>
      <c r="BE29" s="19">
        <v>115.61339517806969</v>
      </c>
      <c r="BF29" s="19">
        <v>105.75435101754557</v>
      </c>
      <c r="BG29" s="19">
        <v>110.73227334085247</v>
      </c>
      <c r="BH29" s="19">
        <v>106.14993184136725</v>
      </c>
      <c r="BI29" s="19">
        <v>120.25129195741854</v>
      </c>
      <c r="BJ29" s="19">
        <v>106.4073372204309</v>
      </c>
      <c r="BK29" s="19">
        <v>111.76360063102612</v>
      </c>
      <c r="BL29" s="19">
        <v>101.12624722414907</v>
      </c>
      <c r="BM29" s="19">
        <v>115.17817509185957</v>
      </c>
      <c r="BN29" s="19">
        <v>103.47531886708853</v>
      </c>
      <c r="BO29" s="19">
        <v>103.86578356575964</v>
      </c>
      <c r="BP29" s="19">
        <v>99.589961710055121</v>
      </c>
      <c r="BQ29" s="19">
        <v>113.8772967449498</v>
      </c>
      <c r="BR29" s="19">
        <v>100.04372285911636</v>
      </c>
      <c r="BS29" s="19">
        <v>100.82380662639829</v>
      </c>
      <c r="BT29" s="19">
        <v>100.16708921397392</v>
      </c>
      <c r="BU29" s="19">
        <v>114.57938186126898</v>
      </c>
      <c r="BV29" s="19">
        <v>97.62464582505109</v>
      </c>
      <c r="BW29" s="19">
        <v>96.976465571289879</v>
      </c>
      <c r="BX29" s="19">
        <v>97.784672478291284</v>
      </c>
      <c r="BY29" s="19">
        <v>108.05705670808953</v>
      </c>
      <c r="BZ29" s="19">
        <v>94.956588903866887</v>
      </c>
      <c r="CA29" s="19">
        <v>96.510279133654834</v>
      </c>
      <c r="CB29" s="19">
        <v>91.950926660335142</v>
      </c>
      <c r="CC29" s="19">
        <v>106.15254924255966</v>
      </c>
      <c r="CD29" s="19">
        <v>98.650273705892374</v>
      </c>
      <c r="CE29" s="19">
        <v>97.913115633008658</v>
      </c>
      <c r="CF29" s="19">
        <v>92.202859243949931</v>
      </c>
      <c r="CG29" s="19">
        <v>107.93161109574594</v>
      </c>
      <c r="CH29" s="19">
        <v>97.826262834550178</v>
      </c>
      <c r="CI29" s="19">
        <v>89.635502628435518</v>
      </c>
      <c r="CJ29" s="19">
        <v>85.173400172493501</v>
      </c>
      <c r="CK29" s="19">
        <v>97.808620764803493</v>
      </c>
      <c r="CL29" s="19">
        <v>92.490912789460396</v>
      </c>
      <c r="CM29" s="19">
        <v>85.531632812963593</v>
      </c>
      <c r="CN29" s="19">
        <v>82.142069134595403</v>
      </c>
      <c r="CO29" s="19">
        <v>99.132088897106343</v>
      </c>
      <c r="CP29" s="20">
        <v>92.248016892548975</v>
      </c>
      <c r="CQ29" s="20">
        <v>88.325403882842508</v>
      </c>
      <c r="CR29" s="20">
        <v>84.681964087684179</v>
      </c>
      <c r="CS29" s="20">
        <v>97.554822821024118</v>
      </c>
      <c r="CT29" s="20">
        <v>93.496617529505116</v>
      </c>
      <c r="CU29" s="20">
        <v>86.79400567915215</v>
      </c>
      <c r="CV29" s="20">
        <v>84.421315744687575</v>
      </c>
      <c r="CW29" s="20">
        <v>95.320849078857222</v>
      </c>
      <c r="CX29" s="20">
        <v>92.24881852821629</v>
      </c>
      <c r="CY29" s="20">
        <f>[1]Qtr!CY29</f>
        <v>88.163033544188224</v>
      </c>
      <c r="CZ29" s="31">
        <f>[2]Qtr!CZ29</f>
        <v>84.649465030012379</v>
      </c>
      <c r="DA29" s="31">
        <f>[2]Qtr!DA29</f>
        <v>97.003352742754217</v>
      </c>
      <c r="DB29" s="20"/>
      <c r="DC29" s="20">
        <f>[2]Annual!Y29</f>
        <v>90.520623891965187</v>
      </c>
      <c r="DD29" s="20">
        <f>[2]Annual!Z29</f>
        <v>89.807891774966578</v>
      </c>
      <c r="DE29" s="20">
        <f>[2]Annual!AA29</f>
        <v>90.465097043109495</v>
      </c>
      <c r="DF29" s="20"/>
    </row>
    <row r="30" spans="1:110" x14ac:dyDescent="0.2">
      <c r="A30" s="13" t="s">
        <v>19</v>
      </c>
      <c r="B30" s="18">
        <v>79268.877299195607</v>
      </c>
      <c r="C30" s="18">
        <v>90785.461708565257</v>
      </c>
      <c r="D30" s="18">
        <v>79762.083097279363</v>
      </c>
      <c r="E30" s="18">
        <v>148873.92182222856</v>
      </c>
      <c r="F30" s="18">
        <v>120319.08101194545</v>
      </c>
      <c r="G30" s="18">
        <v>106876.00308369765</v>
      </c>
      <c r="H30" s="18">
        <v>76222.878983030765</v>
      </c>
      <c r="I30" s="18">
        <v>129774.38754396919</v>
      </c>
      <c r="J30" s="18">
        <v>148308.91475000448</v>
      </c>
      <c r="K30" s="18">
        <v>108786.20764594374</v>
      </c>
      <c r="L30" s="18">
        <v>70276.872785309388</v>
      </c>
      <c r="M30" s="18">
        <v>114802.85236435774</v>
      </c>
      <c r="N30" s="18">
        <v>109437.84797786255</v>
      </c>
      <c r="O30" s="18">
        <v>124795.27256158364</v>
      </c>
      <c r="P30" s="18">
        <v>71866.697217396926</v>
      </c>
      <c r="Q30" s="18">
        <v>134378.2028779987</v>
      </c>
      <c r="R30" s="18">
        <v>90059.400034063045</v>
      </c>
      <c r="S30" s="18">
        <v>127689.05970190476</v>
      </c>
      <c r="T30" s="18">
        <v>47829.946862018842</v>
      </c>
      <c r="U30" s="18">
        <v>94432.948295237031</v>
      </c>
      <c r="V30" s="18">
        <v>51493.403526876609</v>
      </c>
      <c r="W30" s="18">
        <v>106747.74907576531</v>
      </c>
      <c r="X30" s="18">
        <v>22803.752606244376</v>
      </c>
      <c r="Y30" s="18">
        <v>116507.23440843962</v>
      </c>
      <c r="Z30" s="18">
        <v>98033.09537574272</v>
      </c>
      <c r="AA30" s="18">
        <v>74548.795268059708</v>
      </c>
      <c r="AB30" s="18">
        <v>606.59247871497064</v>
      </c>
      <c r="AC30" s="18">
        <v>90568.6079400163</v>
      </c>
      <c r="AD30" s="18">
        <v>105955.68094836273</v>
      </c>
      <c r="AE30" s="18">
        <v>76877.516666797077</v>
      </c>
      <c r="AF30" s="18">
        <v>624.0644399462617</v>
      </c>
      <c r="AG30" s="18">
        <v>67995.004302136105</v>
      </c>
      <c r="AH30" s="18">
        <v>72024.084380360466</v>
      </c>
      <c r="AI30" s="18">
        <v>21457.631857793564</v>
      </c>
      <c r="AJ30" s="18">
        <v>-11899.856833248552</v>
      </c>
      <c r="AK30" s="18">
        <v>162693.80503466228</v>
      </c>
      <c r="AL30" s="18">
        <v>35187.166142741211</v>
      </c>
      <c r="AM30" s="18">
        <v>89932.494424932695</v>
      </c>
      <c r="AN30" s="18">
        <v>40474.028632980961</v>
      </c>
      <c r="AO30" s="18">
        <v>171306.43646455643</v>
      </c>
      <c r="AP30" s="18">
        <v>52244.438709359041</v>
      </c>
      <c r="AQ30" s="18">
        <v>122033.0682127449</v>
      </c>
      <c r="AR30" s="18">
        <v>84799.670761280693</v>
      </c>
      <c r="AS30" s="18">
        <v>172742.58500701349</v>
      </c>
      <c r="AT30" s="18">
        <v>37380.038341456224</v>
      </c>
      <c r="AU30" s="18">
        <v>54923.769184084398</v>
      </c>
      <c r="AV30" s="18">
        <v>13876.640624149208</v>
      </c>
      <c r="AW30" s="18">
        <v>89118.68644742608</v>
      </c>
      <c r="AX30" s="18">
        <v>20812.23496231516</v>
      </c>
      <c r="AY30" s="18">
        <v>49900.874661701586</v>
      </c>
      <c r="AZ30" s="18">
        <v>42898.811347000708</v>
      </c>
      <c r="BA30" s="18">
        <v>105708.77638999198</v>
      </c>
      <c r="BB30" s="18">
        <v>65933.078995544405</v>
      </c>
      <c r="BC30" s="18">
        <v>72379.014341144109</v>
      </c>
      <c r="BD30" s="18">
        <v>60008.325637796952</v>
      </c>
      <c r="BE30" s="18">
        <v>122983.18108805839</v>
      </c>
      <c r="BF30" s="18">
        <v>53036.867584379899</v>
      </c>
      <c r="BG30" s="18">
        <v>102254.5061810762</v>
      </c>
      <c r="BH30" s="18">
        <v>58812.578558288224</v>
      </c>
      <c r="BI30" s="18">
        <v>172183.56748194376</v>
      </c>
      <c r="BJ30" s="18">
        <v>66346.949525651988</v>
      </c>
      <c r="BK30" s="18">
        <v>123599.58014796206</v>
      </c>
      <c r="BL30" s="18">
        <v>12398.769974572904</v>
      </c>
      <c r="BM30" s="18">
        <v>152238.30704821795</v>
      </c>
      <c r="BN30" s="18">
        <v>41835.53474163654</v>
      </c>
      <c r="BO30" s="18">
        <v>49680.711590007239</v>
      </c>
      <c r="BP30" s="18">
        <v>-5081.4589349291055</v>
      </c>
      <c r="BQ30" s="18">
        <v>159965.75520026148</v>
      </c>
      <c r="BR30" s="18">
        <v>606.30059495341266</v>
      </c>
      <c r="BS30" s="18">
        <v>12275.844502748456</v>
      </c>
      <c r="BT30" s="18">
        <v>2456.7861042340519</v>
      </c>
      <c r="BU30" s="18">
        <v>197659.77912039845</v>
      </c>
      <c r="BV30" s="18">
        <v>-37081.935136983055</v>
      </c>
      <c r="BW30" s="18">
        <v>-52989.418620124343</v>
      </c>
      <c r="BX30" s="18">
        <v>-37731.317065258743</v>
      </c>
      <c r="BY30" s="18">
        <v>126819.03515252017</v>
      </c>
      <c r="BZ30" s="18">
        <v>-85369.785100569716</v>
      </c>
      <c r="CA30" s="18">
        <v>-62432.097652999451</v>
      </c>
      <c r="CB30" s="18">
        <v>-142187.25787892204</v>
      </c>
      <c r="CC30" s="18">
        <v>98443.508242337848</v>
      </c>
      <c r="CD30" s="18">
        <v>-21145.350053383794</v>
      </c>
      <c r="CE30" s="18">
        <v>-23918.007457534142</v>
      </c>
      <c r="CF30" s="18">
        <v>-112412.75510503864</v>
      </c>
      <c r="CG30" s="18">
        <v>104865.12492354284</v>
      </c>
      <c r="CH30" s="18">
        <v>-31508.721504695422</v>
      </c>
      <c r="CI30" s="18">
        <v>-167293.40103315248</v>
      </c>
      <c r="CJ30" s="18">
        <v>-246518.88383869163</v>
      </c>
      <c r="CK30" s="18">
        <v>-33917.327848882531</v>
      </c>
      <c r="CL30" s="18">
        <v>-127356.38528820733</v>
      </c>
      <c r="CM30" s="18">
        <v>-263561.79925214592</v>
      </c>
      <c r="CN30" s="18">
        <v>-351654.10778705613</v>
      </c>
      <c r="CO30" s="18">
        <v>-14699.284633515403</v>
      </c>
      <c r="CP30" s="18">
        <v>-135372.08138445567</v>
      </c>
      <c r="CQ30" s="18">
        <v>-212764.22885397961</v>
      </c>
      <c r="CR30" s="18">
        <v>-298335.16271563771</v>
      </c>
      <c r="CS30" s="18">
        <v>-41779.527647670708</v>
      </c>
      <c r="CT30" s="18">
        <v>-118056.95491367287</v>
      </c>
      <c r="CU30" s="18">
        <v>-254094.8145197907</v>
      </c>
      <c r="CV30" s="18">
        <v>-313105.92326775298</v>
      </c>
      <c r="CW30" s="18">
        <v>-83215.579564533546</v>
      </c>
      <c r="CX30" s="18">
        <v>-154290.59240803216</v>
      </c>
      <c r="CY30" s="18">
        <f>[1]Qtr!CY30</f>
        <v>-235111.27521004539</v>
      </c>
      <c r="CZ30" s="32">
        <f>[2]Qtr!CZ30</f>
        <v>-323404.74156422715</v>
      </c>
      <c r="DA30" s="32">
        <f>[2]Qtr!DA30</f>
        <v>-56818.781024602242</v>
      </c>
      <c r="DB30" s="18"/>
      <c r="DC30" s="18">
        <f>[2]Annual!Y30</f>
        <v>-688251.0006017437</v>
      </c>
      <c r="DD30" s="18">
        <f>[2]Annual!Z30</f>
        <v>-768473.2722657501</v>
      </c>
      <c r="DE30" s="18">
        <f>[2]Annual!AA30</f>
        <v>-769625.39020690694</v>
      </c>
      <c r="DF30" s="18"/>
    </row>
    <row r="31" spans="1:110" x14ac:dyDescent="0.2">
      <c r="A31" s="5" t="s">
        <v>20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  <c r="AZ31" s="19"/>
      <c r="BA31" s="1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19"/>
      <c r="BQ31" s="19"/>
      <c r="BR31" s="1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19"/>
      <c r="CH31" s="19"/>
      <c r="CI31" s="1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24"/>
      <c r="CV31" s="24"/>
      <c r="CW31" s="24"/>
      <c r="CX31" s="24"/>
      <c r="CY31" s="24"/>
      <c r="CZ31" s="30"/>
      <c r="DA31" s="30"/>
      <c r="DB31" s="24"/>
      <c r="DC31" s="24"/>
      <c r="DD31" s="24"/>
      <c r="DE31" s="24"/>
      <c r="DF31" s="24"/>
    </row>
    <row r="32" spans="1:110" x14ac:dyDescent="0.2">
      <c r="A32" s="7" t="s">
        <v>21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  <c r="AZ32" s="19"/>
      <c r="BA32" s="1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19"/>
      <c r="BQ32" s="19"/>
      <c r="BR32" s="1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19"/>
      <c r="CH32" s="19"/>
      <c r="CI32" s="1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24"/>
      <c r="CV32" s="24"/>
      <c r="CW32" s="24"/>
      <c r="CX32" s="24"/>
      <c r="CY32" s="24"/>
      <c r="CZ32" s="30"/>
      <c r="DA32" s="30"/>
      <c r="DB32" s="24"/>
      <c r="DC32" s="24"/>
      <c r="DD32" s="24"/>
      <c r="DE32" s="24"/>
      <c r="DF32" s="24"/>
    </row>
    <row r="33" spans="1:110" x14ac:dyDescent="0.2">
      <c r="A33" s="8" t="s">
        <v>22</v>
      </c>
      <c r="B33" s="18">
        <v>-8582.8976841953699</v>
      </c>
      <c r="C33" s="18">
        <v>6653.6354190126294</v>
      </c>
      <c r="D33" s="18">
        <v>26985.919991681643</v>
      </c>
      <c r="E33" s="18">
        <v>31703.417820037925</v>
      </c>
      <c r="F33" s="18">
        <v>6213.6377101833932</v>
      </c>
      <c r="G33" s="18">
        <v>-54716.804270051012</v>
      </c>
      <c r="H33" s="18">
        <v>-37559.575999982771</v>
      </c>
      <c r="I33" s="18">
        <v>-18144.464434643625</v>
      </c>
      <c r="J33" s="18">
        <v>-7954.1697694738978</v>
      </c>
      <c r="K33" s="18">
        <v>-48988.58376599988</v>
      </c>
      <c r="L33" s="18">
        <v>-54453.001126545598</v>
      </c>
      <c r="M33" s="18">
        <v>-55380.526798688108</v>
      </c>
      <c r="N33" s="18">
        <v>-61135.842825968342</v>
      </c>
      <c r="O33" s="18">
        <v>-44004.199281360081</v>
      </c>
      <c r="P33" s="18">
        <v>-7096.2301584526431</v>
      </c>
      <c r="Q33" s="18">
        <v>-27628.251122010639</v>
      </c>
      <c r="R33" s="18">
        <v>-53408.356373430346</v>
      </c>
      <c r="S33" s="18">
        <v>-59543.558191549964</v>
      </c>
      <c r="T33" s="18">
        <v>-34930.588548125816</v>
      </c>
      <c r="U33" s="18">
        <v>-36942.30559461005</v>
      </c>
      <c r="V33" s="18">
        <v>-36697.650080909603</v>
      </c>
      <c r="W33" s="18">
        <v>-41754.920732658356</v>
      </c>
      <c r="X33" s="18">
        <v>-16588.449975853669</v>
      </c>
      <c r="Y33" s="18">
        <v>13051.385674968013</v>
      </c>
      <c r="Z33" s="18">
        <v>19626.274902140955</v>
      </c>
      <c r="AA33" s="18">
        <v>27131.543872333015</v>
      </c>
      <c r="AB33" s="18">
        <v>24460.080089513445</v>
      </c>
      <c r="AC33" s="18">
        <v>36233.83788716991</v>
      </c>
      <c r="AD33" s="18">
        <v>79748.79197534977</v>
      </c>
      <c r="AE33" s="18">
        <v>38876.192819772288</v>
      </c>
      <c r="AF33" s="18">
        <v>39257.241132501746</v>
      </c>
      <c r="AG33" s="18">
        <v>13680.216068677488</v>
      </c>
      <c r="AH33" s="18">
        <v>-11360.444656543666</v>
      </c>
      <c r="AI33" s="18">
        <v>-22318.009689989733</v>
      </c>
      <c r="AJ33" s="18">
        <v>-32341.756964382366</v>
      </c>
      <c r="AK33" s="18">
        <v>-11857.774523717701</v>
      </c>
      <c r="AL33" s="18">
        <v>10896.403989674291</v>
      </c>
      <c r="AM33" s="18">
        <v>-30433.565744400606</v>
      </c>
      <c r="AN33" s="18">
        <v>18907.416924284888</v>
      </c>
      <c r="AO33" s="18">
        <v>-36920.712796466658</v>
      </c>
      <c r="AP33" s="18">
        <v>8223.1440018063877</v>
      </c>
      <c r="AQ33" s="18">
        <v>-12542.376007825718</v>
      </c>
      <c r="AR33" s="18">
        <v>49961.220906469156</v>
      </c>
      <c r="AS33" s="18">
        <v>-78974.234167780727</v>
      </c>
      <c r="AT33" s="18">
        <v>-70516.951725923456</v>
      </c>
      <c r="AU33" s="18">
        <v>-8784.0653834247496</v>
      </c>
      <c r="AV33" s="18">
        <v>-62654.646279303241</v>
      </c>
      <c r="AW33" s="18">
        <v>-120281.69582016289</v>
      </c>
      <c r="AX33" s="18">
        <v>-60274.001817061799</v>
      </c>
      <c r="AY33" s="18">
        <v>-58851.550302082091</v>
      </c>
      <c r="AZ33" s="18">
        <v>-79225.858261918882</v>
      </c>
      <c r="BA33" s="18">
        <v>-123274.78445774189</v>
      </c>
      <c r="BB33" s="18">
        <v>-66761.795961112599</v>
      </c>
      <c r="BC33" s="18">
        <v>-41851.601874224609</v>
      </c>
      <c r="BD33" s="18">
        <v>-156593.533497761</v>
      </c>
      <c r="BE33" s="18">
        <v>-152941.57467242249</v>
      </c>
      <c r="BF33" s="18">
        <v>-113798.92168849427</v>
      </c>
      <c r="BG33" s="18">
        <v>-6397.4197320990497</v>
      </c>
      <c r="BH33" s="18">
        <v>-125166.53019122581</v>
      </c>
      <c r="BI33" s="18">
        <v>-119035.14011560974</v>
      </c>
      <c r="BJ33" s="18">
        <v>-132467.66022561234</v>
      </c>
      <c r="BK33" s="18">
        <v>-43976.221072203247</v>
      </c>
      <c r="BL33" s="18">
        <v>-235282.47902267985</v>
      </c>
      <c r="BM33" s="18">
        <v>-247201.68016888713</v>
      </c>
      <c r="BN33" s="18">
        <v>-287777.54935502494</v>
      </c>
      <c r="BO33" s="18">
        <v>-273566.29917459888</v>
      </c>
      <c r="BP33" s="18">
        <v>-345111.04568502458</v>
      </c>
      <c r="BQ33" s="18">
        <v>-369213.80376787111</v>
      </c>
      <c r="BR33" s="18">
        <v>-414250.28927951213</v>
      </c>
      <c r="BS33" s="18">
        <v>-334606.31638899748</v>
      </c>
      <c r="BT33" s="18">
        <v>-325463.82222816069</v>
      </c>
      <c r="BU33" s="18">
        <v>-426339.33166580019</v>
      </c>
      <c r="BV33" s="18">
        <v>-458989.82195631019</v>
      </c>
      <c r="BW33" s="18">
        <v>-567326.00616441458</v>
      </c>
      <c r="BX33" s="18">
        <v>-549941.71098060114</v>
      </c>
      <c r="BY33" s="18">
        <v>-567379.44645587681</v>
      </c>
      <c r="BZ33" s="18">
        <v>-614686.15660439758</v>
      </c>
      <c r="CA33" s="18">
        <v>-520833.51635365793</v>
      </c>
      <c r="CB33" s="18">
        <v>-621330.59207955073</v>
      </c>
      <c r="CC33" s="18">
        <v>-600127.32758313208</v>
      </c>
      <c r="CD33" s="18">
        <v>-445029.45840166509</v>
      </c>
      <c r="CE33" s="18">
        <v>-244731.8041505483</v>
      </c>
      <c r="CF33" s="18">
        <v>-389900.63598806784</v>
      </c>
      <c r="CG33" s="18">
        <v>-314077.03345417278</v>
      </c>
      <c r="CH33" s="18">
        <v>-432784.62290140684</v>
      </c>
      <c r="CI33" s="18">
        <v>-606709.61057516886</v>
      </c>
      <c r="CJ33" s="18">
        <v>-648569.66302170162</v>
      </c>
      <c r="CK33" s="18">
        <v>-637432.53262503282</v>
      </c>
      <c r="CL33" s="18">
        <v>-743622.07419007877</v>
      </c>
      <c r="CM33" s="18">
        <v>-1027764.4838740246</v>
      </c>
      <c r="CN33" s="18">
        <v>-1046698.4686534912</v>
      </c>
      <c r="CO33" s="18">
        <v>-630415.31436053803</v>
      </c>
      <c r="CP33" s="18">
        <v>-878894.61060315138</v>
      </c>
      <c r="CQ33" s="18">
        <v>-908399.70929826843</v>
      </c>
      <c r="CR33" s="18">
        <v>-894409.09323787177</v>
      </c>
      <c r="CS33" s="18">
        <v>-757759.03450748045</v>
      </c>
      <c r="CT33" s="18">
        <v>-782188.5945309056</v>
      </c>
      <c r="CU33" s="18">
        <v>-1052506.2212119149</v>
      </c>
      <c r="CV33" s="18">
        <v>-1114483.9014548608</v>
      </c>
      <c r="CW33" s="18">
        <v>-842857.83248886396</v>
      </c>
      <c r="CX33" s="18">
        <v>-979491.25141764199</v>
      </c>
      <c r="CY33" s="18">
        <f>[1]Qtr!CY33</f>
        <v>-1021730.0670920163</v>
      </c>
      <c r="CZ33" s="32">
        <f>[2]Qtr!CZ33</f>
        <v>-1083419.5766625446</v>
      </c>
      <c r="DA33" s="32">
        <f>[2]Qtr!DA33</f>
        <v>-664803.30271641118</v>
      </c>
      <c r="DB33" s="18"/>
      <c r="DC33" s="18">
        <f>[2]Annual!Y33</f>
        <v>-3439462.4476467725</v>
      </c>
      <c r="DD33" s="18">
        <f>[2]Annual!Z33</f>
        <v>-3792036.5496865455</v>
      </c>
      <c r="DE33" s="18">
        <f>[2]Annual!AA33</f>
        <v>-3749444.1978886165</v>
      </c>
      <c r="DF33" s="18"/>
    </row>
    <row r="34" spans="1:110" x14ac:dyDescent="0.2">
      <c r="A34" s="8" t="s">
        <v>23</v>
      </c>
      <c r="B34" s="19">
        <v>-1.0092829242933998</v>
      </c>
      <c r="C34" s="19">
        <v>0.73542598412608806</v>
      </c>
      <c r="D34" s="19">
        <v>2.9536583081328467</v>
      </c>
      <c r="E34" s="19">
        <v>3.0816383735720478</v>
      </c>
      <c r="F34" s="19">
        <v>0.67106584304711991</v>
      </c>
      <c r="G34" s="19">
        <v>-5.5257750516705704</v>
      </c>
      <c r="H34" s="19">
        <v>-3.7681437476060093</v>
      </c>
      <c r="I34" s="19">
        <v>-1.6324498115348627</v>
      </c>
      <c r="J34" s="19">
        <v>-0.79021795411058027</v>
      </c>
      <c r="K34" s="19">
        <v>-4.5613532716032257</v>
      </c>
      <c r="L34" s="19">
        <v>-5.1385457487979593</v>
      </c>
      <c r="M34" s="19">
        <v>-4.5758006899925547</v>
      </c>
      <c r="N34" s="19">
        <v>-5.6019439924878869</v>
      </c>
      <c r="O34" s="19">
        <v>-3.8351790568450248</v>
      </c>
      <c r="P34" s="19">
        <v>-0.61569645580673016</v>
      </c>
      <c r="Q34" s="19">
        <v>-2.0827306955571161</v>
      </c>
      <c r="R34" s="19">
        <v>-4.3647163963409055</v>
      </c>
      <c r="S34" s="19">
        <v>-4.5585509299299334</v>
      </c>
      <c r="T34" s="19">
        <v>-2.6872630563179873</v>
      </c>
      <c r="U34" s="19">
        <v>-2.4723583368747493</v>
      </c>
      <c r="V34" s="19">
        <v>-2.7093513729425913</v>
      </c>
      <c r="W34" s="19">
        <v>-2.866220215584669</v>
      </c>
      <c r="X34" s="19">
        <v>-1.1492188849708895</v>
      </c>
      <c r="Y34" s="19">
        <v>0.78502070427881876</v>
      </c>
      <c r="Z34" s="19">
        <v>1.3112161023905278</v>
      </c>
      <c r="AA34" s="19">
        <v>1.6681585816468441</v>
      </c>
      <c r="AB34" s="19">
        <v>1.539534402693929</v>
      </c>
      <c r="AC34" s="19">
        <v>1.970961624397265</v>
      </c>
      <c r="AD34" s="19">
        <v>4.827995383013949</v>
      </c>
      <c r="AE34" s="19">
        <v>2.1803621811059268</v>
      </c>
      <c r="AF34" s="19">
        <v>2.2604191736973567</v>
      </c>
      <c r="AG34" s="19">
        <v>0.67499745799730981</v>
      </c>
      <c r="AH34" s="19">
        <v>-0.63264755324127797</v>
      </c>
      <c r="AI34" s="19">
        <v>-1.1047549185258936</v>
      </c>
      <c r="AJ34" s="19">
        <v>-1.6183428266221049</v>
      </c>
      <c r="AK34" s="19">
        <v>-0.53034149722242341</v>
      </c>
      <c r="AL34" s="19">
        <v>0.57361579828444154</v>
      </c>
      <c r="AM34" s="19">
        <v>-1.4664795462471381</v>
      </c>
      <c r="AN34" s="19">
        <v>0.92855507280050398</v>
      </c>
      <c r="AO34" s="19">
        <v>-1.5517325582514225</v>
      </c>
      <c r="AP34" s="19">
        <v>0.38218491130755022</v>
      </c>
      <c r="AQ34" s="19">
        <v>-0.5330724074383224</v>
      </c>
      <c r="AR34" s="19">
        <v>2.2011600315295814</v>
      </c>
      <c r="AS34" s="19">
        <v>-3.0082873731908206</v>
      </c>
      <c r="AT34" s="19">
        <v>-2.9991780991356536</v>
      </c>
      <c r="AU34" s="19">
        <v>-0.34517159320954383</v>
      </c>
      <c r="AV34" s="19">
        <v>-2.5793809986607368</v>
      </c>
      <c r="AW34" s="19">
        <v>-4.2659823120867548</v>
      </c>
      <c r="AX34" s="19">
        <v>-2.3734198109676896</v>
      </c>
      <c r="AY34" s="19">
        <v>-2.1377034532557557</v>
      </c>
      <c r="AZ34" s="19">
        <v>-2.9640177789184419</v>
      </c>
      <c r="BA34" s="19">
        <v>-3.9829035132527459</v>
      </c>
      <c r="BB34" s="19">
        <v>-2.4078075436416873</v>
      </c>
      <c r="BC34" s="19">
        <v>-1.3978563165164757</v>
      </c>
      <c r="BD34" s="19">
        <v>-5.3729060904696944</v>
      </c>
      <c r="BE34" s="19">
        <v>-4.5391573030035648</v>
      </c>
      <c r="BF34" s="19">
        <v>-3.7484225788754051</v>
      </c>
      <c r="BG34" s="19">
        <v>-0.19405383805935819</v>
      </c>
      <c r="BH34" s="19">
        <v>-3.9429782279213446</v>
      </c>
      <c r="BI34" s="19">
        <v>-3.2173631727581662</v>
      </c>
      <c r="BJ34" s="19">
        <v>-4.1340888505089053</v>
      </c>
      <c r="BK34" s="19">
        <v>-1.2586571780400244</v>
      </c>
      <c r="BL34" s="19">
        <v>-7.0643039322153651</v>
      </c>
      <c r="BM34" s="19">
        <v>-6.3135774136090426</v>
      </c>
      <c r="BN34" s="19">
        <v>-8.3713459237915089</v>
      </c>
      <c r="BO34" s="19">
        <v>-7.2159275877911568</v>
      </c>
      <c r="BP34" s="19">
        <v>-9.4681218931590934</v>
      </c>
      <c r="BQ34" s="19">
        <v>-8.6698245602469228</v>
      </c>
      <c r="BR34" s="19">
        <v>-11.059848785766581</v>
      </c>
      <c r="BS34" s="19">
        <v>-8.0551278428320146</v>
      </c>
      <c r="BT34" s="19">
        <v>-8.1003026031491547</v>
      </c>
      <c r="BU34" s="19">
        <v>-9.1898486624372797</v>
      </c>
      <c r="BV34" s="19">
        <v>-11.1917672942701</v>
      </c>
      <c r="BW34" s="19">
        <v>-12.417418628210344</v>
      </c>
      <c r="BX34" s="19">
        <v>-12.35764967785839</v>
      </c>
      <c r="BY34" s="19">
        <v>-11.027681170007757</v>
      </c>
      <c r="BZ34" s="19">
        <v>-13.887831983634541</v>
      </c>
      <c r="CA34" s="19">
        <v>-10.703583878108187</v>
      </c>
      <c r="CB34" s="19">
        <v>-13.147370594966675</v>
      </c>
      <c r="CC34" s="19">
        <v>-10.911563755502518</v>
      </c>
      <c r="CD34" s="19">
        <v>-10.00259392577753</v>
      </c>
      <c r="CE34" s="19">
        <v>-5.9137205521517719</v>
      </c>
      <c r="CF34" s="19">
        <v>-9.2720729166368372</v>
      </c>
      <c r="CG34" s="19">
        <v>-6.0879998520844563</v>
      </c>
      <c r="CH34" s="19">
        <v>-9.8943186548576527</v>
      </c>
      <c r="CI34" s="19">
        <v>-12.724644241709543</v>
      </c>
      <c r="CJ34" s="19">
        <v>-14.086799325092784</v>
      </c>
      <c r="CK34" s="19">
        <v>-11.253194687433229</v>
      </c>
      <c r="CL34" s="19">
        <v>-15.087291397359865</v>
      </c>
      <c r="CM34" s="19">
        <v>-19.039360907894547</v>
      </c>
      <c r="CN34" s="19">
        <v>-19.937319345650582</v>
      </c>
      <c r="CO34" s="19">
        <v>-9.7717161079205503</v>
      </c>
      <c r="CP34" s="20">
        <v>-15.65274226777254</v>
      </c>
      <c r="CQ34" s="20">
        <v>-15.430500004658265</v>
      </c>
      <c r="CR34" s="20">
        <v>-15.524903984095475</v>
      </c>
      <c r="CS34" s="20">
        <v>-10.747680875328768</v>
      </c>
      <c r="CT34" s="20">
        <v>-12.782663058305499</v>
      </c>
      <c r="CU34" s="25">
        <v>-16.205433722388115</v>
      </c>
      <c r="CV34" s="25">
        <v>-17.818567768088851</v>
      </c>
      <c r="CW34" s="25">
        <v>-11.122668347633942</v>
      </c>
      <c r="CX34" s="25">
        <v>-14.881165699276394</v>
      </c>
      <c r="CY34" s="25">
        <f>[1]Qtr!CY34</f>
        <v>-14.668995913750571</v>
      </c>
      <c r="CZ34" s="33">
        <f>[2]Qtr!CZ34</f>
        <v>-16.528005268411604</v>
      </c>
      <c r="DA34" s="33">
        <f>[2]Qtr!DA34</f>
        <v>-8.4025863767719056</v>
      </c>
      <c r="DB34" s="25"/>
      <c r="DC34" s="25">
        <f>[2]Annual!Y35</f>
        <v>-14.146270623043703</v>
      </c>
      <c r="DD34" s="25">
        <f>[2]Annual!Z35</f>
        <v>-14.338590219059522</v>
      </c>
      <c r="DE34" s="25">
        <f>[2]Annual!AA35</f>
        <v>-13.384053707901659</v>
      </c>
      <c r="DF34" s="25"/>
    </row>
    <row r="35" spans="1:110" x14ac:dyDescent="0.2">
      <c r="A35" s="14" t="s">
        <v>24</v>
      </c>
      <c r="B35" s="18">
        <v>18440.407873708871</v>
      </c>
      <c r="C35" s="18">
        <v>27168.007293497678</v>
      </c>
      <c r="D35" s="18">
        <v>39778.975545021007</v>
      </c>
      <c r="E35" s="18">
        <v>66905.48452323227</v>
      </c>
      <c r="F35" s="18">
        <v>22956.542635689839</v>
      </c>
      <c r="G35" s="18">
        <v>-47499.693171029445</v>
      </c>
      <c r="H35" s="18">
        <v>-25042.243423317967</v>
      </c>
      <c r="I35" s="18">
        <v>14344.103687726601</v>
      </c>
      <c r="J35" s="18">
        <v>6159.4226728830836</v>
      </c>
      <c r="K35" s="18">
        <v>-40705.249065198121</v>
      </c>
      <c r="L35" s="18">
        <v>-31277.769305337803</v>
      </c>
      <c r="M35" s="18">
        <v>-40070.788362977677</v>
      </c>
      <c r="N35" s="18">
        <v>-34704.079701491748</v>
      </c>
      <c r="O35" s="18">
        <v>-48135.929234189854</v>
      </c>
      <c r="P35" s="18">
        <v>-5151.0334872720414</v>
      </c>
      <c r="Q35" s="18">
        <v>4774.3092270636698</v>
      </c>
      <c r="R35" s="18">
        <v>-44423.989400616963</v>
      </c>
      <c r="S35" s="18">
        <v>-54517.685870216636</v>
      </c>
      <c r="T35" s="18">
        <v>-18136.273895950057</v>
      </c>
      <c r="U35" s="18">
        <v>-11476.900050586497</v>
      </c>
      <c r="V35" s="18">
        <v>-42907.626361262577</v>
      </c>
      <c r="W35" s="18">
        <v>-91344.178672635637</v>
      </c>
      <c r="X35" s="18">
        <v>-84223.852642628248</v>
      </c>
      <c r="Y35" s="18">
        <v>-37986.071527283173</v>
      </c>
      <c r="Z35" s="18">
        <v>-41577.925547957362</v>
      </c>
      <c r="AA35" s="18">
        <v>-64880.479359235265</v>
      </c>
      <c r="AB35" s="18">
        <v>-52493.699314968369</v>
      </c>
      <c r="AC35" s="18">
        <v>-19517.265156039444</v>
      </c>
      <c r="AD35" s="18">
        <v>11626.274285586143</v>
      </c>
      <c r="AE35" s="18">
        <v>-49829.439734719577</v>
      </c>
      <c r="AF35" s="18">
        <v>-58573.729258266976</v>
      </c>
      <c r="AG35" s="18">
        <v>-49467.263690538006</v>
      </c>
      <c r="AH35" s="18">
        <v>-59049.647167074669</v>
      </c>
      <c r="AI35" s="18">
        <v>-85633.112227305886</v>
      </c>
      <c r="AJ35" s="18">
        <v>-86388.719651417457</v>
      </c>
      <c r="AK35" s="18">
        <v>-5359.0792170693167</v>
      </c>
      <c r="AL35" s="18">
        <v>-65137.017001652566</v>
      </c>
      <c r="AM35" s="18">
        <v>-104314.87265958695</v>
      </c>
      <c r="AN35" s="18">
        <v>-51590.444191006594</v>
      </c>
      <c r="AO35" s="18">
        <v>-49838.009317859716</v>
      </c>
      <c r="AP35" s="18">
        <v>-113388.64250779268</v>
      </c>
      <c r="AQ35" s="18">
        <v>-145078.18585432047</v>
      </c>
      <c r="AR35" s="18">
        <v>-30262.702274554409</v>
      </c>
      <c r="AS35" s="18">
        <v>-118949.40635492245</v>
      </c>
      <c r="AT35" s="18">
        <v>-213330.66482387733</v>
      </c>
      <c r="AU35" s="18">
        <v>-138720.12712975667</v>
      </c>
      <c r="AV35" s="18">
        <v>-118417.34904078476</v>
      </c>
      <c r="AW35" s="18">
        <v>-168584.55260126985</v>
      </c>
      <c r="AX35" s="18">
        <v>-148618.57372648863</v>
      </c>
      <c r="AY35" s="18">
        <v>-153641.35115128127</v>
      </c>
      <c r="AZ35" s="18">
        <v>-129912.71289668116</v>
      </c>
      <c r="BA35" s="18">
        <v>-182191.12330388767</v>
      </c>
      <c r="BB35" s="18">
        <v>-180473.32111602905</v>
      </c>
      <c r="BC35" s="18">
        <v>-206963.06360883359</v>
      </c>
      <c r="BD35" s="18">
        <v>-181699.26429970062</v>
      </c>
      <c r="BE35" s="18">
        <v>-185084.3466866159</v>
      </c>
      <c r="BF35" s="18">
        <v>-260359.23111978441</v>
      </c>
      <c r="BG35" s="18">
        <v>-166324.08024605911</v>
      </c>
      <c r="BH35" s="18">
        <v>-203815.13030957768</v>
      </c>
      <c r="BI35" s="18">
        <v>-147974.698911104</v>
      </c>
      <c r="BJ35" s="18">
        <v>-329150.82252908836</v>
      </c>
      <c r="BK35" s="18">
        <v>-257501.77679004957</v>
      </c>
      <c r="BL35" s="18">
        <v>-330546.05225611338</v>
      </c>
      <c r="BM35" s="18">
        <v>-292684.5078382513</v>
      </c>
      <c r="BN35" s="18">
        <v>-499654.86465360469</v>
      </c>
      <c r="BO35" s="18">
        <v>-517315.91969672556</v>
      </c>
      <c r="BP35" s="18">
        <v>-451096.67849580734</v>
      </c>
      <c r="BQ35" s="18">
        <v>-443096.20016575162</v>
      </c>
      <c r="BR35" s="18">
        <v>-640473.64140679268</v>
      </c>
      <c r="BS35" s="18">
        <v>-638335.99046340038</v>
      </c>
      <c r="BT35" s="18">
        <v>-532909.21242644521</v>
      </c>
      <c r="BU35" s="18">
        <v>-531763.0636218054</v>
      </c>
      <c r="BV35" s="18">
        <v>-779966.90490160882</v>
      </c>
      <c r="BW35" s="18">
        <v>-932825.72386606294</v>
      </c>
      <c r="BX35" s="18">
        <v>-773489.30007890612</v>
      </c>
      <c r="BY35" s="18">
        <v>-665762.94707920251</v>
      </c>
      <c r="BZ35" s="18">
        <v>-948886.36101229605</v>
      </c>
      <c r="CA35" s="18">
        <v>-921340.07008622889</v>
      </c>
      <c r="CB35" s="18">
        <v>-863536.85449122998</v>
      </c>
      <c r="CC35" s="18">
        <v>-669458.28897909215</v>
      </c>
      <c r="CD35" s="18">
        <v>-764924.16628441028</v>
      </c>
      <c r="CE35" s="18">
        <v>-482038.13701847929</v>
      </c>
      <c r="CF35" s="18">
        <v>-526923.127427086</v>
      </c>
      <c r="CG35" s="18">
        <v>-464246.14672870073</v>
      </c>
      <c r="CH35" s="18">
        <v>-771220.0550952073</v>
      </c>
      <c r="CI35" s="18">
        <v>-956905.83662911039</v>
      </c>
      <c r="CJ35" s="18">
        <v>-845349.86969557719</v>
      </c>
      <c r="CK35" s="18">
        <v>-805382.05127934541</v>
      </c>
      <c r="CL35" s="18">
        <v>-1119317.3251318838</v>
      </c>
      <c r="CM35" s="18">
        <v>-1429534.2215177214</v>
      </c>
      <c r="CN35" s="18">
        <v>-1291619.8938035266</v>
      </c>
      <c r="CO35" s="18">
        <v>-785129.43594630039</v>
      </c>
      <c r="CP35" s="18">
        <v>-1321131.7480599163</v>
      </c>
      <c r="CQ35" s="18">
        <v>-1284425.8609355683</v>
      </c>
      <c r="CR35" s="18">
        <v>-1117625.9174920935</v>
      </c>
      <c r="CS35" s="18">
        <v>-888270.52605212294</v>
      </c>
      <c r="CT35" s="18">
        <v>-1201465.9405304971</v>
      </c>
      <c r="CU35" s="24">
        <v>-1422480.6272256647</v>
      </c>
      <c r="CV35" s="24">
        <v>-1297338.2675252645</v>
      </c>
      <c r="CW35" s="24">
        <v>-1032655.1379713712</v>
      </c>
      <c r="CX35" s="24">
        <v>-1397788.7057005772</v>
      </c>
      <c r="CY35" s="24">
        <f>[1]Qtr!CY35</f>
        <v>-1335996.3863735721</v>
      </c>
      <c r="CZ35" s="30">
        <f>[2]Qtr!CZ35</f>
        <v>-1249755.6623946209</v>
      </c>
      <c r="DA35" s="30">
        <f>[2]Qtr!DA35</f>
        <v>-857966.3567111739</v>
      </c>
      <c r="DB35" s="24"/>
      <c r="DC35" s="24">
        <f>[2]Annual!Y36</f>
        <v>-4611454.0525397006</v>
      </c>
      <c r="DD35" s="24">
        <f>[2]Annual!Z36</f>
        <v>-4953939.9732527984</v>
      </c>
      <c r="DE35" s="24">
        <f>[2]Annual!AA36</f>
        <v>-4841507.111179946</v>
      </c>
      <c r="DF35" s="24"/>
    </row>
    <row r="36" spans="1:110" x14ac:dyDescent="0.2">
      <c r="A36" s="13" t="s">
        <v>25</v>
      </c>
      <c r="B36" s="19">
        <v>81.014759583630706</v>
      </c>
      <c r="C36" s="19">
        <v>77.53990005445209</v>
      </c>
      <c r="D36" s="19">
        <v>90.491273794773051</v>
      </c>
      <c r="E36" s="19">
        <v>90.529285138954904</v>
      </c>
      <c r="F36" s="19">
        <v>93.928883380798496</v>
      </c>
      <c r="G36" s="19">
        <v>85.745515158116021</v>
      </c>
      <c r="H36" s="19">
        <v>87.192002352846416</v>
      </c>
      <c r="I36" s="19">
        <v>74.571106619286979</v>
      </c>
      <c r="J36" s="19">
        <v>81.537519689133745</v>
      </c>
      <c r="K36" s="19">
        <v>82.412463725457059</v>
      </c>
      <c r="L36" s="19">
        <v>91.347124399362684</v>
      </c>
      <c r="M36" s="19">
        <v>80.465951000858269</v>
      </c>
      <c r="N36" s="19">
        <v>91.496962108541553</v>
      </c>
      <c r="O36" s="19">
        <v>85.54001460863357</v>
      </c>
      <c r="P36" s="19">
        <v>92.099162532349837</v>
      </c>
      <c r="Q36" s="19">
        <v>82.176538611375847</v>
      </c>
      <c r="R36" s="19">
        <v>88.851079566333098</v>
      </c>
      <c r="S36" s="19">
        <v>86.047874540666299</v>
      </c>
      <c r="T36" s="19">
        <v>91.368675907266677</v>
      </c>
      <c r="U36" s="19">
        <v>82.9623952025688</v>
      </c>
      <c r="V36" s="19">
        <v>84.520487383106897</v>
      </c>
      <c r="W36" s="19">
        <v>83.707420614458442</v>
      </c>
      <c r="X36" s="19">
        <v>89.240328755742411</v>
      </c>
      <c r="Y36" s="19">
        <v>78.733326030923649</v>
      </c>
      <c r="Z36" s="19">
        <v>84.441258127728275</v>
      </c>
      <c r="AA36" s="19">
        <v>83.97127792239047</v>
      </c>
      <c r="AB36" s="19">
        <v>84.582536928519346</v>
      </c>
      <c r="AC36" s="19">
        <v>71.940722981787786</v>
      </c>
      <c r="AD36" s="19">
        <v>78.833203100834311</v>
      </c>
      <c r="AE36" s="19">
        <v>73.175004169845963</v>
      </c>
      <c r="AF36" s="19">
        <v>77.699432799486374</v>
      </c>
      <c r="AG36" s="19">
        <v>66.355618824289948</v>
      </c>
      <c r="AH36" s="19">
        <v>69.986202085221933</v>
      </c>
      <c r="AI36" s="19">
        <v>68.25535298164607</v>
      </c>
      <c r="AJ36" s="19">
        <v>75.675341921231237</v>
      </c>
      <c r="AK36" s="19">
        <v>58.165505565382482</v>
      </c>
      <c r="AL36" s="19">
        <v>62.092202984692399</v>
      </c>
      <c r="AM36" s="19">
        <v>61.172030071611729</v>
      </c>
      <c r="AN36" s="19">
        <v>65.650803820329031</v>
      </c>
      <c r="AO36" s="19">
        <v>55.597886767644347</v>
      </c>
      <c r="AP36" s="19">
        <v>71.500078109454208</v>
      </c>
      <c r="AQ36" s="19">
        <v>65.919457114223519</v>
      </c>
      <c r="AR36" s="19">
        <v>69.761419049178159</v>
      </c>
      <c r="AS36" s="19">
        <v>58.685599955851906</v>
      </c>
      <c r="AT36" s="19">
        <v>70.428314026893176</v>
      </c>
      <c r="AU36" s="19">
        <v>60.253063979118849</v>
      </c>
      <c r="AV36" s="19">
        <v>62.450491717304324</v>
      </c>
      <c r="AW36" s="19">
        <v>51.827770368442586</v>
      </c>
      <c r="AX36" s="19">
        <v>64.533455698001035</v>
      </c>
      <c r="AY36" s="19">
        <v>58.163817977045163</v>
      </c>
      <c r="AZ36" s="19">
        <v>59.57977514645296</v>
      </c>
      <c r="BA36" s="19">
        <v>50.564659958863665</v>
      </c>
      <c r="BB36" s="19">
        <v>57.47124313830173</v>
      </c>
      <c r="BC36" s="19">
        <v>55.553130250779425</v>
      </c>
      <c r="BD36" s="19">
        <v>60.914788262140142</v>
      </c>
      <c r="BE36" s="19">
        <v>50.308427980896994</v>
      </c>
      <c r="BF36" s="19">
        <v>63.27617520873028</v>
      </c>
      <c r="BG36" s="19">
        <v>55.136075003206585</v>
      </c>
      <c r="BH36" s="19">
        <v>63.519110150706595</v>
      </c>
      <c r="BI36" s="19">
        <v>49.588630387588637</v>
      </c>
      <c r="BJ36" s="19">
        <v>64.504292889926589</v>
      </c>
      <c r="BK36" s="19">
        <v>55.572147366320436</v>
      </c>
      <c r="BL36" s="19">
        <v>65.308117149298539</v>
      </c>
      <c r="BM36" s="19">
        <v>52.692587898416811</v>
      </c>
      <c r="BN36" s="19">
        <v>64.467063859572846</v>
      </c>
      <c r="BO36" s="19">
        <v>56.923342800524793</v>
      </c>
      <c r="BP36" s="19">
        <v>63.72306065055222</v>
      </c>
      <c r="BQ36" s="19">
        <v>53.419159106947014</v>
      </c>
      <c r="BR36" s="19">
        <v>68.380093614315214</v>
      </c>
      <c r="BS36" s="19">
        <v>61.876425565683689</v>
      </c>
      <c r="BT36" s="19">
        <v>71.940908732188063</v>
      </c>
      <c r="BU36" s="19">
        <v>59.302721633950384</v>
      </c>
      <c r="BV36" s="19">
        <v>76.399337760206478</v>
      </c>
      <c r="BW36" s="19">
        <v>72.030286974523378</v>
      </c>
      <c r="BX36" s="19">
        <v>77.777395074581875</v>
      </c>
      <c r="BY36" s="19">
        <v>64.049285855842882</v>
      </c>
      <c r="BZ36" s="19">
        <v>76.66911237261084</v>
      </c>
      <c r="CA36" s="19">
        <v>68.512281672025551</v>
      </c>
      <c r="CB36" s="19">
        <v>72.485046088388344</v>
      </c>
      <c r="CC36" s="19">
        <v>59.70391779136596</v>
      </c>
      <c r="CD36" s="19">
        <v>69.413765147760571</v>
      </c>
      <c r="CE36" s="19">
        <v>49.640236979868298</v>
      </c>
      <c r="CF36" s="19">
        <v>62.357117481087862</v>
      </c>
      <c r="CG36" s="19">
        <v>51.901106709468166</v>
      </c>
      <c r="CH36" s="19">
        <v>65.016096189205257</v>
      </c>
      <c r="CI36" s="19">
        <v>62.109345369850125</v>
      </c>
      <c r="CJ36" s="19">
        <v>69.803405022092377</v>
      </c>
      <c r="CK36" s="19">
        <v>58.323671319930334</v>
      </c>
      <c r="CL36" s="19">
        <v>74.33861370816966</v>
      </c>
      <c r="CM36" s="19">
        <v>71.118804818427961</v>
      </c>
      <c r="CN36" s="19">
        <v>83.373269811719055</v>
      </c>
      <c r="CO36" s="19">
        <v>63.162634950932286</v>
      </c>
      <c r="CP36" s="20">
        <v>71.073714593250912</v>
      </c>
      <c r="CQ36" s="20">
        <v>67.031422362347087</v>
      </c>
      <c r="CR36" s="20">
        <v>75.937850587660137</v>
      </c>
      <c r="CS36" s="20">
        <v>57.874354664152762</v>
      </c>
      <c r="CT36" s="20">
        <v>68.380316273242642</v>
      </c>
      <c r="CU36" s="25">
        <v>66.150002529707777</v>
      </c>
      <c r="CV36" s="25">
        <v>73.664346286870924</v>
      </c>
      <c r="CW36" s="25">
        <v>57.223601376947578</v>
      </c>
      <c r="CX36" s="25">
        <v>71.670629126753624</v>
      </c>
      <c r="CY36" s="25">
        <f>[1]Qtr!CY36</f>
        <v>63.257404794161133</v>
      </c>
      <c r="CZ36" s="33">
        <f>[2]Qtr!CZ36</f>
        <v>74.483811073038055</v>
      </c>
      <c r="DA36" s="33">
        <f>[2]Qtr!DA36</f>
        <v>58.9848651337308</v>
      </c>
      <c r="DB36" s="25"/>
      <c r="DC36" s="25">
        <f>[2]Annual!Y37</f>
        <v>67.41996931716065</v>
      </c>
      <c r="DD36" s="25">
        <f>[2]Annual!Z37</f>
        <v>65.885472528789066</v>
      </c>
      <c r="DE36" s="25">
        <f>[2]Annual!AA37</f>
        <v>66.654331642365534</v>
      </c>
      <c r="DF36" s="25"/>
    </row>
    <row r="37" spans="1:110" x14ac:dyDescent="0.2">
      <c r="A37" s="5" t="s">
        <v>26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  <c r="AZ37" s="19"/>
      <c r="BA37" s="19"/>
      <c r="BB37" s="19"/>
      <c r="BC37" s="19"/>
      <c r="BD37" s="19"/>
      <c r="BE37" s="19"/>
      <c r="BF37" s="19"/>
      <c r="BG37" s="19"/>
      <c r="BH37" s="19"/>
      <c r="BI37" s="19"/>
      <c r="BJ37" s="19"/>
      <c r="BK37" s="19"/>
      <c r="BL37" s="19"/>
      <c r="BM37" s="19"/>
      <c r="BN37" s="19"/>
      <c r="BO37" s="19"/>
      <c r="BP37" s="19"/>
      <c r="BQ37" s="19"/>
      <c r="BR37" s="19"/>
      <c r="BS37" s="19"/>
      <c r="BT37" s="19"/>
      <c r="BU37" s="19"/>
      <c r="BV37" s="21"/>
      <c r="BW37" s="21"/>
      <c r="BX37" s="21"/>
      <c r="BY37" s="21"/>
      <c r="BZ37" s="21"/>
      <c r="CA37" s="21"/>
      <c r="CB37" s="21"/>
      <c r="CC37" s="21"/>
      <c r="CD37" s="21"/>
      <c r="CE37" s="21"/>
      <c r="CF37" s="21"/>
      <c r="CG37" s="21"/>
      <c r="CH37" s="21"/>
      <c r="CI37" s="21"/>
      <c r="CJ37" s="21"/>
      <c r="CK37" s="21"/>
      <c r="CL37" s="21"/>
      <c r="CM37" s="21"/>
      <c r="CN37" s="21"/>
      <c r="CO37" s="21"/>
      <c r="CP37" s="21"/>
      <c r="CQ37" s="21"/>
      <c r="CR37" s="21"/>
      <c r="CS37" s="21"/>
      <c r="CT37" s="21"/>
      <c r="CU37" s="25"/>
      <c r="CV37" s="25"/>
      <c r="CW37" s="25"/>
      <c r="CX37" s="25"/>
      <c r="CY37" s="25"/>
      <c r="CZ37" s="33"/>
      <c r="DA37" s="33"/>
      <c r="DB37" s="25"/>
      <c r="DC37" s="25"/>
      <c r="DD37" s="25"/>
      <c r="DE37" s="25"/>
      <c r="DF37" s="25"/>
    </row>
    <row r="38" spans="1:110" x14ac:dyDescent="0.2">
      <c r="A38" s="8" t="s">
        <v>27</v>
      </c>
      <c r="B38" s="18">
        <v>340181.5307749894</v>
      </c>
      <c r="C38" s="18">
        <v>354091.02547820233</v>
      </c>
      <c r="D38" s="18">
        <v>426876.97734258772</v>
      </c>
      <c r="E38" s="18">
        <v>481527.33398065413</v>
      </c>
      <c r="F38" s="18">
        <v>437967.31570306385</v>
      </c>
      <c r="G38" s="18">
        <v>397172.14118874865</v>
      </c>
      <c r="H38" s="18">
        <v>415770.33247285802</v>
      </c>
      <c r="I38" s="18">
        <v>405351.77712894499</v>
      </c>
      <c r="J38" s="18">
        <v>406392.78257744462</v>
      </c>
      <c r="K38" s="18">
        <v>418057.4731503143</v>
      </c>
      <c r="L38" s="18">
        <v>456774.74327004084</v>
      </c>
      <c r="M38" s="18">
        <v>459246.01919824944</v>
      </c>
      <c r="N38" s="18">
        <v>468700.18105488183</v>
      </c>
      <c r="O38" s="18">
        <v>468733.76869518892</v>
      </c>
      <c r="P38" s="18">
        <v>527197.87880014</v>
      </c>
      <c r="Q38" s="18">
        <v>531238.11041359836</v>
      </c>
      <c r="R38" s="18">
        <v>516903.89284637186</v>
      </c>
      <c r="S38" s="18">
        <v>532204.68049925985</v>
      </c>
      <c r="T38" s="18">
        <v>576365.96776039852</v>
      </c>
      <c r="U38" s="18">
        <v>601346.39361635083</v>
      </c>
      <c r="V38" s="18">
        <v>554058.15428841556</v>
      </c>
      <c r="W38" s="18">
        <v>588844.83059501497</v>
      </c>
      <c r="X38" s="18">
        <v>635777.47830246377</v>
      </c>
      <c r="Y38" s="18">
        <v>661017.35012861062</v>
      </c>
      <c r="Z38" s="18">
        <v>641771.26474832231</v>
      </c>
      <c r="AA38" s="18">
        <v>696435.62496837811</v>
      </c>
      <c r="AB38" s="18">
        <v>684152.54590938333</v>
      </c>
      <c r="AC38" s="18">
        <v>679390.19330402371</v>
      </c>
      <c r="AD38" s="18">
        <v>690957.52843614365</v>
      </c>
      <c r="AE38" s="18">
        <v>671798.88223392901</v>
      </c>
      <c r="AF38" s="18">
        <v>694340.949315159</v>
      </c>
      <c r="AG38" s="18">
        <v>679256.86466952274</v>
      </c>
      <c r="AH38" s="18">
        <v>622690.48063058453</v>
      </c>
      <c r="AI38" s="18">
        <v>678280.61823025765</v>
      </c>
      <c r="AJ38" s="18">
        <v>739995.70017824613</v>
      </c>
      <c r="AK38" s="18">
        <v>644325.19776129478</v>
      </c>
      <c r="AL38" s="18">
        <v>595199.85314668389</v>
      </c>
      <c r="AM38" s="18">
        <v>619528.85802919243</v>
      </c>
      <c r="AN38" s="18">
        <v>677850.85344876023</v>
      </c>
      <c r="AO38" s="18">
        <v>642965.99523796013</v>
      </c>
      <c r="AP38" s="18">
        <v>773314.41209067008</v>
      </c>
      <c r="AQ38" s="18">
        <v>769220.66434261308</v>
      </c>
      <c r="AR38" s="18">
        <v>816691.71231318952</v>
      </c>
      <c r="AS38" s="18">
        <v>730826.64258101233</v>
      </c>
      <c r="AT38" s="18">
        <v>792700.02746898273</v>
      </c>
      <c r="AU38" s="18">
        <v>762280.05730115063</v>
      </c>
      <c r="AV38" s="18">
        <v>727151.83727671683</v>
      </c>
      <c r="AW38" s="18">
        <v>670515.26531754958</v>
      </c>
      <c r="AX38" s="18">
        <v>789290.22558299499</v>
      </c>
      <c r="AY38" s="18">
        <v>771206.99134046899</v>
      </c>
      <c r="AZ38" s="18">
        <v>756647.27797756251</v>
      </c>
      <c r="BA38" s="18">
        <v>720875.60825771373</v>
      </c>
      <c r="BB38" s="18">
        <v>763377.84176234272</v>
      </c>
      <c r="BC38" s="18">
        <v>810700.26200351352</v>
      </c>
      <c r="BD38" s="18">
        <v>809385.03669415927</v>
      </c>
      <c r="BE38" s="18">
        <v>771070.9127059147</v>
      </c>
      <c r="BF38" s="18">
        <v>903605.9725487642</v>
      </c>
      <c r="BG38" s="18">
        <v>905643.43853843736</v>
      </c>
      <c r="BH38" s="18">
        <v>945597.12024087098</v>
      </c>
      <c r="BI38" s="18">
        <v>857815.85631872062</v>
      </c>
      <c r="BJ38" s="18">
        <v>967214.29626023024</v>
      </c>
      <c r="BK38" s="18">
        <v>948829.4721530634</v>
      </c>
      <c r="BL38" s="18">
        <v>969929.16025002906</v>
      </c>
      <c r="BM38" s="18">
        <v>907961.4112042042</v>
      </c>
      <c r="BN38" s="18">
        <v>1010940.1982587175</v>
      </c>
      <c r="BO38" s="18">
        <v>1002883.5404880526</v>
      </c>
      <c r="BP38" s="18">
        <v>1023974.3705825432</v>
      </c>
      <c r="BQ38" s="18">
        <v>998462.50612941734</v>
      </c>
      <c r="BR38" s="18">
        <v>1192113.5756340954</v>
      </c>
      <c r="BS38" s="18">
        <v>1202642.0306459235</v>
      </c>
      <c r="BT38" s="18">
        <v>1284165.5730165835</v>
      </c>
      <c r="BU38" s="18">
        <v>1213948.5046307475</v>
      </c>
      <c r="BV38" s="18">
        <v>1337126.2273156308</v>
      </c>
      <c r="BW38" s="18">
        <v>1361793.9254333214</v>
      </c>
      <c r="BX38" s="18">
        <v>1455658.9502553502</v>
      </c>
      <c r="BY38" s="18">
        <v>1363993.402287958</v>
      </c>
      <c r="BZ38" s="18">
        <v>1389373.9496012898</v>
      </c>
      <c r="CA38" s="18">
        <v>1406477.8531521871</v>
      </c>
      <c r="CB38" s="18">
        <v>1402117.3580163077</v>
      </c>
      <c r="CC38" s="18">
        <v>1341770.3314644769</v>
      </c>
      <c r="CD38" s="18">
        <v>1321643.2431486752</v>
      </c>
      <c r="CE38" s="18">
        <v>904783.13611554401</v>
      </c>
      <c r="CF38" s="18">
        <v>1116141.6019494543</v>
      </c>
      <c r="CG38" s="18">
        <v>1181738.2592543538</v>
      </c>
      <c r="CH38" s="18">
        <v>1205533.1213810132</v>
      </c>
      <c r="CI38" s="18">
        <v>1177328.5060345186</v>
      </c>
      <c r="CJ38" s="18">
        <v>1282622.8069156522</v>
      </c>
      <c r="CK38" s="18">
        <v>1333143.7856143503</v>
      </c>
      <c r="CL38" s="18">
        <v>1460188.9111447618</v>
      </c>
      <c r="CM38" s="18">
        <v>1405651.2466487682</v>
      </c>
      <c r="CN38" s="18">
        <v>1665176.5229636473</v>
      </c>
      <c r="CO38" s="18">
        <v>1722238.576862311</v>
      </c>
      <c r="CP38" s="18">
        <v>1555931.6398998275</v>
      </c>
      <c r="CQ38" s="18">
        <v>1518883.4728329065</v>
      </c>
      <c r="CR38" s="18">
        <v>1740232.6238821633</v>
      </c>
      <c r="CS38" s="18">
        <v>1661319.4624964092</v>
      </c>
      <c r="CT38" s="18">
        <v>1701048.1317174463</v>
      </c>
      <c r="CU38" s="24">
        <v>1621893.3194249598</v>
      </c>
      <c r="CV38" s="24">
        <v>1746470.9266605615</v>
      </c>
      <c r="CW38" s="24">
        <v>1746727.1015532564</v>
      </c>
      <c r="CX38" s="24">
        <v>1868965.9037470724</v>
      </c>
      <c r="CY38" s="24">
        <f>[1]Qtr!CY38</f>
        <v>1692148.4795949869</v>
      </c>
      <c r="CZ38" s="30">
        <f>[2]Qtr!CZ38</f>
        <v>1899517.0188501338</v>
      </c>
      <c r="DA38" s="30">
        <f>[2]Qtr!DA38</f>
        <v>2001006.8607867928</v>
      </c>
      <c r="DB38" s="24"/>
      <c r="DC38" s="24">
        <f>[2]Annual!Y39</f>
        <v>6476367.1991113052</v>
      </c>
      <c r="DD38" s="24">
        <f>[2]Annual!Z39</f>
        <v>6816139.4793562237</v>
      </c>
      <c r="DE38" s="24">
        <f>[2]Annual!AA39</f>
        <v>7461638.2629789859</v>
      </c>
      <c r="DF38" s="24"/>
    </row>
    <row r="39" spans="1:110" x14ac:dyDescent="0.2">
      <c r="A39" s="8" t="s">
        <v>30</v>
      </c>
      <c r="B39" s="18">
        <v>8370.1966137244563</v>
      </c>
      <c r="C39" s="18">
        <v>8466.8234972430673</v>
      </c>
      <c r="D39" s="18">
        <v>9494.3835177729088</v>
      </c>
      <c r="E39" s="18">
        <v>9782.5677829602864</v>
      </c>
      <c r="F39" s="18">
        <v>8910.2865685322122</v>
      </c>
      <c r="G39" s="18">
        <v>7828.674456246401</v>
      </c>
      <c r="H39" s="18">
        <v>7975.9502085799959</v>
      </c>
      <c r="I39" s="18">
        <v>7820.7944651542539</v>
      </c>
      <c r="J39" s="18">
        <v>7918.7993487421008</v>
      </c>
      <c r="K39" s="18">
        <v>8266.9067263261677</v>
      </c>
      <c r="L39" s="18">
        <v>8868.0349318560384</v>
      </c>
      <c r="M39" s="18">
        <v>8626.7684643232733</v>
      </c>
      <c r="N39" s="18">
        <v>8669.9996495538635</v>
      </c>
      <c r="O39" s="18">
        <v>8867.456842512087</v>
      </c>
      <c r="P39" s="18">
        <v>9659.176965924149</v>
      </c>
      <c r="Q39" s="18">
        <v>9613.4294320231347</v>
      </c>
      <c r="R39" s="18">
        <v>9237.024532637095</v>
      </c>
      <c r="S39" s="18">
        <v>9517.5914821570841</v>
      </c>
      <c r="T39" s="18">
        <v>10294.087654231085</v>
      </c>
      <c r="U39" s="18">
        <v>10683.005749091328</v>
      </c>
      <c r="V39" s="18">
        <v>10068.292827338099</v>
      </c>
      <c r="W39" s="18">
        <v>10768.925212052212</v>
      </c>
      <c r="X39" s="18">
        <v>11347.515760941669</v>
      </c>
      <c r="Y39" s="18">
        <v>12101.181346886739</v>
      </c>
      <c r="Z39" s="18">
        <v>12372.686808334727</v>
      </c>
      <c r="AA39" s="18">
        <v>13335.933771259868</v>
      </c>
      <c r="AB39" s="18">
        <v>13318.652583503024</v>
      </c>
      <c r="AC39" s="18">
        <v>13651.419480861287</v>
      </c>
      <c r="AD39" s="18">
        <v>14216.769929021042</v>
      </c>
      <c r="AE39" s="18">
        <v>14314.659138105986</v>
      </c>
      <c r="AF39" s="18">
        <v>15115.574080343707</v>
      </c>
      <c r="AG39" s="18">
        <v>15761.178075794958</v>
      </c>
      <c r="AH39" s="18">
        <v>15204.346924955038</v>
      </c>
      <c r="AI39" s="18">
        <v>15767.978478768073</v>
      </c>
      <c r="AJ39" s="18">
        <v>16257.507977098299</v>
      </c>
      <c r="AK39" s="18">
        <v>13306.964099890123</v>
      </c>
      <c r="AL39" s="18">
        <v>12461.134381113252</v>
      </c>
      <c r="AM39" s="18">
        <v>12940.730761003302</v>
      </c>
      <c r="AN39" s="18">
        <v>14078.971471322016</v>
      </c>
      <c r="AO39" s="18">
        <v>13750.244050968273</v>
      </c>
      <c r="AP39" s="18">
        <v>16807.244942165798</v>
      </c>
      <c r="AQ39" s="18">
        <v>16899.349873110645</v>
      </c>
      <c r="AR39" s="18">
        <v>18041.219143573278</v>
      </c>
      <c r="AS39" s="18">
        <v>16753.023616004477</v>
      </c>
      <c r="AT39" s="18">
        <v>18100.47458396119</v>
      </c>
      <c r="AU39" s="18">
        <v>17629.469806196816</v>
      </c>
      <c r="AV39" s="18">
        <v>17010.593428233959</v>
      </c>
      <c r="AW39" s="18">
        <v>15429.881326875524</v>
      </c>
      <c r="AX39" s="18">
        <v>18335.772635996334</v>
      </c>
      <c r="AY39" s="18">
        <v>18032.575986723597</v>
      </c>
      <c r="AZ39" s="18">
        <v>18058.651818940176</v>
      </c>
      <c r="BA39" s="18">
        <v>17505.818671992503</v>
      </c>
      <c r="BB39" s="18">
        <v>18754.075579677847</v>
      </c>
      <c r="BC39" s="18">
        <v>19916.656148911203</v>
      </c>
      <c r="BD39" s="18">
        <v>18526.780933913502</v>
      </c>
      <c r="BE39" s="18">
        <v>17649.772650310613</v>
      </c>
      <c r="BF39" s="18">
        <v>20141.748000036143</v>
      </c>
      <c r="BG39" s="18">
        <v>20528.941700405005</v>
      </c>
      <c r="BH39" s="18">
        <v>21607.521303009387</v>
      </c>
      <c r="BI39" s="18">
        <v>19147.660127068997</v>
      </c>
      <c r="BJ39" s="18">
        <v>21777.77159423253</v>
      </c>
      <c r="BK39" s="18">
        <v>21243.801801020094</v>
      </c>
      <c r="BL39" s="18">
        <v>21060.730197708155</v>
      </c>
      <c r="BM39" s="18">
        <v>19375.562371627344</v>
      </c>
      <c r="BN39" s="18">
        <v>21380.483133709135</v>
      </c>
      <c r="BO39" s="18">
        <v>21560.580137948356</v>
      </c>
      <c r="BP39" s="18">
        <v>21762.084371272918</v>
      </c>
      <c r="BQ39" s="18">
        <v>20334.940129245952</v>
      </c>
      <c r="BR39" s="18">
        <v>23849.306152743797</v>
      </c>
      <c r="BS39" s="18">
        <v>24122.688912150013</v>
      </c>
      <c r="BT39" s="18">
        <v>25261.484762394539</v>
      </c>
      <c r="BU39" s="18">
        <v>23838.337248319694</v>
      </c>
      <c r="BV39" s="18">
        <v>25983.059471173321</v>
      </c>
      <c r="BW39" s="18">
        <v>25965.949433301597</v>
      </c>
      <c r="BX39" s="18">
        <v>27183.777999922058</v>
      </c>
      <c r="BY39" s="18">
        <v>25649.802225728381</v>
      </c>
      <c r="BZ39" s="18">
        <v>26540.496914760843</v>
      </c>
      <c r="CA39" s="18">
        <v>27026.613822753287</v>
      </c>
      <c r="CB39" s="18">
        <v>27091.857042222506</v>
      </c>
      <c r="CC39" s="18">
        <v>26313.089680524867</v>
      </c>
      <c r="CD39" s="18">
        <v>26007.425104435533</v>
      </c>
      <c r="CE39" s="18">
        <v>17931.800224072809</v>
      </c>
      <c r="CF39" s="18">
        <v>22808.355354648567</v>
      </c>
      <c r="CG39" s="18">
        <v>24484.893891515712</v>
      </c>
      <c r="CH39" s="18">
        <v>24965.064628594078</v>
      </c>
      <c r="CI39" s="18">
        <v>24435.601207095715</v>
      </c>
      <c r="CJ39" s="18">
        <v>25598.009578257705</v>
      </c>
      <c r="CK39" s="18">
        <v>26426.047986994039</v>
      </c>
      <c r="CL39" s="18">
        <v>28333.815373837544</v>
      </c>
      <c r="CM39" s="18">
        <v>26697.137761007772</v>
      </c>
      <c r="CN39" s="18">
        <v>29548.522926713173</v>
      </c>
      <c r="CO39" s="18">
        <v>30023.954876152882</v>
      </c>
      <c r="CP39" s="18">
        <v>28374.847595970674</v>
      </c>
      <c r="CQ39" s="18">
        <v>27295.175643630821</v>
      </c>
      <c r="CR39" s="18">
        <v>31095.435876952706</v>
      </c>
      <c r="CS39" s="18">
        <v>29639.299432753403</v>
      </c>
      <c r="CT39" s="18">
        <v>30406.394054488494</v>
      </c>
      <c r="CU39" s="24">
        <v>28053.186411666331</v>
      </c>
      <c r="CV39" s="24">
        <v>30511.565017040928</v>
      </c>
      <c r="CW39" s="24">
        <v>30038.434425659838</v>
      </c>
      <c r="CX39" s="24">
        <v>32239.497763621592</v>
      </c>
      <c r="CY39" s="24">
        <f>[1]Qtr!CY39</f>
        <v>30063.610420200243</v>
      </c>
      <c r="CZ39" s="30">
        <f>[2]Qtr!CZ39</f>
        <v>33277.211049957579</v>
      </c>
      <c r="DA39" s="30">
        <f>[2]Qtr!DA39</f>
        <v>34097.826878441738</v>
      </c>
      <c r="DB39" s="24"/>
      <c r="DC39" s="24">
        <f>[2]Annual!Y40</f>
        <v>116404.75854930759</v>
      </c>
      <c r="DD39" s="24">
        <f>[2]Annual!Z40</f>
        <v>119009.57990885559</v>
      </c>
      <c r="DE39" s="24">
        <f>[2]Annual!AA40</f>
        <v>129678.14611222115</v>
      </c>
      <c r="DF39" s="24"/>
    </row>
    <row r="40" spans="1:110" x14ac:dyDescent="0.2">
      <c r="A40" s="8" t="s">
        <v>28</v>
      </c>
      <c r="B40" s="19">
        <v>40.002738329668659</v>
      </c>
      <c r="C40" s="19">
        <v>39.137663019289093</v>
      </c>
      <c r="D40" s="19">
        <v>46.722466051452955</v>
      </c>
      <c r="E40" s="19">
        <v>46.805461756263476</v>
      </c>
      <c r="F40" s="19">
        <v>47.299974611922806</v>
      </c>
      <c r="G40" s="19">
        <v>40.109870053222735</v>
      </c>
      <c r="H40" s="19">
        <v>41.711929302620199</v>
      </c>
      <c r="I40" s="19">
        <v>36.469328403876069</v>
      </c>
      <c r="J40" s="19">
        <v>40.373650867511579</v>
      </c>
      <c r="K40" s="19">
        <v>38.925555226926917</v>
      </c>
      <c r="L40" s="19">
        <v>43.104289325282366</v>
      </c>
      <c r="M40" s="19">
        <v>37.94507515543286</v>
      </c>
      <c r="N40" s="19">
        <v>42.947509058026831</v>
      </c>
      <c r="O40" s="19">
        <v>40.852417775894281</v>
      </c>
      <c r="P40" s="19">
        <v>45.741733038271555</v>
      </c>
      <c r="Q40" s="19">
        <v>40.046903957909365</v>
      </c>
      <c r="R40" s="19">
        <v>42.243181584996101</v>
      </c>
      <c r="S40" s="19">
        <v>40.744661805368189</v>
      </c>
      <c r="T40" s="19">
        <v>44.340706425474345</v>
      </c>
      <c r="U40" s="19">
        <v>40.245018432847033</v>
      </c>
      <c r="V40" s="19">
        <v>40.905568005082159</v>
      </c>
      <c r="W40" s="19">
        <v>40.420600199436883</v>
      </c>
      <c r="X40" s="19">
        <v>44.045554935385759</v>
      </c>
      <c r="Y40" s="19">
        <v>39.759173367601228</v>
      </c>
      <c r="Z40" s="19">
        <v>42.876237115059396</v>
      </c>
      <c r="AA40" s="19">
        <v>42.81971825201866</v>
      </c>
      <c r="AB40" s="19">
        <v>43.061035665606639</v>
      </c>
      <c r="AC40" s="19">
        <v>36.955842303092524</v>
      </c>
      <c r="AD40" s="19">
        <v>41.830599241924126</v>
      </c>
      <c r="AE40" s="19">
        <v>37.677683175475941</v>
      </c>
      <c r="AF40" s="19">
        <v>39.979925986591866</v>
      </c>
      <c r="AG40" s="19">
        <v>33.515308141143628</v>
      </c>
      <c r="AH40" s="19">
        <v>34.676777265990324</v>
      </c>
      <c r="AI40" s="19">
        <v>33.575299031560093</v>
      </c>
      <c r="AJ40" s="19">
        <v>37.028499547304563</v>
      </c>
      <c r="AK40" s="19">
        <v>28.817582034080029</v>
      </c>
      <c r="AL40" s="19">
        <v>31.332909391488421</v>
      </c>
      <c r="AM40" s="19">
        <v>29.852775262682297</v>
      </c>
      <c r="AN40" s="19">
        <v>33.289679446564762</v>
      </c>
      <c r="AO40" s="19">
        <v>27.023077104696462</v>
      </c>
      <c r="AP40" s="19">
        <v>35.941131510380878</v>
      </c>
      <c r="AQ40" s="19">
        <v>32.69319235339259</v>
      </c>
      <c r="AR40" s="19">
        <v>35.981289540353877</v>
      </c>
      <c r="AS40" s="19">
        <v>27.838656291330544</v>
      </c>
      <c r="AT40" s="19">
        <v>33.714567963878764</v>
      </c>
      <c r="AU40" s="19">
        <v>29.95394619295465</v>
      </c>
      <c r="AV40" s="19">
        <v>29.935555359321793</v>
      </c>
      <c r="AW40" s="19">
        <v>23.780894028177915</v>
      </c>
      <c r="AX40" s="19">
        <v>31.080017943516669</v>
      </c>
      <c r="AY40" s="19">
        <v>28.013057261894701</v>
      </c>
      <c r="AZ40" s="19">
        <v>28.307878683767264</v>
      </c>
      <c r="BA40" s="19">
        <v>23.290878222805464</v>
      </c>
      <c r="BB40" s="19">
        <v>27.531717797330018</v>
      </c>
      <c r="BC40" s="19">
        <v>27.077636967131475</v>
      </c>
      <c r="BD40" s="19">
        <v>27.770941085835222</v>
      </c>
      <c r="BE40" s="19">
        <v>22.884635338946715</v>
      </c>
      <c r="BF40" s="19">
        <v>29.76387631492744</v>
      </c>
      <c r="BG40" s="19">
        <v>27.471010582573612</v>
      </c>
      <c r="BH40" s="19">
        <v>29.788065961392629</v>
      </c>
      <c r="BI40" s="19">
        <v>23.185633607415234</v>
      </c>
      <c r="BJ40" s="19">
        <v>30.185102019708836</v>
      </c>
      <c r="BK40" s="19">
        <v>27.156745094140206</v>
      </c>
      <c r="BL40" s="19">
        <v>29.121906608541586</v>
      </c>
      <c r="BM40" s="19">
        <v>23.189505242403882</v>
      </c>
      <c r="BN40" s="19">
        <v>29.407888582196385</v>
      </c>
      <c r="BO40" s="19">
        <v>26.453313251610318</v>
      </c>
      <c r="BP40" s="19">
        <v>28.092737909626052</v>
      </c>
      <c r="BQ40" s="19">
        <v>23.445750591624552</v>
      </c>
      <c r="BR40" s="19">
        <v>31.827608147006998</v>
      </c>
      <c r="BS40" s="19">
        <v>28.951740692049157</v>
      </c>
      <c r="BT40" s="19">
        <v>31.960940121598302</v>
      </c>
      <c r="BU40" s="19">
        <v>26.166957193369161</v>
      </c>
      <c r="BV40" s="19">
        <v>32.603785232968185</v>
      </c>
      <c r="BW40" s="19">
        <v>29.806434173156521</v>
      </c>
      <c r="BX40" s="19">
        <v>32.70987269836175</v>
      </c>
      <c r="BY40" s="19">
        <v>26.510802342917561</v>
      </c>
      <c r="BZ40" s="19">
        <v>31.390640194488146</v>
      </c>
      <c r="CA40" s="19">
        <v>28.90434889695868</v>
      </c>
      <c r="CB40" s="19">
        <v>29.668837746710828</v>
      </c>
      <c r="CC40" s="19">
        <v>24.396177017931716</v>
      </c>
      <c r="CD40" s="19">
        <v>29.705585610991527</v>
      </c>
      <c r="CE40" s="19">
        <v>21.863258213858259</v>
      </c>
      <c r="CF40" s="19">
        <v>26.542522282225516</v>
      </c>
      <c r="CG40" s="19">
        <v>22.906553428691858</v>
      </c>
      <c r="CH40" s="19">
        <v>27.560888767173804</v>
      </c>
      <c r="CI40" s="19">
        <v>24.692350564070288</v>
      </c>
      <c r="CJ40" s="19">
        <v>27.858302848499793</v>
      </c>
      <c r="CK40" s="19">
        <v>23.535238316248559</v>
      </c>
      <c r="CL40" s="19">
        <v>29.625661155404892</v>
      </c>
      <c r="CM40" s="19">
        <v>26.03972195526671</v>
      </c>
      <c r="CN40" s="19">
        <v>31.717975233034228</v>
      </c>
      <c r="CO40" s="19">
        <v>26.69545942150587</v>
      </c>
      <c r="CP40" s="20">
        <v>27.710486162739191</v>
      </c>
      <c r="CQ40" s="20">
        <v>25.800461178844415</v>
      </c>
      <c r="CR40" s="20">
        <v>30.206473301782339</v>
      </c>
      <c r="CS40" s="20">
        <v>23.563336894412</v>
      </c>
      <c r="CT40" s="20">
        <v>27.798826607468573</v>
      </c>
      <c r="CU40" s="25">
        <v>24.972284403659831</v>
      </c>
      <c r="CV40" s="25">
        <v>27.922889259391031</v>
      </c>
      <c r="CW40" s="25">
        <v>23.050466514656815</v>
      </c>
      <c r="CX40" s="25">
        <v>28.394731713738615</v>
      </c>
      <c r="CY40" s="25">
        <f>[1]Qtr!CY40</f>
        <v>24.294204440205284</v>
      </c>
      <c r="CZ40" s="33">
        <f>[2]Qtr!CZ40</f>
        <v>28.977902902313225</v>
      </c>
      <c r="DA40" s="33">
        <f>[2]Qtr!DA40</f>
        <v>25.29113937847945</v>
      </c>
      <c r="DB40" s="25"/>
      <c r="DC40" s="25">
        <f>[2]Annual!Y41</f>
        <v>26.63684934705848</v>
      </c>
      <c r="DD40" s="25">
        <f>[2]Annual!Z41</f>
        <v>25.773441154864766</v>
      </c>
      <c r="DE40" s="25">
        <f>[2]Annual!AA41</f>
        <v>26.635138967231935</v>
      </c>
      <c r="DF40" s="25"/>
    </row>
    <row r="41" spans="1:110" x14ac:dyDescent="0.2">
      <c r="A41" s="5" t="s">
        <v>29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  <c r="AZ41" s="19"/>
      <c r="BA41" s="19"/>
      <c r="BB41" s="19"/>
      <c r="BC41" s="19"/>
      <c r="BD41" s="19"/>
      <c r="BE41" s="19"/>
      <c r="BF41" s="19"/>
      <c r="BG41" s="19"/>
      <c r="BH41" s="19"/>
      <c r="BI41" s="19"/>
      <c r="BJ41" s="19"/>
      <c r="BK41" s="19"/>
      <c r="BL41" s="19"/>
      <c r="BM41" s="19"/>
      <c r="BN41" s="19"/>
      <c r="BO41" s="19"/>
      <c r="BP41" s="19"/>
      <c r="BQ41" s="19"/>
      <c r="BR41" s="19"/>
      <c r="BS41" s="19"/>
      <c r="BT41" s="19"/>
      <c r="BU41" s="19"/>
      <c r="BV41" s="19"/>
      <c r="BW41" s="19"/>
      <c r="BX41" s="19"/>
      <c r="BY41" s="19"/>
      <c r="BZ41" s="19"/>
      <c r="CA41" s="19"/>
      <c r="CB41" s="19"/>
      <c r="CC41" s="19"/>
      <c r="CD41" s="19"/>
      <c r="CE41" s="19"/>
      <c r="CF41" s="19"/>
      <c r="CG41" s="19"/>
      <c r="CH41" s="19"/>
      <c r="CI41" s="19"/>
      <c r="CJ41" s="19"/>
      <c r="CK41" s="19"/>
      <c r="CL41" s="19"/>
      <c r="CM41" s="19"/>
      <c r="CN41" s="19"/>
      <c r="CO41" s="19"/>
      <c r="CP41" s="20"/>
      <c r="CQ41" s="20"/>
      <c r="CR41" s="20"/>
      <c r="CS41" s="20"/>
      <c r="CT41" s="20"/>
      <c r="CU41" s="25"/>
      <c r="CV41" s="25"/>
      <c r="CW41" s="25"/>
      <c r="CX41" s="25"/>
      <c r="CY41" s="25"/>
      <c r="CZ41" s="33"/>
      <c r="DA41" s="33"/>
      <c r="DB41" s="25"/>
      <c r="DC41" s="25"/>
      <c r="DD41" s="25"/>
      <c r="DE41" s="25"/>
      <c r="DF41" s="25"/>
    </row>
    <row r="42" spans="1:110" x14ac:dyDescent="0.2">
      <c r="A42" s="8" t="s">
        <v>27</v>
      </c>
      <c r="B42" s="18">
        <v>348764.42845918477</v>
      </c>
      <c r="C42" s="18">
        <v>347437.3900591897</v>
      </c>
      <c r="D42" s="18">
        <v>399891.05735090608</v>
      </c>
      <c r="E42" s="18">
        <v>449823.91616061621</v>
      </c>
      <c r="F42" s="18">
        <v>431753.67799288046</v>
      </c>
      <c r="G42" s="18">
        <v>451888.94545879966</v>
      </c>
      <c r="H42" s="18">
        <v>453329.90847284079</v>
      </c>
      <c r="I42" s="18">
        <v>423496.24156358861</v>
      </c>
      <c r="J42" s="18">
        <v>414346.95234691852</v>
      </c>
      <c r="K42" s="18">
        <v>467046.05691631418</v>
      </c>
      <c r="L42" s="18">
        <v>511227.74439658644</v>
      </c>
      <c r="M42" s="18">
        <v>514626.54599693755</v>
      </c>
      <c r="N42" s="18">
        <v>529836.02388085017</v>
      </c>
      <c r="O42" s="18">
        <v>512737.967976549</v>
      </c>
      <c r="P42" s="18">
        <v>534294.10895859264</v>
      </c>
      <c r="Q42" s="18">
        <v>558866.361535609</v>
      </c>
      <c r="R42" s="18">
        <v>570312.24921980221</v>
      </c>
      <c r="S42" s="18">
        <v>591748.23869080981</v>
      </c>
      <c r="T42" s="18">
        <v>611296.55630852433</v>
      </c>
      <c r="U42" s="18">
        <v>638288.69921096088</v>
      </c>
      <c r="V42" s="18">
        <v>590755.80436932517</v>
      </c>
      <c r="W42" s="18">
        <v>630599.75132767332</v>
      </c>
      <c r="X42" s="18">
        <v>652365.92827831744</v>
      </c>
      <c r="Y42" s="18">
        <v>647965.96445364261</v>
      </c>
      <c r="Z42" s="18">
        <v>622144.98984618136</v>
      </c>
      <c r="AA42" s="18">
        <v>669304.08109604509</v>
      </c>
      <c r="AB42" s="18">
        <v>659692.46581986989</v>
      </c>
      <c r="AC42" s="18">
        <v>643156.3554168538</v>
      </c>
      <c r="AD42" s="18">
        <v>611208.73646079388</v>
      </c>
      <c r="AE42" s="18">
        <v>632922.68941415672</v>
      </c>
      <c r="AF42" s="18">
        <v>655083.70818265725</v>
      </c>
      <c r="AG42" s="18">
        <v>665576.64860084525</v>
      </c>
      <c r="AH42" s="18">
        <v>634050.92528712819</v>
      </c>
      <c r="AI42" s="18">
        <v>700598.62792024738</v>
      </c>
      <c r="AJ42" s="18">
        <v>772337.4571426285</v>
      </c>
      <c r="AK42" s="18">
        <v>656182.97228501248</v>
      </c>
      <c r="AL42" s="18">
        <v>584303.4491570096</v>
      </c>
      <c r="AM42" s="18">
        <v>649962.42377359304</v>
      </c>
      <c r="AN42" s="18">
        <v>658943.43652447534</v>
      </c>
      <c r="AO42" s="18">
        <v>679886.70803442679</v>
      </c>
      <c r="AP42" s="18">
        <v>765091.2680888637</v>
      </c>
      <c r="AQ42" s="18">
        <v>781763.04035043879</v>
      </c>
      <c r="AR42" s="18">
        <v>766730.49140672036</v>
      </c>
      <c r="AS42" s="18">
        <v>809800.87674879306</v>
      </c>
      <c r="AT42" s="18">
        <v>863216.97919490619</v>
      </c>
      <c r="AU42" s="18">
        <v>771064.12268457538</v>
      </c>
      <c r="AV42" s="18">
        <v>789806.48355602007</v>
      </c>
      <c r="AW42" s="18">
        <v>790796.96113771247</v>
      </c>
      <c r="AX42" s="18">
        <v>849564.22740005678</v>
      </c>
      <c r="AY42" s="18">
        <v>830058.54164255108</v>
      </c>
      <c r="AZ42" s="18">
        <v>835873.13623948139</v>
      </c>
      <c r="BA42" s="18">
        <v>844150.39271545561</v>
      </c>
      <c r="BB42" s="18">
        <v>830139.63772345532</v>
      </c>
      <c r="BC42" s="18">
        <v>852551.86387773813</v>
      </c>
      <c r="BD42" s="18">
        <v>965978.57019192027</v>
      </c>
      <c r="BE42" s="18">
        <v>924012.48737833719</v>
      </c>
      <c r="BF42" s="18">
        <v>1017404.8942372585</v>
      </c>
      <c r="BG42" s="18">
        <v>912040.85827053641</v>
      </c>
      <c r="BH42" s="18">
        <v>1070763.6504320968</v>
      </c>
      <c r="BI42" s="18">
        <v>976850.99643433036</v>
      </c>
      <c r="BJ42" s="18">
        <v>1099681.9564858426</v>
      </c>
      <c r="BK42" s="18">
        <v>992805.69322526664</v>
      </c>
      <c r="BL42" s="18">
        <v>1205211.6392727089</v>
      </c>
      <c r="BM42" s="18">
        <v>1155163.0913730913</v>
      </c>
      <c r="BN42" s="18">
        <v>1298717.7476137425</v>
      </c>
      <c r="BO42" s="18">
        <v>1276449.8396626515</v>
      </c>
      <c r="BP42" s="18">
        <v>1369085.4162675678</v>
      </c>
      <c r="BQ42" s="18">
        <v>1367676.3098972884</v>
      </c>
      <c r="BR42" s="18">
        <v>1606363.8649136075</v>
      </c>
      <c r="BS42" s="18">
        <v>1537248.3470349209</v>
      </c>
      <c r="BT42" s="18">
        <v>1609629.3952447441</v>
      </c>
      <c r="BU42" s="18">
        <v>1640287.8362965477</v>
      </c>
      <c r="BV42" s="18">
        <v>1796116.049271941</v>
      </c>
      <c r="BW42" s="18">
        <v>1929119.931597736</v>
      </c>
      <c r="BX42" s="18">
        <v>2005600.6612359514</v>
      </c>
      <c r="BY42" s="18">
        <v>1931372.8487438348</v>
      </c>
      <c r="BZ42" s="18">
        <v>2004060.1062056874</v>
      </c>
      <c r="CA42" s="18">
        <v>1927311.369505845</v>
      </c>
      <c r="CB42" s="18">
        <v>2023447.9500958584</v>
      </c>
      <c r="CC42" s="18">
        <v>1941897.659047609</v>
      </c>
      <c r="CD42" s="18">
        <v>1766672.7015503403</v>
      </c>
      <c r="CE42" s="18">
        <v>1149514.9402660923</v>
      </c>
      <c r="CF42" s="18">
        <v>1506042.2379375221</v>
      </c>
      <c r="CG42" s="18">
        <v>1495815.2927085266</v>
      </c>
      <c r="CH42" s="18">
        <v>1638317.74428242</v>
      </c>
      <c r="CI42" s="18">
        <v>1784038.1166096875</v>
      </c>
      <c r="CJ42" s="18">
        <v>1931192.4699373539</v>
      </c>
      <c r="CK42" s="18">
        <v>1970576.3182393832</v>
      </c>
      <c r="CL42" s="18">
        <v>2203810.9853348406</v>
      </c>
      <c r="CM42" s="18">
        <v>2433415.7305227928</v>
      </c>
      <c r="CN42" s="18">
        <v>2711874.9916171385</v>
      </c>
      <c r="CO42" s="18">
        <v>2352653.891222849</v>
      </c>
      <c r="CP42" s="18">
        <v>2434826.2505029789</v>
      </c>
      <c r="CQ42" s="18">
        <v>2427283.182131175</v>
      </c>
      <c r="CR42" s="18">
        <v>2634641.7171200351</v>
      </c>
      <c r="CS42" s="18">
        <v>2419078.4970038896</v>
      </c>
      <c r="CT42" s="18">
        <v>2483236.7262483519</v>
      </c>
      <c r="CU42" s="24">
        <v>2674399.5406368747</v>
      </c>
      <c r="CV42" s="24">
        <v>2860954.8281154223</v>
      </c>
      <c r="CW42" s="24">
        <v>2589584.9340421204</v>
      </c>
      <c r="CX42" s="24">
        <v>2848457.1551647144</v>
      </c>
      <c r="CY42" s="24">
        <f>[1]Qtr!CY42</f>
        <v>2713878.5466870032</v>
      </c>
      <c r="CZ42" s="30">
        <f>[2]Qtr!CZ42</f>
        <v>2982936.5955126784</v>
      </c>
      <c r="DA42" s="30">
        <f>[2]Qtr!DA42</f>
        <v>2665810.163503204</v>
      </c>
      <c r="DB42" s="24"/>
      <c r="DC42" s="24">
        <f>[2]Annual!Y43</f>
        <v>9915829.6467580777</v>
      </c>
      <c r="DD42" s="24">
        <f>[2]Annual!Z43</f>
        <v>10608176.029042769</v>
      </c>
      <c r="DE42" s="24">
        <f>[2]Annual!AA43</f>
        <v>11211082.460867602</v>
      </c>
      <c r="DF42" s="24"/>
    </row>
    <row r="43" spans="1:110" x14ac:dyDescent="0.2">
      <c r="A43" s="8" t="s">
        <v>30</v>
      </c>
      <c r="B43" s="18">
        <v>8581.3795693908942</v>
      </c>
      <c r="C43" s="18">
        <v>8307.7255459981752</v>
      </c>
      <c r="D43" s="18">
        <v>8894.1762271948155</v>
      </c>
      <c r="E43" s="18">
        <v>9138.4904650390308</v>
      </c>
      <c r="F43" s="18">
        <v>8783.8723575952736</v>
      </c>
      <c r="G43" s="18">
        <v>8907.1993664636375</v>
      </c>
      <c r="H43" s="18">
        <v>8696.4761447368164</v>
      </c>
      <c r="I43" s="18">
        <v>8170.8709543428249</v>
      </c>
      <c r="J43" s="18">
        <v>8073.7909654504774</v>
      </c>
      <c r="K43" s="18">
        <v>9235.6349004610274</v>
      </c>
      <c r="L43" s="18">
        <v>9925.2105381025558</v>
      </c>
      <c r="M43" s="18">
        <v>9667.0714003369503</v>
      </c>
      <c r="N43" s="18">
        <v>9800.8883440778791</v>
      </c>
      <c r="O43" s="18">
        <v>9699.9237225983543</v>
      </c>
      <c r="P43" s="18">
        <v>9789.1921758628196</v>
      </c>
      <c r="Q43" s="18">
        <v>10113.397783851049</v>
      </c>
      <c r="R43" s="18">
        <v>10191.426898137996</v>
      </c>
      <c r="S43" s="18">
        <v>10582.428532687325</v>
      </c>
      <c r="T43" s="18">
        <v>10917.959569718241</v>
      </c>
      <c r="U43" s="18">
        <v>11339.291156705647</v>
      </c>
      <c r="V43" s="18">
        <v>10735.159083578505</v>
      </c>
      <c r="W43" s="18">
        <v>11532.548488070104</v>
      </c>
      <c r="X43" s="18">
        <v>11643.590573237931</v>
      </c>
      <c r="Y43" s="18">
        <v>11862.25087879809</v>
      </c>
      <c r="Z43" s="18">
        <v>11994.312509083889</v>
      </c>
      <c r="AA43" s="18">
        <v>12816.396201351819</v>
      </c>
      <c r="AB43" s="18">
        <v>12842.479088535078</v>
      </c>
      <c r="AC43" s="18">
        <v>12923.349918959426</v>
      </c>
      <c r="AD43" s="18">
        <v>12575.901741077581</v>
      </c>
      <c r="AE43" s="18">
        <v>13486.28704115965</v>
      </c>
      <c r="AF43" s="18">
        <v>14260.956853585696</v>
      </c>
      <c r="AG43" s="18">
        <v>15443.748348119434</v>
      </c>
      <c r="AH43" s="18">
        <v>15481.736972101615</v>
      </c>
      <c r="AI43" s="18">
        <v>16286.804886337972</v>
      </c>
      <c r="AJ43" s="18">
        <v>16968.047743363386</v>
      </c>
      <c r="AK43" s="18">
        <v>13551.857486707755</v>
      </c>
      <c r="AL43" s="18">
        <v>12233.006713291454</v>
      </c>
      <c r="AM43" s="18">
        <v>13576.427670503883</v>
      </c>
      <c r="AN43" s="18">
        <v>13686.26416392682</v>
      </c>
      <c r="AO43" s="18">
        <v>14539.817395821818</v>
      </c>
      <c r="AP43" s="18">
        <v>16628.522816634202</v>
      </c>
      <c r="AQ43" s="18">
        <v>17174.898893335547</v>
      </c>
      <c r="AR43" s="18">
        <v>16937.545233988625</v>
      </c>
      <c r="AS43" s="18">
        <v>18563.380728049739</v>
      </c>
      <c r="AT43" s="18">
        <v>19710.655293212443</v>
      </c>
      <c r="AU43" s="18">
        <v>17832.621409035568</v>
      </c>
      <c r="AV43" s="18">
        <v>18476.302045898432</v>
      </c>
      <c r="AW43" s="18">
        <v>18197.800848322215</v>
      </c>
      <c r="AX43" s="18">
        <v>19735.980515630166</v>
      </c>
      <c r="AY43" s="18">
        <v>19408.659275224629</v>
      </c>
      <c r="AZ43" s="18">
        <v>19949.509330821853</v>
      </c>
      <c r="BA43" s="18">
        <v>20499.436431874721</v>
      </c>
      <c r="BB43" s="18">
        <v>20394.227675786933</v>
      </c>
      <c r="BC43" s="18">
        <v>20944.833889658552</v>
      </c>
      <c r="BD43" s="18">
        <v>22111.198682269685</v>
      </c>
      <c r="BE43" s="18">
        <v>21150.597253168249</v>
      </c>
      <c r="BF43" s="18">
        <v>22678.37267158434</v>
      </c>
      <c r="BG43" s="18">
        <v>20673.957112789849</v>
      </c>
      <c r="BH43" s="18">
        <v>24467.659526401774</v>
      </c>
      <c r="BI43" s="18">
        <v>21804.692390255423</v>
      </c>
      <c r="BJ43" s="18">
        <v>24760.409939395715</v>
      </c>
      <c r="BK43" s="18">
        <v>22228.406676642066</v>
      </c>
      <c r="BL43" s="18">
        <v>26169.578363142453</v>
      </c>
      <c r="BM43" s="18">
        <v>24650.75525249101</v>
      </c>
      <c r="BN43" s="18">
        <v>27466.721519365499</v>
      </c>
      <c r="BO43" s="18">
        <v>27441.869318869118</v>
      </c>
      <c r="BP43" s="18">
        <v>29096.580145208223</v>
      </c>
      <c r="BQ43" s="18">
        <v>27854.441911657068</v>
      </c>
      <c r="BR43" s="18">
        <v>32136.756421594844</v>
      </c>
      <c r="BS43" s="18">
        <v>30834.248854851397</v>
      </c>
      <c r="BT43" s="18">
        <v>31663.851839261497</v>
      </c>
      <c r="BU43" s="18">
        <v>32210.373402821951</v>
      </c>
      <c r="BV43" s="18">
        <v>34902.157456781017</v>
      </c>
      <c r="BW43" s="18">
        <v>36783.414626190235</v>
      </c>
      <c r="BX43" s="18">
        <v>37453.692791138463</v>
      </c>
      <c r="BY43" s="18">
        <v>36319.333738215937</v>
      </c>
      <c r="BZ43" s="18">
        <v>38282.530834129262</v>
      </c>
      <c r="CA43" s="18">
        <v>37034.85268758086</v>
      </c>
      <c r="CB43" s="18">
        <v>39097.271196993192</v>
      </c>
      <c r="CC43" s="18">
        <v>38082.021978493736</v>
      </c>
      <c r="CD43" s="18">
        <v>34764.758347463219</v>
      </c>
      <c r="CE43" s="18">
        <v>22782.113680781753</v>
      </c>
      <c r="CF43" s="18">
        <v>30775.975451495437</v>
      </c>
      <c r="CG43" s="18">
        <v>30992.377911487896</v>
      </c>
      <c r="CH43" s="18">
        <v>33927.486223961045</v>
      </c>
      <c r="CI43" s="18">
        <v>37027.935476196049</v>
      </c>
      <c r="CJ43" s="18">
        <v>38541.871449948776</v>
      </c>
      <c r="CK43" s="18">
        <v>39061.461269033745</v>
      </c>
      <c r="CL43" s="18">
        <v>42763.215841954778</v>
      </c>
      <c r="CM43" s="18">
        <v>46217.178793427491</v>
      </c>
      <c r="CN43" s="18">
        <v>48122.165583719609</v>
      </c>
      <c r="CO43" s="18">
        <v>41014.047193141865</v>
      </c>
      <c r="CP43" s="18">
        <v>44402.865787303279</v>
      </c>
      <c r="CQ43" s="18">
        <v>43619.620581907613</v>
      </c>
      <c r="CR43" s="18">
        <v>47077.230623736454</v>
      </c>
      <c r="CS43" s="18">
        <v>43158.34103110576</v>
      </c>
      <c r="CT43" s="18">
        <v>44388.088156359925</v>
      </c>
      <c r="CU43" s="24">
        <v>46257.930749330182</v>
      </c>
      <c r="CV43" s="24">
        <v>49982.056910487976</v>
      </c>
      <c r="CW43" s="24">
        <v>44533.045351921115</v>
      </c>
      <c r="CX43" s="24">
        <v>49135.635861301664</v>
      </c>
      <c r="CY43" s="24">
        <f>[1]Qtr!CY43</f>
        <v>48216.210538962558</v>
      </c>
      <c r="CZ43" s="30">
        <f>[2]Qtr!CZ43</f>
        <v>52257.394723215679</v>
      </c>
      <c r="DA43" s="30">
        <f>[2]Qtr!DA43</f>
        <v>45426.297744017545</v>
      </c>
      <c r="DB43" s="24"/>
      <c r="DC43" s="24">
        <f>[2]Annual!Y44</f>
        <v>178258.05802405308</v>
      </c>
      <c r="DD43" s="24">
        <f>[2]Annual!Z44</f>
        <v>185161.1211680992</v>
      </c>
      <c r="DE43" s="24">
        <f>[2]Annual!AA44</f>
        <v>195035.53886749747</v>
      </c>
      <c r="DF43" s="24"/>
    </row>
    <row r="44" spans="1:110" x14ac:dyDescent="0.2">
      <c r="A44" s="8" t="s">
        <v>28</v>
      </c>
      <c r="B44" s="19">
        <v>41.012021253962061</v>
      </c>
      <c r="C44" s="19">
        <v>38.402237035163004</v>
      </c>
      <c r="D44" s="19">
        <v>43.768807743320103</v>
      </c>
      <c r="E44" s="19">
        <v>43.723823382691428</v>
      </c>
      <c r="F44" s="19">
        <v>46.628908768875689</v>
      </c>
      <c r="G44" s="19">
        <v>45.6356451048933</v>
      </c>
      <c r="H44" s="19">
        <v>45.48007305022621</v>
      </c>
      <c r="I44" s="19">
        <v>38.101778215410924</v>
      </c>
      <c r="J44" s="19">
        <v>41.16386882162216</v>
      </c>
      <c r="K44" s="19">
        <v>43.486908498530148</v>
      </c>
      <c r="L44" s="19">
        <v>48.242835074080318</v>
      </c>
      <c r="M44" s="19">
        <v>42.520875845425415</v>
      </c>
      <c r="N44" s="19">
        <v>48.549453050514721</v>
      </c>
      <c r="O44" s="19">
        <v>44.687596832739302</v>
      </c>
      <c r="P44" s="19">
        <v>46.357429494078282</v>
      </c>
      <c r="Q44" s="19">
        <v>42.129634653466482</v>
      </c>
      <c r="R44" s="19">
        <v>46.607897981336997</v>
      </c>
      <c r="S44" s="19">
        <v>45.303212735298118</v>
      </c>
      <c r="T44" s="19">
        <v>47.02796948179234</v>
      </c>
      <c r="U44" s="19">
        <v>42.717376769721774</v>
      </c>
      <c r="V44" s="19">
        <v>43.614919378024751</v>
      </c>
      <c r="W44" s="19">
        <v>43.286820415021552</v>
      </c>
      <c r="X44" s="19">
        <v>45.194773820356652</v>
      </c>
      <c r="Y44" s="19">
        <v>38.974152663322407</v>
      </c>
      <c r="Z44" s="19">
        <v>41.565021012668865</v>
      </c>
      <c r="AA44" s="19">
        <v>41.151559670371817</v>
      </c>
      <c r="AB44" s="19">
        <v>41.521501262912707</v>
      </c>
      <c r="AC44" s="19">
        <v>34.984880678695262</v>
      </c>
      <c r="AD44" s="19">
        <v>37.002603858910177</v>
      </c>
      <c r="AE44" s="19">
        <v>35.497320994370014</v>
      </c>
      <c r="AF44" s="19">
        <v>37.719506812894508</v>
      </c>
      <c r="AG44" s="19">
        <v>32.840310683146321</v>
      </c>
      <c r="AH44" s="19">
        <v>35.309424819231602</v>
      </c>
      <c r="AI44" s="19">
        <v>34.680053950085984</v>
      </c>
      <c r="AJ44" s="19">
        <v>38.646842373926667</v>
      </c>
      <c r="AK44" s="19">
        <v>29.347923531302449</v>
      </c>
      <c r="AL44" s="19">
        <v>30.759293593203978</v>
      </c>
      <c r="AM44" s="19">
        <v>31.319254808929429</v>
      </c>
      <c r="AN44" s="19">
        <v>32.361124373764255</v>
      </c>
      <c r="AO44" s="19">
        <v>28.574809662947885</v>
      </c>
      <c r="AP44" s="19">
        <v>35.558946599073323</v>
      </c>
      <c r="AQ44" s="19">
        <v>33.226264760830915</v>
      </c>
      <c r="AR44" s="19">
        <v>33.780129508824288</v>
      </c>
      <c r="AS44" s="19">
        <v>30.846943664521365</v>
      </c>
      <c r="AT44" s="19">
        <v>36.713746063014412</v>
      </c>
      <c r="AU44" s="19">
        <v>30.299117786164199</v>
      </c>
      <c r="AV44" s="19">
        <v>32.514936357982535</v>
      </c>
      <c r="AW44" s="19">
        <v>28.046876340264671</v>
      </c>
      <c r="AX44" s="19">
        <v>33.453437754484355</v>
      </c>
      <c r="AY44" s="19">
        <v>30.150760715150462</v>
      </c>
      <c r="AZ44" s="19">
        <v>31.271896462685699</v>
      </c>
      <c r="BA44" s="19">
        <v>27.273781736058211</v>
      </c>
      <c r="BB44" s="19">
        <v>29.939525340971706</v>
      </c>
      <c r="BC44" s="19">
        <v>28.47549328364795</v>
      </c>
      <c r="BD44" s="19">
        <v>33.143847176304917</v>
      </c>
      <c r="BE44" s="19">
        <v>27.423792641950278</v>
      </c>
      <c r="BF44" s="19">
        <v>33.512298893802843</v>
      </c>
      <c r="BG44" s="19">
        <v>27.665064420632966</v>
      </c>
      <c r="BH44" s="19">
        <v>33.731044189313977</v>
      </c>
      <c r="BI44" s="19">
        <v>26.4029967801734</v>
      </c>
      <c r="BJ44" s="19">
        <v>34.319190870217739</v>
      </c>
      <c r="BK44" s="19">
        <v>28.415402272180231</v>
      </c>
      <c r="BL44" s="19">
        <v>36.186210540756953</v>
      </c>
      <c r="BM44" s="19">
        <v>29.503082656012925</v>
      </c>
      <c r="BN44" s="19">
        <v>37.779234505987894</v>
      </c>
      <c r="BO44" s="19">
        <v>33.669240839401475</v>
      </c>
      <c r="BP44" s="19">
        <v>37.560859802785146</v>
      </c>
      <c r="BQ44" s="19">
        <v>32.115575151871475</v>
      </c>
      <c r="BR44" s="19">
        <v>42.887456932773574</v>
      </c>
      <c r="BS44" s="19">
        <v>37.006868534881171</v>
      </c>
      <c r="BT44" s="19">
        <v>40.061242724747459</v>
      </c>
      <c r="BU44" s="19">
        <v>35.356805855806442</v>
      </c>
      <c r="BV44" s="19">
        <v>43.795552527238286</v>
      </c>
      <c r="BW44" s="19">
        <v>42.22385280136686</v>
      </c>
      <c r="BX44" s="19">
        <v>45.06752237622014</v>
      </c>
      <c r="BY44" s="19">
        <v>37.538483512925318</v>
      </c>
      <c r="BZ44" s="19">
        <v>45.278472178122684</v>
      </c>
      <c r="CA44" s="19">
        <v>39.607932775066871</v>
      </c>
      <c r="CB44" s="19">
        <v>42.816208341677509</v>
      </c>
      <c r="CC44" s="19">
        <v>35.30774077343424</v>
      </c>
      <c r="CD44" s="19">
        <v>39.708179536769059</v>
      </c>
      <c r="CE44" s="19">
        <v>27.776978766010036</v>
      </c>
      <c r="CF44" s="19">
        <v>35.814595198862357</v>
      </c>
      <c r="CG44" s="19">
        <v>28.994553280776316</v>
      </c>
      <c r="CH44" s="19">
        <v>37.455207422031457</v>
      </c>
      <c r="CI44" s="19">
        <v>37.416994805779829</v>
      </c>
      <c r="CJ44" s="19">
        <v>41.945102173592581</v>
      </c>
      <c r="CK44" s="19">
        <v>34.788433003681781</v>
      </c>
      <c r="CL44" s="19">
        <v>44.712952552764754</v>
      </c>
      <c r="CM44" s="19">
        <v>45.079082863161254</v>
      </c>
      <c r="CN44" s="19">
        <v>51.65529457868481</v>
      </c>
      <c r="CO44" s="19">
        <v>36.46717552942642</v>
      </c>
      <c r="CP44" s="20">
        <v>43.363228430511732</v>
      </c>
      <c r="CQ44" s="20">
        <v>41.230961183502679</v>
      </c>
      <c r="CR44" s="20">
        <v>45.731377285877812</v>
      </c>
      <c r="CS44" s="20">
        <v>34.311017769740765</v>
      </c>
      <c r="CT44" s="20">
        <v>40.581489665774072</v>
      </c>
      <c r="CU44" s="25">
        <v>41.177718126047949</v>
      </c>
      <c r="CV44" s="25">
        <v>45.741457027479882</v>
      </c>
      <c r="CW44" s="25">
        <v>34.173134862290752</v>
      </c>
      <c r="CX44" s="25">
        <v>43.275897413015002</v>
      </c>
      <c r="CY44" s="25">
        <f>[1]Qtr!CY44</f>
        <v>38.963200353955848</v>
      </c>
      <c r="CZ44" s="33">
        <f>[2]Qtr!CZ44</f>
        <v>45.505908170724837</v>
      </c>
      <c r="DA44" s="33">
        <f>[2]Qtr!DA44</f>
        <v>33.69372575525135</v>
      </c>
      <c r="DB44" s="25"/>
      <c r="DC44" s="25">
        <f>[2]Annual!Y45</f>
        <v>40.783119970102177</v>
      </c>
      <c r="DD44" s="25">
        <f>[2]Annual!Z45</f>
        <v>40.112031373924289</v>
      </c>
      <c r="DE44" s="25">
        <f>[2]Annual!AA45</f>
        <v>40.019192675133588</v>
      </c>
      <c r="DF44" s="25"/>
    </row>
    <row r="45" spans="1:110" ht="25.5" x14ac:dyDescent="0.2">
      <c r="A45" s="11" t="s">
        <v>45</v>
      </c>
      <c r="B45" s="19">
        <v>84.50828569222611</v>
      </c>
      <c r="C45" s="19">
        <v>83.173871718622593</v>
      </c>
      <c r="D45" s="19">
        <v>83.612976810001584</v>
      </c>
      <c r="E45" s="19">
        <v>82.579139510233404</v>
      </c>
      <c r="F45" s="19">
        <v>82.066847915789666</v>
      </c>
      <c r="G45" s="19">
        <v>81.198262523727209</v>
      </c>
      <c r="H45" s="19">
        <v>81.155908227514686</v>
      </c>
      <c r="I45" s="19">
        <v>81.540701746416445</v>
      </c>
      <c r="J45" s="19">
        <v>81.793354048147407</v>
      </c>
      <c r="K45" s="19">
        <v>81.671578812903562</v>
      </c>
      <c r="L45" s="19">
        <v>80.517603590114419</v>
      </c>
      <c r="M45" s="19">
        <v>81.755533219194973</v>
      </c>
      <c r="N45" s="19">
        <v>81.730392311652579</v>
      </c>
      <c r="O45" s="19">
        <v>81.079124171756746</v>
      </c>
      <c r="P45" s="19">
        <v>81.813719061501729</v>
      </c>
      <c r="Q45" s="19">
        <v>81.073638667953716</v>
      </c>
      <c r="R45" s="19">
        <v>81.285403422261737</v>
      </c>
      <c r="S45" s="19">
        <v>80.655951794205748</v>
      </c>
      <c r="T45" s="19">
        <v>79.392394789940909</v>
      </c>
      <c r="U45" s="19">
        <v>79.086031618547992</v>
      </c>
      <c r="V45" s="19">
        <v>80.079562789147118</v>
      </c>
      <c r="W45" s="19">
        <v>79.015553805376882</v>
      </c>
      <c r="X45" s="19">
        <v>80.804544079302715</v>
      </c>
      <c r="Y45" s="19">
        <v>79.769685099996295</v>
      </c>
      <c r="Z45" s="19">
        <v>79.049077132942983</v>
      </c>
      <c r="AA45" s="19">
        <v>77.748315004555479</v>
      </c>
      <c r="AB45" s="19">
        <v>77.491260005705911</v>
      </c>
      <c r="AC45" s="19">
        <v>76.142785622140821</v>
      </c>
      <c r="AD45" s="19">
        <v>77.128506368130573</v>
      </c>
      <c r="AE45" s="19">
        <v>76.089684630245358</v>
      </c>
      <c r="AF45" s="19">
        <v>76.196840244818077</v>
      </c>
      <c r="AG45" s="19">
        <v>73.720884935783403</v>
      </c>
      <c r="AH45" s="19">
        <v>73.168873418001596</v>
      </c>
      <c r="AI45" s="19">
        <v>71.924175570843815</v>
      </c>
      <c r="AJ45" s="19">
        <v>73.454860679877498</v>
      </c>
      <c r="AK45" s="19">
        <v>71.397341830145621</v>
      </c>
      <c r="AL45" s="19">
        <v>76.088601076429228</v>
      </c>
      <c r="AM45" s="19">
        <v>76.441951033214579</v>
      </c>
      <c r="AN45" s="19">
        <v>77.049553993840334</v>
      </c>
      <c r="AO45" s="19">
        <v>76.391843005153817</v>
      </c>
      <c r="AP45" s="19">
        <v>75.00348281132483</v>
      </c>
      <c r="AQ45" s="19">
        <v>75.715437195897692</v>
      </c>
      <c r="AR45" s="19">
        <v>76.526467645859398</v>
      </c>
      <c r="AS45" s="19">
        <v>74.34613978315204</v>
      </c>
      <c r="AT45" s="19">
        <v>72.186475372823708</v>
      </c>
      <c r="AU45" s="19">
        <v>68.185455971061828</v>
      </c>
      <c r="AV45" s="19">
        <v>69.134209872594312</v>
      </c>
      <c r="AW45" s="19">
        <v>67.997934501686558</v>
      </c>
      <c r="AX45" s="19">
        <v>73.267090996126441</v>
      </c>
      <c r="AY45" s="19">
        <v>71.201303918294727</v>
      </c>
      <c r="AZ45" s="19">
        <v>73.117828769506218</v>
      </c>
      <c r="BA45" s="19">
        <v>69.07875648709657</v>
      </c>
      <c r="BB45" s="19">
        <v>65.320147172590524</v>
      </c>
      <c r="BC45" s="19">
        <v>65.260766407009115</v>
      </c>
      <c r="BD45" s="19">
        <v>69.500330015597541</v>
      </c>
      <c r="BE45" s="19">
        <v>67.20602815198275</v>
      </c>
      <c r="BF45" s="19">
        <v>68.980126671068561</v>
      </c>
      <c r="BG45" s="19">
        <v>69.387235898814836</v>
      </c>
      <c r="BH45" s="19">
        <v>71.195826175042939</v>
      </c>
      <c r="BI45" s="19">
        <v>67.867483841964656</v>
      </c>
      <c r="BJ45" s="19">
        <v>65.919227793435354</v>
      </c>
      <c r="BK45" s="19">
        <v>69.938050920500231</v>
      </c>
      <c r="BL45" s="19">
        <v>75.241353631910215</v>
      </c>
      <c r="BM45" s="19">
        <v>70.324617687178574</v>
      </c>
      <c r="BN45" s="19">
        <v>69.233217059291221</v>
      </c>
      <c r="BO45" s="19">
        <v>71.512935700766349</v>
      </c>
      <c r="BP45" s="19">
        <v>72.161809460727625</v>
      </c>
      <c r="BQ45" s="19">
        <v>64.260116516234305</v>
      </c>
      <c r="BR45" s="19">
        <v>63.578744293693624</v>
      </c>
      <c r="BS45" s="19">
        <v>68.766894775894485</v>
      </c>
      <c r="BT45" s="19">
        <v>73.415180661794054</v>
      </c>
      <c r="BU45" s="19">
        <v>69.119177228916541</v>
      </c>
      <c r="BV45" s="19">
        <v>65.731301469901553</v>
      </c>
      <c r="BW45" s="19">
        <v>70.584587030290209</v>
      </c>
      <c r="BX45" s="19">
        <v>74.129886960831286</v>
      </c>
      <c r="BY45" s="19">
        <v>69.678172314832125</v>
      </c>
      <c r="BZ45" s="19">
        <v>65.249027181358656</v>
      </c>
      <c r="CA45" s="19">
        <v>69.251831768705657</v>
      </c>
      <c r="CB45" s="19">
        <v>72.429058976090062</v>
      </c>
      <c r="CC45" s="19">
        <v>68.145830398006737</v>
      </c>
      <c r="CD45" s="19">
        <v>64.543185541836394</v>
      </c>
      <c r="CE45" s="19">
        <v>69.766970929606757</v>
      </c>
      <c r="CF45" s="19">
        <v>72.400225471388453</v>
      </c>
      <c r="CG45" s="19">
        <v>70.443508574731581</v>
      </c>
      <c r="CH45" s="19">
        <v>66.081696936029388</v>
      </c>
      <c r="CI45" s="19">
        <v>68.489519790931425</v>
      </c>
      <c r="CJ45" s="19">
        <v>72.008105647727291</v>
      </c>
      <c r="CK45" s="19">
        <v>70.116970330050734</v>
      </c>
      <c r="CL45" s="19">
        <v>66.722056406581132</v>
      </c>
      <c r="CM45" s="19">
        <v>68.070825653981217</v>
      </c>
      <c r="CN45" s="19">
        <v>75.630296442170859</v>
      </c>
      <c r="CO45" s="19">
        <v>76.726523740132095</v>
      </c>
      <c r="CP45" s="20">
        <v>65.317794098428678</v>
      </c>
      <c r="CQ45" s="20">
        <v>72.500340420303743</v>
      </c>
      <c r="CR45" s="20">
        <v>75.831607588355979</v>
      </c>
      <c r="CS45" s="20">
        <v>73.188192717215742</v>
      </c>
      <c r="CT45" s="20">
        <v>66.717206548099711</v>
      </c>
      <c r="CU45" s="25">
        <v>68.982388153423429</v>
      </c>
      <c r="CV45" s="25">
        <v>73.475488482579379</v>
      </c>
      <c r="CW45" s="25">
        <v>67.109291986064321</v>
      </c>
      <c r="CX45" s="25">
        <v>67.645491746582252</v>
      </c>
      <c r="CY45" s="25">
        <f>[1]Qtr!CY45</f>
        <v>69.771791253783832</v>
      </c>
      <c r="CZ45" s="33">
        <f>[2]Qtr!CZ45</f>
        <v>76.7471908887902</v>
      </c>
      <c r="DA45" s="33">
        <f>[2]Qtr!DA45</f>
        <v>73.749008933674219</v>
      </c>
      <c r="DB45" s="25"/>
      <c r="DC45" s="25">
        <f>[2]Annual!Y46</f>
        <v>71.866323848529376</v>
      </c>
      <c r="DD45" s="25">
        <f>[2]Annual!Z46</f>
        <v>68.25689514322201</v>
      </c>
      <c r="DE45" s="25">
        <f>[2]Annual!AA46</f>
        <v>71.941820755228875</v>
      </c>
      <c r="DF45" s="25"/>
    </row>
    <row r="46" spans="1:110" ht="25.5" x14ac:dyDescent="0.2">
      <c r="A46" s="11" t="s">
        <v>31</v>
      </c>
      <c r="B46" s="19">
        <v>58.757855234900916</v>
      </c>
      <c r="C46" s="19">
        <v>56.566606572277877</v>
      </c>
      <c r="D46" s="19">
        <v>58.160793662796145</v>
      </c>
      <c r="E46" s="19">
        <v>58.837363230327583</v>
      </c>
      <c r="F46" s="19">
        <v>57.874828609430551</v>
      </c>
      <c r="G46" s="19">
        <v>58.331845666230123</v>
      </c>
      <c r="H46" s="19">
        <v>58.250232009654916</v>
      </c>
      <c r="I46" s="19">
        <v>59.036392416675938</v>
      </c>
      <c r="J46" s="19">
        <v>59.158959889080649</v>
      </c>
      <c r="K46" s="19">
        <v>60.256085714056077</v>
      </c>
      <c r="L46" s="19">
        <v>58.831157370238067</v>
      </c>
      <c r="M46" s="19">
        <v>57.981795606898395</v>
      </c>
      <c r="N46" s="19">
        <v>59.210931243157646</v>
      </c>
      <c r="O46" s="19">
        <v>58.291068005428805</v>
      </c>
      <c r="P46" s="19">
        <v>59.957205484498935</v>
      </c>
      <c r="Q46" s="19">
        <v>59.600648985595598</v>
      </c>
      <c r="R46" s="19">
        <v>59.323563036155463</v>
      </c>
      <c r="S46" s="19">
        <v>60.570002680823542</v>
      </c>
      <c r="T46" s="19">
        <v>60.736675474440837</v>
      </c>
      <c r="U46" s="19">
        <v>61.904176080890821</v>
      </c>
      <c r="V46" s="19">
        <v>61.951762345595128</v>
      </c>
      <c r="W46" s="19">
        <v>60.378339155666829</v>
      </c>
      <c r="X46" s="19">
        <v>62.79193904932351</v>
      </c>
      <c r="Y46" s="19">
        <v>62.044171740718355</v>
      </c>
      <c r="Z46" s="19">
        <v>62.774441664945911</v>
      </c>
      <c r="AA46" s="19">
        <v>63.182267010461956</v>
      </c>
      <c r="AB46" s="19">
        <v>62.105957277565686</v>
      </c>
      <c r="AC46" s="19">
        <v>63.219125801246868</v>
      </c>
      <c r="AD46" s="19">
        <v>61.069165492244281</v>
      </c>
      <c r="AE46" s="19">
        <v>61.920497061048778</v>
      </c>
      <c r="AF46" s="19">
        <v>62.257411705340104</v>
      </c>
      <c r="AG46" s="19">
        <v>63.001374892185559</v>
      </c>
      <c r="AH46" s="19">
        <v>64.287608412940344</v>
      </c>
      <c r="AI46" s="19">
        <v>62.826826816208147</v>
      </c>
      <c r="AJ46" s="19">
        <v>63.341471530072162</v>
      </c>
      <c r="AK46" s="19">
        <v>62.192417772135904</v>
      </c>
      <c r="AL46" s="19">
        <v>58.50210595379162</v>
      </c>
      <c r="AM46" s="19">
        <v>63.885286724686871</v>
      </c>
      <c r="AN46" s="19">
        <v>62.916394582763196</v>
      </c>
      <c r="AO46" s="19">
        <v>61.998521482284289</v>
      </c>
      <c r="AP46" s="19">
        <v>61.09346362406999</v>
      </c>
      <c r="AQ46" s="19">
        <v>63.811539926715064</v>
      </c>
      <c r="AR46" s="19">
        <v>61.843686818262192</v>
      </c>
      <c r="AS46" s="19">
        <v>63.109542771773071</v>
      </c>
      <c r="AT46" s="19">
        <v>64.366480278187382</v>
      </c>
      <c r="AU46" s="19">
        <v>63.900746017187956</v>
      </c>
      <c r="AV46" s="19">
        <v>59.584542171216839</v>
      </c>
      <c r="AW46" s="19">
        <v>59.777887419457088</v>
      </c>
      <c r="AX46" s="19">
        <v>62.865676774812592</v>
      </c>
      <c r="AY46" s="19">
        <v>65.315025263848554</v>
      </c>
      <c r="AZ46" s="19">
        <v>64.179191449531629</v>
      </c>
      <c r="BA46" s="19">
        <v>61.152883174283183</v>
      </c>
      <c r="BB46" s="19">
        <v>64.874673913780413</v>
      </c>
      <c r="BC46" s="19">
        <v>64.455450923955979</v>
      </c>
      <c r="BD46" s="19">
        <v>64.999304238459516</v>
      </c>
      <c r="BE46" s="19">
        <v>62.389639299728856</v>
      </c>
      <c r="BF46" s="19">
        <v>66.246854150337143</v>
      </c>
      <c r="BG46" s="19">
        <v>65.684800280350601</v>
      </c>
      <c r="BH46" s="19">
        <v>66.45547129983926</v>
      </c>
      <c r="BI46" s="19">
        <v>56.831825538913506</v>
      </c>
      <c r="BJ46" s="19">
        <v>61.62445777025286</v>
      </c>
      <c r="BK46" s="19">
        <v>60.981677923172725</v>
      </c>
      <c r="BL46" s="19">
        <v>62.462453886007815</v>
      </c>
      <c r="BM46" s="19">
        <v>56.683738761678796</v>
      </c>
      <c r="BN46" s="19">
        <v>61.408749057219218</v>
      </c>
      <c r="BO46" s="19">
        <v>56.155170570730739</v>
      </c>
      <c r="BP46" s="19">
        <v>58.559858200828174</v>
      </c>
      <c r="BQ46" s="19">
        <v>56.768555119473319</v>
      </c>
      <c r="BR46" s="19">
        <v>61.086851369115166</v>
      </c>
      <c r="BS46" s="19">
        <v>55.587599378071999</v>
      </c>
      <c r="BT46" s="19">
        <v>57.846262499487871</v>
      </c>
      <c r="BU46" s="19">
        <v>55.688121879128779</v>
      </c>
      <c r="BV46" s="19">
        <v>60.868344021649321</v>
      </c>
      <c r="BW46" s="19">
        <v>59.147389512298943</v>
      </c>
      <c r="BX46" s="19">
        <v>60.80479112945023</v>
      </c>
      <c r="BY46" s="19">
        <v>55.116955191629415</v>
      </c>
      <c r="BZ46" s="19">
        <v>61.83611023645156</v>
      </c>
      <c r="CA46" s="19">
        <v>58.283532215959198</v>
      </c>
      <c r="CB46" s="19">
        <v>60.616147335490439</v>
      </c>
      <c r="CC46" s="19">
        <v>56.813812463413726</v>
      </c>
      <c r="CD46" s="19">
        <v>62.377917137283802</v>
      </c>
      <c r="CE46" s="19">
        <v>56.444204135414573</v>
      </c>
      <c r="CF46" s="19">
        <v>58.120058051188373</v>
      </c>
      <c r="CG46" s="19">
        <v>53.255307052671583</v>
      </c>
      <c r="CH46" s="19">
        <v>60.227635265270479</v>
      </c>
      <c r="CI46" s="19">
        <v>59.491408694398729</v>
      </c>
      <c r="CJ46" s="19">
        <v>61.049148514988858</v>
      </c>
      <c r="CK46" s="19">
        <v>56.838904009063263</v>
      </c>
      <c r="CL46" s="19">
        <v>62.62216236691355</v>
      </c>
      <c r="CM46" s="19">
        <v>65.420354958021633</v>
      </c>
      <c r="CN46" s="19">
        <v>66.034642785363644</v>
      </c>
      <c r="CO46" s="19">
        <v>59.109503217849429</v>
      </c>
      <c r="CP46" s="20">
        <v>65.190297726871918</v>
      </c>
      <c r="CQ46" s="20">
        <v>63.574045317512656</v>
      </c>
      <c r="CR46" s="20">
        <v>65.211813363562641</v>
      </c>
      <c r="CS46" s="20">
        <v>56.923272889704002</v>
      </c>
      <c r="CT46" s="20">
        <v>63.500902487578934</v>
      </c>
      <c r="CU46" s="25">
        <v>61.936831567942825</v>
      </c>
      <c r="CV46" s="25">
        <v>63.069767606657365</v>
      </c>
      <c r="CW46" s="25">
        <v>55.94696718263431</v>
      </c>
      <c r="CX46" s="25">
        <v>63.181330404304674</v>
      </c>
      <c r="CY46" s="25">
        <f>[1]Qtr!CY46</f>
        <v>60.882202696752067</v>
      </c>
      <c r="CZ46" s="33">
        <f>[2]Qtr!CZ46</f>
        <v>62.624740222904478</v>
      </c>
      <c r="DA46" s="33">
        <f>[2]Qtr!DA46</f>
        <v>57.833878769360801</v>
      </c>
      <c r="DB46" s="25"/>
      <c r="DC46" s="25">
        <f>[2]Annual!Y47</f>
        <v>62.686398373811549</v>
      </c>
      <c r="DD46" s="25">
        <f>[2]Annual!Z47</f>
        <v>60.864942674198815</v>
      </c>
      <c r="DE46" s="25">
        <f>[2]Annual!AA47</f>
        <v>61.120819461796977</v>
      </c>
      <c r="DF46" s="25"/>
    </row>
    <row r="47" spans="1:110" x14ac:dyDescent="0.2">
      <c r="A47" s="11" t="s">
        <v>32</v>
      </c>
      <c r="B47" s="19">
        <v>9.0645914363893709</v>
      </c>
      <c r="C47" s="19">
        <v>8.1865102427190006</v>
      </c>
      <c r="D47" s="19">
        <v>8.283169929543952</v>
      </c>
      <c r="E47" s="19">
        <v>8.9114173746282965</v>
      </c>
      <c r="F47" s="19">
        <v>8.7943271138619323</v>
      </c>
      <c r="G47" s="19">
        <v>9.6352480056861189</v>
      </c>
      <c r="H47" s="19">
        <v>9.1719858367126204</v>
      </c>
      <c r="I47" s="19">
        <v>7.47874102407674</v>
      </c>
      <c r="J47" s="19">
        <v>9.6838445125144386</v>
      </c>
      <c r="K47" s="19">
        <v>8.2211128724669837</v>
      </c>
      <c r="L47" s="19">
        <v>8.2623119926252571</v>
      </c>
      <c r="M47" s="19">
        <v>8.6907587129209425</v>
      </c>
      <c r="N47" s="19">
        <v>8.689550396960346</v>
      </c>
      <c r="O47" s="19">
        <v>8.9656014792912941</v>
      </c>
      <c r="P47" s="19">
        <v>8.9282837948999667</v>
      </c>
      <c r="Q47" s="19">
        <v>7.9231339366519213</v>
      </c>
      <c r="R47" s="19">
        <v>8.8319708091533897</v>
      </c>
      <c r="S47" s="19">
        <v>9.010070883347348</v>
      </c>
      <c r="T47" s="19">
        <v>8.6749743916523308</v>
      </c>
      <c r="U47" s="19">
        <v>7.7341722248937428</v>
      </c>
      <c r="V47" s="19">
        <v>8.9549822654613926</v>
      </c>
      <c r="W47" s="19">
        <v>8.6572082246967828</v>
      </c>
      <c r="X47" s="19">
        <v>9.0626797706303961</v>
      </c>
      <c r="Y47" s="19">
        <v>8.8971541527480955</v>
      </c>
      <c r="Z47" s="19">
        <v>8.6859079618807016</v>
      </c>
      <c r="AA47" s="19">
        <v>9.0521653738686663</v>
      </c>
      <c r="AB47" s="19">
        <v>7.8070280475632057</v>
      </c>
      <c r="AC47" s="19">
        <v>8.1761156683417457</v>
      </c>
      <c r="AD47" s="19">
        <v>7.707101779429701</v>
      </c>
      <c r="AE47" s="19">
        <v>8.9102567537123853</v>
      </c>
      <c r="AF47" s="19">
        <v>8.8682137715729219</v>
      </c>
      <c r="AG47" s="19">
        <v>7.5340351373940546</v>
      </c>
      <c r="AH47" s="19">
        <v>7.7329157919394031</v>
      </c>
      <c r="AI47" s="19">
        <v>8.7738839676616145</v>
      </c>
      <c r="AJ47" s="19">
        <v>8.5081552136392453</v>
      </c>
      <c r="AK47" s="19">
        <v>9.0873910257972632</v>
      </c>
      <c r="AL47" s="19">
        <v>9.6613004319348565</v>
      </c>
      <c r="AM47" s="19">
        <v>11.046599201456972</v>
      </c>
      <c r="AN47" s="19">
        <v>10.835580856903423</v>
      </c>
      <c r="AO47" s="19">
        <v>9.8733155673541901</v>
      </c>
      <c r="AP47" s="19">
        <v>10.472077190524685</v>
      </c>
      <c r="AQ47" s="19">
        <v>10.518794995965601</v>
      </c>
      <c r="AR47" s="19">
        <v>10.262898443046426</v>
      </c>
      <c r="AS47" s="19">
        <v>9.223969506948567</v>
      </c>
      <c r="AT47" s="19">
        <v>10.009732378731876</v>
      </c>
      <c r="AU47" s="19">
        <v>9.6761680998372235</v>
      </c>
      <c r="AV47" s="19">
        <v>9.7301020818717436</v>
      </c>
      <c r="AW47" s="19">
        <v>9.5854505796009146</v>
      </c>
      <c r="AX47" s="19">
        <v>9.6533181269172772</v>
      </c>
      <c r="AY47" s="19">
        <v>10.246598373067521</v>
      </c>
      <c r="AZ47" s="19">
        <v>10.163593069614976</v>
      </c>
      <c r="BA47" s="19">
        <v>9.7008726775101977</v>
      </c>
      <c r="BB47" s="19">
        <v>10.539927756136553</v>
      </c>
      <c r="BC47" s="19">
        <v>10.088490712557583</v>
      </c>
      <c r="BD47" s="19">
        <v>11.392584625130189</v>
      </c>
      <c r="BE47" s="19">
        <v>10.128580643050867</v>
      </c>
      <c r="BF47" s="19">
        <v>10.980399702398657</v>
      </c>
      <c r="BG47" s="19">
        <v>10.283418353316147</v>
      </c>
      <c r="BH47" s="19">
        <v>10.598386382549512</v>
      </c>
      <c r="BI47" s="19">
        <v>9.6093646249069398</v>
      </c>
      <c r="BJ47" s="19">
        <v>10.650364595854979</v>
      </c>
      <c r="BK47" s="19">
        <v>9.9986631746190593</v>
      </c>
      <c r="BL47" s="19">
        <v>10.435421912529765</v>
      </c>
      <c r="BM47" s="19">
        <v>10.007319715517678</v>
      </c>
      <c r="BN47" s="19">
        <v>10.746346246404578</v>
      </c>
      <c r="BO47" s="19">
        <v>9.8064862927594163</v>
      </c>
      <c r="BP47" s="19">
        <v>10.144167789691155</v>
      </c>
      <c r="BQ47" s="19">
        <v>9.4214569460911566</v>
      </c>
      <c r="BR47" s="19">
        <v>10.70451957602562</v>
      </c>
      <c r="BS47" s="19">
        <v>9.8834358629920924</v>
      </c>
      <c r="BT47" s="19">
        <v>10.269399741558484</v>
      </c>
      <c r="BU47" s="19">
        <v>9.0584593528607815</v>
      </c>
      <c r="BV47" s="19">
        <v>10.379713017530747</v>
      </c>
      <c r="BW47" s="19">
        <v>9.28580157868873</v>
      </c>
      <c r="BX47" s="19">
        <v>10.291477775158032</v>
      </c>
      <c r="BY47" s="19">
        <v>8.7596844016595998</v>
      </c>
      <c r="BZ47" s="19">
        <v>10.063403551582137</v>
      </c>
      <c r="CA47" s="19">
        <v>9.0389975128952109</v>
      </c>
      <c r="CB47" s="19">
        <v>9.5807366105648448</v>
      </c>
      <c r="CC47" s="19">
        <v>7.9445088876764967</v>
      </c>
      <c r="CD47" s="19">
        <v>9.2154198886838614</v>
      </c>
      <c r="CE47" s="19">
        <v>8.1892899539492987</v>
      </c>
      <c r="CF47" s="19">
        <v>7.3660645388829185</v>
      </c>
      <c r="CG47" s="19">
        <v>3.8269417717113572</v>
      </c>
      <c r="CH47" s="19">
        <v>2.5497958625290211</v>
      </c>
      <c r="CI47" s="19">
        <v>3.4273143780656086</v>
      </c>
      <c r="CJ47" s="19">
        <v>3.4522572718629503</v>
      </c>
      <c r="CK47" s="19">
        <v>4.0987920935076207</v>
      </c>
      <c r="CL47" s="19">
        <v>4.6481278259494694</v>
      </c>
      <c r="CM47" s="19">
        <v>5.2015152485998417</v>
      </c>
      <c r="CN47" s="19">
        <v>6.1065214813784916</v>
      </c>
      <c r="CO47" s="19">
        <v>6.0642198584417262</v>
      </c>
      <c r="CP47" s="20">
        <v>7.6734987312443836</v>
      </c>
      <c r="CQ47" s="20">
        <v>9.1526348259074748</v>
      </c>
      <c r="CR47" s="20">
        <v>11.532690062595226</v>
      </c>
      <c r="CS47" s="20">
        <v>10.801634887751169</v>
      </c>
      <c r="CT47" s="20">
        <v>11.057814296852884</v>
      </c>
      <c r="CU47" s="25">
        <v>10.529887304825646</v>
      </c>
      <c r="CV47" s="25">
        <v>12.796353312886129</v>
      </c>
      <c r="CW47" s="25">
        <v>11.688979933292522</v>
      </c>
      <c r="CX47" s="25">
        <v>12.598483404312919</v>
      </c>
      <c r="CY47" s="25">
        <f>[1]Qtr!CY47</f>
        <v>12.633612078933506</v>
      </c>
      <c r="CZ47" s="33">
        <f>[2]Qtr!CZ47</f>
        <v>14.243531930775541</v>
      </c>
      <c r="DA47" s="33">
        <f>[2]Qtr!DA47</f>
        <v>12.591279989748344</v>
      </c>
      <c r="DB47" s="25"/>
      <c r="DC47" s="25">
        <f>[2]Annual!Y48</f>
        <v>9.8768427964064571</v>
      </c>
      <c r="DD47" s="25">
        <f>[2]Annual!Z48</f>
        <v>11.527940954855797</v>
      </c>
      <c r="DE47" s="25">
        <f>[2]Annual!AA48</f>
        <v>12.995682033828485</v>
      </c>
      <c r="DF47" s="25"/>
    </row>
    <row r="48" spans="1:110" x14ac:dyDescent="0.2">
      <c r="A48" s="11" t="s">
        <v>33</v>
      </c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1"/>
      <c r="AW48" s="11"/>
      <c r="AX48" s="11"/>
      <c r="AY48" s="11"/>
      <c r="AZ48" s="11"/>
      <c r="BA48" s="11"/>
      <c r="BB48" s="11"/>
      <c r="BC48" s="11"/>
      <c r="BD48" s="11"/>
      <c r="BE48" s="11"/>
      <c r="BF48" s="11"/>
      <c r="BG48" s="11"/>
      <c r="BH48" s="11"/>
      <c r="BI48" s="11"/>
      <c r="BJ48" s="11"/>
      <c r="BK48" s="11"/>
      <c r="BL48" s="11"/>
      <c r="BM48" s="11"/>
      <c r="BN48" s="11"/>
      <c r="BO48" s="11"/>
      <c r="BP48" s="11"/>
      <c r="BQ48" s="11"/>
      <c r="BR48" s="11"/>
      <c r="BS48" s="11"/>
      <c r="BT48" s="11"/>
      <c r="BU48" s="11"/>
      <c r="BV48" s="11"/>
      <c r="BW48" s="11"/>
      <c r="BX48" s="11"/>
      <c r="BY48" s="11"/>
      <c r="BZ48" s="11"/>
      <c r="CA48" s="11"/>
      <c r="CB48" s="11"/>
      <c r="CC48" s="11"/>
      <c r="CD48" s="11"/>
      <c r="CE48" s="11"/>
      <c r="CF48" s="11"/>
      <c r="CG48" s="11"/>
      <c r="CH48" s="11"/>
      <c r="CI48" s="11"/>
      <c r="CJ48" s="11"/>
      <c r="CK48" s="11"/>
      <c r="CL48" s="11"/>
      <c r="CM48" s="11"/>
      <c r="CN48" s="11"/>
      <c r="CO48" s="11"/>
      <c r="CP48" s="11"/>
      <c r="CQ48" s="11"/>
      <c r="CR48" s="11"/>
      <c r="CS48" s="11"/>
      <c r="CT48" s="11"/>
      <c r="CU48" s="25"/>
      <c r="CV48" s="25"/>
      <c r="CW48" s="25"/>
      <c r="CX48" s="25"/>
      <c r="CY48" s="25"/>
      <c r="CZ48" s="33"/>
      <c r="DA48" s="33"/>
      <c r="DB48" s="25"/>
      <c r="DC48" s="25"/>
      <c r="DD48" s="25"/>
      <c r="DE48" s="25"/>
      <c r="DF48" s="25"/>
    </row>
    <row r="49" spans="1:110" x14ac:dyDescent="0.2">
      <c r="A49" s="8" t="s">
        <v>41</v>
      </c>
      <c r="B49" s="18">
        <v>99554.173773207498</v>
      </c>
      <c r="C49" s="18">
        <v>102629.31164815099</v>
      </c>
      <c r="D49" s="18">
        <v>111008.30905391301</v>
      </c>
      <c r="E49" s="18">
        <v>121655.06249655252</v>
      </c>
      <c r="F49" s="18">
        <v>124352.794967744</v>
      </c>
      <c r="G49" s="18">
        <v>128523.66456567201</v>
      </c>
      <c r="H49" s="18">
        <v>132750.40905776</v>
      </c>
      <c r="I49" s="18">
        <v>133487.50144351501</v>
      </c>
      <c r="J49" s="18">
        <v>142756.35551361699</v>
      </c>
      <c r="K49" s="18">
        <v>142493.883648385</v>
      </c>
      <c r="L49" s="18">
        <v>146538.73132294501</v>
      </c>
      <c r="M49" s="18">
        <v>153038.30331296404</v>
      </c>
      <c r="N49" s="18">
        <v>153145.227591509</v>
      </c>
      <c r="O49" s="18">
        <v>149755.597160067</v>
      </c>
      <c r="P49" s="18">
        <v>152740.711913156</v>
      </c>
      <c r="Q49" s="18">
        <v>155314.44115105399</v>
      </c>
      <c r="R49" s="18">
        <v>168073.55996832601</v>
      </c>
      <c r="S49" s="18">
        <v>167318.62963993801</v>
      </c>
      <c r="T49" s="18">
        <v>167551.89225996201</v>
      </c>
      <c r="U49" s="18">
        <v>170552.50317161993</v>
      </c>
      <c r="V49" s="18">
        <v>185237.95306333399</v>
      </c>
      <c r="W49" s="18">
        <v>190148.165879846</v>
      </c>
      <c r="X49" s="18">
        <v>198852.64896444499</v>
      </c>
      <c r="Y49" s="18">
        <v>194499.14699672101</v>
      </c>
      <c r="Z49" s="18">
        <v>201621.94960018099</v>
      </c>
      <c r="AA49" s="18">
        <v>208653.20492657501</v>
      </c>
      <c r="AB49" s="18">
        <v>209901.089996761</v>
      </c>
      <c r="AC49" s="18">
        <v>205654.76157214193</v>
      </c>
      <c r="AD49" s="18">
        <v>221473.84610089101</v>
      </c>
      <c r="AE49" s="18">
        <v>208803.30771120801</v>
      </c>
      <c r="AF49" s="18">
        <v>212317.68692506701</v>
      </c>
      <c r="AG49" s="18">
        <v>206400.221578481</v>
      </c>
      <c r="AH49" s="18">
        <v>210402.05681134999</v>
      </c>
      <c r="AI49" s="18">
        <v>222810.59047789499</v>
      </c>
      <c r="AJ49" s="18">
        <v>245731.96056993399</v>
      </c>
      <c r="AK49" s="18">
        <v>270418.27338232414</v>
      </c>
      <c r="AL49" s="18">
        <v>285476.03050831298</v>
      </c>
      <c r="AM49" s="18">
        <v>300989.51274645497</v>
      </c>
      <c r="AN49" s="18">
        <v>312865.74726319301</v>
      </c>
      <c r="AO49" s="18">
        <v>310016.18034926907</v>
      </c>
      <c r="AP49" s="18">
        <v>327507.48173901602</v>
      </c>
      <c r="AQ49" s="18">
        <v>328048.82453255402</v>
      </c>
      <c r="AR49" s="18">
        <v>321506.53482134698</v>
      </c>
      <c r="AS49" s="18">
        <v>309758.88754117285</v>
      </c>
      <c r="AT49" s="18">
        <v>332422.16507203103</v>
      </c>
      <c r="AU49" s="18">
        <v>332873.46580180002</v>
      </c>
      <c r="AV49" s="18">
        <v>325855.17258251499</v>
      </c>
      <c r="AW49" s="18">
        <v>339906.99684635393</v>
      </c>
      <c r="AX49" s="18">
        <v>363824.58933124901</v>
      </c>
      <c r="AY49" s="18">
        <v>378130.54560513998</v>
      </c>
      <c r="AZ49" s="18">
        <v>386536.78758780297</v>
      </c>
      <c r="BA49" s="18">
        <v>390373.65135169815</v>
      </c>
      <c r="BB49" s="18">
        <v>395115.81280129199</v>
      </c>
      <c r="BC49" s="18">
        <v>411762.39262842399</v>
      </c>
      <c r="BD49" s="18">
        <v>448279.54602953</v>
      </c>
      <c r="BE49" s="18">
        <v>452779.68668483413</v>
      </c>
      <c r="BF49" s="18">
        <v>466719.14621652098</v>
      </c>
      <c r="BG49" s="18">
        <v>463422.16147492902</v>
      </c>
      <c r="BH49" s="18">
        <v>458876.14899229299</v>
      </c>
      <c r="BI49" s="18">
        <v>466450.52410840691</v>
      </c>
      <c r="BJ49" s="18">
        <v>466881.50648243801</v>
      </c>
      <c r="BK49" s="18">
        <v>475166.33534389501</v>
      </c>
      <c r="BL49" s="18">
        <v>485414.80368048698</v>
      </c>
      <c r="BM49" s="18">
        <v>486642.02623596997</v>
      </c>
      <c r="BN49" s="18">
        <v>492937.51991290902</v>
      </c>
      <c r="BO49" s="18">
        <v>485639.45942476398</v>
      </c>
      <c r="BP49" s="18">
        <v>491749.05321854999</v>
      </c>
      <c r="BQ49" s="18">
        <v>513396.31805398699</v>
      </c>
      <c r="BR49" s="18">
        <v>527829.68806599197</v>
      </c>
      <c r="BS49" s="18">
        <v>528728.42838071496</v>
      </c>
      <c r="BT49" s="18">
        <v>543310.23394984298</v>
      </c>
      <c r="BU49" s="18">
        <v>543151.00258532015</v>
      </c>
      <c r="BV49" s="18">
        <v>568306.311215339</v>
      </c>
      <c r="BW49" s="18">
        <v>580932.75145889504</v>
      </c>
      <c r="BX49" s="18">
        <v>592252.63705485803</v>
      </c>
      <c r="BY49" s="18">
        <v>585026.019570907</v>
      </c>
      <c r="BZ49" s="18">
        <v>594043.02184399101</v>
      </c>
      <c r="CA49" s="18">
        <v>598912.45266697602</v>
      </c>
      <c r="CB49" s="18">
        <v>626338.22730742104</v>
      </c>
      <c r="CC49" s="18">
        <v>611334.74125839199</v>
      </c>
      <c r="CD49" s="18">
        <v>587972.24732585927</v>
      </c>
      <c r="CE49" s="18">
        <v>462512.78179231286</v>
      </c>
      <c r="CF49" s="18">
        <v>418985</v>
      </c>
      <c r="CG49" s="18">
        <v>271089</v>
      </c>
      <c r="CH49" s="18">
        <v>191003.22724139717</v>
      </c>
      <c r="CI49" s="18">
        <v>217303.20372543167</v>
      </c>
      <c r="CJ49" s="18">
        <v>250216.92274636464</v>
      </c>
      <c r="CK49" s="18">
        <v>283217.1697019994</v>
      </c>
      <c r="CL49" s="18">
        <v>316674.39976717485</v>
      </c>
      <c r="CM49" s="18">
        <v>340077.79830228764</v>
      </c>
      <c r="CN49" s="18">
        <v>384731.43072444916</v>
      </c>
      <c r="CO49" s="18">
        <v>427751.5018851494</v>
      </c>
      <c r="CP49" s="18">
        <v>558604.2253898877</v>
      </c>
      <c r="CQ49" s="18">
        <v>671390.78616363823</v>
      </c>
      <c r="CR49" s="18">
        <v>791434.13392134476</v>
      </c>
      <c r="CS49" s="18">
        <v>858472.28207093151</v>
      </c>
      <c r="CT49" s="18">
        <v>834339.45519765385</v>
      </c>
      <c r="CU49" s="24">
        <v>846303.65930464608</v>
      </c>
      <c r="CV49" s="24">
        <v>953225.95954580652</v>
      </c>
      <c r="CW49" s="24">
        <v>1026097.9687120169</v>
      </c>
      <c r="CX49" s="24">
        <v>1006735.235752686</v>
      </c>
      <c r="CY49" s="24">
        <f>[1]Qtr!CY49</f>
        <v>1080537.6203077766</v>
      </c>
      <c r="CZ49" s="30">
        <f>[2]Qtr!CZ49</f>
        <v>1119267.4854969983</v>
      </c>
      <c r="DA49" s="30">
        <f>[2]Qtr!DA49</f>
        <v>1173097.0138368974</v>
      </c>
      <c r="DB49" s="24"/>
      <c r="DC49" s="24">
        <f>[2]Annual!Y50</f>
        <v>2879901.4275458022</v>
      </c>
      <c r="DD49" s="24">
        <f>[2]Annual!Z50</f>
        <v>3659967.0427601235</v>
      </c>
      <c r="DE49" s="24">
        <f>[2]Annual!AA50</f>
        <v>4379637.3553943578</v>
      </c>
      <c r="DF49" s="24"/>
    </row>
    <row r="50" spans="1:110" x14ac:dyDescent="0.2">
      <c r="A50" s="8" t="s">
        <v>34</v>
      </c>
      <c r="B50" s="18">
        <v>2449.5392395356403</v>
      </c>
      <c r="C50" s="18">
        <v>2454.0138123945148</v>
      </c>
      <c r="D50" s="18">
        <v>2468.991104599831</v>
      </c>
      <c r="E50" s="18">
        <v>2471.5084918951002</v>
      </c>
      <c r="F50" s="18">
        <v>2529.9126191228206</v>
      </c>
      <c r="G50" s="18">
        <v>2533.3346059896321</v>
      </c>
      <c r="H50" s="18">
        <v>2546.6238692786987</v>
      </c>
      <c r="I50" s="18">
        <v>2575.4871974438552</v>
      </c>
      <c r="J50" s="18">
        <v>2781.6904815591774</v>
      </c>
      <c r="K50" s="18">
        <v>2817.7552629698439</v>
      </c>
      <c r="L50" s="18">
        <v>2844.9703215606314</v>
      </c>
      <c r="M50" s="18">
        <v>2874.7685416166814</v>
      </c>
      <c r="N50" s="18">
        <v>2832.8750941825565</v>
      </c>
      <c r="O50" s="18">
        <v>2833.0608619006243</v>
      </c>
      <c r="P50" s="18">
        <v>2798.4740181963357</v>
      </c>
      <c r="Q50" s="18">
        <v>2810.6123986799494</v>
      </c>
      <c r="R50" s="18">
        <v>3003.4588986477129</v>
      </c>
      <c r="S50" s="18">
        <v>2992.2141285442613</v>
      </c>
      <c r="T50" s="18">
        <v>2992.5324568666192</v>
      </c>
      <c r="U50" s="18">
        <v>3029.8899124466147</v>
      </c>
      <c r="V50" s="18">
        <v>3366.1267138530616</v>
      </c>
      <c r="W50" s="18">
        <v>3477.4719436694586</v>
      </c>
      <c r="X50" s="18">
        <v>3549.1719119303953</v>
      </c>
      <c r="Y50" s="18">
        <v>3560.6772638632879</v>
      </c>
      <c r="Z50" s="18">
        <v>3887.0628417231733</v>
      </c>
      <c r="AA50" s="18">
        <v>3995.4666623900257</v>
      </c>
      <c r="AB50" s="18">
        <v>4086.2227456151882</v>
      </c>
      <c r="AC50" s="18">
        <v>4132.3519917242738</v>
      </c>
      <c r="AD50" s="18">
        <v>4556.9265631104126</v>
      </c>
      <c r="AE50" s="18">
        <v>4449.1711073645547</v>
      </c>
      <c r="AF50" s="18">
        <v>4622.0862077175016</v>
      </c>
      <c r="AG50" s="18">
        <v>4789.2201262694707</v>
      </c>
      <c r="AH50" s="18">
        <v>5137.4253581719822</v>
      </c>
      <c r="AI50" s="18">
        <v>5179.6741659281724</v>
      </c>
      <c r="AJ50" s="18">
        <v>5398.665570936987</v>
      </c>
      <c r="AK50" s="18">
        <v>5584.8293196597724</v>
      </c>
      <c r="AL50" s="18">
        <v>5976.7406862484268</v>
      </c>
      <c r="AM50" s="18">
        <v>6287.0747598877961</v>
      </c>
      <c r="AN50" s="18">
        <v>6498.2258378248198</v>
      </c>
      <c r="AO50" s="18">
        <v>6629.8967147925032</v>
      </c>
      <c r="AP50" s="18">
        <v>7118.0601058475295</v>
      </c>
      <c r="AQ50" s="18">
        <v>7207.050093975482</v>
      </c>
      <c r="AR50" s="18">
        <v>7102.2758812794664</v>
      </c>
      <c r="AS50" s="18">
        <v>7100.7235586232709</v>
      </c>
      <c r="AT50" s="18">
        <v>7590.5118475186191</v>
      </c>
      <c r="AU50" s="18">
        <v>7698.4602423076713</v>
      </c>
      <c r="AV50" s="18">
        <v>7622.878157122489</v>
      </c>
      <c r="AW50" s="18">
        <v>7821.9317214650482</v>
      </c>
      <c r="AX50" s="18">
        <v>8451.9036637443496</v>
      </c>
      <c r="AY50" s="18">
        <v>8841.5534001761462</v>
      </c>
      <c r="AZ50" s="18">
        <v>9225.3464268284388</v>
      </c>
      <c r="BA50" s="18">
        <v>9479.8745811404333</v>
      </c>
      <c r="BB50" s="18">
        <v>9706.8992713940843</v>
      </c>
      <c r="BC50" s="18">
        <v>10115.859551797883</v>
      </c>
      <c r="BD50" s="18">
        <v>10261.09523888018</v>
      </c>
      <c r="BE50" s="18">
        <v>10364.103221870755</v>
      </c>
      <c r="BF50" s="18">
        <v>10403.361327249168</v>
      </c>
      <c r="BG50" s="18">
        <v>10504.759523182607</v>
      </c>
      <c r="BH50" s="18">
        <v>10485.624324097136</v>
      </c>
      <c r="BI50" s="18">
        <v>10411.833770536543</v>
      </c>
      <c r="BJ50" s="18">
        <v>10512.291690744521</v>
      </c>
      <c r="BK50" s="18">
        <v>10638.728819897316</v>
      </c>
      <c r="BL50" s="18">
        <v>10540.141108504116</v>
      </c>
      <c r="BM50" s="18">
        <v>10384.761748282641</v>
      </c>
      <c r="BN50" s="18">
        <v>10425.188699216395</v>
      </c>
      <c r="BO50" s="18">
        <v>10440.562697820325</v>
      </c>
      <c r="BP50" s="18">
        <v>10450.929918829455</v>
      </c>
      <c r="BQ50" s="18">
        <v>10455.959363635789</v>
      </c>
      <c r="BR50" s="18">
        <v>10559.708474502724</v>
      </c>
      <c r="BS50" s="18">
        <v>10605.276609190001</v>
      </c>
      <c r="BT50" s="18">
        <v>10687.736445025948</v>
      </c>
      <c r="BU50" s="18">
        <v>10665.8698676269</v>
      </c>
      <c r="BV50" s="18">
        <v>11043.337854344301</v>
      </c>
      <c r="BW50" s="18">
        <v>11076.911246854455</v>
      </c>
      <c r="BX50" s="18">
        <v>11060.052358241941</v>
      </c>
      <c r="BY50" s="18">
        <v>11001.374107622649</v>
      </c>
      <c r="BZ50" s="18">
        <v>11347.698719275753</v>
      </c>
      <c r="CA50" s="18">
        <v>11508.589015881866</v>
      </c>
      <c r="CB50" s="18">
        <v>12102.172202117732</v>
      </c>
      <c r="CC50" s="18">
        <v>11988.717811337603</v>
      </c>
      <c r="CD50" s="18">
        <v>11570.175435076721</v>
      </c>
      <c r="CE50" s="18">
        <v>9166.4913647559424</v>
      </c>
      <c r="CF50" s="18">
        <v>8561.9591202194079</v>
      </c>
      <c r="CG50" s="18">
        <v>5616.7982615247201</v>
      </c>
      <c r="CH50" s="18">
        <v>3955.4350086118029</v>
      </c>
      <c r="CI50" s="18">
        <v>4510.1553220212609</v>
      </c>
      <c r="CJ50" s="18">
        <v>4993.7168983498505</v>
      </c>
      <c r="CK50" s="18">
        <v>5614.0309830396045</v>
      </c>
      <c r="CL50" s="18">
        <v>6144.8172275117495</v>
      </c>
      <c r="CM50" s="18">
        <v>6459.0017277628431</v>
      </c>
      <c r="CN50" s="18">
        <v>6827.0512733121977</v>
      </c>
      <c r="CO50" s="18">
        <v>7457.0340969856825</v>
      </c>
      <c r="CP50" s="18">
        <v>10187.021945850895</v>
      </c>
      <c r="CQ50" s="18">
        <v>12065.263571320664</v>
      </c>
      <c r="CR50" s="18">
        <v>14141.781405799686</v>
      </c>
      <c r="CS50" s="18">
        <v>15315.848394856494</v>
      </c>
      <c r="CT50" s="18">
        <v>14913.89560172721</v>
      </c>
      <c r="CU50" s="24">
        <v>14638.147917007336</v>
      </c>
      <c r="CV50" s="24">
        <v>16653.249359395639</v>
      </c>
      <c r="CW50" s="24">
        <v>17645.788240218091</v>
      </c>
      <c r="CX50" s="24">
        <v>17366.094435717507</v>
      </c>
      <c r="CY50" s="24">
        <f>[1]Qtr!CY50</f>
        <v>19197.406405540987</v>
      </c>
      <c r="CZ50" s="30">
        <f>[2]Qtr!CZ50</f>
        <v>19608.195118349478</v>
      </c>
      <c r="DA50" s="30">
        <f>[2]Qtr!DA50</f>
        <v>19989.965888322611</v>
      </c>
      <c r="DB50" s="24"/>
      <c r="DC50" s="24">
        <f>[2]Annual!Y51</f>
        <v>51709.915317827734</v>
      </c>
      <c r="DD50" s="24">
        <f>[2]Annual!Z51</f>
        <v>63851.08111834828</v>
      </c>
      <c r="DE50" s="24">
        <f>[2]Annual!AA51</f>
        <v>76161.661847930576</v>
      </c>
      <c r="DF50" s="24"/>
    </row>
    <row r="51" spans="1:110" x14ac:dyDescent="0.2">
      <c r="A51" s="8" t="s">
        <v>35</v>
      </c>
      <c r="B51" s="19"/>
      <c r="C51" s="19"/>
      <c r="D51" s="19"/>
      <c r="E51" s="19"/>
      <c r="F51" s="19">
        <v>24.909675058958129</v>
      </c>
      <c r="G51" s="19">
        <v>25.230952543359024</v>
      </c>
      <c r="H51" s="19">
        <v>19.586011343788329</v>
      </c>
      <c r="I51" s="19">
        <v>9.7262199403315321</v>
      </c>
      <c r="J51" s="19">
        <v>14.799474793185553</v>
      </c>
      <c r="K51" s="19">
        <v>10.869764046896279</v>
      </c>
      <c r="L51" s="19">
        <v>10.386651433356931</v>
      </c>
      <c r="M51" s="19">
        <v>14.646166613375343</v>
      </c>
      <c r="N51" s="19">
        <v>7.277344704209014</v>
      </c>
      <c r="O51" s="19">
        <v>5.0961580425450848</v>
      </c>
      <c r="P51" s="19">
        <v>4.2323149205809187</v>
      </c>
      <c r="Q51" s="19">
        <v>1.487299446489061</v>
      </c>
      <c r="R51" s="19">
        <v>9.747827347670281</v>
      </c>
      <c r="S51" s="19">
        <v>11.727797032586821</v>
      </c>
      <c r="T51" s="19">
        <v>9.6969433763194814</v>
      </c>
      <c r="U51" s="19">
        <v>9.8111044328105237</v>
      </c>
      <c r="V51" s="19">
        <v>10.212429068702207</v>
      </c>
      <c r="W51" s="19">
        <v>13.644348085467882</v>
      </c>
      <c r="X51" s="19">
        <v>18.681231397804126</v>
      </c>
      <c r="Y51" s="19">
        <v>14.040628768142184</v>
      </c>
      <c r="Z51" s="19">
        <v>8.8448378239448715</v>
      </c>
      <c r="AA51" s="19">
        <v>9.7319050967982008</v>
      </c>
      <c r="AB51" s="19">
        <v>5.5560944698762853</v>
      </c>
      <c r="AC51" s="19">
        <v>5.7355596400682174</v>
      </c>
      <c r="AD51" s="19">
        <v>9.8460988697295164</v>
      </c>
      <c r="AE51" s="19">
        <v>7.1938882839489793E-2</v>
      </c>
      <c r="AF51" s="19">
        <v>1.1513027056425926</v>
      </c>
      <c r="AG51" s="19">
        <v>0.36248127718529588</v>
      </c>
      <c r="AH51" s="19">
        <v>-4.999140749331346</v>
      </c>
      <c r="AI51" s="19">
        <v>6.7083624872744849</v>
      </c>
      <c r="AJ51" s="19">
        <v>15.737866274259019</v>
      </c>
      <c r="AK51" s="19">
        <v>31.016464669589084</v>
      </c>
      <c r="AL51" s="19">
        <v>35.681197624543927</v>
      </c>
      <c r="AM51" s="19">
        <v>35.087615045980556</v>
      </c>
      <c r="AN51" s="19">
        <v>27.319924741394445</v>
      </c>
      <c r="AO51" s="19">
        <v>14.643206789121237</v>
      </c>
      <c r="AP51" s="19">
        <v>14.723285578779638</v>
      </c>
      <c r="AQ51" s="19">
        <v>8.9901178081553468</v>
      </c>
      <c r="AR51" s="19">
        <v>2.7618196091261638</v>
      </c>
      <c r="AS51" s="19">
        <v>-8.2993348220199437E-2</v>
      </c>
      <c r="AT51" s="19">
        <v>1.5006323846156846</v>
      </c>
      <c r="AU51" s="19">
        <v>1.4707082935355089</v>
      </c>
      <c r="AV51" s="19">
        <v>1.3525814533083889</v>
      </c>
      <c r="AW51" s="19">
        <v>9.732766521888351</v>
      </c>
      <c r="AX51" s="19">
        <v>9.4465494659218905</v>
      </c>
      <c r="AY51" s="19">
        <v>13.59588085350336</v>
      </c>
      <c r="AZ51" s="19">
        <v>18.622265383840684</v>
      </c>
      <c r="BA51" s="19">
        <v>14.847194960260367</v>
      </c>
      <c r="BB51" s="19">
        <v>8.6006345881018689</v>
      </c>
      <c r="BC51" s="19">
        <v>8.8942423229684948</v>
      </c>
      <c r="BD51" s="19">
        <v>15.973320114505782</v>
      </c>
      <c r="BE51" s="19">
        <v>15.986231426493674</v>
      </c>
      <c r="BF51" s="19">
        <v>18.122112832583355</v>
      </c>
      <c r="BG51" s="19">
        <v>12.546014345006725</v>
      </c>
      <c r="BH51" s="19">
        <v>2.363838157823281</v>
      </c>
      <c r="BI51" s="19">
        <v>3.0193133273420472</v>
      </c>
      <c r="BJ51" s="19">
        <v>3.4787573476080524E-2</v>
      </c>
      <c r="BK51" s="19">
        <v>2.5342279341125931</v>
      </c>
      <c r="BL51" s="19">
        <v>5.7834025033712777</v>
      </c>
      <c r="BM51" s="19">
        <v>4.3287553736075068</v>
      </c>
      <c r="BN51" s="19">
        <v>5.5808621820943927</v>
      </c>
      <c r="BO51" s="19">
        <v>2.2040963977991339</v>
      </c>
      <c r="BP51" s="19">
        <v>1.3049147842290267</v>
      </c>
      <c r="BQ51" s="19">
        <v>5.4977355788511346</v>
      </c>
      <c r="BR51" s="19">
        <v>7.078415974350591</v>
      </c>
      <c r="BS51" s="19">
        <v>8.8726251789732089</v>
      </c>
      <c r="BT51" s="19">
        <v>10.48526283758342</v>
      </c>
      <c r="BU51" s="19">
        <v>5.7956560039459077</v>
      </c>
      <c r="BV51" s="19">
        <v>7.6685006668830056</v>
      </c>
      <c r="BW51" s="19">
        <v>9.8735608444700347</v>
      </c>
      <c r="BX51" s="19">
        <v>9.0081872283549274</v>
      </c>
      <c r="BY51" s="19">
        <v>7.7096455288249217</v>
      </c>
      <c r="BZ51" s="19">
        <v>4.5286688042603913</v>
      </c>
      <c r="CA51" s="19">
        <v>3.0949711757391185</v>
      </c>
      <c r="CB51" s="19">
        <v>5.7552449951194973</v>
      </c>
      <c r="CC51" s="19">
        <v>4.4970173645919829</v>
      </c>
      <c r="CD51" s="19">
        <v>-1.0219418956033195</v>
      </c>
      <c r="CE51" s="19">
        <v>-22.774559164243641</v>
      </c>
      <c r="CF51" s="19">
        <v>-33.105631792396949</v>
      </c>
      <c r="CG51" s="19">
        <v>-55.65620899574899</v>
      </c>
      <c r="CH51" s="19">
        <v>-67.514924707740235</v>
      </c>
      <c r="CI51" s="19">
        <v>-53.016821960390779</v>
      </c>
      <c r="CJ51" s="19">
        <v>-40.280219400130157</v>
      </c>
      <c r="CK51" s="19">
        <v>4.4738700950608177</v>
      </c>
      <c r="CL51" s="19">
        <v>65.795313692239176</v>
      </c>
      <c r="CM51" s="19">
        <v>56.499210537174093</v>
      </c>
      <c r="CN51" s="19">
        <v>53.759156855444473</v>
      </c>
      <c r="CO51" s="19">
        <v>51.033040240896668</v>
      </c>
      <c r="CP51" s="20">
        <v>76.397026662270235</v>
      </c>
      <c r="CQ51" s="20">
        <v>97.422704309222155</v>
      </c>
      <c r="CR51" s="20">
        <v>105.71080777857804</v>
      </c>
      <c r="CS51" s="20">
        <v>100.6941596435189</v>
      </c>
      <c r="CT51" s="20">
        <v>49.361465108022031</v>
      </c>
      <c r="CU51" s="25">
        <v>26.052319564953976</v>
      </c>
      <c r="CV51" s="25">
        <v>20.442866776901127</v>
      </c>
      <c r="CW51" s="25">
        <v>19.526045294871295</v>
      </c>
      <c r="CX51" s="25">
        <v>20.662546818451943</v>
      </c>
      <c r="CY51" s="25">
        <f>[1]Qtr!CY51</f>
        <v>27.677295073447468</v>
      </c>
      <c r="CZ51" s="33">
        <f>[2]Qtr!CZ51</f>
        <v>17.41890517021875</v>
      </c>
      <c r="DA51" s="33">
        <f>[2]Qtr!DA51</f>
        <v>14.326024376541469</v>
      </c>
      <c r="DB51" s="25"/>
      <c r="DC51" s="25">
        <f>[2]Annual!Y52</f>
        <v>96.013651417030133</v>
      </c>
      <c r="DD51" s="25">
        <f>[2]Annual!Z52</f>
        <v>27.086538718065725</v>
      </c>
      <c r="DE51" s="25">
        <f>[2]Annual!AA52</f>
        <v>19.663300358341559</v>
      </c>
      <c r="DF51" s="25"/>
    </row>
    <row r="52" spans="1:110" x14ac:dyDescent="0.2">
      <c r="A52" s="8" t="s">
        <v>36</v>
      </c>
      <c r="B52" s="19"/>
      <c r="C52" s="19"/>
      <c r="D52" s="19"/>
      <c r="E52" s="19"/>
      <c r="F52" s="19">
        <v>3.2811631791788187</v>
      </c>
      <c r="G52" s="19">
        <v>3.2322879844640937</v>
      </c>
      <c r="H52" s="19">
        <v>3.1443112344242508</v>
      </c>
      <c r="I52" s="19">
        <v>4.2070948123275969</v>
      </c>
      <c r="J52" s="19">
        <v>9.9520378898957347</v>
      </c>
      <c r="K52" s="19">
        <v>11.227125556479905</v>
      </c>
      <c r="L52" s="19">
        <v>11.715371707657624</v>
      </c>
      <c r="M52" s="19">
        <v>11.620377863646908</v>
      </c>
      <c r="N52" s="19">
        <v>1.8400542031077975</v>
      </c>
      <c r="O52" s="19">
        <v>0.54318411296830504</v>
      </c>
      <c r="P52" s="19">
        <v>-1.6343335117390438</v>
      </c>
      <c r="Q52" s="19">
        <v>-2.2316976830646951</v>
      </c>
      <c r="R52" s="19">
        <v>6.0215787422275753</v>
      </c>
      <c r="S52" s="19">
        <v>5.6177143521323814</v>
      </c>
      <c r="T52" s="19">
        <v>6.9344377474462817</v>
      </c>
      <c r="U52" s="19">
        <v>7.8017699583782019</v>
      </c>
      <c r="V52" s="19">
        <v>12.075005100573804</v>
      </c>
      <c r="W52" s="19">
        <v>16.217349236342244</v>
      </c>
      <c r="X52" s="19">
        <v>18.600949633362191</v>
      </c>
      <c r="Y52" s="19">
        <v>17.518370856849572</v>
      </c>
      <c r="Z52" s="19">
        <v>15.475832378093045</v>
      </c>
      <c r="AA52" s="19">
        <v>14.895726755281146</v>
      </c>
      <c r="AB52" s="19">
        <v>15.131722187914278</v>
      </c>
      <c r="AC52" s="19">
        <v>16.055224483915367</v>
      </c>
      <c r="AD52" s="19">
        <v>17.233159037127436</v>
      </c>
      <c r="AE52" s="19">
        <v>11.355480681276163</v>
      </c>
      <c r="AF52" s="19">
        <v>13.113907279707988</v>
      </c>
      <c r="AG52" s="19">
        <v>15.895744986406896</v>
      </c>
      <c r="AH52" s="19">
        <v>12.738822691611233</v>
      </c>
      <c r="AI52" s="19">
        <v>16.418857376701965</v>
      </c>
      <c r="AJ52" s="19">
        <v>16.801490243146702</v>
      </c>
      <c r="AK52" s="19">
        <v>16.612499998199823</v>
      </c>
      <c r="AL52" s="19">
        <v>16.337275377468316</v>
      </c>
      <c r="AM52" s="19">
        <v>21.379734679916538</v>
      </c>
      <c r="AN52" s="19">
        <v>20.367260250517688</v>
      </c>
      <c r="AO52" s="19">
        <v>18.712611170656075</v>
      </c>
      <c r="AP52" s="19">
        <v>19.096017035256452</v>
      </c>
      <c r="AQ52" s="19">
        <v>14.632804113563694</v>
      </c>
      <c r="AR52" s="19">
        <v>9.295614811331987</v>
      </c>
      <c r="AS52" s="19">
        <v>7.1015713228271977</v>
      </c>
      <c r="AT52" s="19">
        <v>6.6373665668117496</v>
      </c>
      <c r="AU52" s="19">
        <v>6.8184644469582452</v>
      </c>
      <c r="AV52" s="19">
        <v>7.3300767886988325</v>
      </c>
      <c r="AW52" s="19">
        <v>10.156826369700411</v>
      </c>
      <c r="AX52" s="19">
        <v>11.348270492553468</v>
      </c>
      <c r="AY52" s="19">
        <v>14.848334886325574</v>
      </c>
      <c r="AZ52" s="19">
        <v>21.021827145547007</v>
      </c>
      <c r="BA52" s="19">
        <v>21.196079417640988</v>
      </c>
      <c r="BB52" s="19">
        <v>14.848673832301444</v>
      </c>
      <c r="BC52" s="19">
        <v>14.412695303026155</v>
      </c>
      <c r="BD52" s="19">
        <v>11.227207783109975</v>
      </c>
      <c r="BE52" s="19">
        <v>9.3274297371975194</v>
      </c>
      <c r="BF52" s="19">
        <v>7.1749179257225393</v>
      </c>
      <c r="BG52" s="19">
        <v>3.8444579958171232</v>
      </c>
      <c r="BH52" s="19">
        <v>2.1881590608982719</v>
      </c>
      <c r="BI52" s="19">
        <v>0.46053717957059348</v>
      </c>
      <c r="BJ52" s="19">
        <v>1.0470689238682525</v>
      </c>
      <c r="BK52" s="19">
        <v>1.2753199768072534</v>
      </c>
      <c r="BL52" s="19">
        <v>0.51991929828818684</v>
      </c>
      <c r="BM52" s="19">
        <v>-0.26001204831477764</v>
      </c>
      <c r="BN52" s="19">
        <v>-0.82858233095659273</v>
      </c>
      <c r="BO52" s="19">
        <v>-1.8626860918417805</v>
      </c>
      <c r="BP52" s="19">
        <v>-0.84639464269299935</v>
      </c>
      <c r="BQ52" s="19">
        <v>0.68559700336817286</v>
      </c>
      <c r="BR52" s="19">
        <v>1.2903342008230538</v>
      </c>
      <c r="BS52" s="19">
        <v>1.577634425815603</v>
      </c>
      <c r="BT52" s="19">
        <v>2.2658895240493138</v>
      </c>
      <c r="BU52" s="19">
        <v>2.0075680929016073</v>
      </c>
      <c r="BV52" s="19">
        <v>4.5799501095067114</v>
      </c>
      <c r="BW52" s="19">
        <v>4.4471696028725916</v>
      </c>
      <c r="BX52" s="19">
        <v>3.4835805984836838</v>
      </c>
      <c r="BY52" s="19">
        <v>3.1455872250426751</v>
      </c>
      <c r="BZ52" s="19">
        <v>2.7560586205530342</v>
      </c>
      <c r="CA52" s="19">
        <v>3.8970951324539556</v>
      </c>
      <c r="CB52" s="19">
        <v>9.4223771291571268</v>
      </c>
      <c r="CC52" s="19">
        <v>8.9747307386887485</v>
      </c>
      <c r="CD52" s="19">
        <v>1.9605447880199449</v>
      </c>
      <c r="CE52" s="19">
        <v>-20.350867060191533</v>
      </c>
      <c r="CF52" s="19">
        <v>-29.252707883951857</v>
      </c>
      <c r="CG52" s="19">
        <v>-53.14929961723702</v>
      </c>
      <c r="CH52" s="19">
        <v>-65.813526071347979</v>
      </c>
      <c r="CI52" s="19">
        <v>-50.797364634387087</v>
      </c>
      <c r="CJ52" s="19">
        <v>-41.675534439810761</v>
      </c>
      <c r="CK52" s="19">
        <v>-4.9267898832539458E-2</v>
      </c>
      <c r="CL52" s="19">
        <v>55.351237326190613</v>
      </c>
      <c r="CM52" s="19">
        <v>43.210183831722048</v>
      </c>
      <c r="CN52" s="19">
        <v>36.712821577213617</v>
      </c>
      <c r="CO52" s="19">
        <v>32.828516969605687</v>
      </c>
      <c r="CP52" s="20">
        <v>65.782342560837634</v>
      </c>
      <c r="CQ52" s="20">
        <v>86.79765201889208</v>
      </c>
      <c r="CR52" s="20">
        <v>107.14333084155513</v>
      </c>
      <c r="CS52" s="20">
        <v>105.38793568139292</v>
      </c>
      <c r="CT52" s="20">
        <v>46.400937202275685</v>
      </c>
      <c r="CU52" s="25">
        <v>21.324725568386782</v>
      </c>
      <c r="CV52" s="25">
        <v>17.759205021836749</v>
      </c>
      <c r="CW52" s="25">
        <v>15.212607132779283</v>
      </c>
      <c r="CX52" s="25">
        <v>16.442376287697115</v>
      </c>
      <c r="CY52" s="25">
        <f>[1]Qtr!CY52</f>
        <v>31.146416297901169</v>
      </c>
      <c r="CZ52" s="33">
        <f>[2]Qtr!CZ52</f>
        <v>17.743959122828386</v>
      </c>
      <c r="DA52" s="33">
        <f>[2]Qtr!DA52</f>
        <v>13.284629828899881</v>
      </c>
      <c r="DB52" s="25"/>
      <c r="DC52" s="25">
        <f>[2]Annual!Y53</f>
        <v>92.316644286210163</v>
      </c>
      <c r="DD52" s="25">
        <f>[2]Annual!Z53</f>
        <v>23.479376684136071</v>
      </c>
      <c r="DE52" s="25">
        <f>[2]Annual!AA53</f>
        <v>19.280144539392481</v>
      </c>
      <c r="DF52" s="25"/>
    </row>
    <row r="53" spans="1:110" x14ac:dyDescent="0.2">
      <c r="A53" s="8" t="s">
        <v>42</v>
      </c>
      <c r="B53" s="19">
        <v>10.645632874988131</v>
      </c>
      <c r="C53" s="19">
        <v>10.414966584893893</v>
      </c>
      <c r="D53" s="19">
        <v>11.143652169439822</v>
      </c>
      <c r="E53" s="19">
        <v>10.77133962615323</v>
      </c>
      <c r="F53" s="19">
        <v>12.248886456099999</v>
      </c>
      <c r="G53" s="19">
        <v>11.728828546632371</v>
      </c>
      <c r="H53" s="19">
        <v>12.096576267760669</v>
      </c>
      <c r="I53" s="19">
        <v>11.111631296222127</v>
      </c>
      <c r="J53" s="19">
        <v>12.808932335433184</v>
      </c>
      <c r="K53" s="19">
        <v>12.176930724702832</v>
      </c>
      <c r="L53" s="19">
        <v>12.685822339386768</v>
      </c>
      <c r="M53" s="19">
        <v>11.545822940753</v>
      </c>
      <c r="N53" s="19">
        <v>12.813471506044232</v>
      </c>
      <c r="O53" s="19">
        <v>11.881741857045473</v>
      </c>
      <c r="P53" s="19">
        <v>12.069166869472221</v>
      </c>
      <c r="Q53" s="19">
        <v>10.780579101158969</v>
      </c>
      <c r="R53" s="19">
        <v>12.522434903874688</v>
      </c>
      <c r="S53" s="19">
        <v>11.655466310598719</v>
      </c>
      <c r="T53" s="19">
        <v>11.771814721872536</v>
      </c>
      <c r="U53" s="19">
        <v>10.53140707729745</v>
      </c>
      <c r="V53" s="19">
        <v>12.451258073644224</v>
      </c>
      <c r="W53" s="19">
        <v>11.92252695613031</v>
      </c>
      <c r="X53" s="19">
        <v>12.527675037693131</v>
      </c>
      <c r="Y53" s="19">
        <v>10.657961133221924</v>
      </c>
      <c r="Z53" s="19">
        <v>12.300195419010516</v>
      </c>
      <c r="AA53" s="19">
        <v>11.667565565750049</v>
      </c>
      <c r="AB53" s="19">
        <v>12.179908690076232</v>
      </c>
      <c r="AC53" s="19">
        <v>10.272076879040718</v>
      </c>
      <c r="AD53" s="19">
        <v>12.374665396962481</v>
      </c>
      <c r="AE53" s="19">
        <v>10.667232601586051</v>
      </c>
      <c r="AF53" s="19">
        <v>11.141027951459751</v>
      </c>
      <c r="AG53" s="19">
        <v>9.416754439836355</v>
      </c>
      <c r="AH53" s="19">
        <v>10.810935588461449</v>
      </c>
      <c r="AI53" s="19">
        <v>10.061564060810685</v>
      </c>
      <c r="AJ53" s="19">
        <v>11.249959218168394</v>
      </c>
      <c r="AK53" s="19">
        <v>10.995439139869127</v>
      </c>
      <c r="AL53" s="19">
        <v>13.576298911312101</v>
      </c>
      <c r="AM53" s="19">
        <v>12.901407439341691</v>
      </c>
      <c r="AN53" s="19">
        <v>13.700142036083527</v>
      </c>
      <c r="AO53" s="19">
        <v>11.743148456507392</v>
      </c>
      <c r="AP53" s="19">
        <v>13.627474418520169</v>
      </c>
      <c r="AQ53" s="19">
        <v>12.476038231164297</v>
      </c>
      <c r="AR53" s="19">
        <v>12.711020475203904</v>
      </c>
      <c r="AS53" s="19">
        <v>10.710971441177016</v>
      </c>
      <c r="AT53" s="19">
        <v>12.723138143600043</v>
      </c>
      <c r="AU53" s="19">
        <v>11.814654311653989</v>
      </c>
      <c r="AV53" s="19">
        <v>12.109599622849212</v>
      </c>
      <c r="AW53" s="19">
        <v>10.899785081096708</v>
      </c>
      <c r="AX53" s="19">
        <v>12.943412468293863</v>
      </c>
      <c r="AY53" s="19">
        <v>12.327704895737394</v>
      </c>
      <c r="AZ53" s="19">
        <v>12.991433014556009</v>
      </c>
      <c r="BA53" s="19">
        <v>11.38910465813083</v>
      </c>
      <c r="BB53" s="19">
        <v>12.748157339825392</v>
      </c>
      <c r="BC53" s="19">
        <v>12.365520867818148</v>
      </c>
      <c r="BD53" s="19">
        <v>13.628699567055389</v>
      </c>
      <c r="BE53" s="19">
        <v>12.076976222816942</v>
      </c>
      <c r="BF53" s="19">
        <v>13.685215972360714</v>
      </c>
      <c r="BG53" s="19">
        <v>12.611504744694436</v>
      </c>
      <c r="BH53" s="19">
        <v>12.92340659802994</v>
      </c>
      <c r="BI53" s="19">
        <v>11.396038911336531</v>
      </c>
      <c r="BJ53" s="19">
        <v>13.018753291967771</v>
      </c>
      <c r="BK53" s="19">
        <v>12.240077681010733</v>
      </c>
      <c r="BL53" s="19">
        <v>13.053563608363353</v>
      </c>
      <c r="BM53" s="19">
        <v>11.185126242581243</v>
      </c>
      <c r="BN53" s="19">
        <v>12.79841704717043</v>
      </c>
      <c r="BO53" s="19">
        <v>11.553640349228456</v>
      </c>
      <c r="BP53" s="19">
        <v>12.122572330273828</v>
      </c>
      <c r="BQ53" s="19">
        <v>10.919693794968527</v>
      </c>
      <c r="BR53" s="19">
        <v>12.583737803708821</v>
      </c>
      <c r="BS53" s="19">
        <v>11.470321466862776</v>
      </c>
      <c r="BT53" s="19">
        <v>12.133524775900543</v>
      </c>
      <c r="BU53" s="19">
        <v>10.647210793982074</v>
      </c>
      <c r="BV53" s="19">
        <v>12.418937046442002</v>
      </c>
      <c r="BW53" s="19">
        <v>11.534526193457801</v>
      </c>
      <c r="BX53" s="19">
        <v>11.938779318865716</v>
      </c>
      <c r="BY53" s="19">
        <v>10.374628712284075</v>
      </c>
      <c r="BZ53" s="19">
        <v>12.070780929547702</v>
      </c>
      <c r="CA53" s="19">
        <v>11.19563868259193</v>
      </c>
      <c r="CB53" s="19">
        <v>11.983565421614664</v>
      </c>
      <c r="CC53" s="19">
        <v>10.23227885595381</v>
      </c>
      <c r="CD53" s="19">
        <v>11.997556262994555</v>
      </c>
      <c r="CE53" s="19">
        <v>10.260947652441903</v>
      </c>
      <c r="CF53" s="19">
        <v>9.2297828804006841</v>
      </c>
      <c r="CG53" s="19">
        <v>5.053633874795783</v>
      </c>
      <c r="CH53" s="19">
        <v>4.2553719832128669</v>
      </c>
      <c r="CI53" s="19">
        <v>4.4013429807430491</v>
      </c>
      <c r="CJ53" s="19">
        <v>5.2470415156980259</v>
      </c>
      <c r="CK53" s="19">
        <v>4.7949630341705856</v>
      </c>
      <c r="CL53" s="19">
        <v>6.1263412725391317</v>
      </c>
      <c r="CM53" s="19">
        <v>5.9722562900873291</v>
      </c>
      <c r="CN53" s="19">
        <v>6.8807895148907843</v>
      </c>
      <c r="CO53" s="19">
        <v>6.2282591698909346</v>
      </c>
      <c r="CP53" s="20">
        <v>9.1851071640505904</v>
      </c>
      <c r="CQ53" s="20">
        <v>10.360738809767751</v>
      </c>
      <c r="CR53" s="20">
        <v>12.153190788249457</v>
      </c>
      <c r="CS53" s="20">
        <v>10.860924920823791</v>
      </c>
      <c r="CT53" s="20">
        <v>12.127197254926546</v>
      </c>
      <c r="CU53" s="25">
        <v>11.658433249855008</v>
      </c>
      <c r="CV53" s="25">
        <v>13.29013833172562</v>
      </c>
      <c r="CW53" s="25">
        <v>11.957995617403368</v>
      </c>
      <c r="CX53" s="25">
        <v>13.368129036969137</v>
      </c>
      <c r="CY53" s="25">
        <f>[1]Qtr!CY53</f>
        <v>13.553407195596961</v>
      </c>
      <c r="CZ53" s="33">
        <f>[2]Qtr!CZ53</f>
        <v>14.642813726854467</v>
      </c>
      <c r="DA53" s="33">
        <f>[2]Qtr!DA53</f>
        <v>12.960104613200048</v>
      </c>
      <c r="DB53" s="25"/>
      <c r="DC53" s="25">
        <f>[2]Annual!Y54</f>
        <v>10.674939210088704</v>
      </c>
      <c r="DD53" s="25">
        <f>[2]Annual!Z54</f>
        <v>12.243828793712911</v>
      </c>
      <c r="DE53" s="25">
        <f>[2]Annual!AA54</f>
        <v>13.60190491261544</v>
      </c>
      <c r="DF53" s="25"/>
    </row>
    <row r="54" spans="1:110" x14ac:dyDescent="0.2">
      <c r="A54" s="8" t="s">
        <v>23</v>
      </c>
      <c r="B54" s="19">
        <v>11.706807109731473</v>
      </c>
      <c r="C54" s="19">
        <v>11.343612591599554</v>
      </c>
      <c r="D54" s="19">
        <v>12.150062492215845</v>
      </c>
      <c r="E54" s="19">
        <v>11.825125955086486</v>
      </c>
      <c r="F54" s="19">
        <v>13.429961172910387</v>
      </c>
      <c r="G54" s="19">
        <v>12.979428690702759</v>
      </c>
      <c r="H54" s="19">
        <v>13.318111575151114</v>
      </c>
      <c r="I54" s="19">
        <v>12.009814197528049</v>
      </c>
      <c r="J54" s="19">
        <v>14.182326812181486</v>
      </c>
      <c r="K54" s="19">
        <v>13.267681822925306</v>
      </c>
      <c r="L54" s="19">
        <v>13.828364999090626</v>
      </c>
      <c r="M54" s="19">
        <v>12.644747429729023</v>
      </c>
      <c r="N54" s="19">
        <v>14.032864323578668</v>
      </c>
      <c r="O54" s="19">
        <v>13.051925481050535</v>
      </c>
      <c r="P54" s="19">
        <v>13.252376667956483</v>
      </c>
      <c r="Q54" s="19">
        <v>11.708238520783302</v>
      </c>
      <c r="R54" s="19">
        <v>13.735555122795127</v>
      </c>
      <c r="S54" s="19">
        <v>12.809622365631204</v>
      </c>
      <c r="T54" s="19">
        <v>12.890020718260297</v>
      </c>
      <c r="U54" s="19">
        <v>11.414201044147433</v>
      </c>
      <c r="V54" s="19">
        <v>13.675935689252707</v>
      </c>
      <c r="W54" s="19">
        <v>13.052509918307379</v>
      </c>
      <c r="X54" s="19">
        <v>13.776164732031686</v>
      </c>
      <c r="Y54" s="19">
        <v>11.698823493496189</v>
      </c>
      <c r="Z54" s="19">
        <v>13.470205030211293</v>
      </c>
      <c r="AA54" s="19">
        <v>12.82885470964</v>
      </c>
      <c r="AB54" s="19">
        <v>13.211320160456438</v>
      </c>
      <c r="AC54" s="19">
        <v>11.186715693641375</v>
      </c>
      <c r="AD54" s="19">
        <v>13.408036409679468</v>
      </c>
      <c r="AE54" s="19">
        <v>11.710684673623554</v>
      </c>
      <c r="AF54" s="19">
        <v>12.225183344408636</v>
      </c>
      <c r="AG54" s="19">
        <v>10.184022254922224</v>
      </c>
      <c r="AH54" s="19">
        <v>11.717001443421562</v>
      </c>
      <c r="AI54" s="19">
        <v>11.029258394870171</v>
      </c>
      <c r="AJ54" s="19">
        <v>12.296133326896799</v>
      </c>
      <c r="AK54" s="19">
        <v>12.094515011651662</v>
      </c>
      <c r="AL54" s="19">
        <v>15.028220437336628</v>
      </c>
      <c r="AM54" s="19">
        <v>14.50355728226751</v>
      </c>
      <c r="AN54" s="19">
        <v>15.365032563153575</v>
      </c>
      <c r="AO54" s="19">
        <v>13.029602198762094</v>
      </c>
      <c r="AP54" s="19">
        <v>15.221479501452128</v>
      </c>
      <c r="AQ54" s="19">
        <v>13.942635473674942</v>
      </c>
      <c r="AR54" s="19">
        <v>14.164732596290269</v>
      </c>
      <c r="AS54" s="19">
        <v>11.79933885960887</v>
      </c>
      <c r="AT54" s="19">
        <v>14.138349045861801</v>
      </c>
      <c r="AU54" s="19">
        <v>13.080328926603807</v>
      </c>
      <c r="AV54" s="19">
        <v>13.414881263998115</v>
      </c>
      <c r="AW54" s="19">
        <v>12.055344135395901</v>
      </c>
      <c r="AX54" s="19">
        <v>14.326383880347171</v>
      </c>
      <c r="AY54" s="19">
        <v>13.735083765380315</v>
      </c>
      <c r="AZ54" s="19">
        <v>14.461211727471667</v>
      </c>
      <c r="BA54" s="19">
        <v>12.612640892371363</v>
      </c>
      <c r="BB54" s="19">
        <v>14.250108478645739</v>
      </c>
      <c r="BC54" s="19">
        <v>13.75298998517111</v>
      </c>
      <c r="BD54" s="19">
        <v>15.380992109290958</v>
      </c>
      <c r="BE54" s="19">
        <v>13.438061075735213</v>
      </c>
      <c r="BF54" s="19">
        <v>15.373261536346696</v>
      </c>
      <c r="BG54" s="19">
        <v>14.057050004825488</v>
      </c>
      <c r="BH54" s="19">
        <v>14.455451165936669</v>
      </c>
      <c r="BI54" s="19">
        <v>12.607543761636933</v>
      </c>
      <c r="BJ54" s="19">
        <v>14.570572373442298</v>
      </c>
      <c r="BK54" s="19">
        <v>13.599884304783963</v>
      </c>
      <c r="BL54" s="19">
        <v>14.574471166061908</v>
      </c>
      <c r="BM54" s="19">
        <v>12.428928894242439</v>
      </c>
      <c r="BN54" s="19">
        <v>14.339376046725558</v>
      </c>
      <c r="BO54" s="19">
        <v>12.809835069437977</v>
      </c>
      <c r="BP54" s="19">
        <v>13.491135780592156</v>
      </c>
      <c r="BQ54" s="19">
        <v>12.055497280928385</v>
      </c>
      <c r="BR54" s="19">
        <v>14.092244919856316</v>
      </c>
      <c r="BS54" s="19">
        <v>12.728316460694147</v>
      </c>
      <c r="BT54" s="19">
        <v>13.522170520372805</v>
      </c>
      <c r="BU54" s="19">
        <v>11.707752824745011</v>
      </c>
      <c r="BV54" s="19">
        <v>13.857283283271885</v>
      </c>
      <c r="BW54" s="19">
        <v>12.715237960751269</v>
      </c>
      <c r="BX54" s="19">
        <v>13.308411534126963</v>
      </c>
      <c r="BY54" s="19">
        <v>11.37066289638391</v>
      </c>
      <c r="BZ54" s="19">
        <v>13.42143399485966</v>
      </c>
      <c r="CA54" s="19">
        <v>12.308174246627388</v>
      </c>
      <c r="CB54" s="19">
        <v>13.253332279429802</v>
      </c>
      <c r="CC54" s="19">
        <v>11.115337860148584</v>
      </c>
      <c r="CD54" s="19">
        <v>13.215411965648427</v>
      </c>
      <c r="CE54" s="19">
        <v>11.176198993881197</v>
      </c>
      <c r="CF54" s="19">
        <v>9.9637166816418699</v>
      </c>
      <c r="CG54" s="19">
        <v>5.2547293055814368</v>
      </c>
      <c r="CH54" s="19">
        <v>4.3667142833378803</v>
      </c>
      <c r="CI54" s="19">
        <v>4.5575443536628537</v>
      </c>
      <c r="CJ54" s="19">
        <v>5.4346599593455576</v>
      </c>
      <c r="CK54" s="19">
        <v>4.9998984776561644</v>
      </c>
      <c r="CL54" s="19">
        <v>6.424982680315301</v>
      </c>
      <c r="CM54" s="19">
        <v>6.2999491033522235</v>
      </c>
      <c r="CN54" s="19">
        <v>7.3282933207402108</v>
      </c>
      <c r="CO54" s="19">
        <v>6.6303374076471648</v>
      </c>
      <c r="CP54" s="20">
        <v>9.9485056162947441</v>
      </c>
      <c r="CQ54" s="20">
        <v>11.404556191490279</v>
      </c>
      <c r="CR54" s="20">
        <v>13.737493314590973</v>
      </c>
      <c r="CS54" s="20">
        <v>12.176147967685514</v>
      </c>
      <c r="CT54" s="20">
        <v>13.634921560621644</v>
      </c>
      <c r="CU54" s="25">
        <v>13.030533771177216</v>
      </c>
      <c r="CV54" s="25">
        <v>15.240346977014104</v>
      </c>
      <c r="CW54" s="25">
        <v>13.54077396951214</v>
      </c>
      <c r="CX54" s="25">
        <v>15.295076741985048</v>
      </c>
      <c r="CY54" s="25">
        <f>[1]Qtr!CY54</f>
        <v>15.513296953334216</v>
      </c>
      <c r="CZ54" s="33">
        <f>[2]Qtr!CZ54</f>
        <v>17.074879663927476</v>
      </c>
      <c r="DA54" s="33">
        <f>[2]Qtr!DA54</f>
        <v>14.827015670381668</v>
      </c>
      <c r="DB54" s="25"/>
      <c r="DC54" s="25">
        <f>[2]Annual!Y55</f>
        <v>11.84483493623441</v>
      </c>
      <c r="DD54" s="25">
        <f>[2]Annual!Z55</f>
        <v>13.839204067201955</v>
      </c>
      <c r="DE54" s="25">
        <f>[2]Annual!AA55</f>
        <v>15.633597539267017</v>
      </c>
      <c r="DF54" s="25"/>
    </row>
    <row r="55" spans="1:110" x14ac:dyDescent="0.2">
      <c r="A55" s="11" t="s">
        <v>37</v>
      </c>
      <c r="B55" s="19">
        <v>20.329696897103403</v>
      </c>
      <c r="C55" s="19">
        <v>18.991637002622927</v>
      </c>
      <c r="D55" s="19">
        <v>19.574606756103393</v>
      </c>
      <c r="E55" s="19">
        <v>18.724799347203319</v>
      </c>
      <c r="F55" s="19">
        <v>19.656775291294821</v>
      </c>
      <c r="G55" s="19">
        <v>18.435315961034981</v>
      </c>
      <c r="H55" s="19">
        <v>17.881893191166011</v>
      </c>
      <c r="I55" s="19">
        <v>17.466699629479859</v>
      </c>
      <c r="J55" s="19">
        <v>18.32777034733633</v>
      </c>
      <c r="K55" s="19">
        <v>19.200804013600418</v>
      </c>
      <c r="L55" s="19">
        <v>18.175359829756811</v>
      </c>
      <c r="M55" s="19">
        <v>17.744352854286475</v>
      </c>
      <c r="N55" s="19">
        <v>19.834209093029063</v>
      </c>
      <c r="O55" s="19">
        <v>19.205269438928561</v>
      </c>
      <c r="P55" s="19">
        <v>18.356054252680657</v>
      </c>
      <c r="Q55" s="19">
        <v>17.373622676278902</v>
      </c>
      <c r="R55" s="19">
        <v>18.258560886082858</v>
      </c>
      <c r="S55" s="19">
        <v>19.778987446455702</v>
      </c>
      <c r="T55" s="19">
        <v>18.040390016585356</v>
      </c>
      <c r="U55" s="19">
        <v>18.138408104143338</v>
      </c>
      <c r="V55" s="19">
        <v>17.011414855734721</v>
      </c>
      <c r="W55" s="19">
        <v>20.18984201659336</v>
      </c>
      <c r="X55" s="19">
        <v>17.801969930150719</v>
      </c>
      <c r="Y55" s="19">
        <v>17.704558686848905</v>
      </c>
      <c r="Z55" s="19">
        <v>17.873760934679993</v>
      </c>
      <c r="AA55" s="19">
        <v>20.398147329012019</v>
      </c>
      <c r="AB55" s="19">
        <v>18.532604588458195</v>
      </c>
      <c r="AC55" s="19">
        <v>18.082408986908064</v>
      </c>
      <c r="AD55" s="19">
        <v>18.920010007310147</v>
      </c>
      <c r="AE55" s="19">
        <v>20.733359006229563</v>
      </c>
      <c r="AF55" s="19">
        <v>18.277329926271321</v>
      </c>
      <c r="AG55" s="19">
        <v>17.711961126316474</v>
      </c>
      <c r="AH55" s="19">
        <v>17.599213361704891</v>
      </c>
      <c r="AI55" s="19">
        <v>19.747576009294718</v>
      </c>
      <c r="AJ55" s="19">
        <v>20.135580199262996</v>
      </c>
      <c r="AK55" s="19">
        <v>18.736704035686291</v>
      </c>
      <c r="AL55" s="19">
        <v>18.652888925739607</v>
      </c>
      <c r="AM55" s="19">
        <v>19.783908026313366</v>
      </c>
      <c r="AN55" s="19">
        <v>19.251441235227908</v>
      </c>
      <c r="AO55" s="19">
        <v>17.022019250078905</v>
      </c>
      <c r="AP55" s="19">
        <v>19.752017360427725</v>
      </c>
      <c r="AQ55" s="19">
        <v>23.100130045638842</v>
      </c>
      <c r="AR55" s="19">
        <v>20.182248973197442</v>
      </c>
      <c r="AS55" s="19">
        <v>18.707015758591581</v>
      </c>
      <c r="AT55" s="19">
        <v>19.795829186779027</v>
      </c>
      <c r="AU55" s="19">
        <v>18.926379636905729</v>
      </c>
      <c r="AV55" s="19">
        <v>19.304158321187597</v>
      </c>
      <c r="AW55" s="19">
        <v>18.020743745211153</v>
      </c>
      <c r="AX55" s="19">
        <v>19.146697336675214</v>
      </c>
      <c r="AY55" s="19">
        <v>19.970057911458088</v>
      </c>
      <c r="AZ55" s="19">
        <v>19.880553048759751</v>
      </c>
      <c r="BA55" s="19">
        <v>20.580007110780834</v>
      </c>
      <c r="BB55" s="19">
        <v>21.476781555217613</v>
      </c>
      <c r="BC55" s="19">
        <v>21.235013408005095</v>
      </c>
      <c r="BD55" s="19">
        <v>20.237907340430965</v>
      </c>
      <c r="BE55" s="19">
        <v>20.281977598647018</v>
      </c>
      <c r="BF55" s="19">
        <v>21.249517963536103</v>
      </c>
      <c r="BG55" s="19">
        <v>21.134722584385472</v>
      </c>
      <c r="BH55" s="19">
        <v>21.10568950087184</v>
      </c>
      <c r="BI55" s="19">
        <v>20.092535192894946</v>
      </c>
      <c r="BJ55" s="19">
        <v>21.207515181220778</v>
      </c>
      <c r="BK55" s="19">
        <v>22.672117983061788</v>
      </c>
      <c r="BL55" s="19">
        <v>22.774764049796463</v>
      </c>
      <c r="BM55" s="19">
        <v>22.214712301472002</v>
      </c>
      <c r="BN55" s="19">
        <v>23.997747113741053</v>
      </c>
      <c r="BO55" s="19">
        <v>25.798658494848116</v>
      </c>
      <c r="BP55" s="19">
        <v>25.794203083061333</v>
      </c>
      <c r="BQ55" s="19">
        <v>24.406290073612954</v>
      </c>
      <c r="BR55" s="19">
        <v>25.126176315310378</v>
      </c>
      <c r="BS55" s="19">
        <v>26.430011282712655</v>
      </c>
      <c r="BT55" s="19">
        <v>26.069587592430686</v>
      </c>
      <c r="BU55" s="19">
        <v>24.985863981552303</v>
      </c>
      <c r="BV55" s="19">
        <v>25.860360275282645</v>
      </c>
      <c r="BW55" s="19">
        <v>28.576588741576614</v>
      </c>
      <c r="BX55" s="19">
        <v>28.295869386925006</v>
      </c>
      <c r="BY55" s="19">
        <v>26.393266965360638</v>
      </c>
      <c r="BZ55" s="19">
        <v>26.333927664672807</v>
      </c>
      <c r="CA55" s="19">
        <v>27.218637290072056</v>
      </c>
      <c r="CB55" s="19">
        <v>28.944541188703539</v>
      </c>
      <c r="CC55" s="19">
        <v>26.222211397096206</v>
      </c>
      <c r="CD55" s="19">
        <v>25.470767845683532</v>
      </c>
      <c r="CE55" s="19">
        <v>20.610057417394675</v>
      </c>
      <c r="CF55" s="19">
        <v>19.776554572443352</v>
      </c>
      <c r="CG55" s="19">
        <v>19.506179893288863</v>
      </c>
      <c r="CH55" s="19">
        <v>21.434079061499634</v>
      </c>
      <c r="CI55" s="19">
        <v>25.509594430514337</v>
      </c>
      <c r="CJ55" s="19">
        <v>21.688158888283041</v>
      </c>
      <c r="CK55" s="19">
        <v>20.693327286784633</v>
      </c>
      <c r="CL55" s="19">
        <v>22.411608584149988</v>
      </c>
      <c r="CM55" s="19">
        <v>27.382748064995262</v>
      </c>
      <c r="CN55" s="19">
        <v>23.025296015833653</v>
      </c>
      <c r="CO55" s="19">
        <v>20.943057489717908</v>
      </c>
      <c r="CP55" s="20">
        <v>22.912554358871166</v>
      </c>
      <c r="CQ55" s="20">
        <v>27.077550872951594</v>
      </c>
      <c r="CR55" s="20">
        <v>23.42555462270608</v>
      </c>
      <c r="CS55" s="20">
        <v>21.505301784535931</v>
      </c>
      <c r="CT55" s="20">
        <v>21.96065351251719</v>
      </c>
      <c r="CU55" s="25">
        <v>27.760499710940543</v>
      </c>
      <c r="CV55" s="25">
        <v>23.608162498419318</v>
      </c>
      <c r="CW55" s="25">
        <v>21.248253773691342</v>
      </c>
      <c r="CX55" s="25">
        <v>22.204374546919119</v>
      </c>
      <c r="CY55" s="25">
        <f>[1]Qtr!CY55</f>
        <v>26.887540602802503</v>
      </c>
      <c r="CZ55" s="33">
        <f>[2]Qtr!CZ55</f>
        <v>22.807364952019636</v>
      </c>
      <c r="DA55" s="33">
        <f>[2]Qtr!DA55</f>
        <v>19.287838667032695</v>
      </c>
      <c r="DB55" s="25"/>
      <c r="DC55" s="25">
        <f>[2]Annual!Y56</f>
        <v>23.634505580337862</v>
      </c>
      <c r="DD55" s="25">
        <f>[2]Annual!Z56</f>
        <v>23.570507069845377</v>
      </c>
      <c r="DE55" s="25">
        <f>[2]Annual!AA56</f>
        <v>22.686153371928842</v>
      </c>
      <c r="DF55" s="25"/>
    </row>
    <row r="56" spans="1:110" x14ac:dyDescent="0.2">
      <c r="A56" s="11" t="s">
        <v>38</v>
      </c>
      <c r="B56" s="19">
        <v>70.605785624462186</v>
      </c>
      <c r="C56" s="19">
        <v>72.170236854963719</v>
      </c>
      <c r="D56" s="19">
        <v>71.678510068603856</v>
      </c>
      <c r="E56" s="19">
        <v>72.274295085242116</v>
      </c>
      <c r="F56" s="19">
        <v>72.815288991833256</v>
      </c>
      <c r="G56" s="19">
        <v>71.881382187502979</v>
      </c>
      <c r="H56" s="19">
        <v>72.919002766855129</v>
      </c>
      <c r="I56" s="19">
        <v>73.869922248035181</v>
      </c>
      <c r="J56" s="19">
        <v>72.043756565565957</v>
      </c>
      <c r="K56" s="19">
        <v>72.752589201778889</v>
      </c>
      <c r="L56" s="19">
        <v>75.213296538667734</v>
      </c>
      <c r="M56" s="19">
        <v>72.451759819189704</v>
      </c>
      <c r="N56" s="19">
        <v>73.412680475474943</v>
      </c>
      <c r="O56" s="19">
        <v>73.696073930501441</v>
      </c>
      <c r="P56" s="19">
        <v>74.589591016055749</v>
      </c>
      <c r="Q56" s="19">
        <v>72.472130203673871</v>
      </c>
      <c r="R56" s="19">
        <v>72.678669050523553</v>
      </c>
      <c r="S56" s="19">
        <v>72.060152397176282</v>
      </c>
      <c r="T56" s="19">
        <v>75.058288546888065</v>
      </c>
      <c r="U56" s="19">
        <v>74.430804177081697</v>
      </c>
      <c r="V56" s="19">
        <v>73.956441840259714</v>
      </c>
      <c r="W56" s="19">
        <v>73.848024388173286</v>
      </c>
      <c r="X56" s="19">
        <v>74.642677610800291</v>
      </c>
      <c r="Y56" s="19">
        <v>73.446524754287708</v>
      </c>
      <c r="Z56" s="19">
        <v>73.924397598113927</v>
      </c>
      <c r="AA56" s="19">
        <v>73.131873968860646</v>
      </c>
      <c r="AB56" s="19">
        <v>74.097142394483598</v>
      </c>
      <c r="AC56" s="19">
        <v>72.170867823107727</v>
      </c>
      <c r="AD56" s="19">
        <v>72.279380168218466</v>
      </c>
      <c r="AE56" s="19">
        <v>71.982497102896076</v>
      </c>
      <c r="AF56" s="19">
        <v>73.2134353954132</v>
      </c>
      <c r="AG56" s="19">
        <v>71.658458797844219</v>
      </c>
      <c r="AH56" s="19">
        <v>73.805114531170446</v>
      </c>
      <c r="AI56" s="19">
        <v>71.881522528070235</v>
      </c>
      <c r="AJ56" s="19">
        <v>73.380674521270222</v>
      </c>
      <c r="AK56" s="19">
        <v>73.692769303037082</v>
      </c>
      <c r="AL56" s="19">
        <v>75.116466947715665</v>
      </c>
      <c r="AM56" s="19">
        <v>73.790196817116694</v>
      </c>
      <c r="AN56" s="19">
        <v>72.826180090389926</v>
      </c>
      <c r="AO56" s="19">
        <v>71.437054403295818</v>
      </c>
      <c r="AP56" s="19">
        <v>71.460440309485037</v>
      </c>
      <c r="AQ56" s="19">
        <v>69.339595103920132</v>
      </c>
      <c r="AR56" s="19">
        <v>70.160924572123321</v>
      </c>
      <c r="AS56" s="19">
        <v>69.944849030237094</v>
      </c>
      <c r="AT56" s="19">
        <v>71.835764953941762</v>
      </c>
      <c r="AU56" s="19">
        <v>71.379759140833102</v>
      </c>
      <c r="AV56" s="19">
        <v>72.563216622055648</v>
      </c>
      <c r="AW56" s="19">
        <v>72.684360321789171</v>
      </c>
      <c r="AX56" s="19">
        <v>73.967935569336177</v>
      </c>
      <c r="AY56" s="19">
        <v>71.313360176200078</v>
      </c>
      <c r="AZ56" s="19">
        <v>72.460751218444514</v>
      </c>
      <c r="BA56" s="19">
        <v>72.581424516484375</v>
      </c>
      <c r="BB56" s="19">
        <v>73.273075438363023</v>
      </c>
      <c r="BC56" s="19">
        <v>70.522593139001643</v>
      </c>
      <c r="BD56" s="19">
        <v>72.001442654270448</v>
      </c>
      <c r="BE56" s="19">
        <v>72.302411327793422</v>
      </c>
      <c r="BF56" s="19">
        <v>72.627430808638877</v>
      </c>
      <c r="BG56" s="19">
        <v>69.503094260776692</v>
      </c>
      <c r="BH56" s="19">
        <v>71.85256145484162</v>
      </c>
      <c r="BI56" s="19">
        <v>71.245069585530331</v>
      </c>
      <c r="BJ56" s="19">
        <v>74.050922959946391</v>
      </c>
      <c r="BK56" s="19">
        <v>70.665282752734569</v>
      </c>
      <c r="BL56" s="19">
        <v>73.145892287422356</v>
      </c>
      <c r="BM56" s="19">
        <v>72.221990233305107</v>
      </c>
      <c r="BN56" s="19">
        <v>74.09169539069174</v>
      </c>
      <c r="BO56" s="19">
        <v>70.713641755362332</v>
      </c>
      <c r="BP56" s="19">
        <v>73.106961893882485</v>
      </c>
      <c r="BQ56" s="19">
        <v>72.476332368747634</v>
      </c>
      <c r="BR56" s="19">
        <v>74.276560639459731</v>
      </c>
      <c r="BS56" s="19">
        <v>70.382320126463696</v>
      </c>
      <c r="BT56" s="19">
        <v>71.906807097156047</v>
      </c>
      <c r="BU56" s="19">
        <v>72.339442733310207</v>
      </c>
      <c r="BV56" s="19">
        <v>74.393557182367431</v>
      </c>
      <c r="BW56" s="19">
        <v>70.916818555403708</v>
      </c>
      <c r="BX56" s="19">
        <v>72.526677538228085</v>
      </c>
      <c r="BY56" s="19">
        <v>72.525445009603175</v>
      </c>
      <c r="BZ56" s="19">
        <v>75.4809949856092</v>
      </c>
      <c r="CA56" s="19">
        <v>71.922082409026089</v>
      </c>
      <c r="CB56" s="19">
        <v>73.269298268374854</v>
      </c>
      <c r="CC56" s="19">
        <v>72.45828725116057</v>
      </c>
      <c r="CD56" s="19">
        <v>76.927564288917424</v>
      </c>
      <c r="CE56" s="19">
        <v>73.510236232673194</v>
      </c>
      <c r="CF56" s="19">
        <v>76.34346458703773</v>
      </c>
      <c r="CG56" s="19">
        <v>73.677890947750612</v>
      </c>
      <c r="CH56" s="19">
        <v>77.679322658483287</v>
      </c>
      <c r="CI56" s="19">
        <v>71.209059301648523</v>
      </c>
      <c r="CJ56" s="19">
        <v>77.8247753682748</v>
      </c>
      <c r="CK56" s="19">
        <v>74.719062529474428</v>
      </c>
      <c r="CL56" s="19">
        <v>78.180217019100581</v>
      </c>
      <c r="CM56" s="19">
        <v>71.8402520444765</v>
      </c>
      <c r="CN56" s="19">
        <v>78.690011217757799</v>
      </c>
      <c r="CO56" s="19">
        <v>75.370985933472085</v>
      </c>
      <c r="CP56" s="20">
        <v>78.655781107431324</v>
      </c>
      <c r="CQ56" s="20">
        <v>73.450818482973006</v>
      </c>
      <c r="CR56" s="20">
        <v>78.682765997663267</v>
      </c>
      <c r="CS56" s="20">
        <v>75.610555093614224</v>
      </c>
      <c r="CT56" s="20">
        <v>78.158236878272746</v>
      </c>
      <c r="CU56" s="25">
        <v>72.475279683020617</v>
      </c>
      <c r="CV56" s="25">
        <v>78.639653186452193</v>
      </c>
      <c r="CW56" s="25">
        <v>75.606855152859495</v>
      </c>
      <c r="CX56" s="25">
        <v>78.266835488909905</v>
      </c>
      <c r="CY56" s="25">
        <f>[1]Qtr!CY56</f>
        <v>72.165368431976617</v>
      </c>
      <c r="CZ56" s="33">
        <f>[2]Qtr!CZ56</f>
        <v>79.178903480486042</v>
      </c>
      <c r="DA56" s="33">
        <f>[2]Qtr!DA56</f>
        <v>76.340595872822192</v>
      </c>
      <c r="DB56" s="25"/>
      <c r="DC56" s="25">
        <f>[2]Annual!Y57</f>
        <v>76.518844218519618</v>
      </c>
      <c r="DD56" s="25">
        <f>[2]Annual!Z57</f>
        <v>76.145393421070068</v>
      </c>
      <c r="DE56" s="25">
        <f>[2]Annual!AA57</f>
        <v>76.419216296468377</v>
      </c>
      <c r="DF56" s="25"/>
    </row>
    <row r="57" spans="1:110" x14ac:dyDescent="0.2">
      <c r="A57" s="11" t="s">
        <v>39</v>
      </c>
      <c r="B57" s="19">
        <v>25.043992194789382</v>
      </c>
      <c r="C57" s="19">
        <v>24.438125036341976</v>
      </c>
      <c r="D57" s="19">
        <v>26.628368290808556</v>
      </c>
      <c r="E57" s="19">
        <v>25.016422288866814</v>
      </c>
      <c r="F57" s="19">
        <v>25.909354547341422</v>
      </c>
      <c r="G57" s="19">
        <v>24.569079087270371</v>
      </c>
      <c r="H57" s="19">
        <v>26.282518665731498</v>
      </c>
      <c r="I57" s="19">
        <v>24.604235157326578</v>
      </c>
      <c r="J57" s="19">
        <v>24.801059197061328</v>
      </c>
      <c r="K57" s="19">
        <v>24.36231264662894</v>
      </c>
      <c r="L57" s="19">
        <v>26.166054963343775</v>
      </c>
      <c r="M57" s="19">
        <v>25.197109470128087</v>
      </c>
      <c r="N57" s="19">
        <v>25.78161426430901</v>
      </c>
      <c r="O57" s="19">
        <v>23.99976778268956</v>
      </c>
      <c r="P57" s="19">
        <v>25.316476189150521</v>
      </c>
      <c r="Q57" s="19">
        <v>24.36699152564417</v>
      </c>
      <c r="R57" s="19">
        <v>25.06328454083026</v>
      </c>
      <c r="S57" s="19">
        <v>22.797367543934815</v>
      </c>
      <c r="T57" s="19">
        <v>23.746100931174048</v>
      </c>
      <c r="U57" s="19">
        <v>24.444183229883574</v>
      </c>
      <c r="V57" s="19">
        <v>24.460813727313926</v>
      </c>
      <c r="W57" s="19">
        <v>22.640855757481258</v>
      </c>
      <c r="X57" s="19">
        <v>24.436187780655246</v>
      </c>
      <c r="Y57" s="19">
        <v>25.397425368973398</v>
      </c>
      <c r="Z57" s="19">
        <v>24.207445146266391</v>
      </c>
      <c r="AA57" s="19">
        <v>21.749263426734995</v>
      </c>
      <c r="AB57" s="19">
        <v>24.184909391705059</v>
      </c>
      <c r="AC57" s="19">
        <v>25.053907508737044</v>
      </c>
      <c r="AD57" s="19">
        <v>23.585026611736581</v>
      </c>
      <c r="AE57" s="19">
        <v>21.233082719437245</v>
      </c>
      <c r="AF57" s="19">
        <v>23.45727678480231</v>
      </c>
      <c r="AG57" s="19">
        <v>24.221799744265578</v>
      </c>
      <c r="AH57" s="19">
        <v>22.993259771584253</v>
      </c>
      <c r="AI57" s="19">
        <v>21.505826351072354</v>
      </c>
      <c r="AJ57" s="19">
        <v>23.782626004906358</v>
      </c>
      <c r="AK57" s="19">
        <v>24.62325234979836</v>
      </c>
      <c r="AL57" s="19">
        <v>21.532980819924738</v>
      </c>
      <c r="AM57" s="19">
        <v>19.479620850526739</v>
      </c>
      <c r="AN57" s="19">
        <v>21.379574476789216</v>
      </c>
      <c r="AO57" s="19">
        <v>24.180381906957898</v>
      </c>
      <c r="AP57" s="19">
        <v>22.884372948667899</v>
      </c>
      <c r="AQ57" s="19">
        <v>19.674113739455024</v>
      </c>
      <c r="AR57" s="19">
        <v>20.927338813069412</v>
      </c>
      <c r="AS57" s="19">
        <v>23.997871366437451</v>
      </c>
      <c r="AT57" s="19">
        <v>23.06735932361223</v>
      </c>
      <c r="AU57" s="19">
        <v>20.001458766157381</v>
      </c>
      <c r="AV57" s="19">
        <v>20.243125523251987</v>
      </c>
      <c r="AW57" s="19">
        <v>23.363488122898044</v>
      </c>
      <c r="AX57" s="19">
        <v>23.251094835606047</v>
      </c>
      <c r="AY57" s="19">
        <v>19.642117846703101</v>
      </c>
      <c r="AZ57" s="19">
        <v>19.575887412370712</v>
      </c>
      <c r="BA57" s="19">
        <v>22.764812052694911</v>
      </c>
      <c r="BB57" s="19">
        <v>22.128802151686006</v>
      </c>
      <c r="BC57" s="19">
        <v>18.300132467733686</v>
      </c>
      <c r="BD57" s="19">
        <v>18.701384478953283</v>
      </c>
      <c r="BE57" s="19">
        <v>22.43593250053225</v>
      </c>
      <c r="BF57" s="19">
        <v>21.615198264622958</v>
      </c>
      <c r="BG57" s="19">
        <v>18.69712475166423</v>
      </c>
      <c r="BH57" s="19">
        <v>19.013448911754232</v>
      </c>
      <c r="BI57" s="19">
        <v>22.734863520822245</v>
      </c>
      <c r="BJ57" s="19">
        <v>21.382329226064613</v>
      </c>
      <c r="BK57" s="19">
        <v>17.977816272000378</v>
      </c>
      <c r="BL57" s="19">
        <v>17.783916250186177</v>
      </c>
      <c r="BM57" s="19">
        <v>22.301968890657729</v>
      </c>
      <c r="BN57" s="19">
        <v>20.748399356097678</v>
      </c>
      <c r="BO57" s="19">
        <v>17.511517268447506</v>
      </c>
      <c r="BP57" s="19">
        <v>17.626035757506369</v>
      </c>
      <c r="BQ57" s="19">
        <v>22.187293840409868</v>
      </c>
      <c r="BR57" s="19">
        <v>20.521851822644894</v>
      </c>
      <c r="BS57" s="19">
        <v>17.551966934924462</v>
      </c>
      <c r="BT57" s="19">
        <v>17.912922394547547</v>
      </c>
      <c r="BU57" s="19">
        <v>21.794503924297235</v>
      </c>
      <c r="BV57" s="19">
        <v>20.087381530007697</v>
      </c>
      <c r="BW57" s="19">
        <v>17.27959137055301</v>
      </c>
      <c r="BX57" s="19">
        <v>17.519791365231349</v>
      </c>
      <c r="BY57" s="19">
        <v>21.29005340515377</v>
      </c>
      <c r="BZ57" s="19">
        <v>19.858625998743463</v>
      </c>
      <c r="CA57" s="19">
        <v>16.577635590512134</v>
      </c>
      <c r="CB57" s="19">
        <v>16.276764109164375</v>
      </c>
      <c r="CC57" s="19">
        <v>21.07616789422611</v>
      </c>
      <c r="CD57" s="19">
        <v>18.49588682130052</v>
      </c>
      <c r="CE57" s="19">
        <v>15.038590273838045</v>
      </c>
      <c r="CF57" s="19">
        <v>15.289873955077457</v>
      </c>
      <c r="CG57" s="19">
        <v>20.967519900034585</v>
      </c>
      <c r="CH57" s="19">
        <v>18.505512267497544</v>
      </c>
      <c r="CI57" s="19">
        <v>16.16207136258377</v>
      </c>
      <c r="CJ57" s="19">
        <v>14.720109267117543</v>
      </c>
      <c r="CK57" s="19">
        <v>20.5892728407748</v>
      </c>
      <c r="CL57" s="19">
        <v>19.109237907905381</v>
      </c>
      <c r="CM57" s="19">
        <v>15.240291830161745</v>
      </c>
      <c r="CN57" s="19">
        <v>14.139806506810739</v>
      </c>
      <c r="CO57" s="19">
        <v>19.971709828636143</v>
      </c>
      <c r="CP57" s="20">
        <v>18.337877066297981</v>
      </c>
      <c r="CQ57" s="20">
        <v>14.261402056943348</v>
      </c>
      <c r="CR57" s="20">
        <v>13.480667412393665</v>
      </c>
      <c r="CS57" s="20">
        <v>18.442734829551483</v>
      </c>
      <c r="CT57" s="20">
        <v>17.640462510584882</v>
      </c>
      <c r="CU57" s="25">
        <v>13.653060530872196</v>
      </c>
      <c r="CV57" s="25">
        <v>12.995742091951563</v>
      </c>
      <c r="CW57" s="25">
        <v>18.039762809048884</v>
      </c>
      <c r="CX57" s="25">
        <v>17.479961446498525</v>
      </c>
      <c r="CY57" s="25">
        <f>[1]Qtr!CY57</f>
        <v>13.309536873237112</v>
      </c>
      <c r="CZ57" s="33">
        <f>[2]Qtr!CZ57</f>
        <v>12.537542297637389</v>
      </c>
      <c r="DA57" s="33">
        <f>[2]Qtr!DA57</f>
        <v>17.618472579865564</v>
      </c>
      <c r="DB57" s="25"/>
      <c r="DC57" s="25">
        <f>[2]Annual!Y58</f>
        <v>16.23032629491793</v>
      </c>
      <c r="DD57" s="25">
        <f>[2]Annual!Z58</f>
        <v>15.677153099355342</v>
      </c>
      <c r="DE57" s="25">
        <f>[2]Annual!AA58</f>
        <v>15.32570445775093</v>
      </c>
      <c r="DF57" s="25"/>
    </row>
    <row r="58" spans="1:110" x14ac:dyDescent="0.2">
      <c r="A58" s="11" t="s">
        <v>46</v>
      </c>
      <c r="B58" s="19">
        <v>4.8351613648516336</v>
      </c>
      <c r="C58" s="19">
        <v>6.1853664810187725</v>
      </c>
      <c r="D58" s="19">
        <v>6.2671022932518392</v>
      </c>
      <c r="E58" s="19">
        <v>7.1448393966610624</v>
      </c>
      <c r="F58" s="19">
        <v>7.3229712892787928</v>
      </c>
      <c r="G58" s="19">
        <v>6.2940153196924919</v>
      </c>
      <c r="H58" s="19">
        <v>7.299707196366823</v>
      </c>
      <c r="I58" s="19">
        <v>6.4371433798117703</v>
      </c>
      <c r="J58" s="19">
        <v>7.5207194837175102</v>
      </c>
      <c r="K58" s="19">
        <v>8.6543449502607128</v>
      </c>
      <c r="L58" s="19">
        <v>8.0272022943224481</v>
      </c>
      <c r="M58" s="19">
        <v>8.6132968807415455</v>
      </c>
      <c r="N58" s="19">
        <v>9.083206813196389</v>
      </c>
      <c r="O58" s="19">
        <v>8.8283497690566222</v>
      </c>
      <c r="P58" s="19">
        <v>11.65447130139545</v>
      </c>
      <c r="Q58" s="19">
        <v>10.19517110277128</v>
      </c>
      <c r="R58" s="19">
        <v>10.018317168450107</v>
      </c>
      <c r="S58" s="19">
        <v>6.0497098926330786</v>
      </c>
      <c r="T58" s="19">
        <v>12.563223936073598</v>
      </c>
      <c r="U58" s="19">
        <v>5.8146319219997302</v>
      </c>
      <c r="V58" s="19">
        <v>10.613806911838058</v>
      </c>
      <c r="W58" s="19">
        <v>11.267826016970957</v>
      </c>
      <c r="X58" s="19">
        <v>14.700014595646643</v>
      </c>
      <c r="Y58" s="19">
        <v>8.2580823429865102</v>
      </c>
      <c r="Z58" s="19">
        <v>17.793098926952659</v>
      </c>
      <c r="AA58" s="19">
        <v>5.7973358760418989</v>
      </c>
      <c r="AB58" s="19">
        <v>15.393845982094781</v>
      </c>
      <c r="AC58" s="19">
        <v>12.771979852818591</v>
      </c>
      <c r="AD58" s="19">
        <v>8.5093875184395653</v>
      </c>
      <c r="AE58" s="19">
        <v>11.44493779393666</v>
      </c>
      <c r="AF58" s="19">
        <v>10.002280450019285</v>
      </c>
      <c r="AG58" s="19">
        <v>4.529763369258955</v>
      </c>
      <c r="AH58" s="19">
        <v>8.7803142781907173</v>
      </c>
      <c r="AI58" s="19">
        <v>6.5978857604602803</v>
      </c>
      <c r="AJ58" s="19">
        <v>9.2583796075980018</v>
      </c>
      <c r="AK58" s="19">
        <v>3.9375183462190844</v>
      </c>
      <c r="AL58" s="19">
        <v>23.461837762023904</v>
      </c>
      <c r="AM58" s="19">
        <v>3.6478922155061411</v>
      </c>
      <c r="AN58" s="19">
        <v>8.7125687480205336</v>
      </c>
      <c r="AO58" s="19">
        <v>3.3837791996620479</v>
      </c>
      <c r="AP58" s="19">
        <v>12.645669801621267</v>
      </c>
      <c r="AQ58" s="19">
        <v>3.933958127367978</v>
      </c>
      <c r="AR58" s="19">
        <v>10.027457577828399</v>
      </c>
      <c r="AS58" s="19">
        <v>13.217013505730209</v>
      </c>
      <c r="AT58" s="19">
        <v>11.287085757428123</v>
      </c>
      <c r="AU58" s="19">
        <v>3.1821251775804611</v>
      </c>
      <c r="AV58" s="19">
        <v>17.896983055128896</v>
      </c>
      <c r="AW58" s="19">
        <v>5.3014758371839559</v>
      </c>
      <c r="AX58" s="19">
        <v>8.1895463573798875</v>
      </c>
      <c r="AY58" s="19">
        <v>3.0577253406475347</v>
      </c>
      <c r="AZ58" s="19">
        <v>7.2864476233438396</v>
      </c>
      <c r="BA58" s="19">
        <v>3.6290929746136369</v>
      </c>
      <c r="BB58" s="19">
        <v>12.118563204028803</v>
      </c>
      <c r="BC58" s="19">
        <v>3.2702239776016655</v>
      </c>
      <c r="BD58" s="19">
        <v>5.8077817634444511</v>
      </c>
      <c r="BE58" s="19">
        <v>2.829289883795302</v>
      </c>
      <c r="BF58" s="19">
        <v>10.37107443906738</v>
      </c>
      <c r="BG58" s="19">
        <v>2.1050290216594432</v>
      </c>
      <c r="BH58" s="19">
        <v>8.6132379433318214</v>
      </c>
      <c r="BI58" s="19">
        <v>2.6453783773558679</v>
      </c>
      <c r="BJ58" s="19">
        <v>6.2704939966853068</v>
      </c>
      <c r="BK58" s="19">
        <v>3.6985319009293693</v>
      </c>
      <c r="BL58" s="19">
        <v>11.704198466826252</v>
      </c>
      <c r="BM58" s="19">
        <v>1.9741033000831416</v>
      </c>
      <c r="BN58" s="19">
        <v>10.020770831306759</v>
      </c>
      <c r="BO58" s="19">
        <v>4.3077747574469774</v>
      </c>
      <c r="BP58" s="19">
        <v>5.1684249736717556</v>
      </c>
      <c r="BQ58" s="19">
        <v>2.2022221765830743</v>
      </c>
      <c r="BR58" s="19">
        <v>6.6385744844351766</v>
      </c>
      <c r="BS58" s="19">
        <v>3.122783633975311</v>
      </c>
      <c r="BT58" s="19">
        <v>5.0905565462405056</v>
      </c>
      <c r="BU58" s="19">
        <v>2.1029904685956309</v>
      </c>
      <c r="BV58" s="19">
        <v>4.8328049373074728</v>
      </c>
      <c r="BW58" s="19">
        <v>4.7648920922914959</v>
      </c>
      <c r="BX58" s="19">
        <v>4.598431760281855</v>
      </c>
      <c r="BY58" s="19">
        <v>2.04178868626073</v>
      </c>
      <c r="BZ58" s="19">
        <v>4.9749697770345289</v>
      </c>
      <c r="CA58" s="19">
        <v>3.3920861317095867</v>
      </c>
      <c r="CB58" s="19">
        <v>3.6599224898565215</v>
      </c>
      <c r="CC58" s="19">
        <v>5.1679111002666627</v>
      </c>
      <c r="CD58" s="19">
        <v>7.6414309513611958</v>
      </c>
      <c r="CE58" s="19">
        <v>5.010886618386853</v>
      </c>
      <c r="CF58" s="19">
        <v>6.8338086067203898</v>
      </c>
      <c r="CG58" s="19">
        <v>2.4762777862179157</v>
      </c>
      <c r="CH58" s="19">
        <v>11.920677089011363</v>
      </c>
      <c r="CI58" s="19">
        <v>5.2911827458739031</v>
      </c>
      <c r="CJ58" s="19">
        <v>4.1283463608885587</v>
      </c>
      <c r="CK58" s="19">
        <v>4.2421354823016886</v>
      </c>
      <c r="CL58" s="19">
        <v>6.3636208647194259</v>
      </c>
      <c r="CM58" s="19">
        <v>2.680663482154904</v>
      </c>
      <c r="CN58" s="19">
        <v>8.2189609705276609</v>
      </c>
      <c r="CO58" s="19">
        <v>6.2518708327794492</v>
      </c>
      <c r="CP58" s="20">
        <v>10.07516332211704</v>
      </c>
      <c r="CQ58" s="20">
        <v>5.8129552255947372</v>
      </c>
      <c r="CR58" s="20">
        <v>8.5466643632075172</v>
      </c>
      <c r="CS58" s="23">
        <v>2.8835070549498925</v>
      </c>
      <c r="CT58" s="20">
        <v>16.113973074381498</v>
      </c>
      <c r="CU58" s="25">
        <v>4.5690738597393441</v>
      </c>
      <c r="CV58" s="25">
        <v>5.7717644849050735</v>
      </c>
      <c r="CW58" s="25">
        <v>4.9730936502464953</v>
      </c>
      <c r="CX58" s="25">
        <v>5.1962699295140808</v>
      </c>
      <c r="CY58" s="25">
        <f>[1]Qtr!CY58</f>
        <v>6.1173239334097351</v>
      </c>
      <c r="CZ58" s="33">
        <f>[2]Qtr!CZ58</f>
        <v>16.791121710027078</v>
      </c>
      <c r="DA58" s="35" t="s">
        <v>50</v>
      </c>
      <c r="DB58" s="25"/>
      <c r="DC58" s="25">
        <f>[2]Annual!Y59</f>
        <v>6.5955408804101179</v>
      </c>
      <c r="DD58" s="25">
        <f>[2]Annual!Z59</f>
        <v>7.6405269932896163</v>
      </c>
      <c r="DE58" s="34" t="s">
        <v>50</v>
      </c>
      <c r="DF58" s="25"/>
    </row>
    <row r="59" spans="1:110" ht="7.15" customHeight="1" x14ac:dyDescent="0.2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</row>
    <row r="60" spans="1:110" x14ac:dyDescent="0.2">
      <c r="A60" s="1" t="s">
        <v>49</v>
      </c>
    </row>
    <row r="61" spans="1:110" x14ac:dyDescent="0.2">
      <c r="A61" s="1" t="s">
        <v>40</v>
      </c>
    </row>
    <row r="1048576" spans="94:110" x14ac:dyDescent="0.2">
      <c r="CP1048576" s="20"/>
      <c r="CQ1048576" s="20"/>
      <c r="CR1048576" s="20"/>
      <c r="CS1048576" s="20"/>
      <c r="CT1048576" s="20"/>
      <c r="CU1048576" s="25"/>
      <c r="CV1048576" s="25"/>
      <c r="CW1048576" s="25"/>
      <c r="CX1048576" s="25"/>
      <c r="CY1048576" s="25"/>
      <c r="CZ1048576" s="33"/>
      <c r="DA1048576" s="33"/>
      <c r="DB1048576" s="25"/>
      <c r="DC1048576" s="25"/>
      <c r="DD1048576" s="25"/>
      <c r="DE1048576" s="25"/>
      <c r="DF1048576" s="25"/>
    </row>
  </sheetData>
  <phoneticPr fontId="6" type="noConversion"/>
  <pageMargins left="0.25" right="0.25" top="0.75" bottom="0.75" header="0.3" footer="0.3"/>
  <pageSetup paperSize="9" scale="59" orientation="landscape" r:id="rId1"/>
  <colBreaks count="8" manualBreakCount="8">
    <brk id="13" max="60" man="1"/>
    <brk id="25" max="60" man="1"/>
    <brk id="37" max="60" man="1"/>
    <brk id="49" max="60" man="1"/>
    <brk id="61" max="60" man="1"/>
    <brk id="73" max="60" man="1"/>
    <brk id="89" max="60" man="1"/>
    <brk id="105" max="6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Q42025pre</vt:lpstr>
      <vt:lpstr>Q42025pre!Print_Area</vt:lpstr>
      <vt:lpstr>Q42025pre!Print_Titles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Libertie Masculino</dc:creator>
  <cp:lastModifiedBy>Anthony Abalos</cp:lastModifiedBy>
  <cp:lastPrinted>2023-11-08T05:43:28Z</cp:lastPrinted>
  <dcterms:created xsi:type="dcterms:W3CDTF">2020-05-04T08:56:46Z</dcterms:created>
  <dcterms:modified xsi:type="dcterms:W3CDTF">2026-01-28T03:40:39Z</dcterms:modified>
</cp:coreProperties>
</file>