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J:\Shared drives\QNAP\NAP Dissemination\As of November 2025\Tables\Prelim Q3 2025\"/>
    </mc:Choice>
  </mc:AlternateContent>
  <xr:revisionPtr revIDLastSave="0" documentId="13_ncr:1_{E0FAE527-54BD-436C-B674-C4E36100B85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Q32025Pre" sheetId="1" r:id="rId1"/>
  </sheets>
  <externalReferences>
    <externalReference r:id="rId2"/>
  </externalReferences>
  <definedNames>
    <definedName name="_xlnm.Print_Area" localSheetId="0">Q32025Pre!$A$1:$T$60</definedName>
    <definedName name="_xlnm.Print_Titles" localSheetId="0">Q32025Pre!$A:$A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0" i="1" l="1"/>
  <c r="T51" i="1"/>
  <c r="T52" i="1"/>
  <c r="T53" i="1"/>
  <c r="T54" i="1"/>
  <c r="T55" i="1"/>
  <c r="T56" i="1"/>
  <c r="T57" i="1"/>
  <c r="T58" i="1"/>
  <c r="T49" i="1"/>
  <c r="S50" i="1"/>
  <c r="S51" i="1"/>
  <c r="S52" i="1"/>
  <c r="S53" i="1"/>
  <c r="S54" i="1"/>
  <c r="S55" i="1"/>
  <c r="S56" i="1"/>
  <c r="S57" i="1"/>
  <c r="S58" i="1"/>
  <c r="S49" i="1"/>
  <c r="R50" i="1"/>
  <c r="R51" i="1"/>
  <c r="R52" i="1"/>
  <c r="R53" i="1"/>
  <c r="R54" i="1"/>
  <c r="R55" i="1"/>
  <c r="R56" i="1"/>
  <c r="R57" i="1"/>
  <c r="R58" i="1"/>
  <c r="R49" i="1"/>
  <c r="T46" i="1"/>
  <c r="T47" i="1"/>
  <c r="T45" i="1"/>
  <c r="R46" i="1"/>
  <c r="R47" i="1"/>
  <c r="R45" i="1"/>
  <c r="S46" i="1"/>
  <c r="S47" i="1"/>
  <c r="S45" i="1"/>
  <c r="T43" i="1"/>
  <c r="T44" i="1"/>
  <c r="T42" i="1"/>
  <c r="S43" i="1"/>
  <c r="S44" i="1"/>
  <c r="S42" i="1"/>
  <c r="R43" i="1"/>
  <c r="R44" i="1"/>
  <c r="R42" i="1"/>
  <c r="T39" i="1"/>
  <c r="T40" i="1"/>
  <c r="T38" i="1"/>
  <c r="S39" i="1"/>
  <c r="S40" i="1"/>
  <c r="S38" i="1"/>
  <c r="R39" i="1"/>
  <c r="R40" i="1"/>
  <c r="R38" i="1"/>
  <c r="T35" i="1"/>
  <c r="T36" i="1"/>
  <c r="T34" i="1"/>
  <c r="S35" i="1"/>
  <c r="S36" i="1"/>
  <c r="S34" i="1"/>
  <c r="R35" i="1"/>
  <c r="R36" i="1"/>
  <c r="R34" i="1"/>
  <c r="R13" i="1" l="1"/>
  <c r="S13" i="1"/>
  <c r="T13" i="1"/>
  <c r="R14" i="1"/>
  <c r="S14" i="1"/>
  <c r="T14" i="1"/>
  <c r="R15" i="1"/>
  <c r="S15" i="1"/>
  <c r="T15" i="1"/>
  <c r="R16" i="1"/>
  <c r="S16" i="1"/>
  <c r="T16" i="1"/>
  <c r="R18" i="1"/>
  <c r="S18" i="1"/>
  <c r="T18" i="1"/>
  <c r="R19" i="1"/>
  <c r="S19" i="1"/>
  <c r="T19" i="1"/>
  <c r="R20" i="1"/>
  <c r="S20" i="1"/>
  <c r="T20" i="1"/>
  <c r="R21" i="1"/>
  <c r="S21" i="1"/>
  <c r="T21" i="1"/>
  <c r="R22" i="1"/>
  <c r="S22" i="1"/>
  <c r="T22" i="1"/>
  <c r="R24" i="1"/>
  <c r="S24" i="1"/>
  <c r="T24" i="1"/>
  <c r="R25" i="1"/>
  <c r="S25" i="1"/>
  <c r="T25" i="1"/>
  <c r="R26" i="1"/>
  <c r="S26" i="1"/>
  <c r="T26" i="1"/>
  <c r="R27" i="1"/>
  <c r="S27" i="1"/>
  <c r="T27" i="1"/>
  <c r="R28" i="1"/>
  <c r="S28" i="1"/>
  <c r="T28" i="1"/>
  <c r="R29" i="1"/>
  <c r="S29" i="1"/>
  <c r="T29" i="1"/>
  <c r="R30" i="1"/>
  <c r="S30" i="1"/>
  <c r="T30" i="1"/>
  <c r="R33" i="1"/>
  <c r="S33" i="1"/>
  <c r="T33" i="1"/>
  <c r="P13" i="1" l="1"/>
  <c r="P14" i="1"/>
  <c r="P15" i="1"/>
  <c r="P16" i="1"/>
  <c r="P18" i="1"/>
  <c r="P19" i="1"/>
  <c r="P20" i="1"/>
  <c r="P21" i="1"/>
  <c r="P22" i="1"/>
  <c r="P24" i="1"/>
  <c r="P25" i="1"/>
  <c r="P26" i="1"/>
  <c r="P27" i="1"/>
  <c r="P28" i="1"/>
  <c r="P29" i="1"/>
  <c r="P30" i="1"/>
  <c r="P33" i="1"/>
  <c r="P34" i="1"/>
  <c r="P35" i="1"/>
  <c r="P36" i="1"/>
  <c r="P38" i="1"/>
  <c r="P39" i="1"/>
  <c r="P40" i="1"/>
  <c r="P42" i="1"/>
  <c r="P43" i="1"/>
  <c r="P44" i="1"/>
  <c r="P45" i="1"/>
  <c r="P46" i="1"/>
  <c r="P47" i="1"/>
  <c r="P49" i="1"/>
  <c r="P50" i="1"/>
  <c r="P51" i="1"/>
  <c r="P52" i="1"/>
  <c r="P53" i="1"/>
  <c r="P54" i="1"/>
  <c r="P55" i="1"/>
  <c r="P56" i="1"/>
  <c r="P57" i="1"/>
  <c r="P58" i="1"/>
  <c r="O13" i="1"/>
  <c r="O14" i="1"/>
  <c r="O15" i="1"/>
  <c r="O16" i="1"/>
  <c r="O18" i="1"/>
  <c r="O19" i="1"/>
  <c r="O20" i="1"/>
  <c r="O21" i="1"/>
  <c r="O22" i="1"/>
  <c r="O24" i="1"/>
  <c r="O25" i="1"/>
  <c r="O26" i="1"/>
  <c r="O27" i="1"/>
  <c r="O28" i="1"/>
  <c r="O29" i="1"/>
  <c r="O30" i="1"/>
  <c r="O33" i="1"/>
  <c r="O34" i="1"/>
  <c r="O35" i="1"/>
  <c r="O36" i="1"/>
  <c r="O38" i="1"/>
  <c r="O39" i="1"/>
  <c r="O40" i="1"/>
  <c r="O42" i="1"/>
  <c r="O43" i="1"/>
  <c r="O44" i="1"/>
  <c r="O45" i="1"/>
  <c r="O46" i="1"/>
  <c r="O47" i="1"/>
  <c r="O49" i="1"/>
  <c r="O50" i="1"/>
  <c r="O51" i="1"/>
  <c r="O52" i="1"/>
  <c r="O53" i="1"/>
  <c r="O54" i="1"/>
  <c r="O55" i="1"/>
  <c r="O56" i="1"/>
  <c r="O57" i="1"/>
  <c r="O58" i="1"/>
</calcChain>
</file>

<file path=xl/sharedStrings.xml><?xml version="1.0" encoding="utf-8"?>
<sst xmlns="http://schemas.openxmlformats.org/spreadsheetml/2006/main" count="71" uniqueCount="50">
  <si>
    <t>National Accounts of the Philippines</t>
  </si>
  <si>
    <t>Base Year: 2018</t>
  </si>
  <si>
    <t>Table 23. Indicators Derived from the National Accounts</t>
  </si>
  <si>
    <t>Indicators</t>
  </si>
  <si>
    <t>Q1</t>
  </si>
  <si>
    <t>Q2</t>
  </si>
  <si>
    <t>Q3</t>
  </si>
  <si>
    <t>Q4</t>
  </si>
  <si>
    <t>01. Labor Productivity</t>
  </si>
  <si>
    <t xml:space="preserve">A. GDP to Total Employment </t>
  </si>
  <si>
    <t>Levels (in pesos, constant)</t>
  </si>
  <si>
    <t>Total</t>
  </si>
  <si>
    <t>Agriculture, Forestry and Fishing</t>
  </si>
  <si>
    <t>Industry</t>
  </si>
  <si>
    <t>Services</t>
  </si>
  <si>
    <t>Growth Rates (in percent)</t>
  </si>
  <si>
    <t>B. GDP to Total Hours Worked (in pesos, constant)</t>
  </si>
  <si>
    <t>02. Major Industries Contribution to GNI 
       (in percentage points, constant)</t>
  </si>
  <si>
    <t>Net Primary Income</t>
  </si>
  <si>
    <t>Total GNI</t>
  </si>
  <si>
    <t>03. Terms of Trade (in percent)</t>
  </si>
  <si>
    <t>04. Trading Gains/Losses (in million pesos, constant)</t>
  </si>
  <si>
    <t>05. Trade Balance</t>
  </si>
  <si>
    <t xml:space="preserve">A. Net Export </t>
  </si>
  <si>
    <t>Levels (in million pesos, current)</t>
  </si>
  <si>
    <t>Share to GDP (in percent, current)</t>
  </si>
  <si>
    <t>B. Net Merchandise Export (in million pesos, current)</t>
  </si>
  <si>
    <t>06. Trade to GDP (in percent, current)</t>
  </si>
  <si>
    <t>07. Total Exports (in million, current)</t>
  </si>
  <si>
    <t>Pesos</t>
  </si>
  <si>
    <t>US $ (FOB)</t>
  </si>
  <si>
    <t>Share to GDP (in percent)</t>
  </si>
  <si>
    <t>08. Total Imports (in million, current)</t>
  </si>
  <si>
    <t>US $ (CIF)</t>
  </si>
  <si>
    <t>09. Share of Top Five Exports to Total Merchandise 
        Exports (in percent, current)</t>
  </si>
  <si>
    <t>10. Share of Top Five Imports to Total Merchandise 
       Imports (in percent, current)</t>
  </si>
  <si>
    <t>11. Ratio of NPI to GNI (in percent, current)</t>
  </si>
  <si>
    <t>12. Inflow of compensation</t>
  </si>
  <si>
    <t>US $</t>
  </si>
  <si>
    <t>Growth Rates (pesos)</t>
  </si>
  <si>
    <t>Growth Rates (US $)</t>
  </si>
  <si>
    <t>Share to GNI (in percent, current)</t>
  </si>
  <si>
    <t>13. Fixed Capital Formation to GDP (in percent, current)</t>
  </si>
  <si>
    <t>14. HFCE/GDP (in percent, current)</t>
  </si>
  <si>
    <t>15. Manufacturing to GDP (in percent, current)</t>
  </si>
  <si>
    <t>16. Debt Service to GDP (in percent, current)</t>
  </si>
  <si>
    <t>Source: Philippine Statistics Authority</t>
  </si>
  <si>
    <t>Pesos (at current prices)</t>
  </si>
  <si>
    <t>As of November 2025</t>
  </si>
  <si>
    <t>First to Third Quarter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</si>
</sst>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#,##0.0"/>
    <numFmt numFmtId="166" formatCode="General_)"/>
    <numFmt numFmtId="167" formatCode="#,##0.000000"/>
    <numFmt numFmtId="168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Helv"/>
    </font>
    <font>
      <sz val="10"/>
      <name val="MS Sans Serif"/>
      <family val="2"/>
    </font>
    <font>
      <sz val="10"/>
      <name val="Courier"/>
      <family val="3"/>
    </font>
    <font>
      <sz val="8"/>
      <name val="Calibri"/>
      <family val="2"/>
      <scheme val="minor"/>
    </font>
    <font>
      <sz val="10"/>
      <color rgb="FF0000FF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dashed">
        <color auto="1"/>
      </top>
      <bottom/>
      <diagonal/>
    </border>
    <border>
      <left/>
      <right/>
      <top/>
      <bottom style="dashed">
        <color auto="1"/>
      </bottom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166" fontId="3" fillId="0" borderId="0"/>
    <xf numFmtId="40" fontId="4" fillId="0" borderId="0" applyFont="0" applyFill="0" applyBorder="0" applyAlignment="0" applyProtection="0"/>
    <xf numFmtId="37" fontId="5" fillId="0" borderId="0"/>
  </cellStyleXfs>
  <cellXfs count="25">
    <xf numFmtId="0" fontId="0" fillId="0" borderId="0" xfId="0"/>
    <xf numFmtId="0" fontId="2" fillId="0" borderId="0" xfId="0" applyFont="1"/>
    <xf numFmtId="0" fontId="2" fillId="0" borderId="2" xfId="0" applyFont="1" applyBorder="1" applyAlignment="1">
      <alignment horizontal="center"/>
    </xf>
    <xf numFmtId="3" fontId="2" fillId="0" borderId="0" xfId="1" applyNumberFormat="1" applyFont="1"/>
    <xf numFmtId="0" fontId="2" fillId="0" borderId="1" xfId="0" applyFont="1" applyBorder="1"/>
    <xf numFmtId="0" fontId="2" fillId="0" borderId="1" xfId="0" applyFont="1" applyBorder="1" applyAlignment="1">
      <alignment horizontal="centerContinuous"/>
    </xf>
    <xf numFmtId="165" fontId="2" fillId="0" borderId="0" xfId="0" quotePrefix="1" applyNumberFormat="1" applyFont="1"/>
    <xf numFmtId="165" fontId="2" fillId="0" borderId="0" xfId="0" applyNumberFormat="1" applyFont="1"/>
    <xf numFmtId="165" fontId="2" fillId="0" borderId="0" xfId="0" applyNumberFormat="1" applyFont="1" applyAlignment="1">
      <alignment horizontal="left" indent="3"/>
    </xf>
    <xf numFmtId="165" fontId="2" fillId="0" borderId="0" xfId="0" applyNumberFormat="1" applyFont="1" applyAlignment="1">
      <alignment horizontal="left" indent="6"/>
    </xf>
    <xf numFmtId="165" fontId="2" fillId="0" borderId="0" xfId="0" applyNumberFormat="1" applyFont="1" applyAlignment="1">
      <alignment horizontal="left" indent="8"/>
    </xf>
    <xf numFmtId="165" fontId="2" fillId="0" borderId="0" xfId="0" quotePrefix="1" applyNumberFormat="1" applyFont="1" applyAlignment="1">
      <alignment wrapText="1"/>
    </xf>
    <xf numFmtId="165" fontId="2" fillId="0" borderId="0" xfId="0" quotePrefix="1" applyNumberFormat="1" applyFont="1" applyAlignment="1">
      <alignment horizontal="left"/>
    </xf>
    <xf numFmtId="165" fontId="2" fillId="0" borderId="0" xfId="0" quotePrefix="1" applyNumberFormat="1" applyFont="1" applyAlignment="1">
      <alignment vertical="top"/>
    </xf>
    <xf numFmtId="165" fontId="2" fillId="0" borderId="0" xfId="0" applyNumberFormat="1" applyFont="1" applyAlignment="1">
      <alignment horizontal="left" wrapText="1" indent="3"/>
    </xf>
    <xf numFmtId="0" fontId="2" fillId="0" borderId="2" xfId="0" applyFont="1" applyBorder="1"/>
    <xf numFmtId="167" fontId="2" fillId="0" borderId="0" xfId="0" applyNumberFormat="1" applyFont="1"/>
    <xf numFmtId="0" fontId="7" fillId="0" borderId="0" xfId="0" applyFont="1"/>
    <xf numFmtId="165" fontId="2" fillId="0" borderId="0" xfId="1" applyNumberFormat="1" applyFont="1"/>
    <xf numFmtId="165" fontId="2" fillId="0" borderId="0" xfId="1" applyNumberFormat="1" applyFont="1" applyAlignment="1">
      <alignment horizontal="right"/>
    </xf>
    <xf numFmtId="0" fontId="2" fillId="0" borderId="0" xfId="0" applyFont="1" applyAlignment="1">
      <alignment horizontal="center"/>
    </xf>
    <xf numFmtId="164" fontId="2" fillId="0" borderId="0" xfId="1" applyFont="1"/>
    <xf numFmtId="0" fontId="8" fillId="0" borderId="0" xfId="0" applyFont="1"/>
    <xf numFmtId="168" fontId="2" fillId="0" borderId="0" xfId="1" applyNumberFormat="1" applyFont="1"/>
    <xf numFmtId="0" fontId="2" fillId="0" borderId="1" xfId="0" applyFont="1" applyBorder="1" applyAlignment="1">
      <alignment horizontal="center" vertical="center"/>
    </xf>
  </cellXfs>
  <cellStyles count="5">
    <cellStyle name="Comma" xfId="1" builtinId="3"/>
    <cellStyle name="Comma 2" xfId="3" xr:uid="{00000000-0005-0000-0000-000001000000}"/>
    <cellStyle name="Normal" xfId="0" builtinId="0"/>
    <cellStyle name="Normal 10" xfId="4" xr:uid="{00000000-0005-0000-0000-000003000000}"/>
    <cellStyle name="Normal 2" xfId="2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Shared%20drives\QNAP\Derived%20indicators\Q3%202025\18Indicators_November2025.xlsx" TargetMode="External"/><Relationship Id="rId1" Type="http://schemas.openxmlformats.org/officeDocument/2006/relationships/externalLinkPath" Target="file:///G:\Shared%20drives\QNAP\Derived%20indicators\Q3%202025\18Indicators_November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Qtr"/>
      <sheetName val="Annual (2)"/>
      <sheetName val="Annual (3)"/>
      <sheetName val="Sem"/>
      <sheetName val="3Qs"/>
      <sheetName val="Annual"/>
      <sheetName val="Checking"/>
      <sheetName val="Metadata"/>
      <sheetName val="Sheet3"/>
    </sheetNames>
    <sheetDataSet>
      <sheetData sheetId="0">
        <row r="13">
          <cell r="CY13">
            <v>117301.69391252004</v>
          </cell>
          <cell r="CZ13">
            <v>113805.36536794432</v>
          </cell>
        </row>
        <row r="14">
          <cell r="CY14">
            <v>41994.02207358936</v>
          </cell>
          <cell r="CZ14">
            <v>42334.351733479962</v>
          </cell>
        </row>
        <row r="15">
          <cell r="CY15">
            <v>196984.39542271438</v>
          </cell>
          <cell r="CZ15">
            <v>161844.70958316079</v>
          </cell>
        </row>
        <row r="16">
          <cell r="CY16">
            <v>120248.75615382899</v>
          </cell>
          <cell r="CZ16">
            <v>122762.69015557204</v>
          </cell>
        </row>
        <row r="18">
          <cell r="CY18">
            <v>4.1198922941201488</v>
          </cell>
          <cell r="CZ18">
            <v>4.7020326598377977</v>
          </cell>
        </row>
        <row r="19">
          <cell r="CY19">
            <v>4.9262019408885465</v>
          </cell>
          <cell r="CZ19">
            <v>4.1963605241928832</v>
          </cell>
        </row>
        <row r="20">
          <cell r="CY20">
            <v>10.96965991599734</v>
          </cell>
          <cell r="CZ20">
            <v>-2.017096390200436</v>
          </cell>
        </row>
        <row r="21">
          <cell r="CY21">
            <v>2.768193732514959</v>
          </cell>
          <cell r="CZ21">
            <v>7.0129627084924095</v>
          </cell>
        </row>
        <row r="22">
          <cell r="CY22">
            <v>225.31731040552691</v>
          </cell>
          <cell r="CZ22">
            <v>212.50092341043106</v>
          </cell>
        </row>
        <row r="24">
          <cell r="CY24">
            <v>0.46099307954295343</v>
          </cell>
          <cell r="CZ24">
            <v>0.18783533394078056</v>
          </cell>
        </row>
        <row r="25">
          <cell r="CY25">
            <v>0.57447453952453242</v>
          </cell>
          <cell r="CZ25">
            <v>0.16586312477057696</v>
          </cell>
        </row>
        <row r="26">
          <cell r="CY26">
            <v>3.9008201251027743</v>
          </cell>
          <cell r="CZ26">
            <v>3.1611416395517429</v>
          </cell>
        </row>
        <row r="27">
          <cell r="CY27">
            <v>3.0435512698072813</v>
          </cell>
          <cell r="CZ27">
            <v>2.0584743357719413</v>
          </cell>
        </row>
        <row r="28">
          <cell r="CY28">
            <v>7.979839013977541</v>
          </cell>
          <cell r="CZ28">
            <v>5.5733144340350416</v>
          </cell>
        </row>
        <row r="29">
          <cell r="CY29">
            <v>88.163033544188224</v>
          </cell>
          <cell r="CZ29">
            <v>84.579918773240465</v>
          </cell>
        </row>
        <row r="30">
          <cell r="CY30">
            <v>-235111.27521004539</v>
          </cell>
          <cell r="CZ30">
            <v>-323473.0344250187</v>
          </cell>
        </row>
        <row r="33">
          <cell r="CY33">
            <v>-1021730.0670920163</v>
          </cell>
          <cell r="CZ33">
            <v>-1074737.0630633582</v>
          </cell>
        </row>
        <row r="34">
          <cell r="CY34">
            <v>-14.668995913750571</v>
          </cell>
          <cell r="CZ34">
            <v>-16.388237021659915</v>
          </cell>
        </row>
        <row r="35">
          <cell r="CY35">
            <v>-1335996.3863735721</v>
          </cell>
          <cell r="CZ35">
            <v>-1229423.8321411789</v>
          </cell>
        </row>
        <row r="36">
          <cell r="CY36">
            <v>63.257404794161133</v>
          </cell>
          <cell r="CZ36">
            <v>74.019815579063646</v>
          </cell>
        </row>
        <row r="38">
          <cell r="CY38">
            <v>1692148.4795949869</v>
          </cell>
          <cell r="CZ38">
            <v>1889733.2701689133</v>
          </cell>
        </row>
        <row r="39">
          <cell r="CY39">
            <v>30063.610420200243</v>
          </cell>
          <cell r="CZ39">
            <v>33105.811759246404</v>
          </cell>
        </row>
        <row r="40">
          <cell r="CY40">
            <v>24.294204440205284</v>
          </cell>
          <cell r="CZ40">
            <v>28.815789278701864</v>
          </cell>
        </row>
        <row r="42">
          <cell r="CY42">
            <v>2713878.5466870032</v>
          </cell>
          <cell r="CZ42">
            <v>2964470.3332322715</v>
          </cell>
        </row>
        <row r="43">
          <cell r="CY43">
            <v>48216.210538962558</v>
          </cell>
          <cell r="CZ43">
            <v>51933.888431294712</v>
          </cell>
        </row>
        <row r="44">
          <cell r="CY44">
            <v>38.963200353955848</v>
          </cell>
          <cell r="CZ44">
            <v>45.204026300361775</v>
          </cell>
        </row>
        <row r="45">
          <cell r="CY45">
            <v>69.771791253783832</v>
          </cell>
          <cell r="CZ45">
            <v>76.84852355516793</v>
          </cell>
        </row>
        <row r="46">
          <cell r="CY46">
            <v>60.882202696752067</v>
          </cell>
          <cell r="CZ46">
            <v>62.755237955816362</v>
          </cell>
        </row>
        <row r="47">
          <cell r="CY47">
            <v>12.633612078933506</v>
          </cell>
          <cell r="CZ47">
            <v>14.312242323765597</v>
          </cell>
        </row>
        <row r="49">
          <cell r="CY49">
            <v>1080537.6203077766</v>
          </cell>
          <cell r="CZ49">
            <v>1119267.4854969983</v>
          </cell>
        </row>
        <row r="50">
          <cell r="CY50">
            <v>19197.406405540987</v>
          </cell>
          <cell r="CZ50">
            <v>19608.195118349478</v>
          </cell>
        </row>
        <row r="51">
          <cell r="CY51">
            <v>27.677295073447468</v>
          </cell>
          <cell r="CZ51">
            <v>17.41890517021875</v>
          </cell>
        </row>
        <row r="52">
          <cell r="CY52">
            <v>31.146416297901169</v>
          </cell>
          <cell r="CZ52">
            <v>17.743959122828386</v>
          </cell>
        </row>
        <row r="53">
          <cell r="CY53">
            <v>13.553407195596961</v>
          </cell>
          <cell r="CZ53">
            <v>14.624555544872472</v>
          </cell>
        </row>
        <row r="54">
          <cell r="CY54">
            <v>15.513296953334216</v>
          </cell>
          <cell r="CZ54">
            <v>17.067263680922075</v>
          </cell>
        </row>
        <row r="55">
          <cell r="CY55">
            <v>26.887540602802503</v>
          </cell>
          <cell r="CZ55">
            <v>22.717062581532847</v>
          </cell>
        </row>
        <row r="56">
          <cell r="CY56">
            <v>72.165368431976617</v>
          </cell>
          <cell r="CZ56">
            <v>79.134395812920346</v>
          </cell>
        </row>
        <row r="57">
          <cell r="CY57">
            <v>13.309536873237112</v>
          </cell>
          <cell r="CZ57">
            <v>12.511067570846016</v>
          </cell>
        </row>
        <row r="58">
          <cell r="CY58">
            <v>6.1173239334097351</v>
          </cell>
          <cell r="CZ58">
            <v>16.783632292818744</v>
          </cell>
        </row>
      </sheetData>
      <sheetData sheetId="1"/>
      <sheetData sheetId="2"/>
      <sheetData sheetId="3"/>
      <sheetData sheetId="4">
        <row r="13">
          <cell r="Y13">
            <v>317150.07622873137</v>
          </cell>
          <cell r="Z13">
            <v>329606.34003614046</v>
          </cell>
          <cell r="AA13">
            <v>343934.79281711788</v>
          </cell>
        </row>
        <row r="14">
          <cell r="Y14">
            <v>115454.75202317171</v>
          </cell>
          <cell r="Z14">
            <v>124866.20938788775</v>
          </cell>
          <cell r="AA14">
            <v>130345.47706651481</v>
          </cell>
        </row>
        <row r="15">
          <cell r="Y15">
            <v>521455.58584119327</v>
          </cell>
          <cell r="Z15">
            <v>519865.48229698808</v>
          </cell>
          <cell r="AA15">
            <v>545477.59715592954</v>
          </cell>
        </row>
        <row r="16">
          <cell r="Y16">
            <v>335102.72990039532</v>
          </cell>
          <cell r="Z16">
            <v>341652.06158938154</v>
          </cell>
          <cell r="AA16">
            <v>356460.92311433476</v>
          </cell>
        </row>
        <row r="18">
          <cell r="Y18">
            <v>2.2291775361778576</v>
          </cell>
          <cell r="Z18">
            <v>3.9275613474629978</v>
          </cell>
          <cell r="AA18">
            <v>4.3471411318745794</v>
          </cell>
        </row>
        <row r="19">
          <cell r="Y19">
            <v>-1.0619560674220594</v>
          </cell>
          <cell r="Z19">
            <v>8.1516414004571942</v>
          </cell>
          <cell r="AA19">
            <v>4.3881108471917543</v>
          </cell>
        </row>
        <row r="20">
          <cell r="Y20">
            <v>4.9194782464596472</v>
          </cell>
          <cell r="Z20">
            <v>-0.30493556639920882</v>
          </cell>
          <cell r="AA20">
            <v>4.9266811764028233</v>
          </cell>
        </row>
        <row r="21">
          <cell r="Y21">
            <v>1.9116440216982937</v>
          </cell>
          <cell r="Z21">
            <v>1.9544250477854632</v>
          </cell>
          <cell r="AA21">
            <v>4.3344862185410733</v>
          </cell>
        </row>
        <row r="22">
          <cell r="Y22">
            <v>203.99204640352534</v>
          </cell>
          <cell r="Z22">
            <v>213.44435209490621</v>
          </cell>
          <cell r="AA22">
            <v>210.00497412707298</v>
          </cell>
        </row>
        <row r="24">
          <cell r="Y24">
            <v>9.6806184955327765E-2</v>
          </cell>
          <cell r="Z24">
            <v>-0.11062569068222924</v>
          </cell>
          <cell r="AA24">
            <v>0.27551513672130518</v>
          </cell>
        </row>
        <row r="25">
          <cell r="Y25">
            <v>1.0525725905630603</v>
          </cell>
          <cell r="Z25">
            <v>1.6030330702936164</v>
          </cell>
          <cell r="AA25">
            <v>0.64454866385466758</v>
          </cell>
        </row>
        <row r="26">
          <cell r="Y26">
            <v>4.0815225638699353</v>
          </cell>
          <cell r="Z26">
            <v>3.8372951426598654</v>
          </cell>
          <cell r="AA26">
            <v>3.4905231986425278</v>
          </cell>
        </row>
        <row r="27">
          <cell r="Y27">
            <v>4.8961009972748206</v>
          </cell>
          <cell r="Z27">
            <v>2.9153001657321402</v>
          </cell>
          <cell r="AA27">
            <v>2.5149237350591802</v>
          </cell>
        </row>
        <row r="28">
          <cell r="Y28">
            <v>10.127002336663143</v>
          </cell>
          <cell r="Z28">
            <v>8.2450026880033924</v>
          </cell>
          <cell r="AA28">
            <v>6.9255107342776805</v>
          </cell>
        </row>
        <row r="29">
          <cell r="Y29">
            <v>88.3088674605861</v>
          </cell>
          <cell r="Z29">
            <v>88.052934793496163</v>
          </cell>
          <cell r="AA29">
            <v>88.289380173097697</v>
          </cell>
        </row>
        <row r="30">
          <cell r="Y30">
            <v>-646471.47295407299</v>
          </cell>
          <cell r="Z30">
            <v>-685257.69270121655</v>
          </cell>
          <cell r="AA30">
            <v>-712874.90204309626</v>
          </cell>
        </row>
        <row r="33">
          <cell r="Y33">
            <v>-2681703.4131392911</v>
          </cell>
          <cell r="Z33">
            <v>-2949178.7171976808</v>
          </cell>
          <cell r="AA33">
            <v>-3075958.3815730177</v>
          </cell>
        </row>
        <row r="35">
          <cell r="Y35">
            <v>-15.534290835422407</v>
          </cell>
          <cell r="Z35">
            <v>-15.630144717886713</v>
          </cell>
          <cell r="AA35">
            <v>-15.299240965804966</v>
          </cell>
        </row>
        <row r="36">
          <cell r="Y36">
            <v>-3723183.5264875777</v>
          </cell>
          <cell r="Z36">
            <v>-3921284.8352814266</v>
          </cell>
          <cell r="AA36">
            <v>-3963208.9242153279</v>
          </cell>
        </row>
        <row r="37">
          <cell r="Y37">
            <v>71.318499902342879</v>
          </cell>
          <cell r="Z37">
            <v>69.364188462103442</v>
          </cell>
          <cell r="AA37">
            <v>69.522231899973647</v>
          </cell>
        </row>
        <row r="39">
          <cell r="Y39">
            <v>4815047.7366148978</v>
          </cell>
          <cell r="Z39">
            <v>5069412.377802968</v>
          </cell>
          <cell r="AA39">
            <v>5450847.6535109729</v>
          </cell>
        </row>
        <row r="40">
          <cell r="Y40">
            <v>86765.459116554193</v>
          </cell>
          <cell r="Z40">
            <v>88971.145483195753</v>
          </cell>
          <cell r="AA40">
            <v>88603.185854367097</v>
          </cell>
        </row>
        <row r="41">
          <cell r="Y41">
            <v>27.892104533460238</v>
          </cell>
          <cell r="Z41">
            <v>26.867021872108367</v>
          </cell>
          <cell r="AA41">
            <v>27.111495467084339</v>
          </cell>
        </row>
        <row r="43">
          <cell r="Y43">
            <v>7496751.149754189</v>
          </cell>
          <cell r="Z43">
            <v>8018591.0950006489</v>
          </cell>
          <cell r="AA43">
            <v>8526806.0350839905</v>
          </cell>
        </row>
        <row r="44">
          <cell r="Y44">
            <v>135099.71699294733</v>
          </cell>
          <cell r="Z44">
            <v>140628.07581617808</v>
          </cell>
          <cell r="AA44">
            <v>140773.03301173926</v>
          </cell>
        </row>
        <row r="45">
          <cell r="Y45">
            <v>43.426395368882645</v>
          </cell>
          <cell r="Z45">
            <v>42.497166589995075</v>
          </cell>
          <cell r="AA45">
            <v>42.410736432889315</v>
          </cell>
        </row>
        <row r="46">
          <cell r="Y46">
            <v>71.636408250340196</v>
          </cell>
          <cell r="Z46">
            <v>69.827687016963125</v>
          </cell>
          <cell r="AA46">
            <v>71.824709592980199</v>
          </cell>
        </row>
        <row r="47">
          <cell r="Y47">
            <v>64.50250907031554</v>
          </cell>
          <cell r="Z47">
            <v>62.824024697398798</v>
          </cell>
          <cell r="AA47">
            <v>62.147152140591437</v>
          </cell>
        </row>
        <row r="48">
          <cell r="Y48">
            <v>9.4936092604189497</v>
          </cell>
          <cell r="Z48">
            <v>11.46310025955394</v>
          </cell>
          <cell r="AA48">
            <v>13.176980237274332</v>
          </cell>
        </row>
        <row r="50">
          <cell r="Y50">
            <v>2021429.1454748707</v>
          </cell>
          <cell r="Z50">
            <v>2633869.0740481066</v>
          </cell>
          <cell r="AA50">
            <v>3206540.3415574608</v>
          </cell>
        </row>
        <row r="51">
          <cell r="Y51">
            <v>36394.066922971244</v>
          </cell>
          <cell r="Z51">
            <v>46205.292878130189</v>
          </cell>
          <cell r="AA51">
            <v>48937.185516621066</v>
          </cell>
        </row>
        <row r="52">
          <cell r="Y52">
            <v>94.091302982436986</v>
          </cell>
          <cell r="Z52">
            <v>30.297373021667937</v>
          </cell>
          <cell r="AA52">
            <v>21.742586719741212</v>
          </cell>
        </row>
        <row r="53">
          <cell r="Y53">
            <v>87.300241805063962</v>
          </cell>
          <cell r="Z53">
            <v>26.958311572940175</v>
          </cell>
          <cell r="AA53">
            <v>5.9125101656566557</v>
          </cell>
        </row>
        <row r="54">
          <cell r="Y54">
            <v>10.597866793233891</v>
          </cell>
          <cell r="Z54">
            <v>12.358916594642615</v>
          </cell>
          <cell r="AA54">
            <v>13.84717002529943</v>
          </cell>
        </row>
        <row r="55">
          <cell r="Y55">
            <v>11.709523169173444</v>
          </cell>
          <cell r="Z55">
            <v>13.959057331885235</v>
          </cell>
          <cell r="AA55">
            <v>15.948731181133383</v>
          </cell>
        </row>
        <row r="56">
          <cell r="Y56">
            <v>24.50409506428003</v>
          </cell>
          <cell r="Z56">
            <v>24.503153076800288</v>
          </cell>
          <cell r="AA56">
            <v>23.994029471632956</v>
          </cell>
        </row>
        <row r="57">
          <cell r="Y57">
            <v>76.889799160904246</v>
          </cell>
          <cell r="Z57">
            <v>76.361677134078803</v>
          </cell>
          <cell r="AA57">
            <v>76.436039126246953</v>
          </cell>
        </row>
        <row r="58">
          <cell r="Y58">
            <v>15.326755110377269</v>
          </cell>
          <cell r="Z58">
            <v>14.728299451311072</v>
          </cell>
          <cell r="AA58">
            <v>14.414407310429397</v>
          </cell>
        </row>
        <row r="59">
          <cell r="Y59">
            <v>8.1115749890389974</v>
          </cell>
          <cell r="Z59">
            <v>8.711801630008889</v>
          </cell>
          <cell r="AA59">
            <v>9.29494186475047</v>
          </cell>
        </row>
      </sheetData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048576"/>
  <sheetViews>
    <sheetView tabSelected="1" view="pageBreakPreview" zoomScale="130" zoomScaleNormal="85" zoomScaleSheetLayoutView="130" workbookViewId="0">
      <pane xSplit="1" ySplit="8" topLeftCell="K9" activePane="bottomRight" state="frozen"/>
      <selection pane="topRight" activeCell="Z29" sqref="Z29"/>
      <selection pane="bottomLeft" activeCell="Z29" sqref="Z29"/>
      <selection pane="bottomRight" activeCell="S10" sqref="S10"/>
    </sheetView>
  </sheetViews>
  <sheetFormatPr defaultColWidth="8.85546875" defaultRowHeight="12.75" x14ac:dyDescent="0.2"/>
  <cols>
    <col min="1" max="1" width="53.5703125" style="1" bestFit="1" customWidth="1"/>
    <col min="2" max="16" width="11.7109375" style="1" customWidth="1"/>
    <col min="17" max="17" width="1.28515625" style="1" customWidth="1"/>
    <col min="18" max="19" width="14.42578125" style="1" bestFit="1" customWidth="1"/>
    <col min="20" max="20" width="15.140625" style="1" bestFit="1" customWidth="1"/>
    <col min="21" max="21" width="15.140625" style="1" customWidth="1"/>
    <col min="22" max="16384" width="8.85546875" style="1"/>
  </cols>
  <sheetData>
    <row r="1" spans="1:46" x14ac:dyDescent="0.2">
      <c r="A1" s="1" t="s">
        <v>0</v>
      </c>
    </row>
    <row r="2" spans="1:46" x14ac:dyDescent="0.2">
      <c r="A2" s="1" t="s">
        <v>1</v>
      </c>
    </row>
    <row r="3" spans="1:46" x14ac:dyDescent="0.2">
      <c r="A3" s="17" t="s">
        <v>48</v>
      </c>
    </row>
    <row r="5" spans="1:46" x14ac:dyDescent="0.2">
      <c r="A5" s="1" t="s">
        <v>2</v>
      </c>
    </row>
    <row r="7" spans="1:46" ht="15" customHeight="1" x14ac:dyDescent="0.2">
      <c r="A7" s="4"/>
      <c r="B7" s="5">
        <v>2022</v>
      </c>
      <c r="C7" s="5"/>
      <c r="D7" s="5"/>
      <c r="E7" s="5"/>
      <c r="F7" s="5">
        <v>2023</v>
      </c>
      <c r="G7" s="5"/>
      <c r="H7" s="5"/>
      <c r="I7" s="5"/>
      <c r="J7" s="5">
        <v>2024</v>
      </c>
      <c r="K7" s="5"/>
      <c r="L7" s="5"/>
      <c r="M7" s="5"/>
      <c r="N7" s="5">
        <v>2025</v>
      </c>
      <c r="O7" s="5"/>
      <c r="P7" s="5"/>
      <c r="R7" s="24" t="s">
        <v>49</v>
      </c>
      <c r="S7" s="24"/>
      <c r="T7" s="24"/>
    </row>
    <row r="8" spans="1:46" x14ac:dyDescent="0.2">
      <c r="A8" s="2" t="s">
        <v>3</v>
      </c>
      <c r="B8" s="2" t="s">
        <v>4</v>
      </c>
      <c r="C8" s="2" t="s">
        <v>5</v>
      </c>
      <c r="D8" s="2" t="s">
        <v>6</v>
      </c>
      <c r="E8" s="2" t="s">
        <v>7</v>
      </c>
      <c r="F8" s="2" t="s">
        <v>4</v>
      </c>
      <c r="G8" s="2" t="s">
        <v>5</v>
      </c>
      <c r="H8" s="2" t="s">
        <v>6</v>
      </c>
      <c r="I8" s="2" t="s">
        <v>7</v>
      </c>
      <c r="J8" s="2" t="s">
        <v>4</v>
      </c>
      <c r="K8" s="20" t="s">
        <v>5</v>
      </c>
      <c r="L8" s="20" t="s">
        <v>6</v>
      </c>
      <c r="M8" s="20" t="s">
        <v>7</v>
      </c>
      <c r="N8" s="2" t="s">
        <v>4</v>
      </c>
      <c r="O8" s="20" t="s">
        <v>5</v>
      </c>
      <c r="P8" s="20" t="s">
        <v>6</v>
      </c>
      <c r="R8" s="2">
        <v>2023</v>
      </c>
      <c r="S8" s="2">
        <v>2024</v>
      </c>
      <c r="T8" s="2">
        <v>2025</v>
      </c>
    </row>
    <row r="9" spans="1:46" ht="13.5" customHeight="1" x14ac:dyDescent="0.2"/>
    <row r="10" spans="1:46" x14ac:dyDescent="0.2">
      <c r="A10" s="6" t="s">
        <v>8</v>
      </c>
    </row>
    <row r="11" spans="1:46" x14ac:dyDescent="0.2">
      <c r="A11" s="8" t="s">
        <v>9</v>
      </c>
    </row>
    <row r="12" spans="1:46" x14ac:dyDescent="0.2">
      <c r="A12" s="9" t="s">
        <v>10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46" x14ac:dyDescent="0.2">
      <c r="A13" s="10" t="s">
        <v>11</v>
      </c>
      <c r="B13" s="3">
        <v>101928.35062809815</v>
      </c>
      <c r="C13" s="3">
        <v>108258.94280790923</v>
      </c>
      <c r="D13" s="3">
        <v>100127.17102563092</v>
      </c>
      <c r="E13" s="3">
        <v>114754.16615988311</v>
      </c>
      <c r="F13" s="3">
        <v>101713.86344478281</v>
      </c>
      <c r="G13" s="3">
        <v>107538.80390921778</v>
      </c>
      <c r="H13" s="3">
        <v>107959.56950914217</v>
      </c>
      <c r="I13" s="3">
        <v>119312.07904916872</v>
      </c>
      <c r="J13" s="3">
        <v>108206.54158957444</v>
      </c>
      <c r="K13" s="3">
        <v>112660.21442008761</v>
      </c>
      <c r="L13" s="3">
        <v>108694.51382828638</v>
      </c>
      <c r="M13" s="3">
        <v>125645.13999290581</v>
      </c>
      <c r="N13" s="3">
        <v>112759.42572539853</v>
      </c>
      <c r="O13" s="3">
        <f>[1]Qtr!CY13</f>
        <v>117301.69391252004</v>
      </c>
      <c r="P13" s="3">
        <f>[1]Qtr!CZ13</f>
        <v>113805.36536794432</v>
      </c>
      <c r="Q13" s="21"/>
      <c r="R13" s="23">
        <f>'[1]3Qs'!Y13</f>
        <v>317150.07622873137</v>
      </c>
      <c r="S13" s="23">
        <f>'[1]3Qs'!Z13</f>
        <v>329606.34003614046</v>
      </c>
      <c r="T13" s="23">
        <f>'[1]3Qs'!AA13</f>
        <v>343934.79281711788</v>
      </c>
      <c r="U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</row>
    <row r="14" spans="1:46" x14ac:dyDescent="0.2">
      <c r="A14" s="10" t="s">
        <v>12</v>
      </c>
      <c r="B14" s="3">
        <v>40646.170343835474</v>
      </c>
      <c r="C14" s="3">
        <v>38746.911474691718</v>
      </c>
      <c r="D14" s="3">
        <v>37329.92426074481</v>
      </c>
      <c r="E14" s="3">
        <v>47780.68631574561</v>
      </c>
      <c r="F14" s="3">
        <v>39611.816967481907</v>
      </c>
      <c r="G14" s="3">
        <v>36965.178063823994</v>
      </c>
      <c r="H14" s="3">
        <v>38913.155913121984</v>
      </c>
      <c r="I14" s="3">
        <v>45503.408134622689</v>
      </c>
      <c r="J14" s="3">
        <v>44200.520460258893</v>
      </c>
      <c r="K14" s="3">
        <v>40022.436052004632</v>
      </c>
      <c r="L14" s="3">
        <v>40629.395806632368</v>
      </c>
      <c r="M14" s="3">
        <v>51056.279665194656</v>
      </c>
      <c r="N14" s="3">
        <v>46062.685811079034</v>
      </c>
      <c r="O14" s="3">
        <f>[1]Qtr!CY14</f>
        <v>41994.02207358936</v>
      </c>
      <c r="P14" s="3">
        <f>[1]Qtr!CZ14</f>
        <v>42334.351733479962</v>
      </c>
      <c r="Q14" s="21"/>
      <c r="R14" s="23">
        <f>'[1]3Qs'!Y14</f>
        <v>115454.75202317171</v>
      </c>
      <c r="S14" s="23">
        <f>'[1]3Qs'!Z14</f>
        <v>124866.20938788775</v>
      </c>
      <c r="T14" s="23">
        <f>'[1]3Qs'!AA14</f>
        <v>130345.47706651481</v>
      </c>
      <c r="U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</row>
    <row r="15" spans="1:46" x14ac:dyDescent="0.2">
      <c r="A15" s="10" t="s">
        <v>13</v>
      </c>
      <c r="B15" s="3">
        <v>171679.22750735926</v>
      </c>
      <c r="C15" s="3">
        <v>175281.56206380422</v>
      </c>
      <c r="D15" s="3">
        <v>150090.24843294747</v>
      </c>
      <c r="E15" s="3">
        <v>195962.5536748399</v>
      </c>
      <c r="F15" s="3">
        <v>179858.19867779623</v>
      </c>
      <c r="G15" s="3">
        <v>185348.5496016191</v>
      </c>
      <c r="H15" s="3">
        <v>156886.68650204767</v>
      </c>
      <c r="I15" s="3">
        <v>205086.33281196895</v>
      </c>
      <c r="J15" s="3">
        <v>176704.70455132306</v>
      </c>
      <c r="K15" s="3">
        <v>177511.93936417319</v>
      </c>
      <c r="L15" s="3">
        <v>165176.47836573626</v>
      </c>
      <c r="M15" s="3">
        <v>206274.74320074939</v>
      </c>
      <c r="N15" s="3">
        <v>187022.98613259595</v>
      </c>
      <c r="O15" s="3">
        <f>[1]Qtr!CY15</f>
        <v>196984.39542271438</v>
      </c>
      <c r="P15" s="3">
        <f>[1]Qtr!CZ15</f>
        <v>161844.70958316079</v>
      </c>
      <c r="Q15" s="21"/>
      <c r="R15" s="23">
        <f>'[1]3Qs'!Y15</f>
        <v>521455.58584119327</v>
      </c>
      <c r="S15" s="23">
        <f>'[1]3Qs'!Z15</f>
        <v>519865.48229698808</v>
      </c>
      <c r="T15" s="23">
        <f>'[1]3Qs'!AA15</f>
        <v>545477.59715592954</v>
      </c>
      <c r="U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</row>
    <row r="16" spans="1:46" x14ac:dyDescent="0.2">
      <c r="A16" s="10" t="s">
        <v>14</v>
      </c>
      <c r="B16" s="3">
        <v>105050.79302675347</v>
      </c>
      <c r="C16" s="3">
        <v>114465.15069531553</v>
      </c>
      <c r="D16" s="3">
        <v>109263.26519751314</v>
      </c>
      <c r="E16" s="3">
        <v>115885.53207356905</v>
      </c>
      <c r="F16" s="3">
        <v>103743.93609003042</v>
      </c>
      <c r="G16" s="3">
        <v>112609.76812055559</v>
      </c>
      <c r="H16" s="3">
        <v>119065.32879489547</v>
      </c>
      <c r="I16" s="3">
        <v>123785.45504607089</v>
      </c>
      <c r="J16" s="3">
        <v>109846.66828779364</v>
      </c>
      <c r="K16" s="3">
        <v>117009.70094581252</v>
      </c>
      <c r="L16" s="3">
        <v>114717.58845700079</v>
      </c>
      <c r="M16" s="3">
        <v>127275.75028251327</v>
      </c>
      <c r="N16" s="3">
        <v>113407.85245504465</v>
      </c>
      <c r="O16" s="3">
        <f>[1]Qtr!CY16</f>
        <v>120248.75615382899</v>
      </c>
      <c r="P16" s="3">
        <f>[1]Qtr!CZ16</f>
        <v>122762.69015557204</v>
      </c>
      <c r="Q16" s="21"/>
      <c r="R16" s="23">
        <f>'[1]3Qs'!Y16</f>
        <v>335102.72990039532</v>
      </c>
      <c r="S16" s="23">
        <f>'[1]3Qs'!Z16</f>
        <v>341652.06158938154</v>
      </c>
      <c r="T16" s="23">
        <f>'[1]3Qs'!AA16</f>
        <v>356460.92311433476</v>
      </c>
      <c r="U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</row>
    <row r="17" spans="1:43" x14ac:dyDescent="0.2">
      <c r="A17" s="9" t="s">
        <v>15</v>
      </c>
      <c r="B17" s="3"/>
      <c r="C17" s="3"/>
      <c r="D17" s="3"/>
      <c r="E17" s="3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21"/>
      <c r="R17" s="21"/>
      <c r="S17" s="21"/>
      <c r="T17" s="21"/>
      <c r="U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</row>
    <row r="18" spans="1:43" x14ac:dyDescent="0.2">
      <c r="A18" s="10" t="s">
        <v>11</v>
      </c>
      <c r="B18" s="18">
        <v>3.3050101372822382</v>
      </c>
      <c r="C18" s="18">
        <v>3.4442150471922304</v>
      </c>
      <c r="D18" s="18">
        <v>-2.363929730849776</v>
      </c>
      <c r="E18" s="18">
        <v>-0.36657902024418831</v>
      </c>
      <c r="F18" s="18">
        <v>-0.21042936728950679</v>
      </c>
      <c r="G18" s="18">
        <v>-0.66520037976837898</v>
      </c>
      <c r="H18" s="18">
        <v>7.8224505928628361</v>
      </c>
      <c r="I18" s="18">
        <v>3.9718931711248047</v>
      </c>
      <c r="J18" s="18">
        <v>6.3832774853904652</v>
      </c>
      <c r="K18" s="18">
        <v>4.7623837393553572</v>
      </c>
      <c r="L18" s="18">
        <v>0.68075884563616285</v>
      </c>
      <c r="M18" s="18">
        <v>5.3079797068385801</v>
      </c>
      <c r="N18" s="18">
        <v>4.2075867770482063</v>
      </c>
      <c r="O18" s="18">
        <f>[1]Qtr!CY18</f>
        <v>4.1198922941201488</v>
      </c>
      <c r="P18" s="18">
        <f>[1]Qtr!CZ18</f>
        <v>4.7020326598377977</v>
      </c>
      <c r="Q18" s="21"/>
      <c r="R18" s="18">
        <f>'[1]3Qs'!Y18</f>
        <v>2.2291775361778576</v>
      </c>
      <c r="S18" s="18">
        <f>'[1]3Qs'!Z18</f>
        <v>3.9275613474629978</v>
      </c>
      <c r="T18" s="18">
        <f>'[1]3Qs'!AA18</f>
        <v>4.3471411318745794</v>
      </c>
      <c r="U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</row>
    <row r="19" spans="1:43" x14ac:dyDescent="0.2">
      <c r="A19" s="10" t="s">
        <v>12</v>
      </c>
      <c r="B19" s="18">
        <v>-1.7509723790120972</v>
      </c>
      <c r="C19" s="18">
        <v>-0.23474376906504801</v>
      </c>
      <c r="D19" s="18">
        <v>-4.6275475360592822</v>
      </c>
      <c r="E19" s="18">
        <v>2.0050450381583289</v>
      </c>
      <c r="F19" s="18">
        <v>-2.5447744956135523</v>
      </c>
      <c r="G19" s="18">
        <v>-4.5983882148426147</v>
      </c>
      <c r="H19" s="18">
        <v>4.2411863504423479</v>
      </c>
      <c r="I19" s="18">
        <v>-4.7661060497836871</v>
      </c>
      <c r="J19" s="18">
        <v>11.584178268176743</v>
      </c>
      <c r="K19" s="18">
        <v>8.2706432061600879</v>
      </c>
      <c r="L19" s="18">
        <v>4.4104361448916762</v>
      </c>
      <c r="M19" s="18">
        <v>12.203199184869163</v>
      </c>
      <c r="N19" s="18">
        <v>4.2129941716284378</v>
      </c>
      <c r="O19" s="18">
        <f>[1]Qtr!CY19</f>
        <v>4.9262019408885465</v>
      </c>
      <c r="P19" s="18">
        <f>[1]Qtr!CZ19</f>
        <v>4.1963605241928832</v>
      </c>
      <c r="Q19" s="21"/>
      <c r="R19" s="18">
        <f>'[1]3Qs'!Y19</f>
        <v>-1.0619560674220594</v>
      </c>
      <c r="S19" s="18">
        <f>'[1]3Qs'!Z19</f>
        <v>8.1516414004571942</v>
      </c>
      <c r="T19" s="18">
        <f>'[1]3Qs'!AA19</f>
        <v>4.3881108471917543</v>
      </c>
      <c r="U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</row>
    <row r="20" spans="1:43" x14ac:dyDescent="0.2">
      <c r="A20" s="10" t="s">
        <v>13</v>
      </c>
      <c r="B20" s="18">
        <v>7.3049758313413093</v>
      </c>
      <c r="C20" s="18">
        <v>-1.0334567154272776</v>
      </c>
      <c r="D20" s="18">
        <v>2.5995043209568394</v>
      </c>
      <c r="E20" s="18">
        <v>-3.7226677847628622</v>
      </c>
      <c r="F20" s="18">
        <v>4.7641006365119836</v>
      </c>
      <c r="G20" s="18">
        <v>5.7433237240037869</v>
      </c>
      <c r="H20" s="18">
        <v>4.5282342724194393</v>
      </c>
      <c r="I20" s="18">
        <v>4.6558788738118437</v>
      </c>
      <c r="J20" s="18">
        <v>-1.753322422695021</v>
      </c>
      <c r="K20" s="18">
        <v>-4.2280396875452197</v>
      </c>
      <c r="L20" s="18">
        <v>5.2839358447285463</v>
      </c>
      <c r="M20" s="18">
        <v>0.57946834998021757</v>
      </c>
      <c r="N20" s="18">
        <v>5.8392794959660961</v>
      </c>
      <c r="O20" s="18">
        <f>[1]Qtr!CY20</f>
        <v>10.96965991599734</v>
      </c>
      <c r="P20" s="18">
        <f>[1]Qtr!CZ20</f>
        <v>-2.017096390200436</v>
      </c>
      <c r="Q20" s="21"/>
      <c r="R20" s="18">
        <f>'[1]3Qs'!Y20</f>
        <v>4.9194782464596472</v>
      </c>
      <c r="S20" s="18">
        <f>'[1]3Qs'!Z20</f>
        <v>-0.30493556639920882</v>
      </c>
      <c r="T20" s="18">
        <f>'[1]3Qs'!AA20</f>
        <v>4.9266811764028233</v>
      </c>
      <c r="U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</row>
    <row r="21" spans="1:43" x14ac:dyDescent="0.2">
      <c r="A21" s="10" t="s">
        <v>14</v>
      </c>
      <c r="B21" s="18">
        <v>1.9002167731619295</v>
      </c>
      <c r="C21" s="18">
        <v>4.7316490717714572</v>
      </c>
      <c r="D21" s="18">
        <v>-4.1562448715826434</v>
      </c>
      <c r="E21" s="18">
        <v>-1.4791302659303227</v>
      </c>
      <c r="F21" s="18">
        <v>-1.2440238660456799</v>
      </c>
      <c r="G21" s="18">
        <v>-1.620914805501485</v>
      </c>
      <c r="H21" s="18">
        <v>8.9710513223848096</v>
      </c>
      <c r="I21" s="18">
        <v>6.8170053941562117</v>
      </c>
      <c r="J21" s="18">
        <v>5.8824953320328888</v>
      </c>
      <c r="K21" s="18">
        <v>3.9072390421286798</v>
      </c>
      <c r="L21" s="18">
        <v>-3.6515586711091856</v>
      </c>
      <c r="M21" s="18">
        <v>2.8196327550303408</v>
      </c>
      <c r="N21" s="18">
        <v>3.2419591989088445</v>
      </c>
      <c r="O21" s="18">
        <f>[1]Qtr!CY21</f>
        <v>2.768193732514959</v>
      </c>
      <c r="P21" s="18">
        <f>[1]Qtr!CZ21</f>
        <v>7.0129627084924095</v>
      </c>
      <c r="Q21" s="21"/>
      <c r="R21" s="18">
        <f>'[1]3Qs'!Y21</f>
        <v>1.9116440216982937</v>
      </c>
      <c r="S21" s="18">
        <f>'[1]3Qs'!Z21</f>
        <v>1.9544250477854632</v>
      </c>
      <c r="T21" s="18">
        <f>'[1]3Qs'!AA21</f>
        <v>4.3344862185410733</v>
      </c>
      <c r="U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</row>
    <row r="22" spans="1:43" x14ac:dyDescent="0.2">
      <c r="A22" s="8" t="s">
        <v>16</v>
      </c>
      <c r="B22" s="18">
        <v>190.9294201935254</v>
      </c>
      <c r="C22" s="18">
        <v>207.79837502952512</v>
      </c>
      <c r="D22" s="18">
        <v>191.66069185726616</v>
      </c>
      <c r="E22" s="18">
        <v>220.93125621635477</v>
      </c>
      <c r="F22" s="18">
        <v>197.23736639933369</v>
      </c>
      <c r="G22" s="18">
        <v>213.50408272872485</v>
      </c>
      <c r="H22" s="18">
        <v>201.2346900825174</v>
      </c>
      <c r="I22" s="18">
        <v>225.59428347347639</v>
      </c>
      <c r="J22" s="18">
        <v>203.18594882522515</v>
      </c>
      <c r="K22" s="18">
        <v>213.05539774001014</v>
      </c>
      <c r="L22" s="18">
        <v>205.43283656829789</v>
      </c>
      <c r="M22" s="18">
        <v>235.67831961874683</v>
      </c>
      <c r="N22" s="18">
        <v>212.20829815718571</v>
      </c>
      <c r="O22" s="18">
        <f>[1]Qtr!CY22</f>
        <v>225.31731040552691</v>
      </c>
      <c r="P22" s="18">
        <f>[1]Qtr!CZ22</f>
        <v>212.50092341043106</v>
      </c>
      <c r="Q22" s="21"/>
      <c r="R22" s="18">
        <f>'[1]3Qs'!Y22</f>
        <v>203.99204640352534</v>
      </c>
      <c r="S22" s="18">
        <f>'[1]3Qs'!Z22</f>
        <v>213.44435209490621</v>
      </c>
      <c r="T22" s="18">
        <f>'[1]3Qs'!AA22</f>
        <v>210.00497412707298</v>
      </c>
      <c r="U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</row>
    <row r="23" spans="1:43" ht="25.5" x14ac:dyDescent="0.2">
      <c r="A23" s="11" t="s">
        <v>17</v>
      </c>
      <c r="B23" s="3"/>
      <c r="C23" s="3"/>
      <c r="D23" s="3"/>
      <c r="E23" s="3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21"/>
      <c r="R23" s="21"/>
      <c r="S23" s="21"/>
      <c r="T23" s="21"/>
      <c r="U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</row>
    <row r="24" spans="1:43" x14ac:dyDescent="0.2">
      <c r="A24" s="10" t="s">
        <v>12</v>
      </c>
      <c r="B24" s="18">
        <v>1.8128081429223293E-2</v>
      </c>
      <c r="C24" s="18">
        <v>1.9235098275212831E-2</v>
      </c>
      <c r="D24" s="18">
        <v>0.18373572287758869</v>
      </c>
      <c r="E24" s="18">
        <v>-2.9505898870060027E-2</v>
      </c>
      <c r="F24" s="18">
        <v>0.20402217009880366</v>
      </c>
      <c r="G24" s="18">
        <v>1.5460509954791958E-2</v>
      </c>
      <c r="H24" s="18">
        <v>7.8711398241941857E-2</v>
      </c>
      <c r="I24" s="18">
        <v>0.1150049287483763</v>
      </c>
      <c r="J24" s="18">
        <v>4.0837657081010281E-2</v>
      </c>
      <c r="K24" s="18">
        <v>-0.16807308004109389</v>
      </c>
      <c r="L24" s="18">
        <v>-0.19499363431113695</v>
      </c>
      <c r="M24" s="18">
        <v>-0.1294754831231778</v>
      </c>
      <c r="N24" s="18">
        <v>0.17086361149411602</v>
      </c>
      <c r="O24" s="18">
        <f>[1]Qtr!CY24</f>
        <v>0.46099307954295343</v>
      </c>
      <c r="P24" s="18">
        <f>[1]Qtr!CZ24</f>
        <v>0.18783533394078056</v>
      </c>
      <c r="Q24" s="21"/>
      <c r="R24" s="18">
        <f>'[1]3Qs'!Y24</f>
        <v>9.6806184955327765E-2</v>
      </c>
      <c r="S24" s="18">
        <f>'[1]3Qs'!Z24</f>
        <v>-0.11062569068222924</v>
      </c>
      <c r="T24" s="18">
        <f>'[1]3Qs'!AA24</f>
        <v>0.27551513672130518</v>
      </c>
      <c r="U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</row>
    <row r="25" spans="1:43" x14ac:dyDescent="0.2">
      <c r="A25" s="10" t="s">
        <v>13</v>
      </c>
      <c r="B25" s="18">
        <v>2.9360942640825942</v>
      </c>
      <c r="C25" s="18">
        <v>1.876163594059445</v>
      </c>
      <c r="D25" s="18">
        <v>1.5281265747793518</v>
      </c>
      <c r="E25" s="18">
        <v>1.3566972193944695</v>
      </c>
      <c r="F25" s="18">
        <v>1.2100701126584081</v>
      </c>
      <c r="G25" s="18">
        <v>0.56201238523728103</v>
      </c>
      <c r="H25" s="18">
        <v>1.4110482739941836</v>
      </c>
      <c r="I25" s="18">
        <v>0.92867550641354046</v>
      </c>
      <c r="J25" s="18">
        <v>1.4315119749786425</v>
      </c>
      <c r="K25" s="18">
        <v>2.1614385192235881</v>
      </c>
      <c r="L25" s="18">
        <v>1.2027143071139121</v>
      </c>
      <c r="M25" s="18">
        <v>1.1878461691482249</v>
      </c>
      <c r="N25" s="18">
        <v>1.2145186361288638</v>
      </c>
      <c r="O25" s="18">
        <f>[1]Qtr!CY25</f>
        <v>0.57447453952453242</v>
      </c>
      <c r="P25" s="18">
        <f>[1]Qtr!CZ25</f>
        <v>0.16586312477057696</v>
      </c>
      <c r="Q25" s="21"/>
      <c r="R25" s="18">
        <f>'[1]3Qs'!Y25</f>
        <v>1.0525725905630603</v>
      </c>
      <c r="S25" s="18">
        <f>'[1]3Qs'!Z25</f>
        <v>1.6030330702936164</v>
      </c>
      <c r="T25" s="18">
        <f>'[1]3Qs'!AA25</f>
        <v>0.64454866385466758</v>
      </c>
      <c r="U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</row>
    <row r="26" spans="1:43" x14ac:dyDescent="0.2">
      <c r="A26" s="10" t="s">
        <v>14</v>
      </c>
      <c r="B26" s="18">
        <v>4.9123029744949873</v>
      </c>
      <c r="C26" s="18">
        <v>5.3812264596231678</v>
      </c>
      <c r="D26" s="18">
        <v>5.73718816509541</v>
      </c>
      <c r="E26" s="18">
        <v>5.5106388001266717</v>
      </c>
      <c r="F26" s="18">
        <v>4.7020269716866583</v>
      </c>
      <c r="G26" s="18">
        <v>3.4712028135412396</v>
      </c>
      <c r="H26" s="18">
        <v>4.1215994076491649</v>
      </c>
      <c r="I26" s="18">
        <v>4.1592027877167155</v>
      </c>
      <c r="J26" s="18">
        <v>3.9558523301488804</v>
      </c>
      <c r="K26" s="18">
        <v>3.8999569760562722</v>
      </c>
      <c r="L26" s="18">
        <v>3.6630807546998208</v>
      </c>
      <c r="M26" s="18">
        <v>3.6320013967057565</v>
      </c>
      <c r="N26" s="18">
        <v>3.3993745254689327</v>
      </c>
      <c r="O26" s="18">
        <f>[1]Qtr!CY26</f>
        <v>3.9008201251027743</v>
      </c>
      <c r="P26" s="18">
        <f>[1]Qtr!CZ26</f>
        <v>3.1611416395517429</v>
      </c>
      <c r="Q26" s="21"/>
      <c r="R26" s="18">
        <f>'[1]3Qs'!Y26</f>
        <v>4.0815225638699353</v>
      </c>
      <c r="S26" s="18">
        <f>'[1]3Qs'!Z26</f>
        <v>3.8372951426598654</v>
      </c>
      <c r="T26" s="18">
        <f>'[1]3Qs'!AA26</f>
        <v>3.4905231986425278</v>
      </c>
      <c r="U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</row>
    <row r="27" spans="1:43" x14ac:dyDescent="0.2">
      <c r="A27" s="10" t="s">
        <v>18</v>
      </c>
      <c r="B27" s="18">
        <v>2.5931772978047909</v>
      </c>
      <c r="C27" s="18">
        <v>2.133653758470587</v>
      </c>
      <c r="D27" s="18">
        <v>3.0772010757312813</v>
      </c>
      <c r="E27" s="18">
        <v>2.4702078012441349</v>
      </c>
      <c r="F27" s="18">
        <v>3.8075479675345925</v>
      </c>
      <c r="G27" s="18">
        <v>4.4457327809648719</v>
      </c>
      <c r="H27" s="18">
        <v>6.4041993887227369</v>
      </c>
      <c r="I27" s="18">
        <v>5.8952226211821106</v>
      </c>
      <c r="J27" s="18">
        <v>4.4476143459929141</v>
      </c>
      <c r="K27" s="18">
        <v>2.2277961190987514</v>
      </c>
      <c r="L27" s="18">
        <v>2.1686370875916778</v>
      </c>
      <c r="M27" s="18">
        <v>1.576887235010076</v>
      </c>
      <c r="N27" s="18">
        <v>2.4307279018674306</v>
      </c>
      <c r="O27" s="18">
        <f>[1]Qtr!CY27</f>
        <v>3.0435512698072813</v>
      </c>
      <c r="P27" s="18">
        <f>[1]Qtr!CZ27</f>
        <v>2.0584743357719413</v>
      </c>
      <c r="Q27" s="21"/>
      <c r="R27" s="18">
        <f>'[1]3Qs'!Y27</f>
        <v>4.8961009972748206</v>
      </c>
      <c r="S27" s="18">
        <f>'[1]3Qs'!Z27</f>
        <v>2.9153001657321402</v>
      </c>
      <c r="T27" s="18">
        <f>'[1]3Qs'!AA27</f>
        <v>2.5149237350591802</v>
      </c>
      <c r="U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</row>
    <row r="28" spans="1:43" x14ac:dyDescent="0.2">
      <c r="A28" s="10" t="s">
        <v>19</v>
      </c>
      <c r="B28" s="18">
        <v>10.459702617811596</v>
      </c>
      <c r="C28" s="18">
        <v>9.4102789104284117</v>
      </c>
      <c r="D28" s="18">
        <v>10.526251538483631</v>
      </c>
      <c r="E28" s="18">
        <v>9.3080379218952167</v>
      </c>
      <c r="F28" s="18">
        <v>9.9236672219784623</v>
      </c>
      <c r="G28" s="18">
        <v>8.4944084896981842</v>
      </c>
      <c r="H28" s="18">
        <v>12.015558468608027</v>
      </c>
      <c r="I28" s="18">
        <v>11.098105844060743</v>
      </c>
      <c r="J28" s="18">
        <v>9.875816308201447</v>
      </c>
      <c r="K28" s="18">
        <v>8.1211185343375174</v>
      </c>
      <c r="L28" s="18">
        <v>6.8394385150942743</v>
      </c>
      <c r="M28" s="18">
        <v>6.26725931774088</v>
      </c>
      <c r="N28" s="18">
        <v>7.2154846749593426</v>
      </c>
      <c r="O28" s="18">
        <f>[1]Qtr!CY28</f>
        <v>7.979839013977541</v>
      </c>
      <c r="P28" s="18">
        <f>[1]Qtr!CZ28</f>
        <v>5.5733144340350416</v>
      </c>
      <c r="Q28" s="21"/>
      <c r="R28" s="18">
        <f>'[1]3Qs'!Y28</f>
        <v>10.127002336663143</v>
      </c>
      <c r="S28" s="18">
        <f>'[1]3Qs'!Z28</f>
        <v>8.2450026880033924</v>
      </c>
      <c r="T28" s="18">
        <f>'[1]3Qs'!AA28</f>
        <v>6.9255107342776805</v>
      </c>
      <c r="U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</row>
    <row r="29" spans="1:43" x14ac:dyDescent="0.2">
      <c r="A29" s="12" t="s">
        <v>20</v>
      </c>
      <c r="B29" s="18">
        <v>92.490912789460396</v>
      </c>
      <c r="C29" s="18">
        <v>85.531632812963593</v>
      </c>
      <c r="D29" s="18">
        <v>82.142069134595403</v>
      </c>
      <c r="E29" s="18">
        <v>99.132088897106343</v>
      </c>
      <c r="F29" s="18">
        <v>92.248016892548975</v>
      </c>
      <c r="G29" s="18">
        <v>88.325403882842508</v>
      </c>
      <c r="H29" s="18">
        <v>84.681964087684179</v>
      </c>
      <c r="I29" s="18">
        <v>97.554822821024118</v>
      </c>
      <c r="J29" s="18">
        <v>93.496617529505116</v>
      </c>
      <c r="K29" s="18">
        <v>86.79400567915215</v>
      </c>
      <c r="L29" s="18">
        <v>84.421315744687575</v>
      </c>
      <c r="M29" s="18">
        <v>95.320849078857222</v>
      </c>
      <c r="N29" s="18">
        <v>92.24881852821629</v>
      </c>
      <c r="O29" s="18">
        <f>[1]Qtr!CY29</f>
        <v>88.163033544188224</v>
      </c>
      <c r="P29" s="18">
        <f>[1]Qtr!CZ29</f>
        <v>84.579918773240465</v>
      </c>
      <c r="Q29" s="21"/>
      <c r="R29" s="18">
        <f>'[1]3Qs'!Y29</f>
        <v>88.3088674605861</v>
      </c>
      <c r="S29" s="18">
        <f>'[1]3Qs'!Z29</f>
        <v>88.052934793496163</v>
      </c>
      <c r="T29" s="18">
        <f>'[1]3Qs'!AA29</f>
        <v>88.289380173097697</v>
      </c>
      <c r="U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</row>
    <row r="30" spans="1:43" x14ac:dyDescent="0.2">
      <c r="A30" s="13" t="s">
        <v>21</v>
      </c>
      <c r="B30" s="3">
        <v>-127356.38528820733</v>
      </c>
      <c r="C30" s="3">
        <v>-263561.79925214592</v>
      </c>
      <c r="D30" s="3">
        <v>-351654.10778705613</v>
      </c>
      <c r="E30" s="3">
        <v>-14699.284633515403</v>
      </c>
      <c r="F30" s="3">
        <v>-135372.08138445567</v>
      </c>
      <c r="G30" s="3">
        <v>-212764.22885397961</v>
      </c>
      <c r="H30" s="3">
        <v>-298335.16271563771</v>
      </c>
      <c r="I30" s="3">
        <v>-41779.527647670708</v>
      </c>
      <c r="J30" s="3">
        <v>-118056.95491367287</v>
      </c>
      <c r="K30" s="3">
        <v>-254094.8145197907</v>
      </c>
      <c r="L30" s="3">
        <v>-313105.92326775298</v>
      </c>
      <c r="M30" s="3">
        <v>-83215.579564533546</v>
      </c>
      <c r="N30" s="3">
        <v>-154290.59240803216</v>
      </c>
      <c r="O30" s="3">
        <f>[1]Qtr!CY30</f>
        <v>-235111.27521004539</v>
      </c>
      <c r="P30" s="3">
        <f>[1]Qtr!CZ30</f>
        <v>-323473.0344250187</v>
      </c>
      <c r="Q30" s="21"/>
      <c r="R30" s="3">
        <f>'[1]3Qs'!Y30</f>
        <v>-646471.47295407299</v>
      </c>
      <c r="S30" s="3">
        <f>'[1]3Qs'!Z30</f>
        <v>-685257.69270121655</v>
      </c>
      <c r="T30" s="3">
        <f>'[1]3Qs'!AA30</f>
        <v>-712874.90204309626</v>
      </c>
      <c r="U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</row>
    <row r="31" spans="1:43" x14ac:dyDescent="0.2">
      <c r="A31" s="6" t="s">
        <v>22</v>
      </c>
      <c r="B31" s="3"/>
      <c r="C31" s="3"/>
      <c r="D31" s="3"/>
      <c r="E31" s="3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21"/>
      <c r="R31" s="21"/>
      <c r="S31" s="21"/>
      <c r="T31" s="21"/>
      <c r="U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</row>
    <row r="32" spans="1:43" x14ac:dyDescent="0.2">
      <c r="A32" s="8" t="s">
        <v>23</v>
      </c>
      <c r="B32" s="3"/>
      <c r="C32" s="3"/>
      <c r="D32" s="3"/>
      <c r="E32" s="3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21"/>
      <c r="R32" s="21"/>
      <c r="S32" s="21"/>
      <c r="T32" s="21"/>
      <c r="U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</row>
    <row r="33" spans="1:43" x14ac:dyDescent="0.2">
      <c r="A33" s="9" t="s">
        <v>24</v>
      </c>
      <c r="B33" s="3">
        <v>-743622.07419007877</v>
      </c>
      <c r="C33" s="3">
        <v>-1027764.4838740246</v>
      </c>
      <c r="D33" s="3">
        <v>-1046698.4686534912</v>
      </c>
      <c r="E33" s="3">
        <v>-630415.31436053803</v>
      </c>
      <c r="F33" s="3">
        <v>-878894.61060315138</v>
      </c>
      <c r="G33" s="3">
        <v>-908399.70929826843</v>
      </c>
      <c r="H33" s="3">
        <v>-894409.09323787177</v>
      </c>
      <c r="I33" s="3">
        <v>-757759.03450748045</v>
      </c>
      <c r="J33" s="3">
        <v>-782188.5945309056</v>
      </c>
      <c r="K33" s="3">
        <v>-1052506.2212119149</v>
      </c>
      <c r="L33" s="3">
        <v>-1114483.9014548608</v>
      </c>
      <c r="M33" s="3">
        <v>-842857.83248886396</v>
      </c>
      <c r="N33" s="3">
        <v>-979491.25141764199</v>
      </c>
      <c r="O33" s="3">
        <f>[1]Qtr!CY33</f>
        <v>-1021730.0670920163</v>
      </c>
      <c r="P33" s="3">
        <f>[1]Qtr!CZ33</f>
        <v>-1074737.0630633582</v>
      </c>
      <c r="Q33" s="21"/>
      <c r="R33" s="3">
        <f>'[1]3Qs'!Y33</f>
        <v>-2681703.4131392911</v>
      </c>
      <c r="S33" s="3">
        <f>'[1]3Qs'!Z33</f>
        <v>-2949178.7171976808</v>
      </c>
      <c r="T33" s="3">
        <f>'[1]3Qs'!AA33</f>
        <v>-3075958.3815730177</v>
      </c>
      <c r="U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</row>
    <row r="34" spans="1:43" x14ac:dyDescent="0.2">
      <c r="A34" s="9" t="s">
        <v>25</v>
      </c>
      <c r="B34" s="18">
        <v>-15.087291397359865</v>
      </c>
      <c r="C34" s="18">
        <v>-19.039360907894547</v>
      </c>
      <c r="D34" s="18">
        <v>-19.937319345650582</v>
      </c>
      <c r="E34" s="18">
        <v>-9.7717161079205503</v>
      </c>
      <c r="F34" s="18">
        <v>-15.65274226777254</v>
      </c>
      <c r="G34" s="18">
        <v>-15.430500004658265</v>
      </c>
      <c r="H34" s="18">
        <v>-15.524903984095475</v>
      </c>
      <c r="I34" s="18">
        <v>-10.747680875328768</v>
      </c>
      <c r="J34" s="18">
        <v>-12.782663058305499</v>
      </c>
      <c r="K34" s="18">
        <v>-16.205433722388115</v>
      </c>
      <c r="L34" s="18">
        <v>-17.818567768088851</v>
      </c>
      <c r="M34" s="18">
        <v>-11.122668347633942</v>
      </c>
      <c r="N34" s="18">
        <v>-14.881165699276394</v>
      </c>
      <c r="O34" s="18">
        <f>[1]Qtr!CY34</f>
        <v>-14.668995913750571</v>
      </c>
      <c r="P34" s="18">
        <f>[1]Qtr!CZ34</f>
        <v>-16.388237021659915</v>
      </c>
      <c r="Q34" s="21"/>
      <c r="R34" s="18">
        <f>'[1]3Qs'!Y35</f>
        <v>-15.534290835422407</v>
      </c>
      <c r="S34" s="18">
        <f>'[1]3Qs'!Z35</f>
        <v>-15.630144717886713</v>
      </c>
      <c r="T34" s="18">
        <f>'[1]3Qs'!AA35</f>
        <v>-15.299240965804966</v>
      </c>
      <c r="U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</row>
    <row r="35" spans="1:43" x14ac:dyDescent="0.2">
      <c r="A35" s="14" t="s">
        <v>26</v>
      </c>
      <c r="B35" s="3">
        <v>-1119317.3251318838</v>
      </c>
      <c r="C35" s="3">
        <v>-1429534.2215177214</v>
      </c>
      <c r="D35" s="3">
        <v>-1291619.8938035266</v>
      </c>
      <c r="E35" s="3">
        <v>-785129.43594630039</v>
      </c>
      <c r="F35" s="3">
        <v>-1321131.7480599163</v>
      </c>
      <c r="G35" s="3">
        <v>-1284425.8609355683</v>
      </c>
      <c r="H35" s="3">
        <v>-1117625.9174920935</v>
      </c>
      <c r="I35" s="3">
        <v>-888270.52605212294</v>
      </c>
      <c r="J35" s="3">
        <v>-1201465.9405304971</v>
      </c>
      <c r="K35" s="3">
        <v>-1422480.6272256647</v>
      </c>
      <c r="L35" s="3">
        <v>-1297338.2675252645</v>
      </c>
      <c r="M35" s="3">
        <v>-1032655.1379713712</v>
      </c>
      <c r="N35" s="3">
        <v>-1397788.7057005772</v>
      </c>
      <c r="O35" s="3">
        <f>[1]Qtr!CY35</f>
        <v>-1335996.3863735721</v>
      </c>
      <c r="P35" s="3">
        <f>[1]Qtr!CZ35</f>
        <v>-1229423.8321411789</v>
      </c>
      <c r="Q35" s="21"/>
      <c r="R35" s="18">
        <f>'[1]3Qs'!Y36</f>
        <v>-3723183.5264875777</v>
      </c>
      <c r="S35" s="18">
        <f>'[1]3Qs'!Z36</f>
        <v>-3921284.8352814266</v>
      </c>
      <c r="T35" s="18">
        <f>'[1]3Qs'!AA36</f>
        <v>-3963208.9242153279</v>
      </c>
      <c r="U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</row>
    <row r="36" spans="1:43" x14ac:dyDescent="0.2">
      <c r="A36" s="13" t="s">
        <v>27</v>
      </c>
      <c r="B36" s="18">
        <v>74.33861370816966</v>
      </c>
      <c r="C36" s="18">
        <v>71.118804818427961</v>
      </c>
      <c r="D36" s="18">
        <v>83.373269811719055</v>
      </c>
      <c r="E36" s="18">
        <v>63.162634950932286</v>
      </c>
      <c r="F36" s="18">
        <v>71.073714593250912</v>
      </c>
      <c r="G36" s="18">
        <v>67.031422362347087</v>
      </c>
      <c r="H36" s="18">
        <v>75.937850587660137</v>
      </c>
      <c r="I36" s="18">
        <v>57.874354664152762</v>
      </c>
      <c r="J36" s="18">
        <v>68.380316273242642</v>
      </c>
      <c r="K36" s="18">
        <v>66.150002529707777</v>
      </c>
      <c r="L36" s="18">
        <v>73.664346286870924</v>
      </c>
      <c r="M36" s="18">
        <v>57.223601376947578</v>
      </c>
      <c r="N36" s="18">
        <v>71.670629126753624</v>
      </c>
      <c r="O36" s="18">
        <f>[1]Qtr!CY36</f>
        <v>63.257404794161133</v>
      </c>
      <c r="P36" s="18">
        <f>[1]Qtr!CZ36</f>
        <v>74.019815579063646</v>
      </c>
      <c r="Q36" s="21"/>
      <c r="R36" s="18">
        <f>'[1]3Qs'!Y37</f>
        <v>71.318499902342879</v>
      </c>
      <c r="S36" s="18">
        <f>'[1]3Qs'!Z37</f>
        <v>69.364188462103442</v>
      </c>
      <c r="T36" s="18">
        <f>'[1]3Qs'!AA37</f>
        <v>69.522231899973647</v>
      </c>
      <c r="U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</row>
    <row r="37" spans="1:43" x14ac:dyDescent="0.2">
      <c r="A37" s="6" t="s">
        <v>28</v>
      </c>
      <c r="B37" s="3"/>
      <c r="C37" s="3"/>
      <c r="D37" s="3"/>
      <c r="E37" s="3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21"/>
      <c r="R37" s="18"/>
      <c r="S37" s="18"/>
      <c r="T37" s="18"/>
      <c r="U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</row>
    <row r="38" spans="1:43" x14ac:dyDescent="0.2">
      <c r="A38" s="9" t="s">
        <v>29</v>
      </c>
      <c r="B38" s="3">
        <v>1460188.9111447618</v>
      </c>
      <c r="C38" s="3">
        <v>1405651.2466487682</v>
      </c>
      <c r="D38" s="3">
        <v>1665176.5229636473</v>
      </c>
      <c r="E38" s="3">
        <v>1722238.576862311</v>
      </c>
      <c r="F38" s="3">
        <v>1555931.6398998275</v>
      </c>
      <c r="G38" s="3">
        <v>1518883.4728329065</v>
      </c>
      <c r="H38" s="3">
        <v>1740232.6238821633</v>
      </c>
      <c r="I38" s="3">
        <v>1661319.4624964092</v>
      </c>
      <c r="J38" s="18">
        <v>1701048.1317174463</v>
      </c>
      <c r="K38" s="18">
        <v>1621893.3194249598</v>
      </c>
      <c r="L38" s="18">
        <v>1746470.9266605615</v>
      </c>
      <c r="M38" s="18">
        <v>1746727.1015532564</v>
      </c>
      <c r="N38" s="18">
        <v>1868965.9037470724</v>
      </c>
      <c r="O38" s="18">
        <f>[1]Qtr!CY38</f>
        <v>1692148.4795949869</v>
      </c>
      <c r="P38" s="18">
        <f>[1]Qtr!CZ38</f>
        <v>1889733.2701689133</v>
      </c>
      <c r="Q38" s="21"/>
      <c r="R38" s="18">
        <f>'[1]3Qs'!Y39</f>
        <v>4815047.7366148978</v>
      </c>
      <c r="S38" s="18">
        <f>'[1]3Qs'!Z39</f>
        <v>5069412.377802968</v>
      </c>
      <c r="T38" s="18">
        <f>'[1]3Qs'!AA39</f>
        <v>5450847.6535109729</v>
      </c>
      <c r="U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</row>
    <row r="39" spans="1:43" x14ac:dyDescent="0.2">
      <c r="A39" s="9" t="s">
        <v>30</v>
      </c>
      <c r="B39" s="3">
        <v>28333.815373837544</v>
      </c>
      <c r="C39" s="3">
        <v>26697.137761007772</v>
      </c>
      <c r="D39" s="3">
        <v>29548.522926713173</v>
      </c>
      <c r="E39" s="3">
        <v>30023.954876152882</v>
      </c>
      <c r="F39" s="3">
        <v>28374.847595970674</v>
      </c>
      <c r="G39" s="3">
        <v>27295.175643630821</v>
      </c>
      <c r="H39" s="3">
        <v>31095.435876952706</v>
      </c>
      <c r="I39" s="3">
        <v>29639.299432753403</v>
      </c>
      <c r="J39" s="3">
        <v>30406.394054488494</v>
      </c>
      <c r="K39" s="3">
        <v>28053.186411666331</v>
      </c>
      <c r="L39" s="3">
        <v>30511.565017040928</v>
      </c>
      <c r="M39" s="3">
        <v>30038.434425659838</v>
      </c>
      <c r="N39" s="3">
        <v>32239.497763621592</v>
      </c>
      <c r="O39" s="3">
        <f>[1]Qtr!CY39</f>
        <v>30063.610420200243</v>
      </c>
      <c r="P39" s="3">
        <f>[1]Qtr!CZ39</f>
        <v>33105.811759246404</v>
      </c>
      <c r="Q39" s="21"/>
      <c r="R39" s="18">
        <f>'[1]3Qs'!Y40</f>
        <v>86765.459116554193</v>
      </c>
      <c r="S39" s="18">
        <f>'[1]3Qs'!Z40</f>
        <v>88971.145483195753</v>
      </c>
      <c r="T39" s="18">
        <f>'[1]3Qs'!AA40</f>
        <v>88603.185854367097</v>
      </c>
      <c r="U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</row>
    <row r="40" spans="1:43" x14ac:dyDescent="0.2">
      <c r="A40" s="9" t="s">
        <v>31</v>
      </c>
      <c r="B40" s="18">
        <v>29.625661155404892</v>
      </c>
      <c r="C40" s="18">
        <v>26.03972195526671</v>
      </c>
      <c r="D40" s="18">
        <v>31.717975233034228</v>
      </c>
      <c r="E40" s="18">
        <v>26.69545942150587</v>
      </c>
      <c r="F40" s="18">
        <v>27.710486162739191</v>
      </c>
      <c r="G40" s="18">
        <v>25.800461178844415</v>
      </c>
      <c r="H40" s="18">
        <v>30.206473301782339</v>
      </c>
      <c r="I40" s="18">
        <v>23.563336894412</v>
      </c>
      <c r="J40" s="18">
        <v>27.798826607468573</v>
      </c>
      <c r="K40" s="18">
        <v>24.972284403659831</v>
      </c>
      <c r="L40" s="18">
        <v>27.922889259391031</v>
      </c>
      <c r="M40" s="18">
        <v>23.050466514656815</v>
      </c>
      <c r="N40" s="18">
        <v>28.394731713738615</v>
      </c>
      <c r="O40" s="18">
        <f>[1]Qtr!CY40</f>
        <v>24.294204440205284</v>
      </c>
      <c r="P40" s="18">
        <f>[1]Qtr!CZ40</f>
        <v>28.815789278701864</v>
      </c>
      <c r="Q40" s="21"/>
      <c r="R40" s="18">
        <f>'[1]3Qs'!Y41</f>
        <v>27.892104533460238</v>
      </c>
      <c r="S40" s="18">
        <f>'[1]3Qs'!Z41</f>
        <v>26.867021872108367</v>
      </c>
      <c r="T40" s="18">
        <f>'[1]3Qs'!AA41</f>
        <v>27.111495467084339</v>
      </c>
      <c r="U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</row>
    <row r="41" spans="1:43" x14ac:dyDescent="0.2">
      <c r="A41" s="6" t="s">
        <v>32</v>
      </c>
      <c r="B41" s="3"/>
      <c r="C41" s="3"/>
      <c r="D41" s="3"/>
      <c r="E41" s="3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21"/>
      <c r="R41" s="18"/>
      <c r="S41" s="18"/>
      <c r="T41" s="18"/>
      <c r="U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</row>
    <row r="42" spans="1:43" x14ac:dyDescent="0.2">
      <c r="A42" s="9" t="s">
        <v>29</v>
      </c>
      <c r="B42" s="3">
        <v>2203810.9853348406</v>
      </c>
      <c r="C42" s="3">
        <v>2433415.7305227928</v>
      </c>
      <c r="D42" s="3">
        <v>2711874.9916171385</v>
      </c>
      <c r="E42" s="3">
        <v>2352653.891222849</v>
      </c>
      <c r="F42" s="3">
        <v>2434826.2505029789</v>
      </c>
      <c r="G42" s="3">
        <v>2427283.182131175</v>
      </c>
      <c r="H42" s="3">
        <v>2634641.7171200351</v>
      </c>
      <c r="I42" s="3">
        <v>2419078.4970038896</v>
      </c>
      <c r="J42" s="3">
        <v>2483236.7262483519</v>
      </c>
      <c r="K42" s="3">
        <v>2674399.5406368747</v>
      </c>
      <c r="L42" s="3">
        <v>2860954.8281154223</v>
      </c>
      <c r="M42" s="3">
        <v>2589584.9340421204</v>
      </c>
      <c r="N42" s="3">
        <v>2848457.1551647144</v>
      </c>
      <c r="O42" s="3">
        <f>[1]Qtr!CY42</f>
        <v>2713878.5466870032</v>
      </c>
      <c r="P42" s="3">
        <f>[1]Qtr!CZ42</f>
        <v>2964470.3332322715</v>
      </c>
      <c r="Q42" s="21"/>
      <c r="R42" s="3">
        <f>'[1]3Qs'!Y43</f>
        <v>7496751.149754189</v>
      </c>
      <c r="S42" s="3">
        <f>'[1]3Qs'!Z43</f>
        <v>8018591.0950006489</v>
      </c>
      <c r="T42" s="3">
        <f>'[1]3Qs'!AA43</f>
        <v>8526806.0350839905</v>
      </c>
      <c r="U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</row>
    <row r="43" spans="1:43" x14ac:dyDescent="0.2">
      <c r="A43" s="9" t="s">
        <v>33</v>
      </c>
      <c r="B43" s="3">
        <v>42763.215841954778</v>
      </c>
      <c r="C43" s="3">
        <v>46217.178793427491</v>
      </c>
      <c r="D43" s="3">
        <v>48122.165583719609</v>
      </c>
      <c r="E43" s="3">
        <v>41014.047193141865</v>
      </c>
      <c r="F43" s="3">
        <v>44402.865787303279</v>
      </c>
      <c r="G43" s="3">
        <v>43619.620581907613</v>
      </c>
      <c r="H43" s="3">
        <v>47077.230623736454</v>
      </c>
      <c r="I43" s="3">
        <v>43158.34103110576</v>
      </c>
      <c r="J43" s="3">
        <v>44388.088156359925</v>
      </c>
      <c r="K43" s="3">
        <v>46257.930749330182</v>
      </c>
      <c r="L43" s="3">
        <v>49982.056910487976</v>
      </c>
      <c r="M43" s="3">
        <v>44533.045351921115</v>
      </c>
      <c r="N43" s="3">
        <v>49135.635861301664</v>
      </c>
      <c r="O43" s="3">
        <f>[1]Qtr!CY43</f>
        <v>48216.210538962558</v>
      </c>
      <c r="P43" s="3">
        <f>[1]Qtr!CZ43</f>
        <v>51933.888431294712</v>
      </c>
      <c r="Q43" s="21"/>
      <c r="R43" s="3">
        <f>'[1]3Qs'!Y44</f>
        <v>135099.71699294733</v>
      </c>
      <c r="S43" s="3">
        <f>'[1]3Qs'!Z44</f>
        <v>140628.07581617808</v>
      </c>
      <c r="T43" s="3">
        <f>'[1]3Qs'!AA44</f>
        <v>140773.03301173926</v>
      </c>
      <c r="U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</row>
    <row r="44" spans="1:43" x14ac:dyDescent="0.2">
      <c r="A44" s="9" t="s">
        <v>31</v>
      </c>
      <c r="B44" s="18">
        <v>44.712952552764754</v>
      </c>
      <c r="C44" s="18">
        <v>45.079082863161254</v>
      </c>
      <c r="D44" s="18">
        <v>51.65529457868481</v>
      </c>
      <c r="E44" s="18">
        <v>36.46717552942642</v>
      </c>
      <c r="F44" s="18">
        <v>43.363228430511732</v>
      </c>
      <c r="G44" s="18">
        <v>41.230961183502679</v>
      </c>
      <c r="H44" s="18">
        <v>45.731377285877812</v>
      </c>
      <c r="I44" s="18">
        <v>34.311017769740765</v>
      </c>
      <c r="J44" s="18">
        <v>40.581489665774072</v>
      </c>
      <c r="K44" s="18">
        <v>41.177718126047949</v>
      </c>
      <c r="L44" s="18">
        <v>45.741457027479882</v>
      </c>
      <c r="M44" s="18">
        <v>34.173134862290752</v>
      </c>
      <c r="N44" s="18">
        <v>43.275897413015002</v>
      </c>
      <c r="O44" s="18">
        <f>[1]Qtr!CY44</f>
        <v>38.963200353955848</v>
      </c>
      <c r="P44" s="18">
        <f>[1]Qtr!CZ44</f>
        <v>45.204026300361775</v>
      </c>
      <c r="Q44" s="21"/>
      <c r="R44" s="18">
        <f>'[1]3Qs'!Y45</f>
        <v>43.426395368882645</v>
      </c>
      <c r="S44" s="18">
        <f>'[1]3Qs'!Z45</f>
        <v>42.497166589995075</v>
      </c>
      <c r="T44" s="18">
        <f>'[1]3Qs'!AA45</f>
        <v>42.410736432889315</v>
      </c>
      <c r="U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</row>
    <row r="45" spans="1:43" ht="25.5" x14ac:dyDescent="0.2">
      <c r="A45" s="11" t="s">
        <v>34</v>
      </c>
      <c r="B45" s="18">
        <v>66.722056406581132</v>
      </c>
      <c r="C45" s="18">
        <v>68.070825653981217</v>
      </c>
      <c r="D45" s="18">
        <v>75.630296442170859</v>
      </c>
      <c r="E45" s="18">
        <v>76.726523740132095</v>
      </c>
      <c r="F45" s="18">
        <v>65.317794098428678</v>
      </c>
      <c r="G45" s="18">
        <v>72.500340420303743</v>
      </c>
      <c r="H45" s="18">
        <v>75.831607588355979</v>
      </c>
      <c r="I45" s="18">
        <v>73.188192717215742</v>
      </c>
      <c r="J45" s="18">
        <v>66.717206548099711</v>
      </c>
      <c r="K45" s="18">
        <v>68.982388153423429</v>
      </c>
      <c r="L45" s="18">
        <v>73.475488482579379</v>
      </c>
      <c r="M45" s="18">
        <v>67.109291986064321</v>
      </c>
      <c r="N45" s="18">
        <v>67.645491746582252</v>
      </c>
      <c r="O45" s="18">
        <f>[1]Qtr!CY45</f>
        <v>69.771791253783832</v>
      </c>
      <c r="P45" s="18">
        <f>[1]Qtr!CZ45</f>
        <v>76.84852355516793</v>
      </c>
      <c r="Q45" s="21"/>
      <c r="R45" s="18">
        <f>'[1]3Qs'!Y46</f>
        <v>71.636408250340196</v>
      </c>
      <c r="S45" s="18">
        <f>'[1]3Qs'!Z46</f>
        <v>69.827687016963125</v>
      </c>
      <c r="T45" s="18">
        <f>'[1]3Qs'!AA46</f>
        <v>71.824709592980199</v>
      </c>
      <c r="U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</row>
    <row r="46" spans="1:43" ht="25.5" x14ac:dyDescent="0.2">
      <c r="A46" s="11" t="s">
        <v>35</v>
      </c>
      <c r="B46" s="18">
        <v>62.62216236691355</v>
      </c>
      <c r="C46" s="18">
        <v>65.420354958021633</v>
      </c>
      <c r="D46" s="18">
        <v>66.034642785363644</v>
      </c>
      <c r="E46" s="18">
        <v>59.109503217849429</v>
      </c>
      <c r="F46" s="18">
        <v>65.190297726871918</v>
      </c>
      <c r="G46" s="18">
        <v>63.574045317512656</v>
      </c>
      <c r="H46" s="18">
        <v>65.211813363562641</v>
      </c>
      <c r="I46" s="18">
        <v>56.923272889704002</v>
      </c>
      <c r="J46" s="18">
        <v>63.500902487578934</v>
      </c>
      <c r="K46" s="18">
        <v>61.936831567942825</v>
      </c>
      <c r="L46" s="18">
        <v>63.069767606657365</v>
      </c>
      <c r="M46" s="18">
        <v>55.94696718263431</v>
      </c>
      <c r="N46" s="18">
        <v>63.181330404304674</v>
      </c>
      <c r="O46" s="18">
        <f>[1]Qtr!CY46</f>
        <v>60.882202696752067</v>
      </c>
      <c r="P46" s="18">
        <f>[1]Qtr!CZ46</f>
        <v>62.755237955816362</v>
      </c>
      <c r="Q46" s="21"/>
      <c r="R46" s="18">
        <f>'[1]3Qs'!Y47</f>
        <v>64.50250907031554</v>
      </c>
      <c r="S46" s="18">
        <f>'[1]3Qs'!Z47</f>
        <v>62.824024697398798</v>
      </c>
      <c r="T46" s="18">
        <f>'[1]3Qs'!AA47</f>
        <v>62.147152140591437</v>
      </c>
      <c r="U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</row>
    <row r="47" spans="1:43" x14ac:dyDescent="0.2">
      <c r="A47" s="11" t="s">
        <v>36</v>
      </c>
      <c r="B47" s="18">
        <v>4.6481278259494694</v>
      </c>
      <c r="C47" s="18">
        <v>5.2015152485998417</v>
      </c>
      <c r="D47" s="18">
        <v>6.1065214813784916</v>
      </c>
      <c r="E47" s="18">
        <v>6.0642198584417262</v>
      </c>
      <c r="F47" s="18">
        <v>7.6734987312443836</v>
      </c>
      <c r="G47" s="18">
        <v>9.1526348259074748</v>
      </c>
      <c r="H47" s="18">
        <v>11.532690062595226</v>
      </c>
      <c r="I47" s="18">
        <v>10.801634887751169</v>
      </c>
      <c r="J47" s="18">
        <v>11.057814296852884</v>
      </c>
      <c r="K47" s="18">
        <v>10.529887304825646</v>
      </c>
      <c r="L47" s="18">
        <v>12.796353312886129</v>
      </c>
      <c r="M47" s="18">
        <v>11.688979933292522</v>
      </c>
      <c r="N47" s="18">
        <v>12.598483404312919</v>
      </c>
      <c r="O47" s="18">
        <f>[1]Qtr!CY47</f>
        <v>12.633612078933506</v>
      </c>
      <c r="P47" s="18">
        <f>[1]Qtr!CZ47</f>
        <v>14.312242323765597</v>
      </c>
      <c r="Q47" s="21"/>
      <c r="R47" s="18">
        <f>'[1]3Qs'!Y48</f>
        <v>9.4936092604189497</v>
      </c>
      <c r="S47" s="18">
        <f>'[1]3Qs'!Z48</f>
        <v>11.46310025955394</v>
      </c>
      <c r="T47" s="18">
        <f>'[1]3Qs'!AA48</f>
        <v>13.176980237274332</v>
      </c>
      <c r="U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</row>
    <row r="48" spans="1:43" x14ac:dyDescent="0.2">
      <c r="A48" s="11" t="s">
        <v>37</v>
      </c>
      <c r="B48" s="3"/>
      <c r="C48" s="3"/>
      <c r="D48" s="3"/>
      <c r="E48" s="3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21"/>
      <c r="R48" s="18"/>
      <c r="S48" s="18"/>
      <c r="T48" s="18"/>
      <c r="U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</row>
    <row r="49" spans="1:43" x14ac:dyDescent="0.2">
      <c r="A49" s="9" t="s">
        <v>47</v>
      </c>
      <c r="B49" s="3">
        <v>316674.39976717485</v>
      </c>
      <c r="C49" s="3">
        <v>340077.79830228764</v>
      </c>
      <c r="D49" s="3">
        <v>384731.43072444916</v>
      </c>
      <c r="E49" s="3">
        <v>427751.5018851494</v>
      </c>
      <c r="F49" s="3">
        <v>558604.2253898877</v>
      </c>
      <c r="G49" s="3">
        <v>671390.78616363823</v>
      </c>
      <c r="H49" s="3">
        <v>791434.13392134476</v>
      </c>
      <c r="I49" s="3">
        <v>858472.28207093151</v>
      </c>
      <c r="J49" s="3">
        <v>834339.45519765385</v>
      </c>
      <c r="K49" s="3">
        <v>846303.65930464608</v>
      </c>
      <c r="L49" s="3">
        <v>953225.95954580652</v>
      </c>
      <c r="M49" s="3">
        <v>1026097.9687120169</v>
      </c>
      <c r="N49" s="3">
        <v>1006735.235752686</v>
      </c>
      <c r="O49" s="3">
        <f>[1]Qtr!CY49</f>
        <v>1080537.6203077766</v>
      </c>
      <c r="P49" s="3">
        <f>[1]Qtr!CZ49</f>
        <v>1119267.4854969983</v>
      </c>
      <c r="Q49" s="21"/>
      <c r="R49" s="3">
        <f>'[1]3Qs'!Y50</f>
        <v>2021429.1454748707</v>
      </c>
      <c r="S49" s="3">
        <f>'[1]3Qs'!Z50</f>
        <v>2633869.0740481066</v>
      </c>
      <c r="T49" s="3">
        <f>'[1]3Qs'!AA50</f>
        <v>3206540.3415574608</v>
      </c>
      <c r="U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</row>
    <row r="50" spans="1:43" x14ac:dyDescent="0.2">
      <c r="A50" s="9" t="s">
        <v>38</v>
      </c>
      <c r="B50" s="3">
        <v>6144.8172275117495</v>
      </c>
      <c r="C50" s="3">
        <v>6459.0017277628431</v>
      </c>
      <c r="D50" s="3">
        <v>6827.0512733121977</v>
      </c>
      <c r="E50" s="3">
        <v>7457.0340969856825</v>
      </c>
      <c r="F50" s="3">
        <v>10187.021945850895</v>
      </c>
      <c r="G50" s="3">
        <v>12065.263571320664</v>
      </c>
      <c r="H50" s="3">
        <v>14141.781405799686</v>
      </c>
      <c r="I50" s="3">
        <v>15315.848394856494</v>
      </c>
      <c r="J50" s="3">
        <v>14913.89560172721</v>
      </c>
      <c r="K50" s="3">
        <v>14638.147917007336</v>
      </c>
      <c r="L50" s="3">
        <v>16653.249359395639</v>
      </c>
      <c r="M50" s="3">
        <v>17645.788240218091</v>
      </c>
      <c r="N50" s="3">
        <v>17366.094435717507</v>
      </c>
      <c r="O50" s="3">
        <f>[1]Qtr!CY50</f>
        <v>19197.406405540987</v>
      </c>
      <c r="P50" s="3">
        <f>[1]Qtr!CZ50</f>
        <v>19608.195118349478</v>
      </c>
      <c r="Q50" s="21"/>
      <c r="R50" s="3">
        <f>'[1]3Qs'!Y51</f>
        <v>36394.066922971244</v>
      </c>
      <c r="S50" s="3">
        <f>'[1]3Qs'!Z51</f>
        <v>46205.292878130189</v>
      </c>
      <c r="T50" s="3">
        <f>'[1]3Qs'!AA51</f>
        <v>48937.185516621066</v>
      </c>
      <c r="U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</row>
    <row r="51" spans="1:43" x14ac:dyDescent="0.2">
      <c r="A51" s="9" t="s">
        <v>39</v>
      </c>
      <c r="B51" s="18">
        <v>65.795313692239176</v>
      </c>
      <c r="C51" s="18">
        <v>56.499210537174093</v>
      </c>
      <c r="D51" s="18">
        <v>53.759156855444473</v>
      </c>
      <c r="E51" s="18">
        <v>51.033040240896668</v>
      </c>
      <c r="F51" s="18">
        <v>76.397026662270235</v>
      </c>
      <c r="G51" s="18">
        <v>97.422704309222155</v>
      </c>
      <c r="H51" s="18">
        <v>105.71080777857804</v>
      </c>
      <c r="I51" s="18">
        <v>100.6941596435189</v>
      </c>
      <c r="J51" s="18">
        <v>49.361465108022031</v>
      </c>
      <c r="K51" s="18">
        <v>26.052319564953976</v>
      </c>
      <c r="L51" s="18">
        <v>20.442866776901127</v>
      </c>
      <c r="M51" s="18">
        <v>19.526045294871295</v>
      </c>
      <c r="N51" s="18">
        <v>20.662546818451943</v>
      </c>
      <c r="O51" s="18">
        <f>[1]Qtr!CY51</f>
        <v>27.677295073447468</v>
      </c>
      <c r="P51" s="18">
        <f>[1]Qtr!CZ51</f>
        <v>17.41890517021875</v>
      </c>
      <c r="Q51" s="21"/>
      <c r="R51" s="18">
        <f>'[1]3Qs'!Y52</f>
        <v>94.091302982436986</v>
      </c>
      <c r="S51" s="18">
        <f>'[1]3Qs'!Z52</f>
        <v>30.297373021667937</v>
      </c>
      <c r="T51" s="18">
        <f>'[1]3Qs'!AA52</f>
        <v>21.742586719741212</v>
      </c>
      <c r="U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</row>
    <row r="52" spans="1:43" x14ac:dyDescent="0.2">
      <c r="A52" s="9" t="s">
        <v>40</v>
      </c>
      <c r="B52" s="18">
        <v>55.351237326190613</v>
      </c>
      <c r="C52" s="18">
        <v>43.210183831722048</v>
      </c>
      <c r="D52" s="18">
        <v>36.712821577213617</v>
      </c>
      <c r="E52" s="18">
        <v>32.828516969605687</v>
      </c>
      <c r="F52" s="18">
        <v>65.782342560837634</v>
      </c>
      <c r="G52" s="18">
        <v>86.79765201889208</v>
      </c>
      <c r="H52" s="18">
        <v>107.14333084155513</v>
      </c>
      <c r="I52" s="18">
        <v>105.38793568139292</v>
      </c>
      <c r="J52" s="18">
        <v>46.400937202275685</v>
      </c>
      <c r="K52" s="18">
        <v>21.324725568386782</v>
      </c>
      <c r="L52" s="18">
        <v>17.759205021836749</v>
      </c>
      <c r="M52" s="18">
        <v>15.212607132779283</v>
      </c>
      <c r="N52" s="18">
        <v>16.442376287697115</v>
      </c>
      <c r="O52" s="18">
        <f>[1]Qtr!CY52</f>
        <v>31.146416297901169</v>
      </c>
      <c r="P52" s="18">
        <f>[1]Qtr!CZ52</f>
        <v>17.743959122828386</v>
      </c>
      <c r="Q52" s="21"/>
      <c r="R52" s="18">
        <f>'[1]3Qs'!Y53</f>
        <v>87.300241805063962</v>
      </c>
      <c r="S52" s="18">
        <f>'[1]3Qs'!Z53</f>
        <v>26.958311572940175</v>
      </c>
      <c r="T52" s="18">
        <f>'[1]3Qs'!AA53</f>
        <v>5.9125101656566557</v>
      </c>
      <c r="U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</row>
    <row r="53" spans="1:43" x14ac:dyDescent="0.2">
      <c r="A53" s="9" t="s">
        <v>41</v>
      </c>
      <c r="B53" s="18">
        <v>6.1263412725391317</v>
      </c>
      <c r="C53" s="18">
        <v>5.9722562900873291</v>
      </c>
      <c r="D53" s="18">
        <v>6.8807895148907843</v>
      </c>
      <c r="E53" s="18">
        <v>6.2282591698909346</v>
      </c>
      <c r="F53" s="18">
        <v>9.1851071640505904</v>
      </c>
      <c r="G53" s="18">
        <v>10.360738809767751</v>
      </c>
      <c r="H53" s="18">
        <v>12.153190788249457</v>
      </c>
      <c r="I53" s="18">
        <v>10.860924920823791</v>
      </c>
      <c r="J53" s="18">
        <v>12.127197254926546</v>
      </c>
      <c r="K53" s="18">
        <v>11.658433249855008</v>
      </c>
      <c r="L53" s="18">
        <v>13.29013833172562</v>
      </c>
      <c r="M53" s="18">
        <v>11.957995617403368</v>
      </c>
      <c r="N53" s="18">
        <v>13.368129036969137</v>
      </c>
      <c r="O53" s="18">
        <f>[1]Qtr!CY53</f>
        <v>13.553407195596961</v>
      </c>
      <c r="P53" s="18">
        <f>[1]Qtr!CZ53</f>
        <v>14.624555544872472</v>
      </c>
      <c r="Q53" s="21"/>
      <c r="R53" s="18">
        <f>'[1]3Qs'!Y54</f>
        <v>10.597866793233891</v>
      </c>
      <c r="S53" s="18">
        <f>'[1]3Qs'!Z54</f>
        <v>12.358916594642615</v>
      </c>
      <c r="T53" s="18">
        <f>'[1]3Qs'!AA54</f>
        <v>13.84717002529943</v>
      </c>
      <c r="U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</row>
    <row r="54" spans="1:43" x14ac:dyDescent="0.2">
      <c r="A54" s="9" t="s">
        <v>25</v>
      </c>
      <c r="B54" s="18">
        <v>6.424982680315301</v>
      </c>
      <c r="C54" s="18">
        <v>6.2999491033522235</v>
      </c>
      <c r="D54" s="18">
        <v>7.3282933207402108</v>
      </c>
      <c r="E54" s="18">
        <v>6.6303374076471648</v>
      </c>
      <c r="F54" s="18">
        <v>9.9485056162947441</v>
      </c>
      <c r="G54" s="18">
        <v>11.404556191490279</v>
      </c>
      <c r="H54" s="18">
        <v>13.737493314590973</v>
      </c>
      <c r="I54" s="18">
        <v>12.176147967685514</v>
      </c>
      <c r="J54" s="18">
        <v>13.634921560621644</v>
      </c>
      <c r="K54" s="18">
        <v>13.030533771177216</v>
      </c>
      <c r="L54" s="18">
        <v>15.240346977014104</v>
      </c>
      <c r="M54" s="18">
        <v>13.54077396951214</v>
      </c>
      <c r="N54" s="18">
        <v>15.295076741985048</v>
      </c>
      <c r="O54" s="18">
        <f>[1]Qtr!CY54</f>
        <v>15.513296953334216</v>
      </c>
      <c r="P54" s="18">
        <f>[1]Qtr!CZ54</f>
        <v>17.067263680922075</v>
      </c>
      <c r="Q54" s="21"/>
      <c r="R54" s="18">
        <f>'[1]3Qs'!Y55</f>
        <v>11.709523169173444</v>
      </c>
      <c r="S54" s="18">
        <f>'[1]3Qs'!Z55</f>
        <v>13.959057331885235</v>
      </c>
      <c r="T54" s="18">
        <f>'[1]3Qs'!AA55</f>
        <v>15.948731181133383</v>
      </c>
      <c r="U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</row>
    <row r="55" spans="1:43" x14ac:dyDescent="0.2">
      <c r="A55" s="11" t="s">
        <v>42</v>
      </c>
      <c r="B55" s="18">
        <v>22.411608584149988</v>
      </c>
      <c r="C55" s="18">
        <v>27.382748064995262</v>
      </c>
      <c r="D55" s="18">
        <v>23.025296015833653</v>
      </c>
      <c r="E55" s="18">
        <v>20.943057489717908</v>
      </c>
      <c r="F55" s="18">
        <v>22.912554358871166</v>
      </c>
      <c r="G55" s="18">
        <v>27.077550872951594</v>
      </c>
      <c r="H55" s="18">
        <v>23.42555462270608</v>
      </c>
      <c r="I55" s="18">
        <v>21.505301784535931</v>
      </c>
      <c r="J55" s="18">
        <v>21.96065351251719</v>
      </c>
      <c r="K55" s="18">
        <v>27.760499710940543</v>
      </c>
      <c r="L55" s="18">
        <v>23.608162498419318</v>
      </c>
      <c r="M55" s="18">
        <v>21.248253773691342</v>
      </c>
      <c r="N55" s="18">
        <v>22.204374546919119</v>
      </c>
      <c r="O55" s="18">
        <f>[1]Qtr!CY55</f>
        <v>26.887540602802503</v>
      </c>
      <c r="P55" s="18">
        <f>[1]Qtr!CZ55</f>
        <v>22.717062581532847</v>
      </c>
      <c r="Q55" s="21"/>
      <c r="R55" s="18">
        <f>'[1]3Qs'!Y56</f>
        <v>24.50409506428003</v>
      </c>
      <c r="S55" s="18">
        <f>'[1]3Qs'!Z56</f>
        <v>24.503153076800288</v>
      </c>
      <c r="T55" s="18">
        <f>'[1]3Qs'!AA56</f>
        <v>23.994029471632956</v>
      </c>
      <c r="U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</row>
    <row r="56" spans="1:43" x14ac:dyDescent="0.2">
      <c r="A56" s="11" t="s">
        <v>43</v>
      </c>
      <c r="B56" s="18">
        <v>78.180217019100581</v>
      </c>
      <c r="C56" s="18">
        <v>71.8402520444765</v>
      </c>
      <c r="D56" s="18">
        <v>78.690011217757799</v>
      </c>
      <c r="E56" s="18">
        <v>75.370985933472085</v>
      </c>
      <c r="F56" s="18">
        <v>78.655781107431324</v>
      </c>
      <c r="G56" s="18">
        <v>73.450818482973006</v>
      </c>
      <c r="H56" s="18">
        <v>78.682765997663267</v>
      </c>
      <c r="I56" s="18">
        <v>75.610555093614224</v>
      </c>
      <c r="J56" s="18">
        <v>78.158236878272746</v>
      </c>
      <c r="K56" s="18">
        <v>72.475279683020617</v>
      </c>
      <c r="L56" s="18">
        <v>78.639653186452193</v>
      </c>
      <c r="M56" s="18">
        <v>75.606855152859495</v>
      </c>
      <c r="N56" s="18">
        <v>78.266835488909905</v>
      </c>
      <c r="O56" s="18">
        <f>[1]Qtr!CY56</f>
        <v>72.165368431976617</v>
      </c>
      <c r="P56" s="18">
        <f>[1]Qtr!CZ56</f>
        <v>79.134395812920346</v>
      </c>
      <c r="Q56" s="21"/>
      <c r="R56" s="18">
        <f>'[1]3Qs'!Y57</f>
        <v>76.889799160904246</v>
      </c>
      <c r="S56" s="18">
        <f>'[1]3Qs'!Z57</f>
        <v>76.361677134078803</v>
      </c>
      <c r="T56" s="18">
        <f>'[1]3Qs'!AA57</f>
        <v>76.436039126246953</v>
      </c>
      <c r="U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</row>
    <row r="57" spans="1:43" x14ac:dyDescent="0.2">
      <c r="A57" s="11" t="s">
        <v>44</v>
      </c>
      <c r="B57" s="18">
        <v>19.109237907905381</v>
      </c>
      <c r="C57" s="18">
        <v>15.240291830161745</v>
      </c>
      <c r="D57" s="18">
        <v>14.139806506810739</v>
      </c>
      <c r="E57" s="18">
        <v>19.971709828636143</v>
      </c>
      <c r="F57" s="18">
        <v>18.337877066297981</v>
      </c>
      <c r="G57" s="18">
        <v>14.261402056943348</v>
      </c>
      <c r="H57" s="18">
        <v>13.480667412393665</v>
      </c>
      <c r="I57" s="18">
        <v>18.442734829551483</v>
      </c>
      <c r="J57" s="18">
        <v>17.640462510584882</v>
      </c>
      <c r="K57" s="18">
        <v>13.653060530872196</v>
      </c>
      <c r="L57" s="18">
        <v>12.995742091951563</v>
      </c>
      <c r="M57" s="18">
        <v>18.039762809048884</v>
      </c>
      <c r="N57" s="18">
        <v>17.479961446498525</v>
      </c>
      <c r="O57" s="18">
        <f>[1]Qtr!CY57</f>
        <v>13.309536873237112</v>
      </c>
      <c r="P57" s="18">
        <f>[1]Qtr!CZ57</f>
        <v>12.511067570846016</v>
      </c>
      <c r="Q57" s="21"/>
      <c r="R57" s="18">
        <f>'[1]3Qs'!Y58</f>
        <v>15.326755110377269</v>
      </c>
      <c r="S57" s="18">
        <f>'[1]3Qs'!Z58</f>
        <v>14.728299451311072</v>
      </c>
      <c r="T57" s="18">
        <f>'[1]3Qs'!AA58</f>
        <v>14.414407310429397</v>
      </c>
      <c r="U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</row>
    <row r="58" spans="1:43" x14ac:dyDescent="0.2">
      <c r="A58" s="11" t="s">
        <v>45</v>
      </c>
      <c r="B58" s="18">
        <v>6.3636208647194259</v>
      </c>
      <c r="C58" s="18">
        <v>2.680663482154904</v>
      </c>
      <c r="D58" s="18">
        <v>8.2189609705276609</v>
      </c>
      <c r="E58" s="18">
        <v>6.2518708327794492</v>
      </c>
      <c r="F58" s="18">
        <v>10.07516332211704</v>
      </c>
      <c r="G58" s="18">
        <v>5.8129552255947372</v>
      </c>
      <c r="H58" s="18">
        <v>8.5466643632075172</v>
      </c>
      <c r="I58" s="19">
        <v>2.8835070549498925</v>
      </c>
      <c r="J58" s="18">
        <v>16.113973074381498</v>
      </c>
      <c r="K58" s="18">
        <v>4.5690738597393441</v>
      </c>
      <c r="L58" s="18">
        <v>5.7717644849050735</v>
      </c>
      <c r="M58" s="19">
        <v>4.9730936502464953</v>
      </c>
      <c r="N58" s="19">
        <v>5.1962699295140808</v>
      </c>
      <c r="O58" s="19">
        <f>[1]Qtr!CY58</f>
        <v>6.1173239334097351</v>
      </c>
      <c r="P58" s="19">
        <f>[1]Qtr!CZ58</f>
        <v>16.783632292818744</v>
      </c>
      <c r="Q58" s="21"/>
      <c r="R58" s="18">
        <f>'[1]3Qs'!Y59</f>
        <v>8.1115749890389974</v>
      </c>
      <c r="S58" s="18">
        <f>'[1]3Qs'!Z59</f>
        <v>8.711801630008889</v>
      </c>
      <c r="T58" s="18">
        <f>'[1]3Qs'!AA59</f>
        <v>9.29494186475047</v>
      </c>
      <c r="U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</row>
    <row r="59" spans="1:43" ht="15" customHeight="1" x14ac:dyDescent="0.2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22"/>
      <c r="R59" s="15"/>
      <c r="S59" s="15"/>
      <c r="T59" s="15"/>
      <c r="U59" s="22"/>
    </row>
    <row r="60" spans="1:43" x14ac:dyDescent="0.2">
      <c r="A60" s="1" t="s">
        <v>46</v>
      </c>
      <c r="E60" s="16"/>
    </row>
    <row r="1048576" spans="10:16" x14ac:dyDescent="0.2">
      <c r="J1048576" s="18"/>
      <c r="K1048576" s="18"/>
      <c r="L1048576" s="18"/>
      <c r="M1048576" s="18"/>
      <c r="N1048576" s="18"/>
      <c r="O1048576" s="18"/>
      <c r="P1048576" s="18"/>
    </row>
  </sheetData>
  <mergeCells count="1">
    <mergeCell ref="R7:T7"/>
  </mergeCells>
  <phoneticPr fontId="6" type="noConversion"/>
  <pageMargins left="0.25" right="0.25" top="0.25" bottom="0.25" header="0.3" footer="0.3"/>
  <pageSetup paperSize="9" scale="54" orientation="landscape" r:id="rId1"/>
  <colBreaks count="1" manualBreakCount="1">
    <brk id="16" max="59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Q32025Pre</vt:lpstr>
      <vt:lpstr>Q32025Pre!Print_Area</vt:lpstr>
      <vt:lpstr>Q32025Pre!Print_Titles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Libertie Masculino</dc:creator>
  <cp:keywords/>
  <dc:description/>
  <cp:lastModifiedBy>Aimee Mae Amoranto</cp:lastModifiedBy>
  <cp:revision/>
  <cp:lastPrinted>2023-08-09T01:22:00Z</cp:lastPrinted>
  <dcterms:created xsi:type="dcterms:W3CDTF">2020-05-04T08:56:46Z</dcterms:created>
  <dcterms:modified xsi:type="dcterms:W3CDTF">2025-11-07T00:13:49Z</dcterms:modified>
  <cp:category/>
  <cp:contentStatus/>
</cp:coreProperties>
</file>