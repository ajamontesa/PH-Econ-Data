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ABE9B2A5-578D-4E23-8577-C68B2B749966}" xr6:coauthVersionLast="47" xr6:coauthVersionMax="47" xr10:uidLastSave="{00000000-0000-0000-0000-000000000000}"/>
  <bookViews>
    <workbookView xWindow="2700" yWindow="2340" windowWidth="15780" windowHeight="13020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3" i="1" l="1"/>
  <c r="H303" i="1"/>
  <c r="G303" i="1"/>
  <c r="F303" i="1"/>
  <c r="N303" i="1"/>
  <c r="F302" i="1"/>
  <c r="G302" i="1"/>
  <c r="H302" i="1"/>
  <c r="I302" i="1"/>
  <c r="N302" i="1"/>
  <c r="F301" i="1"/>
  <c r="G301" i="1"/>
  <c r="H301" i="1"/>
  <c r="I301" i="1"/>
  <c r="N301" i="1"/>
  <c r="I300" i="1"/>
  <c r="H300" i="1"/>
  <c r="G300" i="1"/>
  <c r="F300" i="1"/>
  <c r="N300" i="1"/>
  <c r="F299" i="1"/>
  <c r="G299" i="1"/>
  <c r="H299" i="1"/>
  <c r="I299" i="1"/>
  <c r="N299" i="1"/>
  <c r="N286" i="1"/>
  <c r="F286" i="1"/>
  <c r="G286" i="1"/>
  <c r="H286" i="1"/>
  <c r="I286" i="1"/>
  <c r="I298" i="1"/>
  <c r="H298" i="1"/>
  <c r="G298" i="1"/>
  <c r="F298" i="1"/>
  <c r="N298" i="1"/>
  <c r="F297" i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<sst xmlns="http://schemas.openxmlformats.org/spreadsheetml/2006/main" count="3103" uniqueCount="863">
  <si>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</si>
  <si>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</si>
  <si>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</si>
  <si>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</si>
  <si>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</si>
  <si>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</si>
  <si>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</si>
  <si>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</si>
  <si>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</si>
  <si>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</si>
  <si>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</si>
  <si>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</si>
  <si>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</si>
  <si>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</si>
  <si>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</si>
  <si>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</si>
  <si>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</si>
  <si>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</si>
  <si>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</si>
  <si>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</si>
  <si>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</si>
  <si>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</si>
  <si>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</si>
  <si>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</si>
  <si>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</si>
  <si>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</si>
  <si>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</si>
  <si>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</si>
  <si>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</si>
  <si>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</si>
  <si>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</si>
  <si>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</si>
  <si>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</si>
  <si>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</si>
  <si>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</si>
  <si>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</si>
  <si>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</si>
  <si>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</si>
  <si>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</si>
  <si>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</si>
  <si>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</si>
  <si>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</si>
  <si>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</si>
  <si>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</si>
  <si>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</si>
  <si>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</si>
  <si>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</si>
  <si>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</si>
  <si>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</si>
  <si>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</si>
  <si>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</si>
  <si>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</si>
  <si>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</si>
  <si>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</si>
  <si>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</si>
  <si>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</si>
  <si>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</si>
  <si>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</si>
  <si>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</si>
  <si>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</si>
  <si>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</si>
  <si>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</si>
  <si>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</si>
  <si>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</si>
  <si>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</si>
  <si>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</si>
  <si>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</si>
  <si>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</si>
  <si>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</si>
  <si>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</si>
  <si>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</si>
  <si>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</si>
  <si>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</si>
  <si>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</si>
  <si>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</si>
  <si>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</si>
  <si>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</si>
  <si>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</si>
  <si>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</si>
  <si>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</si>
  <si>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</si>
  <si>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</si>
  <si>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</si>
  <si>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</si>
  <si>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</si>
  <si>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</si>
  <si>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</si>
  <si>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</si>
  <si>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</si>
  <si>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</si>
  <si>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</si>
  <si>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</si>
  <si>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</si>
  <si>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</si>
  <si>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</si>
  <si>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</si>
  <si>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</si>
  <si>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</si>
  <si>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</si>
  <si>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</si>
  <si>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</si>
  <si>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</si>
  <si>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</si>
  <si>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</si>
  <si>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</si>
  <si>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</si>
  <si>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</si>
  <si>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</si>
  <si>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</si>
  <si>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</si>
  <si>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</si>
  <si>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</si>
  <si>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</si>
  <si>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</si>
  <si>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</si>
  <si>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</si>
  <si>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</si>
  <si>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</si>
  <si>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</si>
  <si>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</si>
  <si>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</si>
  <si>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</si>
  <si>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</si>
  <si>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</si>
  <si>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</si>
  <si>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</si>
  <si>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</si>
  <si>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</si>
  <si>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</si>
  <si>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</si>
  <si>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</si>
  <si>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</si>
  <si>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</si>
  <si>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</si>
  <si>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</si>
  <si>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</si>
  <si>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</si>
  <si>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</si>
  <si>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</si>
  <si>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</si>
  <si>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</si>
  <si>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</si>
  <si>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</si>
  <si>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</si>
  <si>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</si>
  <si>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</si>
  <si>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</si>
  <si>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</si>
  <si>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</si>
  <si>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</si>
  <si>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</si>
  <si>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</si>
  <si>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</si>
  <si>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</si>
  <si>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</si>
  <si>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</si>
  <si>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</si>
  <si>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</si>
  <si>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</si>
  <si>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</si>
  <si>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</si>
  <si>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</si>
  <si>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</si>
  <si>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</si>
  <si>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</si>
  <si>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</si>
  <si>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</si>
  <si>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</si>
  <si>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</si>
  <si>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</si>
  <si>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</si>
  <si>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</si>
  <si>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</si>
  <si>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</si>
  <si>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</si>
  <si>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</si>
  <si>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</si>
  <si>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</si>
  <si>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</si>
  <si>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</si>
  <si>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</si>
  <si>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</si>
  <si>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</si>
  <si>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</si>
  <si>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</si>
  <si>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</si>
  <si>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</si>
  <si>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</si>
  <si>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</si>
  <si>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</si>
  <si>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</si>
  <si>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</si>
  <si>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</si>
  <si>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</si>
  <si>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</si>
  <si>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</si>
  <si>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</si>
  <si>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</si>
  <si>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</si>
  <si>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</si>
  <si>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</si>
  <si>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</si>
  <si>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</si>
  <si>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</si>
  <si>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</si>
  <si>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</si>
  <si>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</si>
  <si>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</si>
  <si>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</si>
  <si>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</si>
  <si>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</si>
  <si>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</si>
  <si>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</si>
  <si>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</si>
  <si>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</si>
  <si>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</si>
  <si>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</si>
  <si>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</si>
  <si>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</si>
  <si>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</si>
  <si>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</si>
  <si>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</si>
  <si>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</si>
  <si>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</si>
  <si>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</si>
  <si>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</si>
  <si>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</si>
  <si>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</si>
  <si>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</si>
  <si>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</si>
  <si>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</si>
  <si>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</si>
  <si>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</si>
  <si>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</si>
  <si>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</si>
  <si>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</si>
  <si>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</si>
  <si>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</si>
  <si>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</si>
  <si>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</si>
  <si>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</si>
  <si>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</si>
  <si>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</si>
  <si>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</si>
  <si>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</si>
  <si>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</si>
  <si>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</si>
  <si>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</si>
  <si>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</si>
  <si>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</si>
  <si>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</si>
  <si>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</si>
  <si>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</si>
  <si>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</si>
  <si>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</si>
  <si>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</si>
  <si>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</si>
  <si>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</si>
  <si>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</si>
  <si>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</si>
  <si>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</si>
  <si>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</si>
  <si>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</si>
  <si>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</si>
  <si>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</si>
  <si>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</si>
  <si>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</si>
  <si>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</si>
  <si>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</si>
  <si>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</si>
  <si>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</si>
  <si>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</si>
  <si>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</si>
  <si>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</si>
  <si>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</si>
  <si>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</si>
  <si>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</si>
  <si>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</si>
  <si>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</si>
  <si>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</si>
  <si>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</si>
  <si>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</si>
  <si>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</si>
  <si>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</si>
  <si>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</si>
  <si>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</si>
  <si>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</si>
  <si>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</si>
  <si>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</si>
  <si>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</si>
  <si>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</si>
  <si>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</si>
  <si>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</si>
  <si>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</si>
  <si>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</si>
  <si>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</si>
  <si>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</si>
  <si>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</si>
  <si>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</si>
  <si>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</si>
  <si>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</si>
  <si>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</si>
  <si>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</si>
  <si>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</si>
  <si>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</si>
  <si>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</si>
  <si>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</si>
  <si>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</si>
  <si>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</si>
  <si>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</si>
  <si>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</si>
  <si>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</si>
  <si>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</si>
  <si>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</si>
  <si>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</si>
  <si>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</si>
  <si>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</si>
  <si>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</si>
  <si>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</si>
  <si>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</si>
  <si>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</si>
  <si>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</si>
  <si>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</si>
  <si>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</si>
  <si>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</si>
  <si>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</si>
  <si>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</si>
  <si>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</si>
  <si>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</si>
  <si>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</si>
  <si>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</si>
  <si>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</si>
  <si>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</si>
  <si>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</si>
  <si>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</si>
  <si>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</si>
  <si>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</si>
  <si>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</si>
  <si>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</si>
  <si>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</si>
  <si>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</si>
  <si>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</si>
  <si>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</si>
  <si>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</si>
  <si>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</si>
  <si>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</si>
  <si>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</si>
  <si>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</si>
  <si>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</si>
  <si>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</si>
  <si>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</si>
  <si>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</si>
  <si>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</si>
  <si>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</si>
  <si>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</si>
  <si>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</si>
  <si>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</si>
  <si>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</si>
  <si>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</si>
  <si>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</si>
  <si>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</si>
  <si>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</si>
  <si>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</si>
  <si>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</si>
  <si>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</si>
  <si>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</si>
  <si>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</si>
  <si>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</si>
  <si>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</si>
  <si>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</si>
  <si>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</si>
  <si>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</si>
  <si>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</si>
  <si>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</si>
  <si>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</si>
  <si>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</si>
  <si>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</si>
  <si>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</si>
  <si>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</si>
  <si>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</si>
  <si>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</si>
  <si>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</si>
  <si>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</si>
  <si>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</si>
  <si>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</si>
  <si>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</si>
  <si>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</si>
  <si>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</si>
  <si>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</si>
  <si>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</si>
  <si>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</si>
  <si>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</si>
  <si>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</si>
  <si>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</si>
  <si>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</si>
  <si>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</si>
  <si>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</si>
  <si>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</si>
  <si>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</si>
  <si>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</si>
  <si>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</si>
  <si>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</si>
  <si>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</si>
  <si>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</si>
  <si>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</si>
  <si>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</si>
  <si>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</si>
  <si>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</si>
  <si>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</si>
  <si>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</si>
  <si>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</si>
  <si>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</si>
  <si>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</si>
  <si>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</si>
  <si>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</si>
  <si>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</si>
  <si>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</si>
  <si>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</si>
  <si>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</si>
  <si>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</si>
  <si>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</si>
  <si>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</si>
  <si>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</si>
  <si>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</si>
  <si>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</si>
  <si>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</si>
  <si>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</si>
  <si>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</si>
  <si>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</si>
  <si>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</si>
  <si>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</si>
  <si>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</si>
  <si>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</si>
  <si>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</si>
  <si>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</si>
  <si>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</si>
  <si>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</si>
  <si>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</si>
  <si>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</si>
  <si>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</si>
  <si>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</si>
  <si>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</si>
  <si>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</si>
  <si>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</si>
  <si>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</si>
  <si>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</si>
  <si>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</si>
  <si>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</si>
  <si>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</si>
  <si>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</si>
  <si>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</si>
  <si>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</si>
  <si>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</si>
  <si>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</si>
  <si>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</si>
  <si>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</si>
  <si>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</si>
  <si>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</si>
  <si>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</si>
  <si>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</si>
  <si>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</si>
  <si>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</si>
  <si>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</si>
  <si>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</si>
  <si>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</si>
  <si>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</si>
  <si>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</si>
  <si>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</si>
  <si>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</si>
  <si>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</si>
  <si>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</si>
  <si>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</si>
  <si>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</si>
  <si>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</si>
  <si>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</si>
  <si>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</si>
  <si>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</si>
  <si>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</si>
  <si>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</si>
  <si>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</si>
  <si>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</si>
  <si>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</si>
  <si>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</si>
  <si>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</si>
  <si>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</si>
  <si>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</si>
  <si>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</si>
  <si>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</si>
  <si>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</si>
  <si>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</si>
  <si>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</si>
  <si>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</si>
  <si>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</si>
  <si>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</si>
  <si>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</si>
  <si>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</si>
  <si>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</si>
  <si>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</si>
  <si>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</si>
  <si>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</si>
  <si>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</si>
  <si>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</si>
  <si>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</si>
  <si>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</si>
  <si>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</si>
  <si>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</si>
  <si>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</si>
  <si>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</si>
  <si>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</si>
  <si>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</si>
  <si>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</si>
  <si>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</si>
  <si>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</si>
  <si>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</si>
  <si>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</si>
  <si>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</si>
  <si>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</si>
  <si>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</si>
  <si>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</si>
  <si>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</si>
  <si>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</si>
  <si>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</si>
  <si>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</si>
  <si>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</si>
  <si>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</si>
  <si>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</si>
  <si>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</si>
  <si>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</si>
  <si>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</si>
  <si>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</si>
  <si>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</si>
  <si>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</si>
  <si>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</si>
  <si>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</si>
  <si>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</si>
  <si>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</si>
  <si>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</si>
  <si>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</si>
  <si>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</si>
  <si>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</si>
  <si>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</si>
  <si>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</si>
  <si>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</si>
  <si>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</si>
  <si>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</si>
  <si>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</si>
  <si>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</si>
  <si>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</si>
  <si>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</si>
  <si>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</si>
  <si>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</si>
  <si>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</si>
  <si>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</si>
  <si>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</si>
  <si>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</si>
  <si>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</si>
  <si>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</si>
  <si>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</si>
  <si>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</si>
  <si>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</si>
  <si>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</si>
  <si>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</si>
  <si>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</si>
  <si>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</si>
  <si>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</si>
  <si>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</si>
  <si>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</si>
  <si>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</si>
  <si>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</si>
  <si>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</si>
  <si>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</si>
  <si>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</si>
  <si>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</si>
  <si>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</si>
  <si>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</si>
  <si>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</si>
  <si>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</si>
  <si>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</si>
  <si>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</si>
  <si>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</si>
  <si>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</si>
  <si>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</si>
  <si>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</si>
  <si>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</si>
  <si>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</si>
  <si>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</si>
  <si>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</si>
  <si>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</si>
  <si>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</si>
  <si>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</si>
  <si>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</si>
  <si>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</si>
  <si>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</si>
  <si>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</si>
  <si>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</si>
  <si>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</si>
  <si>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</si>
  <si>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</si>
  <si>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</si>
  <si>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</si>
  <si>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</si>
  <si>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</si>
  <si>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</si>
  <si>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</si>
  <si>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</si>
  <si>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</si>
  <si>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</si>
  <si>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</si>
  <si>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</si>
  <si>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</si>
  <si>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</si>
  <si>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</si>
  <si>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</si>
  <si>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</si>
  <si>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</si>
  <si>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</si>
  <si>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</si>
  <si>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</si>
  <si>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</si>
  <si>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</si>
  <si>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</si>
  <si>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</si>
  <si>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</si>
  <si>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</si>
  <si>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</si>
  <si>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</si>
  <si>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</si>
  <si>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</si>
  <si>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</si>
  <si>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</si>
  <si>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</si>
  <si>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</si>
  <si>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</si>
  <si>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</si>
  <si>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</si>
  <si>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</si>
  <si>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</si>
  <si>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</si>
  <si>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</si>
  <si>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</si>
  <si>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</si>
  <si>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</si>
  <si>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</si>
  <si>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</si>
  <si>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</si>
  <si>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</si>
  <si>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</si>
  <si>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</si>
  <si>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</si>
  <si>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</si>
  <si>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</si>
  <si>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</si>
  <si>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</si>
  <si>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</si>
  <si>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</si>
  <si>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</si>
  <si>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</si>
  <si>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</si>
  <si>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</si>
  <si>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</si>
  <si>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</si>
  <si>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</si>
  <si>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</si>
  <si>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</si>
  <si>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</si>
  <si>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</si>
  <si>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</si>
  <si>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</si>
  <si>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</si>
  <si>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</si>
  <si>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</si>
  <si>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</si>
  <si>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</si>
  <si>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</si>
  <si>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</si>
  <si>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</si>
  <si>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</si>
  <si>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</si>
  <si>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</si>
  <si>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</si>
  <si>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</si>
  <si>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</si>
  <si>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</si>
  <si>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</si>
  <si>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</si>
  <si>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</si>
  <si>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</si>
  <si>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</si>
  <si>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</si>
  <si>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</si>
  <si>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</si>
  <si>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</si>
  <si>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</si>
  <si>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</si>
  <si>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</si>
  <si>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</si>
  <si>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</si>
  <si>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</si>
  <si>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</si>
  <si>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</si>
  <si>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</si>
  <si>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</si>
  <si>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</si>
  <si>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</si>
  <si>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</si>
  <si>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</si>
  <si>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</si>
  <si>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</si>
  <si>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</si>
  <si>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</si>
  <si>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</si>
  <si>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</si>
  <si>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</si>
  <si>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</si>
  <si>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</si>
  <si>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</si>
  <si>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</si>
  <si>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</si>
  <si>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</si>
  <si>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</si>
  <si>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</si>
  <si>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</si>
  <si>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</si>
  <si>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</si>
  <si>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</si>
  <si>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</si>
  <si>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</si>
  <si>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</si>
  <si>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</si>
  <si>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</si>
  <si>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</si>
  <si>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</si>
  <si>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</si>
  <si>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</si>
  <si>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</si>
  <si>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</si>
  <si>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</si>
  <si>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</si>
  <si>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</si>
  <si>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</si>
  <si>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</si>
  <si>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</si>
  <si>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</si>
  <si>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</si>
  <si>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</si>
  <si>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</si>
  <si>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</si>
  <si>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</si>
  <si>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</si>
  <si>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</si>
  <si>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</si>
  <si>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</si>
  <si>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</si>
  <si>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</si>
  <si>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</si>
  <si>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</si>
  <si>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</si>
  <si>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</si>
  <si>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</si>
  <si>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</si>
  <si>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</si>
  <si>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</si>
  <si>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</si>
  <si>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</si>
  <si>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</si>
  <si>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</si>
  <si>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</si>
  <si>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</si>
  <si>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</si>
  <si>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</si>
  <si>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</si>
  <si>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</si>
  <si>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</si>
  <si>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</si>
  <si>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</si>
  <si>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</si>
  <si>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</si>
  <si>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</si>
  <si>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</si>
  <si>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</si>
  <si>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</si>
  <si>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</si>
  <si>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</si>
  <si>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</si>
  <si>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</si>
  <si>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</si>
  <si>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</si>
  <si>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</si>
  <si>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</si>
  <si>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</si>
  <si>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</si>
  <si>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</si>
  <si>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</si>
  <si>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</si>
  <si>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</si>
  <si>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</si>
  <si>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</si>
  <si>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</si>
  <si>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</si>
  <si>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</si>
  <si>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</si>
  <si>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</si>
  <si>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</si>
  <si>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</si>
  <si>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</si>
  <si>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</si>
  <si>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</si>
  <si>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</si>
  <si>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</si>
  <si>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</si>
  <si>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</si>
  <si>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</si>
  <si>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</si>
  <si>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</si>
  <si>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</si>
  <si>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</si>
  <si>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</si>
  <si>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</si>
  <si>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</si>
  <si>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</si>
  <si>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</si>
  <si>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</si>
  <si>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</si>
  <si>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</si>
  <si>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</si>
  <si>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</si>
  <si>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</si>
  <si>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</si>
  <si>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</si>
  <si>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</si>
  <si>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</si>
  <si>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</si>
  <si>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</si>
  <si>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</si>
  <si>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</si>
  <si>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</si>
  <si>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</si>
  <si>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</si>
  <si>
    <t>https://psa.gov.ph/content/number-unemployed-persons-december-2025-increased-226-million-filipinos-aged-15-years-and</t>
  </si>
  <si>
    <t>https://psa.gov.ph/content/number-unemployed-persons-january-2026-increased-296-million-filipinos-aged-15-years-and</t>
  </si>
  <si>
    <t>2026</t>
  </si>
  <si>
    <t>2026 Jan</t>
  </si>
  <si>
    <t>2026 Feb</t>
  </si>
  <si>
    <t>2026 Mar</t>
  </si>
  <si>
    <t>2026 Apr</t>
  </si>
  <si>
    <t>2026 May</t>
  </si>
  <si>
    <t>2026 Jun</t>
  </si>
  <si>
    <t>2026 Jul</t>
  </si>
  <si>
    <t>2026 Aug</t>
  </si>
  <si>
    <t>2026 Sep</t>
  </si>
  <si>
    <t>2026 Oct</t>
  </si>
  <si>
    <t>2026 Nov</t>
  </si>
  <si>
    <t>2026 Dec</t>
  </si>
  <si>
    <t>2026 Annual</t>
  </si>
  <si>
    <t>https://psa.gov.ph/content/2024-annual-provincial-labor-market-statistics-preliminary-results</t>
  </si>
  <si>
    <t>https://psa.gov.ph/content/2025-annual-provincial-labor-market-statistics-preliminary-results</t>
  </si>
  <si>
    <t>https://psa.gov.ph/content/unemployment-rate-declined-51-percent-labor-market-conditions-improved-february-2026</t>
  </si>
  <si>
    <t>https://psa.gov.ph/content/unemployment-rate-eased-50-percent-march-2026</t>
  </si>
  <si>
    <t>https://psa.gov.ph/content/number-employed-persons-april-2026-increased-4889-million-filipinos-aged-15-years-and-over</t>
  </si>
  <si>
    <t>2026Apr</t>
  </si>
  <si>
    <t>2026Mar</t>
  </si>
  <si>
    <t>2026Feb</t>
  </si>
  <si>
    <t>2026Jan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</si>
</sst>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1" fillId="0" borderId="0" applyFont="0" applyFill="0" applyBorder="0" applyProtection="0"/>
    <xf numFmtId="0" fontId="9" fillId="0" borderId="0"/>
    <xf numFmtId="0" fontId="5" fillId="0" borderId="0"/>
  </cellStyleXfs>
  <cellXfs count="55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10" fillId="0" borderId="0" xfId="0" applyNumberFormat="1" applyFont="1"/>
    <xf numFmtId="0" fontId="10" fillId="0" borderId="0" xfId="0" applyFont="1"/>
    <xf numFmtId="0" fontId="9" fillId="0" borderId="0" xfId="2"/>
    <xf numFmtId="0" fontId="9" fillId="0" borderId="0" xfId="2" applyAlignment="1">
      <alignment vertical="center"/>
    </xf>
    <xf numFmtId="167" fontId="9" fillId="0" borderId="0" xfId="2" applyNumberFormat="1"/>
    <xf numFmtId="0" fontId="10" fillId="0" borderId="0" xfId="2" applyFont="1"/>
    <xf numFmtId="0" fontId="10" fillId="0" borderId="0" xfId="2" applyFont="1" applyAlignment="1">
      <alignment vertical="center"/>
    </xf>
    <xf numFmtId="167" fontId="9" fillId="0" borderId="2" xfId="2" applyNumberFormat="1" applyBorder="1"/>
    <xf numFmtId="0" fontId="9" fillId="0" borderId="2" xfId="2" applyBorder="1"/>
    <xf numFmtId="0" fontId="9" fillId="6" borderId="0" xfId="2" applyFill="1"/>
    <xf numFmtId="0" fontId="12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8" fillId="0" borderId="0" xfId="2" applyFont="1"/>
    <xf numFmtId="49" fontId="6" fillId="0" borderId="0" xfId="0" applyNumberFormat="1" applyFont="1"/>
    <xf numFmtId="49" fontId="5" fillId="0" borderId="0" xfId="0" applyNumberFormat="1" applyFont="1"/>
    <xf numFmtId="0" fontId="5" fillId="0" borderId="0" xfId="3"/>
    <xf numFmtId="0" fontId="12" fillId="0" borderId="0" xfId="3" applyFont="1"/>
    <xf numFmtId="0" fontId="5" fillId="0" borderId="0" xfId="3" applyAlignment="1">
      <alignment vertical="center"/>
    </xf>
    <xf numFmtId="167" fontId="5" fillId="0" borderId="0" xfId="3" applyNumberFormat="1"/>
    <xf numFmtId="167" fontId="12" fillId="0" borderId="2" xfId="3" applyNumberFormat="1" applyFont="1" applyBorder="1"/>
    <xf numFmtId="167" fontId="12" fillId="0" borderId="0" xfId="3" applyNumberFormat="1" applyFont="1"/>
    <xf numFmtId="166" fontId="0" fillId="0" borderId="1" xfId="0" applyNumberFormat="1" applyBorder="1"/>
    <xf numFmtId="0" fontId="4" fillId="0" borderId="0" xfId="0" applyFont="1"/>
    <xf numFmtId="3" fontId="12" fillId="0" borderId="0" xfId="0" applyNumberFormat="1" applyFont="1"/>
    <xf numFmtId="0" fontId="3" fillId="0" borderId="0" xfId="0" applyFont="1"/>
    <xf numFmtId="49" fontId="2" fillId="0" borderId="0" xfId="0" applyNumberFormat="1" applyFont="1"/>
    <xf numFmtId="167" fontId="8" fillId="0" borderId="0" xfId="2" applyNumberFormat="1" applyFont="1"/>
    <xf numFmtId="167" fontId="7" fillId="0" borderId="0" xfId="2" applyNumberFormat="1" applyFont="1"/>
    <xf numFmtId="49" fontId="1" fillId="0" borderId="0" xfId="0" applyNumberFormat="1" applyFont="1"/>
    <xf numFmtId="167" fontId="9" fillId="6" borderId="0" xfId="2" applyNumberFormat="1" applyFill="1"/>
    <xf numFmtId="0" fontId="7" fillId="0" borderId="0" xfId="2" applyFont="1"/>
    <xf numFmtId="167" fontId="1" fillId="0" borderId="0" xfId="2" applyNumberFormat="1" applyFont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2"/>
  <sheetViews>
    <sheetView tabSelected="1" workbookViewId="0">
      <pane xSplit="3" ySplit="1" topLeftCell="D296" activePane="bottomRight" state="frozen"/>
      <selection activeCell="F263" sqref="F263"/>
      <selection pane="topRight"/>
      <selection pane="bottomLeft"/>
      <selection pane="bottomRight" activeCell="F304" sqref="F304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F273" s="3">
        <f t="shared" si="29"/>
        <v>0.64902518316184687</v>
      </c>
      <c r="G273" s="3">
        <f t="shared" si="29"/>
        <v>0.95646236465468837</v>
      </c>
      <c r="H273" s="3">
        <f>M273/K273</f>
        <v>4.3537635345311652E-2</v>
      </c>
      <c r="I273" s="3">
        <f>O273/L273</f>
        <v>0.12337530075856781</v>
      </c>
      <c r="J273" s="2">
        <v>77609.913</v>
      </c>
      <c r="K273" s="2">
        <v>50370.788</v>
      </c>
      <c r="L273" s="2">
        <v>48177.762999999999</v>
      </c>
      <c r="M273" s="2">
        <v>2193.0250000000001</v>
      </c>
      <c r="N273" s="2">
        <f>J273-K273</f>
        <v>27239.125</v>
      </c>
      <c r="O273" s="2">
        <v>5943.9459999999999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303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F286" s="3">
        <f t="shared" ref="F286" si="45">K286/J286</f>
        <v>0.64425305221731499</v>
      </c>
      <c r="G286" s="3">
        <f t="shared" ref="G286" si="46">L286/K286</f>
        <v>0.96173929580531325</v>
      </c>
      <c r="H286" s="3">
        <f t="shared" ref="H286" si="47">M286/K286</f>
        <v>3.8260723885731526E-2</v>
      </c>
      <c r="I286" s="3">
        <f t="shared" ref="I286" si="48">O286/L286</f>
        <v>0.11912265678566175</v>
      </c>
      <c r="J286" s="2">
        <v>78826.956000000006</v>
      </c>
      <c r="K286" s="2">
        <v>50784.506999999998</v>
      </c>
      <c r="L286" s="2">
        <v>48841.455999999998</v>
      </c>
      <c r="M286" s="2">
        <v>1943.0519999999999</v>
      </c>
      <c r="N286" s="2">
        <f t="shared" si="34"/>
        <v>28042.449000000008</v>
      </c>
      <c r="O286" s="2">
        <v>5818.1239999999998</v>
      </c>
      <c r="P286" t="s">
        <v>854</v>
      </c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F287" s="3">
        <f t="shared" ref="F287:F288" si="49">K287/J287</f>
        <v>0.63860613190398863</v>
      </c>
      <c r="G287" s="3">
        <f t="shared" ref="G287:G288" si="50">L287/K287</f>
        <v>0.95725210956042472</v>
      </c>
      <c r="H287" s="3">
        <f t="shared" ref="H287:H288" si="51">M287/K287</f>
        <v>4.2747890439575394E-2</v>
      </c>
      <c r="I287" s="3">
        <f t="shared" ref="I287:I288" si="52">O287/L287</f>
        <v>0.13342662775918007</v>
      </c>
      <c r="J287" s="2">
        <v>79316.342999999993</v>
      </c>
      <c r="K287" s="2">
        <v>50651.902999999998</v>
      </c>
      <c r="L287" s="2">
        <v>48486.641000000003</v>
      </c>
      <c r="M287" s="2">
        <v>2165.2620000000002</v>
      </c>
      <c r="N287" s="2">
        <f t="shared" si="34"/>
        <v>28664.439999999995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F288" s="3">
        <f t="shared" si="49"/>
        <v>0.64472798115191687</v>
      </c>
      <c r="G288" s="3">
        <f t="shared" si="50"/>
        <v>0.96208534683068936</v>
      </c>
      <c r="H288" s="3">
        <f t="shared" si="51"/>
        <v>3.7914672741739958E-2</v>
      </c>
      <c r="I288" s="3">
        <f t="shared" si="52"/>
        <v>0.10087542842932454</v>
      </c>
      <c r="J288" s="2">
        <v>79246.255000000005</v>
      </c>
      <c r="K288" s="2">
        <v>51092.277999999998</v>
      </c>
      <c r="L288" s="2">
        <v>49155.131999999998</v>
      </c>
      <c r="M288" s="2">
        <v>1937.1469999999999</v>
      </c>
      <c r="N288" s="2">
        <f t="shared" si="34"/>
        <v>28153.977000000006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6"/>
      <c r="F289" s="3">
        <f t="shared" ref="F289" si="53">K289/J289</f>
        <v>0.62852465692284698</v>
      </c>
      <c r="G289" s="3">
        <f t="shared" ref="G289" si="54">L289/K289</f>
        <v>0.96132601706253951</v>
      </c>
      <c r="H289" s="3">
        <f t="shared" ref="H289" si="55">M289/K289</f>
        <v>3.8673982937460612E-2</v>
      </c>
      <c r="I289" s="3">
        <f t="shared" ref="I289" si="56">O289/L289</f>
        <v>0.1340917865241773</v>
      </c>
      <c r="J289" s="2">
        <v>79478.551000000007</v>
      </c>
      <c r="K289" s="2">
        <v>49954.228999999999</v>
      </c>
      <c r="L289" s="2">
        <v>48022.3</v>
      </c>
      <c r="M289" s="2">
        <v>1931.9290000000001</v>
      </c>
      <c r="N289" s="2">
        <f t="shared" si="34"/>
        <v>29524.322000000007</v>
      </c>
      <c r="O289" s="2">
        <v>6439.3959999999997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7"/>
      <c r="F290" s="3">
        <f t="shared" ref="F290" si="57">K290/J290</f>
        <v>0.63744363097856882</v>
      </c>
      <c r="G290" s="3">
        <f t="shared" ref="G290" si="58">L290/K290</f>
        <v>0.95932525707499128</v>
      </c>
      <c r="H290" s="3">
        <f t="shared" ref="H290" si="59">M290/K290</f>
        <v>4.0674742925008833E-2</v>
      </c>
      <c r="I290" s="3">
        <f t="shared" ref="I290" si="60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61">K291/J291</f>
        <v>0.6584863836337842</v>
      </c>
      <c r="G291" s="3">
        <f t="shared" ref="G291" si="62">L291/K291</f>
        <v>0.96111235686185403</v>
      </c>
      <c r="H291" s="3">
        <f t="shared" ref="H291" si="63">M291/K291</f>
        <v>3.8887643138145953E-2</v>
      </c>
      <c r="I291" s="3">
        <f t="shared" ref="I291" si="64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5">K292/J292</f>
        <v>0.65710331091544816</v>
      </c>
      <c r="G292" s="3">
        <f t="shared" ref="G292:G295" si="66">L292/K292</f>
        <v>0.96282180199484058</v>
      </c>
      <c r="H292" s="3">
        <f t="shared" ref="H292:H295" si="67">M292/K292</f>
        <v>3.7178178929830163E-2</v>
      </c>
      <c r="I292" s="3">
        <f t="shared" ref="I292:I295" si="68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8" t="s">
        <v>425</v>
      </c>
      <c r="F293" s="3">
        <f t="shared" si="65"/>
        <v>0.60733264333125092</v>
      </c>
      <c r="G293" s="3">
        <f t="shared" si="66"/>
        <v>0.94668134653257563</v>
      </c>
      <c r="H293" s="3">
        <f t="shared" si="67"/>
        <v>5.3318653467424447E-2</v>
      </c>
      <c r="I293" s="3">
        <f t="shared" si="68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5"/>
        <v>0.65059958154669972</v>
      </c>
      <c r="G294" s="3">
        <f t="shared" si="66"/>
        <v>0.96099154554045707</v>
      </c>
      <c r="H294" s="3">
        <f t="shared" si="67"/>
        <v>3.9008454459542867E-2</v>
      </c>
      <c r="I294" s="3">
        <f t="shared" si="68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5"/>
        <v>0.64460489114467467</v>
      </c>
      <c r="G295" s="3">
        <f t="shared" si="66"/>
        <v>0.96206599107752477</v>
      </c>
      <c r="H295" s="3">
        <f t="shared" si="67"/>
        <v>3.7933989526717726E-2</v>
      </c>
      <c r="I295" s="3">
        <f t="shared" si="68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9">K296/J296</f>
        <v>0.63560755079129783</v>
      </c>
      <c r="G296" s="3">
        <f t="shared" ref="G296" si="70">L296/K296</f>
        <v>0.95031294409585143</v>
      </c>
      <c r="H296" s="3">
        <f t="shared" ref="H296" si="71">M296/K296</f>
        <v>4.9687055904148611E-2</v>
      </c>
      <c r="I296" s="3">
        <f t="shared" ref="I296" si="72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:F298" si="73">K297/J297</f>
        <v>0.6401309260312904</v>
      </c>
      <c r="G297" s="3">
        <f t="shared" ref="G297:G298" si="74">L297/K297</f>
        <v>0.95627988958077537</v>
      </c>
      <c r="H297" s="3">
        <f t="shared" ref="H297:H298" si="75">M297/K297</f>
        <v>4.3720091008200068E-2</v>
      </c>
      <c r="I297" s="3">
        <f t="shared" ref="I297:I298" si="76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E298" s="1" t="s">
        <v>425</v>
      </c>
      <c r="F298" s="3">
        <f t="shared" si="73"/>
        <v>0.64408386794373529</v>
      </c>
      <c r="G298" s="3">
        <f t="shared" si="74"/>
        <v>0.95628417330437099</v>
      </c>
      <c r="H298" s="3">
        <f t="shared" si="75"/>
        <v>4.3715826695628943E-2</v>
      </c>
      <c r="I298" s="3">
        <f t="shared" si="76"/>
        <v>7.9541547959674858E-2</v>
      </c>
      <c r="J298" s="2">
        <v>80248.157999999996</v>
      </c>
      <c r="K298" s="2">
        <v>51686.544000000002</v>
      </c>
      <c r="L298" s="2">
        <v>49427.023999999998</v>
      </c>
      <c r="M298" s="2">
        <v>2259.52</v>
      </c>
      <c r="N298" s="2">
        <f t="shared" si="34"/>
        <v>28561.613999999994</v>
      </c>
      <c r="O298" s="2">
        <v>3931.502</v>
      </c>
      <c r="P298" t="s">
        <v>838</v>
      </c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E299" s="1" t="s">
        <v>425</v>
      </c>
      <c r="F299" s="3">
        <f t="shared" ref="F299" si="77">K299/J299</f>
        <v>0.64059574979635558</v>
      </c>
      <c r="G299" s="3">
        <f t="shared" ref="G299" si="78">L299/K299</f>
        <v>0.95810662851377437</v>
      </c>
      <c r="H299" s="3">
        <f t="shared" ref="H299" si="79">M299/K299</f>
        <v>4.1893371486225565E-2</v>
      </c>
      <c r="I299" s="3">
        <f t="shared" ref="I299" si="80">O299/L299</f>
        <v>0.11881208662896116</v>
      </c>
      <c r="J299" s="2">
        <v>79857.350000000006</v>
      </c>
      <c r="K299" s="2">
        <v>51156.279000000002</v>
      </c>
      <c r="L299" s="2">
        <v>49013.17</v>
      </c>
      <c r="M299" s="2">
        <v>2143.1089999999999</v>
      </c>
      <c r="N299" s="2">
        <f t="shared" si="34"/>
        <v>28701.071000000004</v>
      </c>
      <c r="O299" s="2">
        <v>5823.357</v>
      </c>
      <c r="P299" t="s">
        <v>855</v>
      </c>
    </row>
    <row r="300" spans="1:16" x14ac:dyDescent="0.25">
      <c r="A300" s="1" t="s">
        <v>841</v>
      </c>
      <c r="B300" s="1" t="s">
        <v>840</v>
      </c>
      <c r="C300" s="1" t="s">
        <v>103</v>
      </c>
      <c r="D300" s="1" t="s">
        <v>417</v>
      </c>
      <c r="E300" s="1" t="s">
        <v>425</v>
      </c>
      <c r="F300" s="3">
        <f t="shared" ref="F300" si="81">K300/J300</f>
        <v>0.62304594527350909</v>
      </c>
      <c r="G300" s="3">
        <f t="shared" ref="G300" si="82">L300/K300</f>
        <v>0.94193643540031868</v>
      </c>
      <c r="H300" s="3">
        <f t="shared" ref="H300" si="83">M300/K300</f>
        <v>5.8063564599681317E-2</v>
      </c>
      <c r="I300" s="3">
        <f t="shared" ref="I300" si="84">O300/L300</f>
        <v>0.13244881397687053</v>
      </c>
      <c r="J300" s="2">
        <v>81683.548999999999</v>
      </c>
      <c r="K300" s="2">
        <v>50892.603999999999</v>
      </c>
      <c r="L300" s="2">
        <v>47937.597999999998</v>
      </c>
      <c r="M300" s="2">
        <v>2955.0059999999999</v>
      </c>
      <c r="N300" s="2">
        <f t="shared" si="34"/>
        <v>30790.945</v>
      </c>
      <c r="O300" s="2">
        <v>6349.2780000000002</v>
      </c>
      <c r="P300" t="s">
        <v>839</v>
      </c>
    </row>
    <row r="301" spans="1:16" x14ac:dyDescent="0.25">
      <c r="A301" s="1" t="s">
        <v>842</v>
      </c>
      <c r="B301" s="1" t="s">
        <v>840</v>
      </c>
      <c r="C301" s="1" t="s">
        <v>430</v>
      </c>
      <c r="D301" s="1" t="s">
        <v>417</v>
      </c>
      <c r="E301" s="1" t="s">
        <v>425</v>
      </c>
      <c r="F301" s="3">
        <f t="shared" ref="F301" si="85">K301/J301</f>
        <v>0.63814578496183227</v>
      </c>
      <c r="G301" s="3">
        <f t="shared" ref="G301" si="86">L301/K301</f>
        <v>0.94891847087590342</v>
      </c>
      <c r="H301" s="3">
        <f t="shared" ref="H301" si="87">M301/K301</f>
        <v>5.1081529124096595E-2</v>
      </c>
      <c r="I301" s="3">
        <f t="shared" ref="I301" si="88">O301/L301</f>
        <v>0.1181406960296031</v>
      </c>
      <c r="J301" s="2">
        <v>81621.751999999993</v>
      </c>
      <c r="K301" s="2">
        <v>52086.576999999997</v>
      </c>
      <c r="L301" s="2">
        <v>49425.915000000001</v>
      </c>
      <c r="M301" s="2">
        <v>2660.6619999999998</v>
      </c>
      <c r="N301" s="2">
        <f t="shared" si="34"/>
        <v>29535.174999999996</v>
      </c>
      <c r="O301" s="2">
        <v>5839.2120000000004</v>
      </c>
      <c r="P301" t="s">
        <v>856</v>
      </c>
    </row>
    <row r="302" spans="1:16" x14ac:dyDescent="0.25">
      <c r="A302" s="1" t="s">
        <v>843</v>
      </c>
      <c r="B302" s="1" t="s">
        <v>840</v>
      </c>
      <c r="C302" s="1" t="s">
        <v>433</v>
      </c>
      <c r="D302" s="1" t="s">
        <v>417</v>
      </c>
      <c r="E302" s="51" t="s">
        <v>425</v>
      </c>
      <c r="F302" s="3">
        <f t="shared" ref="F302" si="89">K302/J302</f>
        <v>0.63323252936195007</v>
      </c>
      <c r="G302" s="3">
        <f t="shared" ref="G302" si="90">L302/K302</f>
        <v>0.95010655661650911</v>
      </c>
      <c r="H302" s="3">
        <f t="shared" ref="H302" si="91">M302/K302</f>
        <v>4.9893443383490894E-2</v>
      </c>
      <c r="I302" s="3">
        <f t="shared" ref="I302" si="92">O302/L302</f>
        <v>0.12291139509308913</v>
      </c>
      <c r="J302" s="2">
        <v>81558.956000000006</v>
      </c>
      <c r="K302" s="2">
        <v>51645.784</v>
      </c>
      <c r="L302" s="2">
        <v>49068.998</v>
      </c>
      <c r="M302" s="2">
        <v>2576.7860000000001</v>
      </c>
      <c r="N302" s="2">
        <f t="shared" si="34"/>
        <v>29913.172000000006</v>
      </c>
      <c r="O302" s="2">
        <v>6031.1390000000001</v>
      </c>
      <c r="P302" t="s">
        <v>857</v>
      </c>
    </row>
    <row r="303" spans="1:16" x14ac:dyDescent="0.25">
      <c r="A303" s="1" t="s">
        <v>844</v>
      </c>
      <c r="B303" s="1" t="s">
        <v>840</v>
      </c>
      <c r="C303" s="1" t="s">
        <v>105</v>
      </c>
      <c r="D303" s="1" t="s">
        <v>417</v>
      </c>
      <c r="E303" s="51" t="s">
        <v>425</v>
      </c>
      <c r="F303" s="3">
        <f t="shared" ref="F303" si="93">K303/J303</f>
        <v>0.62680754809337047</v>
      </c>
      <c r="G303" s="3">
        <f t="shared" ref="G303" si="94">L303/K303</f>
        <v>0.95294387941059833</v>
      </c>
      <c r="H303" s="3">
        <f t="shared" ref="H303" si="95">M303/K303</f>
        <v>4.7056120589401763E-2</v>
      </c>
      <c r="I303" s="3">
        <f t="shared" ref="I303" si="96">O303/L303</f>
        <v>0.15157325103830141</v>
      </c>
      <c r="J303" s="2">
        <v>81849.066999999995</v>
      </c>
      <c r="K303" s="2">
        <v>51303.612999999998</v>
      </c>
      <c r="L303" s="2">
        <v>48889.464</v>
      </c>
      <c r="M303" s="2">
        <v>2414.1489999999999</v>
      </c>
      <c r="N303" s="2">
        <f t="shared" si="34"/>
        <v>30545.453999999998</v>
      </c>
      <c r="O303" s="2">
        <v>7410.335</v>
      </c>
      <c r="P303" t="s">
        <v>858</v>
      </c>
    </row>
    <row r="304" spans="1:16" x14ac:dyDescent="0.25">
      <c r="A304" s="1" t="s">
        <v>845</v>
      </c>
      <c r="B304" s="1" t="s">
        <v>840</v>
      </c>
      <c r="C304" s="1" t="s">
        <v>439</v>
      </c>
      <c r="D304" s="1" t="s">
        <v>417</v>
      </c>
      <c r="O304" s="2"/>
    </row>
    <row r="305" spans="1:15" x14ac:dyDescent="0.25">
      <c r="A305" s="1" t="s">
        <v>846</v>
      </c>
      <c r="B305" s="1" t="s">
        <v>840</v>
      </c>
      <c r="C305" s="1" t="s">
        <v>442</v>
      </c>
      <c r="D305" s="1" t="s">
        <v>417</v>
      </c>
      <c r="O305" s="2"/>
    </row>
    <row r="306" spans="1:15" x14ac:dyDescent="0.25">
      <c r="A306" s="1" t="s">
        <v>847</v>
      </c>
      <c r="B306" s="1" t="s">
        <v>840</v>
      </c>
      <c r="C306" s="1" t="s">
        <v>107</v>
      </c>
      <c r="D306" s="1" t="s">
        <v>417</v>
      </c>
      <c r="E306" s="48"/>
      <c r="O306" s="2"/>
    </row>
    <row r="307" spans="1:15" x14ac:dyDescent="0.25">
      <c r="A307" s="1" t="s">
        <v>848</v>
      </c>
      <c r="B307" s="1" t="s">
        <v>840</v>
      </c>
      <c r="C307" s="1" t="s">
        <v>447</v>
      </c>
      <c r="D307" s="1" t="s">
        <v>417</v>
      </c>
      <c r="O307" s="2"/>
    </row>
    <row r="308" spans="1:15" x14ac:dyDescent="0.25">
      <c r="A308" s="1" t="s">
        <v>849</v>
      </c>
      <c r="B308" s="1" t="s">
        <v>840</v>
      </c>
      <c r="C308" s="1" t="s">
        <v>450</v>
      </c>
      <c r="D308" s="1" t="s">
        <v>417</v>
      </c>
      <c r="O308" s="2"/>
    </row>
    <row r="309" spans="1:15" x14ac:dyDescent="0.25">
      <c r="A309" s="1" t="s">
        <v>850</v>
      </c>
      <c r="B309" s="1" t="s">
        <v>840</v>
      </c>
      <c r="C309" s="1" t="s">
        <v>110</v>
      </c>
      <c r="D309" s="1" t="s">
        <v>417</v>
      </c>
      <c r="O309" s="2"/>
    </row>
    <row r="310" spans="1:15" x14ac:dyDescent="0.25">
      <c r="A310" s="1" t="s">
        <v>851</v>
      </c>
      <c r="B310" s="1" t="s">
        <v>840</v>
      </c>
      <c r="C310" s="1" t="s">
        <v>455</v>
      </c>
      <c r="D310" s="1" t="s">
        <v>417</v>
      </c>
      <c r="O310" s="2"/>
    </row>
    <row r="311" spans="1:15" x14ac:dyDescent="0.25">
      <c r="A311" s="1" t="s">
        <v>852</v>
      </c>
      <c r="B311" s="1" t="s">
        <v>840</v>
      </c>
      <c r="C311" s="1" t="s">
        <v>458</v>
      </c>
      <c r="D311" s="1" t="s">
        <v>417</v>
      </c>
      <c r="O311" s="2"/>
    </row>
    <row r="312" spans="1:15" x14ac:dyDescent="0.25">
      <c r="A312" s="1" t="s">
        <v>853</v>
      </c>
      <c r="B312" s="1" t="s">
        <v>840</v>
      </c>
      <c r="C312" s="1" t="s">
        <v>28</v>
      </c>
      <c r="D312" s="1" t="s">
        <v>417</v>
      </c>
      <c r="O312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7"/>
  <sheetViews>
    <sheetView workbookViewId="0">
      <pane xSplit="1" ySplit="1" topLeftCell="B29" activePane="bottomRight" state="frozen"/>
      <selection activeCell="B2" sqref="B2"/>
      <selection pane="topRight"/>
      <selection pane="bottomLeft"/>
      <selection pane="bottomRight" activeCell="B45" sqref="B45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7"/>
      <c r="M2" s="47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7"/>
      <c r="M3" s="47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7"/>
      <c r="M4" s="47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7"/>
      <c r="M5" s="47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7"/>
      <c r="M6" s="47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7"/>
      <c r="M7" s="47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7"/>
      <c r="M8" s="47"/>
      <c r="N8" s="47"/>
      <c r="O8" s="47"/>
      <c r="P8" s="47"/>
      <c r="Q8" s="4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7"/>
      <c r="M9" s="47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7" t="s">
        <v>817</v>
      </c>
      <c r="M10" s="47"/>
      <c r="N10" s="46">
        <f>AVERAGE(9974, 10089, 9891, 9920)</f>
        <v>9968.5</v>
      </c>
      <c r="O10" s="46">
        <f>AVERAGE(SUM(145,2085,85,762),SUM(176,2158,80,836),SUM(163,2250,80,865),SUM(157,2238,95,858))</f>
        <v>3258.25</v>
      </c>
      <c r="P10" s="46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7" t="s">
        <v>818</v>
      </c>
      <c r="M11" s="47"/>
      <c r="N11" s="46">
        <f>AVERAGE(9650, 10205, 9896, 9852)</f>
        <v>9900.75</v>
      </c>
      <c r="O11" s="46">
        <f>AVERAGE(SUM(182,2321,89,949),SUM(180,2309,96,959),SUM(156,2336,96,905),SUM(154,2298,83,911))</f>
        <v>3506</v>
      </c>
      <c r="P11" s="46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7" t="s">
        <v>819</v>
      </c>
      <c r="M12" s="47"/>
      <c r="N12" s="46">
        <f>AVERAGE(9750, 10008, 10185)</f>
        <v>9981</v>
      </c>
      <c r="O12" s="46">
        <f>AVERAGE(SUM(139, 2309, 84, 959),SUM(116, 2210, 91, 970),SUM(133, 2188, 91, 974))</f>
        <v>3421.3333333333335</v>
      </c>
      <c r="P12" s="46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7" t="s">
        <v>816</v>
      </c>
      <c r="M13" s="47"/>
      <c r="N13" s="46">
        <f>AVERAGE(9999,10538,10219,10403)</f>
        <v>10289.75</v>
      </c>
      <c r="O13" s="46">
        <f>AVERAGE(SUM(130,2292,97,974),SUM(150, 2434, 102, 1033),SUM(132, 2378, 99, 1019),SUM(150,2391,99,1046))</f>
        <v>3631.5</v>
      </c>
      <c r="P13" s="46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7" t="s">
        <v>815</v>
      </c>
      <c r="M14" s="47"/>
      <c r="N14" s="46">
        <f>AVERAGE(10297, 10873, 10867, 10869)</f>
        <v>10726.5</v>
      </c>
      <c r="O14" s="46">
        <f>AVERAGE(SUM(146, 2452, 96, 1084),SUM(153, 2559, 93, 1074),SUM(146, 2535, 84, 1055),SUM(143, 2546, 92, 1035))</f>
        <v>3823.25</v>
      </c>
      <c r="P14" s="46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6">
        <v>10762.656278188706</v>
      </c>
      <c r="O19" s="46">
        <v>4404.9479523723612</v>
      </c>
      <c r="P19" s="46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4">
        <v>46321</v>
      </c>
      <c r="C21" s="44">
        <v>66.400000000000006</v>
      </c>
      <c r="D21" s="44">
        <v>30759</v>
      </c>
      <c r="E21" s="44">
        <v>90.2</v>
      </c>
      <c r="F21" s="44">
        <v>27742</v>
      </c>
      <c r="G21" s="44">
        <v>9.8000000000000007</v>
      </c>
      <c r="H21" s="44">
        <v>3017</v>
      </c>
      <c r="I21" s="44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5" t="s">
        <v>813</v>
      </c>
      <c r="M22" s="45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5" t="s">
        <v>813</v>
      </c>
      <c r="M23" s="45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5" t="s">
        <v>813</v>
      </c>
      <c r="M24" s="45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5" t="s">
        <v>813</v>
      </c>
      <c r="M25" s="45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5" t="s">
        <v>813</v>
      </c>
      <c r="M26" s="45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5" t="s">
        <v>813</v>
      </c>
      <c r="M27" s="45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5" t="s">
        <v>813</v>
      </c>
      <c r="M28" s="45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5" t="s">
        <v>813</v>
      </c>
      <c r="M29" s="45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5" t="s">
        <v>813</v>
      </c>
      <c r="M30" s="45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5" t="s">
        <v>813</v>
      </c>
      <c r="M31" s="45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5" t="s">
        <v>813</v>
      </c>
      <c r="M32" s="45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5" t="s">
        <v>813</v>
      </c>
      <c r="M33" s="45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5" t="s">
        <v>813</v>
      </c>
      <c r="M34" s="45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5" t="s">
        <v>813</v>
      </c>
      <c r="M35" s="45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5" t="s">
        <v>813</v>
      </c>
      <c r="M36" s="45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5" t="s">
        <v>813</v>
      </c>
      <c r="M37" s="45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5" t="s">
        <v>813</v>
      </c>
      <c r="M38" s="45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5" t="s">
        <v>813</v>
      </c>
      <c r="M39" s="45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5" t="s">
        <v>813</v>
      </c>
      <c r="M40" s="45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5" t="s">
        <v>813</v>
      </c>
      <c r="M41" s="45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5" t="s">
        <v>813</v>
      </c>
      <c r="M42" s="45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5" t="s">
        <v>813</v>
      </c>
      <c r="M43" s="45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5" t="s">
        <v>813</v>
      </c>
      <c r="M44" s="45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spans="1:37" x14ac:dyDescent="0.25">
      <c r="A46">
        <v>2024</v>
      </c>
    </row>
    <row r="47" spans="1:37" x14ac:dyDescent="0.25">
      <c r="A47">
        <v>2025</v>
      </c>
    </row>
  </sheetData>
  <phoneticPr fontId="13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I54"/>
  <sheetViews>
    <sheetView workbookViewId="0">
      <pane xSplit="3" ySplit="1" topLeftCell="CD2" activePane="bottomRight" state="frozen"/>
      <selection pane="topRight" activeCell="D1" sqref="D1"/>
      <selection pane="bottomLeft" activeCell="A2" sqref="A2"/>
      <selection pane="bottomRight" activeCell="CI27" sqref="CI27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7" width="10.7109375" style="26" customWidth="1"/>
    <col min="88" max="16384" width="9.140625" style="24"/>
  </cols>
  <sheetData>
    <row r="1" spans="1:87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24" t="s">
        <v>698</v>
      </c>
      <c r="BO1" s="24" t="s">
        <v>697</v>
      </c>
      <c r="BP1" s="24" t="s">
        <v>696</v>
      </c>
      <c r="BQ1" s="24" t="s">
        <v>695</v>
      </c>
      <c r="BR1" s="35" t="s">
        <v>764</v>
      </c>
      <c r="BS1" s="53" t="s">
        <v>766</v>
      </c>
      <c r="BT1" s="26" t="s">
        <v>822</v>
      </c>
      <c r="BU1" s="26" t="s">
        <v>823</v>
      </c>
      <c r="BV1" s="26" t="s">
        <v>824</v>
      </c>
      <c r="BW1" s="52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49" t="s">
        <v>832</v>
      </c>
      <c r="CE1" s="50" t="s">
        <v>833</v>
      </c>
      <c r="CF1" s="54" t="s">
        <v>862</v>
      </c>
      <c r="CG1" s="54" t="s">
        <v>861</v>
      </c>
      <c r="CH1" s="54" t="s">
        <v>860</v>
      </c>
      <c r="CI1" s="54" t="s">
        <v>859</v>
      </c>
    </row>
    <row r="2" spans="1:87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49155.131999999998</v>
      </c>
      <c r="BV2" s="34">
        <v>48022.3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  <c r="CE2" s="26">
        <v>49427.023999999998</v>
      </c>
      <c r="CF2" s="34">
        <v>47937.597999999998</v>
      </c>
      <c r="CG2" s="34">
        <v>49425.915000000001</v>
      </c>
      <c r="CH2" s="34">
        <v>49068.998</v>
      </c>
      <c r="CI2" s="34">
        <v>48889.464</v>
      </c>
    </row>
    <row r="3" spans="1:87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7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9439.6910000000007</v>
      </c>
      <c r="BT4" s="26">
        <v>8934.3719999999994</v>
      </c>
      <c r="BU4" s="26">
        <v>8418.3580000000002</v>
      </c>
      <c r="BV4" s="26">
        <v>8471.7170000000006</v>
      </c>
      <c r="BW4" s="26">
        <v>8610.2610000000004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  <c r="CE4" s="26">
        <v>9273.0519999999997</v>
      </c>
      <c r="CF4" s="26">
        <v>7515.3950000000004</v>
      </c>
      <c r="CG4" s="26">
        <v>7895.0129999999999</v>
      </c>
      <c r="CH4" s="26">
        <v>8381.5079999999998</v>
      </c>
      <c r="CI4" s="26">
        <v>8218.6059999999998</v>
      </c>
    </row>
    <row r="5" spans="1:87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1307.856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  <c r="CE5" s="26">
        <v>965.60599999999999</v>
      </c>
      <c r="CF5" s="26">
        <v>1168.0509999999999</v>
      </c>
      <c r="CG5" s="26">
        <v>1400.816</v>
      </c>
      <c r="CH5" s="26">
        <v>980.77700000000004</v>
      </c>
      <c r="CI5" s="26">
        <v>1253.923</v>
      </c>
    </row>
    <row r="6" spans="1:87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7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220.392</v>
      </c>
      <c r="BU7" s="26">
        <v>231.15100000000001</v>
      </c>
      <c r="BV7" s="26">
        <v>177.78700000000001</v>
      </c>
      <c r="BW7" s="26">
        <v>187.976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  <c r="CE7" s="26">
        <v>210.66499999999999</v>
      </c>
      <c r="CF7" s="26">
        <v>257.41500000000002</v>
      </c>
      <c r="CG7" s="26">
        <v>247.14099999999999</v>
      </c>
      <c r="CH7" s="26">
        <v>324.60000000000002</v>
      </c>
      <c r="CI7" s="26">
        <v>346.44799999999998</v>
      </c>
    </row>
    <row r="8" spans="1:87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3402.808</v>
      </c>
      <c r="BT8" s="26">
        <v>3367.7240000000002</v>
      </c>
      <c r="BU8" s="26">
        <v>3585.096</v>
      </c>
      <c r="BV8" s="26">
        <v>3695.4119999999998</v>
      </c>
      <c r="BW8" s="26">
        <v>3327.5920000000001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  <c r="CE8" s="26">
        <v>3147.6930000000002</v>
      </c>
      <c r="CF8" s="26">
        <v>3693.7040000000002</v>
      </c>
      <c r="CG8" s="26">
        <v>3763.319</v>
      </c>
      <c r="CH8" s="26">
        <v>3546.7910000000002</v>
      </c>
      <c r="CI8" s="26">
        <v>3587.0659999999998</v>
      </c>
    </row>
    <row r="9" spans="1:87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94.67</v>
      </c>
      <c r="BV9" s="26">
        <v>84.483000000000004</v>
      </c>
      <c r="BW9" s="26">
        <v>110.288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  <c r="CE9" s="26">
        <v>115.184</v>
      </c>
      <c r="CF9" s="26">
        <v>107.005</v>
      </c>
      <c r="CG9" s="26">
        <v>107.886</v>
      </c>
      <c r="CH9" s="26">
        <v>100.622</v>
      </c>
      <c r="CI9" s="26">
        <v>110.767</v>
      </c>
    </row>
    <row r="10" spans="1:87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90.442999999999998</v>
      </c>
      <c r="BU10" s="26">
        <v>49.323</v>
      </c>
      <c r="BV10" s="26">
        <v>67.367000000000004</v>
      </c>
      <c r="BW10" s="26">
        <v>78.067999999999998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  <c r="CE10" s="26">
        <v>71.676000000000002</v>
      </c>
      <c r="CF10" s="26">
        <v>102.398</v>
      </c>
      <c r="CG10" s="26">
        <v>54.878999999999998</v>
      </c>
      <c r="CH10" s="26">
        <v>84.019000000000005</v>
      </c>
      <c r="CI10" s="26">
        <v>94.965000000000003</v>
      </c>
    </row>
    <row r="11" spans="1:87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5034.17</v>
      </c>
      <c r="BV11" s="26">
        <v>4558.4160000000002</v>
      </c>
      <c r="BW11" s="26">
        <v>4810.817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  <c r="CE11" s="26">
        <v>4796.9049999999997</v>
      </c>
      <c r="CF11" s="26">
        <v>4597.78</v>
      </c>
      <c r="CG11" s="26">
        <v>4550.3280000000004</v>
      </c>
      <c r="CH11" s="26">
        <v>4733.893</v>
      </c>
      <c r="CI11" s="26">
        <v>4808.732</v>
      </c>
    </row>
    <row r="12" spans="1:87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7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10197.041999999999</v>
      </c>
      <c r="BT13" s="26">
        <v>9969.3510000000006</v>
      </c>
      <c r="BU13" s="26">
        <v>10622.892</v>
      </c>
      <c r="BV13" s="26">
        <v>9929.4509999999991</v>
      </c>
      <c r="BW13" s="26">
        <v>10105.784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  <c r="CE13" s="26">
        <v>10128.037</v>
      </c>
      <c r="CF13" s="26">
        <v>9240.1880000000001</v>
      </c>
      <c r="CG13" s="26">
        <v>9898.366</v>
      </c>
      <c r="CH13" s="26">
        <v>9911.7520000000004</v>
      </c>
      <c r="CI13" s="26">
        <v>9656.1389999999992</v>
      </c>
    </row>
    <row r="14" spans="1:87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4037.2950000000001</v>
      </c>
      <c r="BT14" s="26">
        <v>3857.31</v>
      </c>
      <c r="BU14" s="26">
        <v>3682.2550000000001</v>
      </c>
      <c r="BV14" s="26">
        <v>3545.6819999999998</v>
      </c>
      <c r="BW14" s="26">
        <v>3767.777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  <c r="CE14" s="26">
        <v>3778.9</v>
      </c>
      <c r="CF14" s="26">
        <v>4016.8910000000001</v>
      </c>
      <c r="CG14" s="26">
        <v>4168.45</v>
      </c>
      <c r="CH14" s="26">
        <v>4053.125</v>
      </c>
      <c r="CI14" s="26">
        <v>3956.7249999999999</v>
      </c>
    </row>
    <row r="15" spans="1:87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2659.1289999999999</v>
      </c>
      <c r="BT15" s="26">
        <v>2715</v>
      </c>
      <c r="BU15" s="26">
        <v>2803.4749999999999</v>
      </c>
      <c r="BV15" s="26">
        <v>3166.7829999999999</v>
      </c>
      <c r="BW15" s="26">
        <v>2593.4250000000002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  <c r="CE15" s="26">
        <v>2939.3980000000001</v>
      </c>
      <c r="CF15" s="26">
        <v>2799.2539999999999</v>
      </c>
      <c r="CG15" s="26">
        <v>3160.0189999999998</v>
      </c>
      <c r="CH15" s="26">
        <v>3150.8020000000001</v>
      </c>
      <c r="CI15" s="26">
        <v>3103.8670000000002</v>
      </c>
    </row>
    <row r="16" spans="1:87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487.00700000000001</v>
      </c>
      <c r="BT16" s="26">
        <v>502.34500000000003</v>
      </c>
      <c r="BU16" s="26">
        <v>416.47300000000001</v>
      </c>
      <c r="BV16" s="26">
        <v>513.25300000000004</v>
      </c>
      <c r="BW16" s="26">
        <v>452.30500000000001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  <c r="CE16" s="26">
        <v>479.32</v>
      </c>
      <c r="CF16" s="26">
        <v>534.44899999999996</v>
      </c>
      <c r="CG16" s="26">
        <v>469.30099999999999</v>
      </c>
      <c r="CH16" s="26">
        <v>565.06399999999996</v>
      </c>
      <c r="CI16" s="26">
        <v>490.93</v>
      </c>
    </row>
    <row r="17" spans="1:87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762.55499999999995</v>
      </c>
      <c r="BT17" s="26">
        <v>742.78700000000003</v>
      </c>
      <c r="BU17" s="26">
        <v>673.19600000000003</v>
      </c>
      <c r="BV17" s="26">
        <v>686.87900000000002</v>
      </c>
      <c r="BW17" s="26">
        <v>658.38199999999995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  <c r="CE17" s="26">
        <v>677.22</v>
      </c>
      <c r="CF17" s="26">
        <v>728.08600000000001</v>
      </c>
      <c r="CG17" s="26">
        <v>896.75699999999995</v>
      </c>
      <c r="CH17" s="26">
        <v>780.95500000000004</v>
      </c>
      <c r="CI17" s="26">
        <v>744.93799999999999</v>
      </c>
    </row>
    <row r="18" spans="1:87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334.19099999999997</v>
      </c>
      <c r="BT18" s="26">
        <v>280.822</v>
      </c>
      <c r="BU18" s="26">
        <v>212.18700000000001</v>
      </c>
      <c r="BV18" s="26">
        <v>262.30099999999999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  <c r="CE18" s="26">
        <v>300.92500000000001</v>
      </c>
      <c r="CF18" s="26">
        <v>274.21100000000001</v>
      </c>
      <c r="CG18" s="26">
        <v>272.73700000000002</v>
      </c>
      <c r="CH18" s="26">
        <v>307.05900000000003</v>
      </c>
      <c r="CI18" s="26">
        <v>282.81099999999998</v>
      </c>
    </row>
    <row r="19" spans="1:87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426.68900000000002</v>
      </c>
      <c r="BU19" s="26">
        <v>337.40199999999999</v>
      </c>
      <c r="BV19" s="26">
        <v>271.33499999999998</v>
      </c>
      <c r="BW19" s="26">
        <v>391.28399999999999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  <c r="CE19" s="26">
        <v>441.21600000000001</v>
      </c>
      <c r="CF19" s="26">
        <v>486.67200000000003</v>
      </c>
      <c r="CG19" s="26">
        <v>389.46699999999998</v>
      </c>
      <c r="CH19" s="26">
        <v>480.75900000000001</v>
      </c>
      <c r="CI19" s="26">
        <v>378.964</v>
      </c>
    </row>
    <row r="20" spans="1:87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2534.0810000000001</v>
      </c>
      <c r="BT20" s="26">
        <v>2691.9009999999998</v>
      </c>
      <c r="BU20" s="26">
        <v>2453.951</v>
      </c>
      <c r="BV20" s="26">
        <v>2560.7049999999999</v>
      </c>
      <c r="BW20" s="26">
        <v>3008.3760000000002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  <c r="CE20" s="26">
        <v>2918.683</v>
      </c>
      <c r="CF20" s="26">
        <v>3094.864</v>
      </c>
      <c r="CG20" s="26">
        <v>3025.8049999999998</v>
      </c>
      <c r="CH20" s="26">
        <v>3018.433</v>
      </c>
      <c r="CI20" s="26">
        <v>2958.6370000000002</v>
      </c>
    </row>
    <row r="21" spans="1:87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3132.174</v>
      </c>
      <c r="BT21" s="26">
        <v>2819.0740000000001</v>
      </c>
      <c r="BU21" s="26">
        <v>2949.6309999999999</v>
      </c>
      <c r="BV21" s="26">
        <v>2855.279</v>
      </c>
      <c r="BW21" s="26">
        <v>3065.34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  <c r="CE21" s="26">
        <v>3215.5920000000001</v>
      </c>
      <c r="CF21" s="26">
        <v>3160.5990000000002</v>
      </c>
      <c r="CG21" s="26">
        <v>2824.107</v>
      </c>
      <c r="CH21" s="26">
        <v>2717.8029999999999</v>
      </c>
      <c r="CI21" s="26">
        <v>3015.7750000000001</v>
      </c>
    </row>
    <row r="22" spans="1:87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1585.222</v>
      </c>
      <c r="BT22" s="26">
        <v>1591.529</v>
      </c>
      <c r="BU22" s="26">
        <v>1650.162</v>
      </c>
      <c r="BV22" s="26">
        <v>1823.97</v>
      </c>
      <c r="BW22" s="26">
        <v>1630.933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  <c r="CE22" s="26">
        <v>1826.231</v>
      </c>
      <c r="CF22" s="26">
        <v>1672.4290000000001</v>
      </c>
      <c r="CG22" s="26">
        <v>1750.7249999999999</v>
      </c>
      <c r="CH22" s="26">
        <v>1892.867</v>
      </c>
      <c r="CI22" s="26">
        <v>1737.954</v>
      </c>
    </row>
    <row r="23" spans="1:87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848.83399999999995</v>
      </c>
      <c r="BT23" s="26">
        <v>738.35199999999998</v>
      </c>
      <c r="BU23" s="26">
        <v>764.09100000000001</v>
      </c>
      <c r="BV23" s="26">
        <v>727.83799999999997</v>
      </c>
      <c r="BW23" s="26">
        <v>783.79899999999998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  <c r="CE23" s="26">
        <v>758.62</v>
      </c>
      <c r="CF23" s="26">
        <v>824.98199999999997</v>
      </c>
      <c r="CG23" s="26">
        <v>978.47400000000005</v>
      </c>
      <c r="CH23" s="26">
        <v>824.15200000000004</v>
      </c>
      <c r="CI23" s="26">
        <v>758.59199999999998</v>
      </c>
    </row>
    <row r="24" spans="1:87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441.14499999999998</v>
      </c>
      <c r="BU24" s="26">
        <v>513.55700000000002</v>
      </c>
      <c r="BV24" s="26">
        <v>514.23</v>
      </c>
      <c r="BW24" s="26">
        <v>445.36599999999999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  <c r="CE24" s="26">
        <v>450.40899999999999</v>
      </c>
      <c r="CF24" s="26">
        <v>482.51299999999998</v>
      </c>
      <c r="CG24" s="26">
        <v>427.36799999999999</v>
      </c>
      <c r="CH24" s="26">
        <v>367.56200000000001</v>
      </c>
      <c r="CI24" s="26">
        <v>466.43299999999999</v>
      </c>
    </row>
    <row r="25" spans="1:87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2935.0390000000002</v>
      </c>
      <c r="BT25" s="26">
        <v>3101.9340000000002</v>
      </c>
      <c r="BU25" s="26">
        <v>3207.8330000000001</v>
      </c>
      <c r="BV25" s="26">
        <v>2939.4969999999998</v>
      </c>
      <c r="BW25" s="26">
        <v>2962.6170000000002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  <c r="CE25" s="26">
        <v>2931.6880000000001</v>
      </c>
      <c r="CF25" s="26">
        <v>3179.8470000000002</v>
      </c>
      <c r="CG25" s="26">
        <v>3143.88</v>
      </c>
      <c r="CH25" s="26">
        <v>2845.0410000000002</v>
      </c>
      <c r="CI25" s="26">
        <v>2917.0720000000001</v>
      </c>
    </row>
    <row r="26" spans="1:87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  <c r="CE26" s="26">
        <v>0</v>
      </c>
      <c r="CF26" s="26">
        <v>0.86599999999999999</v>
      </c>
      <c r="CG26" s="26">
        <v>1.0780000000000001</v>
      </c>
      <c r="CH26" s="26">
        <v>1.415</v>
      </c>
      <c r="CI26" s="26">
        <v>0.11899999999999999</v>
      </c>
    </row>
    <row r="27" spans="1:87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7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7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7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7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7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8" customWidth="1"/>
    <col min="2" max="40" width="10.7109375" style="38" customWidth="1"/>
    <col min="41" max="16384" width="9.140625" style="38"/>
  </cols>
  <sheetData>
    <row r="1" spans="1:40" x14ac:dyDescent="0.25">
      <c r="A1" s="38" t="s">
        <v>785</v>
      </c>
      <c r="B1" s="38" t="s">
        <v>786</v>
      </c>
      <c r="C1" s="38" t="s">
        <v>787</v>
      </c>
      <c r="D1" s="38" t="s">
        <v>761</v>
      </c>
      <c r="E1" s="38" t="s">
        <v>760</v>
      </c>
      <c r="F1" s="38" t="s">
        <v>759</v>
      </c>
      <c r="G1" s="38" t="s">
        <v>758</v>
      </c>
      <c r="H1" s="38" t="s">
        <v>757</v>
      </c>
      <c r="I1" s="38" t="s">
        <v>756</v>
      </c>
      <c r="J1" s="38" t="s">
        <v>755</v>
      </c>
      <c r="K1" s="38" t="s">
        <v>754</v>
      </c>
      <c r="L1" s="38" t="s">
        <v>753</v>
      </c>
      <c r="M1" s="38" t="s">
        <v>752</v>
      </c>
      <c r="N1" s="38" t="s">
        <v>751</v>
      </c>
      <c r="O1" s="38" t="s">
        <v>750</v>
      </c>
      <c r="P1" s="38" t="s">
        <v>749</v>
      </c>
      <c r="Q1" s="39" t="s">
        <v>748</v>
      </c>
      <c r="R1" s="38" t="s">
        <v>747</v>
      </c>
      <c r="S1" s="38" t="s">
        <v>746</v>
      </c>
      <c r="T1" s="38" t="s">
        <v>745</v>
      </c>
      <c r="U1" s="38" t="s">
        <v>744</v>
      </c>
      <c r="V1" s="38" t="s">
        <v>743</v>
      </c>
      <c r="W1" s="38" t="s">
        <v>742</v>
      </c>
      <c r="X1" s="38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0" t="s">
        <v>788</v>
      </c>
      <c r="B2" s="38" t="s">
        <v>684</v>
      </c>
      <c r="C2" s="38" t="s">
        <v>789</v>
      </c>
      <c r="D2" s="38" t="s">
        <v>417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>
        <v>72840.630999999994</v>
      </c>
      <c r="V2" s="43">
        <v>73722.28</v>
      </c>
      <c r="W2" s="43">
        <v>74060.368000000002</v>
      </c>
      <c r="X2" s="43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1">
        <v>78655.154999999999</v>
      </c>
      <c r="AL2" s="41">
        <v>78617.498000000007</v>
      </c>
      <c r="AM2" s="34">
        <v>78893.918000000005</v>
      </c>
      <c r="AN2" s="34">
        <v>79221.171000000002</v>
      </c>
    </row>
    <row r="3" spans="1:40" x14ac:dyDescent="0.25">
      <c r="A3" s="40" t="s">
        <v>788</v>
      </c>
      <c r="B3" s="38" t="s">
        <v>684</v>
      </c>
      <c r="C3" s="38" t="s">
        <v>790</v>
      </c>
      <c r="D3" s="38" t="s">
        <v>417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2">
        <v>9819.4050000000007</v>
      </c>
      <c r="V3" s="43">
        <v>9943.884</v>
      </c>
      <c r="W3" s="43">
        <v>9961.7070000000003</v>
      </c>
      <c r="X3" s="43">
        <v>10026.666000000001</v>
      </c>
      <c r="Y3" s="41">
        <v>10051.246999999999</v>
      </c>
      <c r="Z3" s="41">
        <v>10084.34</v>
      </c>
      <c r="AA3" s="41">
        <v>10146.967000000001</v>
      </c>
      <c r="AB3" s="41">
        <v>10141.441999999999</v>
      </c>
      <c r="AC3" s="41">
        <v>10229.871999999999</v>
      </c>
      <c r="AD3" s="41">
        <v>10207.454</v>
      </c>
      <c r="AE3" s="41">
        <v>10227.56</v>
      </c>
      <c r="AF3" s="41">
        <v>10245.847</v>
      </c>
      <c r="AG3" s="41">
        <v>10297.242</v>
      </c>
      <c r="AH3" s="41">
        <v>10313.998</v>
      </c>
      <c r="AI3" s="41">
        <v>10397.853999999999</v>
      </c>
      <c r="AJ3" s="41">
        <v>10384.066999999999</v>
      </c>
      <c r="AK3" s="41">
        <v>10452.56</v>
      </c>
      <c r="AL3" s="41">
        <v>10391.009</v>
      </c>
      <c r="AM3" s="41">
        <v>10460.232</v>
      </c>
      <c r="AN3" s="41">
        <v>10506.602000000001</v>
      </c>
    </row>
    <row r="4" spans="1:40" x14ac:dyDescent="0.25">
      <c r="A4" s="40" t="s">
        <v>788</v>
      </c>
      <c r="B4" s="38" t="s">
        <v>684</v>
      </c>
      <c r="C4" s="38" t="s">
        <v>791</v>
      </c>
      <c r="D4" s="38" t="s">
        <v>417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2">
        <v>1210.45</v>
      </c>
      <c r="V4" s="43">
        <v>1229.826</v>
      </c>
      <c r="W4" s="43">
        <v>1228.5029999999999</v>
      </c>
      <c r="X4" s="43">
        <v>1233.3330000000001</v>
      </c>
      <c r="Y4" s="41">
        <v>1247.3219999999999</v>
      </c>
      <c r="Z4" s="41">
        <v>1249.3599999999999</v>
      </c>
      <c r="AA4" s="41">
        <v>1256.0239999999999</v>
      </c>
      <c r="AB4" s="41">
        <v>1253.402</v>
      </c>
      <c r="AC4" s="41">
        <v>1270.1199999999999</v>
      </c>
      <c r="AD4" s="41">
        <v>1266.671</v>
      </c>
      <c r="AE4" s="41">
        <v>1271.2460000000001</v>
      </c>
      <c r="AF4" s="41">
        <v>1265.8340000000001</v>
      </c>
      <c r="AG4" s="41">
        <v>1275.482</v>
      </c>
      <c r="AH4" s="41">
        <v>1274.6569999999999</v>
      </c>
      <c r="AI4" s="41">
        <v>1287.826</v>
      </c>
      <c r="AJ4" s="41">
        <v>1285.1130000000001</v>
      </c>
      <c r="AK4" s="41">
        <v>1294.7739999999999</v>
      </c>
      <c r="AL4" s="41">
        <v>1289.3</v>
      </c>
      <c r="AM4" s="41">
        <v>1291.8340000000001</v>
      </c>
      <c r="AN4" s="41">
        <v>1295.0809999999999</v>
      </c>
    </row>
    <row r="5" spans="1:40" x14ac:dyDescent="0.25">
      <c r="A5" s="40" t="s">
        <v>788</v>
      </c>
      <c r="B5" s="38" t="s">
        <v>684</v>
      </c>
      <c r="C5" s="38" t="s">
        <v>792</v>
      </c>
      <c r="D5" s="38" t="s">
        <v>417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2">
        <v>3497.3710000000001</v>
      </c>
      <c r="V5" s="43">
        <v>3553.5529999999999</v>
      </c>
      <c r="W5" s="43">
        <v>3540.1120000000001</v>
      </c>
      <c r="X5" s="43">
        <v>3589.415</v>
      </c>
      <c r="Y5" s="41">
        <v>3557.3</v>
      </c>
      <c r="Z5" s="41">
        <v>3548.8209999999999</v>
      </c>
      <c r="AA5" s="41">
        <v>3630.3519999999999</v>
      </c>
      <c r="AB5" s="41">
        <v>3617.42</v>
      </c>
      <c r="AC5" s="41">
        <v>3661.364</v>
      </c>
      <c r="AD5" s="41">
        <v>3620.7150000000001</v>
      </c>
      <c r="AE5" s="41">
        <v>3603.0949999999998</v>
      </c>
      <c r="AF5" s="41">
        <v>3641.4749999999999</v>
      </c>
      <c r="AG5" s="41">
        <v>3635.578</v>
      </c>
      <c r="AH5" s="41">
        <v>3637.0239999999999</v>
      </c>
      <c r="AI5" s="41">
        <v>3711.1930000000002</v>
      </c>
      <c r="AJ5" s="41">
        <v>3685.8150000000001</v>
      </c>
      <c r="AK5" s="41">
        <v>3732.3009999999999</v>
      </c>
      <c r="AL5" s="41">
        <v>3736.2849999999999</v>
      </c>
      <c r="AM5" s="41">
        <v>3689.3739999999998</v>
      </c>
      <c r="AN5" s="41">
        <v>3706.11</v>
      </c>
    </row>
    <row r="6" spans="1:40" x14ac:dyDescent="0.25">
      <c r="A6" s="40" t="s">
        <v>788</v>
      </c>
      <c r="B6" s="38" t="s">
        <v>684</v>
      </c>
      <c r="C6" s="38" t="s">
        <v>793</v>
      </c>
      <c r="D6" s="38" t="s">
        <v>417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2">
        <v>2414.6860000000001</v>
      </c>
      <c r="V6" s="43">
        <v>2443.1129999999998</v>
      </c>
      <c r="W6" s="43">
        <v>2456.8989999999999</v>
      </c>
      <c r="X6" s="43">
        <v>2453.105</v>
      </c>
      <c r="Y6" s="41">
        <v>2478.451</v>
      </c>
      <c r="Z6" s="41">
        <v>2489.27</v>
      </c>
      <c r="AA6" s="41">
        <v>2499.7289999999998</v>
      </c>
      <c r="AB6" s="41">
        <v>2484.8780000000002</v>
      </c>
      <c r="AC6" s="41">
        <v>2530.0320000000002</v>
      </c>
      <c r="AD6" s="41">
        <v>2527.3319999999999</v>
      </c>
      <c r="AE6" s="41">
        <v>2529.5819999999999</v>
      </c>
      <c r="AF6" s="41">
        <v>2511.8330000000001</v>
      </c>
      <c r="AG6" s="41">
        <v>2507.3119999999999</v>
      </c>
      <c r="AH6" s="41">
        <v>2495.4520000000002</v>
      </c>
      <c r="AI6" s="41">
        <v>2564.3339999999998</v>
      </c>
      <c r="AJ6" s="41">
        <v>2517.3209999999999</v>
      </c>
      <c r="AK6" s="41">
        <v>2575.2089999999998</v>
      </c>
      <c r="AL6" s="41">
        <v>2558.1419999999998</v>
      </c>
      <c r="AM6" s="41">
        <v>2575.239</v>
      </c>
      <c r="AN6" s="41">
        <v>2572.886</v>
      </c>
    </row>
    <row r="7" spans="1:40" x14ac:dyDescent="0.25">
      <c r="A7" s="40" t="s">
        <v>788</v>
      </c>
      <c r="B7" s="38" t="s">
        <v>684</v>
      </c>
      <c r="C7" s="38" t="s">
        <v>794</v>
      </c>
      <c r="D7" s="38" t="s">
        <v>417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2">
        <v>8416.8819999999996</v>
      </c>
      <c r="V7" s="43">
        <v>8590.4760000000006</v>
      </c>
      <c r="W7" s="43">
        <v>8606.9470000000001</v>
      </c>
      <c r="X7" s="43">
        <v>8691.0580000000009</v>
      </c>
      <c r="Y7" s="41">
        <v>8696.7759999999998</v>
      </c>
      <c r="Z7" s="41">
        <v>8762.7790000000005</v>
      </c>
      <c r="AA7" s="41">
        <v>8831.7160000000003</v>
      </c>
      <c r="AB7" s="41">
        <v>8824.74</v>
      </c>
      <c r="AC7" s="41">
        <v>8952.59</v>
      </c>
      <c r="AD7" s="41">
        <v>8923.1749999999993</v>
      </c>
      <c r="AE7" s="41">
        <v>9007.93</v>
      </c>
      <c r="AF7" s="41">
        <v>9040.9</v>
      </c>
      <c r="AG7" s="41">
        <v>9046.7780000000002</v>
      </c>
      <c r="AH7" s="41">
        <v>9107.6849999999995</v>
      </c>
      <c r="AI7" s="41">
        <v>9164.84</v>
      </c>
      <c r="AJ7" s="41">
        <v>9151.69</v>
      </c>
      <c r="AK7" s="41">
        <v>9250.4809999999998</v>
      </c>
      <c r="AL7" s="41">
        <v>9246.6370000000006</v>
      </c>
      <c r="AM7" s="41">
        <v>9304.7510000000002</v>
      </c>
      <c r="AN7" s="41">
        <v>9444.2649999999994</v>
      </c>
    </row>
    <row r="8" spans="1:40" x14ac:dyDescent="0.25">
      <c r="A8" s="40" t="s">
        <v>788</v>
      </c>
      <c r="B8" s="38" t="s">
        <v>684</v>
      </c>
      <c r="C8" s="38" t="s">
        <v>795</v>
      </c>
      <c r="D8" s="38" t="s">
        <v>417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2">
        <v>10912.47</v>
      </c>
      <c r="V8" s="43">
        <v>11041.612999999999</v>
      </c>
      <c r="W8" s="43">
        <v>11206.235000000001</v>
      </c>
      <c r="X8" s="43">
        <v>11225.764999999999</v>
      </c>
      <c r="Y8" s="41">
        <v>11256.999</v>
      </c>
      <c r="Z8" s="41">
        <v>11350.248</v>
      </c>
      <c r="AA8" s="41">
        <v>11438.36</v>
      </c>
      <c r="AB8" s="41">
        <v>11500.052</v>
      </c>
      <c r="AC8" s="41">
        <v>11572.481</v>
      </c>
      <c r="AD8" s="41">
        <v>11595.207</v>
      </c>
      <c r="AE8" s="41">
        <v>11649.83</v>
      </c>
      <c r="AF8" s="41">
        <v>11790.255999999999</v>
      </c>
      <c r="AG8" s="41">
        <v>11795.334000000001</v>
      </c>
      <c r="AH8" s="41">
        <v>11788.332</v>
      </c>
      <c r="AI8" s="41">
        <v>11916.458000000001</v>
      </c>
      <c r="AJ8" s="41">
        <v>11948.699000000001</v>
      </c>
      <c r="AK8" s="41">
        <v>12042.512000000001</v>
      </c>
      <c r="AL8" s="41">
        <v>12070.267</v>
      </c>
      <c r="AM8" s="41">
        <v>12098.857</v>
      </c>
      <c r="AN8" s="41">
        <v>12151.696</v>
      </c>
    </row>
    <row r="9" spans="1:40" x14ac:dyDescent="0.25">
      <c r="A9" s="40" t="s">
        <v>788</v>
      </c>
      <c r="B9" s="38" t="s">
        <v>684</v>
      </c>
      <c r="C9" s="38" t="s">
        <v>796</v>
      </c>
      <c r="D9" s="38" t="s">
        <v>417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2041.4010000000001</v>
      </c>
      <c r="V9" s="43">
        <v>2049.096</v>
      </c>
      <c r="W9" s="43">
        <v>2049</v>
      </c>
      <c r="X9" s="43">
        <v>2055.1849999999999</v>
      </c>
      <c r="Y9" s="41">
        <v>2068.89</v>
      </c>
      <c r="Z9" s="41">
        <v>2073.116</v>
      </c>
      <c r="AA9" s="41">
        <v>2088.2620000000002</v>
      </c>
      <c r="AB9" s="41">
        <v>2074.7539999999999</v>
      </c>
      <c r="AC9" s="41">
        <v>2100.2919999999999</v>
      </c>
      <c r="AD9" s="41">
        <v>2110.4830000000002</v>
      </c>
      <c r="AE9" s="41">
        <v>2116.0610000000001</v>
      </c>
      <c r="AF9" s="41">
        <v>2114.8470000000002</v>
      </c>
      <c r="AG9" s="41">
        <v>2115.7539999999999</v>
      </c>
      <c r="AH9" s="41">
        <v>2132.2069999999999</v>
      </c>
      <c r="AI9" s="41">
        <v>2142.1170000000002</v>
      </c>
      <c r="AJ9" s="41">
        <v>2146.9059999999999</v>
      </c>
      <c r="AK9" s="41">
        <v>2150.2159999999999</v>
      </c>
      <c r="AL9" s="41">
        <v>2147.4920000000002</v>
      </c>
      <c r="AM9" s="41">
        <v>2165.5590000000002</v>
      </c>
      <c r="AN9" s="41">
        <v>2152.1280000000002</v>
      </c>
    </row>
    <row r="10" spans="1:40" x14ac:dyDescent="0.25">
      <c r="A10" s="40" t="s">
        <v>788</v>
      </c>
      <c r="B10" s="38" t="s">
        <v>684</v>
      </c>
      <c r="C10" s="38" t="s">
        <v>797</v>
      </c>
      <c r="D10" s="38" t="s">
        <v>417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2">
        <v>3908.0619999999999</v>
      </c>
      <c r="V10" s="43">
        <v>3968.4380000000001</v>
      </c>
      <c r="W10" s="43">
        <v>3972.4560000000001</v>
      </c>
      <c r="X10" s="43">
        <v>3949.9360000000001</v>
      </c>
      <c r="Y10" s="41">
        <v>3997.201</v>
      </c>
      <c r="Z10" s="41">
        <v>4005.683</v>
      </c>
      <c r="AA10" s="41">
        <v>4036.1759999999999</v>
      </c>
      <c r="AB10" s="41">
        <v>4014.8939999999998</v>
      </c>
      <c r="AC10" s="41">
        <v>4076.6370000000002</v>
      </c>
      <c r="AD10" s="41">
        <v>4088.8220000000001</v>
      </c>
      <c r="AE10" s="41">
        <v>4102.6130000000003</v>
      </c>
      <c r="AF10" s="41">
        <v>4080.8</v>
      </c>
      <c r="AG10" s="41">
        <v>4111.4399999999996</v>
      </c>
      <c r="AH10" s="41">
        <v>4116.5219999999999</v>
      </c>
      <c r="AI10" s="41">
        <v>4148.7759999999998</v>
      </c>
      <c r="AJ10" s="41">
        <v>4144.0320000000002</v>
      </c>
      <c r="AK10" s="41">
        <v>4184.7380000000003</v>
      </c>
      <c r="AL10" s="41">
        <v>4171.9129999999996</v>
      </c>
      <c r="AM10" s="41">
        <v>4196.393</v>
      </c>
      <c r="AN10" s="41">
        <v>4197.2039999999997</v>
      </c>
    </row>
    <row r="11" spans="1:40" x14ac:dyDescent="0.25">
      <c r="A11" s="40" t="s">
        <v>788</v>
      </c>
      <c r="B11" s="38" t="s">
        <v>684</v>
      </c>
      <c r="C11" s="38" t="s">
        <v>798</v>
      </c>
      <c r="D11" s="38" t="s">
        <v>417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2">
        <v>5383.9539999999997</v>
      </c>
      <c r="V11" s="43">
        <v>5429.8059999999996</v>
      </c>
      <c r="W11" s="43">
        <v>5447.8459999999995</v>
      </c>
      <c r="X11" s="43">
        <v>5432.893</v>
      </c>
      <c r="Y11" s="41">
        <v>5492.7470000000003</v>
      </c>
      <c r="Z11" s="41">
        <v>5464.5219999999999</v>
      </c>
      <c r="AA11" s="41">
        <v>5516.81</v>
      </c>
      <c r="AB11" s="41">
        <v>5502.5739999999996</v>
      </c>
      <c r="AC11" s="41">
        <v>5548.2020000000002</v>
      </c>
      <c r="AD11" s="41">
        <v>5559.2430000000004</v>
      </c>
      <c r="AE11" s="41">
        <v>5584.018</v>
      </c>
      <c r="AF11" s="41">
        <v>5545.4549999999999</v>
      </c>
      <c r="AG11" s="41">
        <v>5590.25</v>
      </c>
      <c r="AH11" s="41">
        <v>5589.5510000000004</v>
      </c>
      <c r="AI11" s="41">
        <v>5636.973</v>
      </c>
      <c r="AJ11" s="41">
        <v>5641.2389999999996</v>
      </c>
      <c r="AK11" s="41">
        <v>5670.2460000000001</v>
      </c>
      <c r="AL11" s="41">
        <v>5685.0659999999998</v>
      </c>
      <c r="AM11" s="41">
        <v>5653.8379999999997</v>
      </c>
      <c r="AN11" s="41">
        <v>5679.8249999999998</v>
      </c>
    </row>
    <row r="12" spans="1:40" x14ac:dyDescent="0.25">
      <c r="A12" s="40" t="s">
        <v>788</v>
      </c>
      <c r="B12" s="38" t="s">
        <v>684</v>
      </c>
      <c r="C12" s="38" t="s">
        <v>799</v>
      </c>
      <c r="D12" s="38" t="s">
        <v>417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2">
        <v>5365.9840000000004</v>
      </c>
      <c r="V12" s="43">
        <v>5419.8969999999999</v>
      </c>
      <c r="W12" s="43">
        <v>5481.6149999999998</v>
      </c>
      <c r="X12" s="43">
        <v>5464.0250000000005</v>
      </c>
      <c r="Y12" s="41">
        <v>5508.7920000000004</v>
      </c>
      <c r="Z12" s="41">
        <v>5505.6570000000002</v>
      </c>
      <c r="AA12" s="41">
        <v>5549.1790000000001</v>
      </c>
      <c r="AB12" s="41">
        <v>5547.3410000000003</v>
      </c>
      <c r="AC12" s="41">
        <v>5600.8829999999998</v>
      </c>
      <c r="AD12" s="41">
        <v>5601.88</v>
      </c>
      <c r="AE12" s="41">
        <v>5636.4840000000004</v>
      </c>
      <c r="AF12" s="41">
        <v>5623.4290000000001</v>
      </c>
      <c r="AG12" s="41">
        <v>5653.0320000000002</v>
      </c>
      <c r="AH12" s="41">
        <v>5674.6750000000002</v>
      </c>
      <c r="AI12" s="41">
        <v>5712.0569999999998</v>
      </c>
      <c r="AJ12" s="41">
        <v>5746.4759999999997</v>
      </c>
      <c r="AK12" s="41">
        <v>5763.8890000000001</v>
      </c>
      <c r="AL12" s="41">
        <v>5789.3119999999999</v>
      </c>
      <c r="AM12" s="41">
        <v>5785.2780000000002</v>
      </c>
      <c r="AN12" s="41">
        <v>5802.8220000000001</v>
      </c>
    </row>
    <row r="13" spans="1:40" x14ac:dyDescent="0.25">
      <c r="A13" s="40" t="s">
        <v>788</v>
      </c>
      <c r="B13" s="38" t="s">
        <v>684</v>
      </c>
      <c r="C13" s="38" t="s">
        <v>800</v>
      </c>
      <c r="D13" s="38" t="s">
        <v>417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>
        <v>3103.558</v>
      </c>
      <c r="V13" s="43">
        <v>3126.9119999999998</v>
      </c>
      <c r="W13" s="43">
        <v>3143.6930000000002</v>
      </c>
      <c r="X13" s="43">
        <v>3149.4960000000001</v>
      </c>
      <c r="Y13" s="41">
        <v>3179.7539999999999</v>
      </c>
      <c r="Z13" s="41">
        <v>3182.7080000000001</v>
      </c>
      <c r="AA13" s="41">
        <v>3196.8409999999999</v>
      </c>
      <c r="AB13" s="41">
        <v>3195.8069999999998</v>
      </c>
      <c r="AC13" s="41">
        <v>3230.41</v>
      </c>
      <c r="AD13" s="41">
        <v>3243.8820000000001</v>
      </c>
      <c r="AE13" s="41">
        <v>3243.8119999999999</v>
      </c>
      <c r="AF13" s="41">
        <v>3249.373</v>
      </c>
      <c r="AG13" s="41">
        <v>3258.9810000000002</v>
      </c>
      <c r="AH13" s="41">
        <v>3277.27</v>
      </c>
      <c r="AI13" s="41">
        <v>3300.68</v>
      </c>
      <c r="AJ13" s="41">
        <v>3300.759</v>
      </c>
      <c r="AK13" s="41">
        <v>3331.6550000000002</v>
      </c>
      <c r="AL13" s="41">
        <v>3350.2979999999998</v>
      </c>
      <c r="AM13" s="41">
        <v>3347.395</v>
      </c>
      <c r="AN13" s="41">
        <v>3354.9720000000002</v>
      </c>
    </row>
    <row r="14" spans="1:40" x14ac:dyDescent="0.25">
      <c r="A14" s="40" t="s">
        <v>788</v>
      </c>
      <c r="B14" s="38" t="s">
        <v>684</v>
      </c>
      <c r="C14" s="38" t="s">
        <v>801</v>
      </c>
      <c r="D14" s="38" t="s">
        <v>417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2">
        <v>2491.2449999999999</v>
      </c>
      <c r="V14" s="43">
        <v>2512.4349999999999</v>
      </c>
      <c r="W14" s="43">
        <v>2521.9670000000001</v>
      </c>
      <c r="X14" s="43">
        <v>2519.683</v>
      </c>
      <c r="Y14" s="41">
        <v>2543.2669999999998</v>
      </c>
      <c r="Z14" s="41">
        <v>2529.5369999999998</v>
      </c>
      <c r="AA14" s="41">
        <v>2560.9479999999999</v>
      </c>
      <c r="AB14" s="41">
        <v>2564.3470000000002</v>
      </c>
      <c r="AC14" s="41">
        <v>2587.357</v>
      </c>
      <c r="AD14" s="41">
        <v>2589.261</v>
      </c>
      <c r="AE14" s="41">
        <v>2586.1460000000002</v>
      </c>
      <c r="AF14" s="41">
        <v>2591.8580000000002</v>
      </c>
      <c r="AG14" s="41">
        <v>2604.759</v>
      </c>
      <c r="AH14" s="41">
        <v>2605.127</v>
      </c>
      <c r="AI14" s="41">
        <v>2622.7150000000001</v>
      </c>
      <c r="AJ14" s="41">
        <v>2619.357</v>
      </c>
      <c r="AK14" s="41">
        <v>2645.9940000000001</v>
      </c>
      <c r="AL14" s="41">
        <v>2656.473</v>
      </c>
      <c r="AM14" s="41">
        <v>2666.4569999999999</v>
      </c>
      <c r="AN14" s="41">
        <v>2660.0740000000001</v>
      </c>
    </row>
    <row r="15" spans="1:40" x14ac:dyDescent="0.25">
      <c r="A15" s="40" t="s">
        <v>788</v>
      </c>
      <c r="B15" s="38" t="s">
        <v>684</v>
      </c>
      <c r="C15" s="38" t="s">
        <v>802</v>
      </c>
      <c r="D15" s="38" t="s">
        <v>417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2">
        <v>3340.9679999999998</v>
      </c>
      <c r="V15" s="43">
        <v>3371.5889999999999</v>
      </c>
      <c r="W15" s="43">
        <v>3382.3649999999998</v>
      </c>
      <c r="X15" s="43">
        <v>3392.7380000000003</v>
      </c>
      <c r="Y15" s="41">
        <v>3425.915</v>
      </c>
      <c r="Z15" s="41">
        <v>3443.3130000000001</v>
      </c>
      <c r="AA15" s="41">
        <v>3468.047</v>
      </c>
      <c r="AB15" s="41">
        <v>3461.7530000000002</v>
      </c>
      <c r="AC15" s="41">
        <v>3506.64</v>
      </c>
      <c r="AD15" s="41">
        <v>3515.9369999999999</v>
      </c>
      <c r="AE15" s="41">
        <v>3514.9630000000002</v>
      </c>
      <c r="AF15" s="41">
        <v>3534.6210000000001</v>
      </c>
      <c r="AG15" s="41">
        <v>3540.83</v>
      </c>
      <c r="AH15" s="41">
        <v>3558.2359999999999</v>
      </c>
      <c r="AI15" s="41">
        <v>3593.2860000000001</v>
      </c>
      <c r="AJ15" s="41">
        <v>3606.4969999999998</v>
      </c>
      <c r="AK15" s="41">
        <v>3626.76</v>
      </c>
      <c r="AL15" s="41">
        <v>3624.9250000000002</v>
      </c>
      <c r="AM15" s="41">
        <v>3656.8020000000001</v>
      </c>
      <c r="AN15" s="41">
        <v>3650.502</v>
      </c>
    </row>
    <row r="16" spans="1:40" x14ac:dyDescent="0.25">
      <c r="A16" s="40" t="s">
        <v>788</v>
      </c>
      <c r="B16" s="38" t="s">
        <v>684</v>
      </c>
      <c r="C16" s="38" t="s">
        <v>803</v>
      </c>
      <c r="D16" s="38" t="s">
        <v>417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2">
        <v>3532.99</v>
      </c>
      <c r="V16" s="43">
        <v>3554.8850000000002</v>
      </c>
      <c r="W16" s="43">
        <v>3564.864</v>
      </c>
      <c r="X16" s="43">
        <v>3580.2350000000001</v>
      </c>
      <c r="Y16" s="41">
        <v>3628.9749999999999</v>
      </c>
      <c r="Z16" s="41">
        <v>3626.576</v>
      </c>
      <c r="AA16" s="41">
        <v>3658.3879999999999</v>
      </c>
      <c r="AB16" s="41">
        <v>3667.547</v>
      </c>
      <c r="AC16" s="41">
        <v>3693.846</v>
      </c>
      <c r="AD16" s="41">
        <v>3711.7579999999998</v>
      </c>
      <c r="AE16" s="41">
        <v>3716.4520000000002</v>
      </c>
      <c r="AF16" s="41">
        <v>3719.3690000000001</v>
      </c>
      <c r="AG16" s="41">
        <v>3749.9140000000002</v>
      </c>
      <c r="AH16" s="41">
        <v>3759.933</v>
      </c>
      <c r="AI16" s="41">
        <v>3789.0830000000001</v>
      </c>
      <c r="AJ16" s="41">
        <v>3779.8270000000002</v>
      </c>
      <c r="AK16" s="41">
        <v>3820.3359999999998</v>
      </c>
      <c r="AL16" s="41">
        <v>3821.3159999999998</v>
      </c>
      <c r="AM16" s="41">
        <v>3830.8049999999998</v>
      </c>
      <c r="AN16" s="41">
        <v>3867.1</v>
      </c>
    </row>
    <row r="17" spans="1:40" x14ac:dyDescent="0.25">
      <c r="A17" s="40" t="s">
        <v>788</v>
      </c>
      <c r="B17" s="38" t="s">
        <v>684</v>
      </c>
      <c r="C17" s="38" t="s">
        <v>804</v>
      </c>
      <c r="D17" s="38" t="s">
        <v>417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2">
        <v>3167.6179999999999</v>
      </c>
      <c r="V17" s="43">
        <v>3233.1</v>
      </c>
      <c r="W17" s="43">
        <v>3222.4319999999998</v>
      </c>
      <c r="X17" s="43">
        <v>3225.9120000000003</v>
      </c>
      <c r="Y17" s="41">
        <v>3270.3870000000002</v>
      </c>
      <c r="Z17" s="41">
        <v>3289.57</v>
      </c>
      <c r="AA17" s="41">
        <v>3304.944</v>
      </c>
      <c r="AB17" s="41">
        <v>3293.75</v>
      </c>
      <c r="AC17" s="41">
        <v>2993.136</v>
      </c>
      <c r="AD17" s="41">
        <v>3003.5219999999999</v>
      </c>
      <c r="AE17" s="41">
        <v>3004.4630000000002</v>
      </c>
      <c r="AF17" s="41">
        <v>3021.8910000000001</v>
      </c>
      <c r="AG17" s="41">
        <v>3023.424</v>
      </c>
      <c r="AH17" s="41">
        <v>3037.0889999999999</v>
      </c>
      <c r="AI17" s="41">
        <v>3073.41</v>
      </c>
      <c r="AJ17" s="41">
        <v>3064.4639999999999</v>
      </c>
      <c r="AK17" s="41">
        <v>3088.328</v>
      </c>
      <c r="AL17" s="41">
        <v>3072.1350000000002</v>
      </c>
      <c r="AM17" s="41">
        <v>3120.527</v>
      </c>
      <c r="AN17" s="41">
        <v>3092.799</v>
      </c>
    </row>
    <row r="18" spans="1:40" x14ac:dyDescent="0.25">
      <c r="A18" s="40" t="s">
        <v>788</v>
      </c>
      <c r="B18" s="38" t="s">
        <v>684</v>
      </c>
      <c r="C18" s="38" t="s">
        <v>805</v>
      </c>
      <c r="D18" s="38" t="s">
        <v>417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2">
        <v>1794.6579999999999</v>
      </c>
      <c r="V18" s="43">
        <v>1806.0060000000001</v>
      </c>
      <c r="W18" s="43">
        <v>1808.4970000000001</v>
      </c>
      <c r="X18" s="43">
        <v>1807.2650000000001</v>
      </c>
      <c r="Y18" s="41">
        <v>1824.654</v>
      </c>
      <c r="Z18" s="41">
        <v>1830.1089999999999</v>
      </c>
      <c r="AA18" s="41">
        <v>1840.1089999999999</v>
      </c>
      <c r="AB18" s="41">
        <v>1838.0250000000001</v>
      </c>
      <c r="AC18" s="41">
        <v>1853.681</v>
      </c>
      <c r="AD18" s="41">
        <v>1859.9179999999999</v>
      </c>
      <c r="AE18" s="41">
        <v>1863.5530000000001</v>
      </c>
      <c r="AF18" s="41">
        <v>1868.69</v>
      </c>
      <c r="AG18" s="41">
        <v>1875.288</v>
      </c>
      <c r="AH18" s="41">
        <v>1876.838</v>
      </c>
      <c r="AI18" s="41">
        <v>1891.0250000000001</v>
      </c>
      <c r="AJ18" s="41">
        <v>1883.1479999999999</v>
      </c>
      <c r="AK18" s="41">
        <v>1904.268</v>
      </c>
      <c r="AL18" s="41">
        <v>1902.2349999999999</v>
      </c>
      <c r="AM18" s="41">
        <v>1899.64</v>
      </c>
      <c r="AN18" s="41">
        <v>1905.048</v>
      </c>
    </row>
    <row r="19" spans="1:40" x14ac:dyDescent="0.25">
      <c r="A19" s="40" t="s">
        <v>788</v>
      </c>
      <c r="B19" s="38" t="s">
        <v>684</v>
      </c>
      <c r="C19" s="38" t="s">
        <v>806</v>
      </c>
      <c r="D19" s="38" t="s">
        <v>417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2">
        <v>2438.9299999999998</v>
      </c>
      <c r="V19" s="43">
        <v>2447.652</v>
      </c>
      <c r="W19" s="43">
        <v>2465.2289999999998</v>
      </c>
      <c r="X19" s="43">
        <v>2509.8679999999999</v>
      </c>
      <c r="Y19" s="41">
        <v>2503.9</v>
      </c>
      <c r="Z19" s="41">
        <v>2534.9059999999999</v>
      </c>
      <c r="AA19" s="41">
        <v>2551.34</v>
      </c>
      <c r="AB19" s="41">
        <v>2584.1239999999998</v>
      </c>
      <c r="AC19" s="41">
        <v>2940.2840000000001</v>
      </c>
      <c r="AD19" s="41">
        <v>2948.1970000000001</v>
      </c>
      <c r="AE19" s="41">
        <v>2981.2559999999999</v>
      </c>
      <c r="AF19" s="41">
        <v>3022.998</v>
      </c>
      <c r="AG19" s="41">
        <v>3023.1660000000002</v>
      </c>
      <c r="AH19" s="41">
        <v>3015.33</v>
      </c>
      <c r="AI19" s="41">
        <v>3077.1390000000001</v>
      </c>
      <c r="AJ19" s="41">
        <v>3093.9859999999999</v>
      </c>
      <c r="AK19" s="41">
        <v>3120.8879999999999</v>
      </c>
      <c r="AL19" s="41">
        <v>3104.692</v>
      </c>
      <c r="AM19" s="41">
        <v>3150.9389999999999</v>
      </c>
      <c r="AN19" s="41">
        <v>3182.0569999999998</v>
      </c>
    </row>
    <row r="20" spans="1:40" x14ac:dyDescent="0.25">
      <c r="A20" s="40" t="s">
        <v>807</v>
      </c>
      <c r="B20" s="38" t="s">
        <v>684</v>
      </c>
      <c r="C20" s="38" t="s">
        <v>789</v>
      </c>
      <c r="D20" s="38" t="s">
        <v>417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2">
        <v>44934.226000000002</v>
      </c>
      <c r="V20" s="43">
        <v>41058.332999999999</v>
      </c>
      <c r="W20" s="43">
        <v>45870.703999999998</v>
      </c>
      <c r="X20" s="43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1">
        <v>48093.256999999998</v>
      </c>
      <c r="AL20" s="41">
        <v>50396.197999999997</v>
      </c>
      <c r="AM20" s="34">
        <v>50073.56</v>
      </c>
      <c r="AN20" s="34">
        <v>50122.614999999998</v>
      </c>
    </row>
    <row r="21" spans="1:40" x14ac:dyDescent="0.25">
      <c r="A21" s="40" t="s">
        <v>807</v>
      </c>
      <c r="B21" s="38" t="s">
        <v>684</v>
      </c>
      <c r="C21" s="38" t="s">
        <v>790</v>
      </c>
      <c r="D21" s="38" t="s">
        <v>417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2">
        <v>5905.21</v>
      </c>
      <c r="V21" s="43">
        <v>5385.3149999999996</v>
      </c>
      <c r="W21" s="43">
        <v>5898.424</v>
      </c>
      <c r="X21" s="43">
        <v>5681.7929999999997</v>
      </c>
      <c r="Y21" s="41">
        <v>5750.1173837599999</v>
      </c>
      <c r="Z21" s="41">
        <v>6064.0161722000003</v>
      </c>
      <c r="AA21" s="41">
        <v>5862.2309999999998</v>
      </c>
      <c r="AB21" s="41">
        <v>6144.4968789599989</v>
      </c>
      <c r="AC21" s="41">
        <v>6016.5929999999998</v>
      </c>
      <c r="AD21" s="41">
        <v>6222.4639584000006</v>
      </c>
      <c r="AE21" s="41">
        <v>6387.0089443999996</v>
      </c>
      <c r="AF21" s="41">
        <v>6202.9382322700003</v>
      </c>
      <c r="AG21" s="41">
        <v>6449.1626646000013</v>
      </c>
      <c r="AH21" s="41">
        <v>6506.3793583400002</v>
      </c>
      <c r="AI21" s="41">
        <v>6213.7889999999989</v>
      </c>
      <c r="AJ21" s="41">
        <v>6420.2609447599998</v>
      </c>
      <c r="AK21" s="41">
        <v>6396.1305151999995</v>
      </c>
      <c r="AL21" s="41">
        <v>6469.3382933100002</v>
      </c>
      <c r="AM21" s="41">
        <v>6487.33</v>
      </c>
      <c r="AN21" s="41">
        <v>6546.5586401800001</v>
      </c>
    </row>
    <row r="22" spans="1:40" x14ac:dyDescent="0.25">
      <c r="A22" s="40" t="s">
        <v>807</v>
      </c>
      <c r="B22" s="38" t="s">
        <v>684</v>
      </c>
      <c r="C22" s="38" t="s">
        <v>791</v>
      </c>
      <c r="D22" s="38" t="s">
        <v>417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2">
        <v>761.54499999999996</v>
      </c>
      <c r="V22" s="43">
        <v>688.25400000000002</v>
      </c>
      <c r="W22" s="43">
        <v>793.55700000000002</v>
      </c>
      <c r="X22" s="43">
        <v>764.13599999999997</v>
      </c>
      <c r="Y22" s="41">
        <v>768.96153977999995</v>
      </c>
      <c r="Z22" s="41">
        <v>801.50192079999999</v>
      </c>
      <c r="AA22" s="41">
        <v>811.14599999999984</v>
      </c>
      <c r="AB22" s="41">
        <v>804.94729842000015</v>
      </c>
      <c r="AC22" s="41">
        <v>825.30099999999982</v>
      </c>
      <c r="AD22" s="41">
        <v>838.66286909999997</v>
      </c>
      <c r="AE22" s="41">
        <v>874.08332468000003</v>
      </c>
      <c r="AF22" s="41">
        <v>819.45029824000005</v>
      </c>
      <c r="AG22" s="41">
        <v>821.39765318000002</v>
      </c>
      <c r="AH22" s="41">
        <v>833.65117113999997</v>
      </c>
      <c r="AI22" s="41">
        <v>825.08799999999985</v>
      </c>
      <c r="AJ22" s="41">
        <v>852.82668906000004</v>
      </c>
      <c r="AK22" s="41">
        <v>832.87632323999981</v>
      </c>
      <c r="AL22" s="41">
        <v>818.84732300000007</v>
      </c>
      <c r="AM22" s="41">
        <v>867.47900000000004</v>
      </c>
      <c r="AN22" s="41">
        <v>821.83250097999996</v>
      </c>
    </row>
    <row r="23" spans="1:40" x14ac:dyDescent="0.25">
      <c r="A23" s="40" t="s">
        <v>807</v>
      </c>
      <c r="B23" s="38" t="s">
        <v>684</v>
      </c>
      <c r="C23" s="38" t="s">
        <v>792</v>
      </c>
      <c r="D23" s="38" t="s">
        <v>417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2">
        <v>2215.248</v>
      </c>
      <c r="V23" s="43">
        <v>2158.9659999999999</v>
      </c>
      <c r="W23" s="43">
        <v>2291.357</v>
      </c>
      <c r="X23" s="43">
        <v>2215.279</v>
      </c>
      <c r="Y23" s="41">
        <v>2193.715764</v>
      </c>
      <c r="Z23" s="41">
        <v>2284.2696130700001</v>
      </c>
      <c r="AA23" s="41">
        <v>2175.817</v>
      </c>
      <c r="AB23" s="41">
        <v>2280.4577421999998</v>
      </c>
      <c r="AC23" s="41">
        <v>2269.4279999999999</v>
      </c>
      <c r="AD23" s="41">
        <v>2478.741489</v>
      </c>
      <c r="AE23" s="41">
        <v>2428.9544323499999</v>
      </c>
      <c r="AF23" s="41">
        <v>2303.5606702499999</v>
      </c>
      <c r="AG23" s="41">
        <v>2318.6625810600003</v>
      </c>
      <c r="AH23" s="41">
        <v>2322.2761942400002</v>
      </c>
      <c r="AI23" s="41">
        <v>2186.8539999999998</v>
      </c>
      <c r="AJ23" s="41">
        <v>2343.6254677500001</v>
      </c>
      <c r="AK23" s="41">
        <v>2272.2994948199998</v>
      </c>
      <c r="AL23" s="41">
        <v>2397.2004559999996</v>
      </c>
      <c r="AM23" s="41">
        <v>2215.3209999999999</v>
      </c>
      <c r="AN23" s="41">
        <v>2290.5612854999999</v>
      </c>
    </row>
    <row r="24" spans="1:40" x14ac:dyDescent="0.25">
      <c r="A24" s="40" t="s">
        <v>807</v>
      </c>
      <c r="B24" s="38" t="s">
        <v>684</v>
      </c>
      <c r="C24" s="38" t="s">
        <v>793</v>
      </c>
      <c r="D24" s="38" t="s">
        <v>417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2">
        <v>1554.4179999999999</v>
      </c>
      <c r="V24" s="43">
        <v>1455.08</v>
      </c>
      <c r="W24" s="43">
        <v>1590.8989999999999</v>
      </c>
      <c r="X24" s="43">
        <v>1391.1659999999999</v>
      </c>
      <c r="Y24" s="41">
        <v>1590.0750235600001</v>
      </c>
      <c r="Z24" s="41">
        <v>1564.2821607000001</v>
      </c>
      <c r="AA24" s="41">
        <v>1604.2909999999999</v>
      </c>
      <c r="AB24" s="41">
        <v>1648.8407969000002</v>
      </c>
      <c r="AC24" s="41">
        <v>1590.703</v>
      </c>
      <c r="AD24" s="41">
        <v>1664.7535884000001</v>
      </c>
      <c r="AE24" s="41">
        <v>1685.1316409400001</v>
      </c>
      <c r="AF24" s="41">
        <v>1628.54692555</v>
      </c>
      <c r="AG24" s="41">
        <v>1611.09839872</v>
      </c>
      <c r="AH24" s="41">
        <v>1567.9923096800001</v>
      </c>
      <c r="AI24" s="41">
        <v>1564.077</v>
      </c>
      <c r="AJ24" s="41">
        <v>1614.76072866</v>
      </c>
      <c r="AK24" s="41">
        <v>1621.5576031199998</v>
      </c>
      <c r="AL24" s="41">
        <v>1686.7109277</v>
      </c>
      <c r="AM24" s="41">
        <v>1615.386</v>
      </c>
      <c r="AN24" s="41">
        <v>1663.7567319000002</v>
      </c>
    </row>
    <row r="25" spans="1:40" x14ac:dyDescent="0.25">
      <c r="A25" s="40" t="s">
        <v>807</v>
      </c>
      <c r="B25" s="38" t="s">
        <v>684</v>
      </c>
      <c r="C25" s="38" t="s">
        <v>794</v>
      </c>
      <c r="D25" s="38" t="s">
        <v>417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2">
        <v>5015.3190000000004</v>
      </c>
      <c r="V25" s="43">
        <v>4461.7290000000003</v>
      </c>
      <c r="W25" s="43">
        <v>5068.2370000000001</v>
      </c>
      <c r="X25" s="43">
        <v>4982.2820000000002</v>
      </c>
      <c r="Y25" s="41">
        <v>5078.5693129600004</v>
      </c>
      <c r="Z25" s="41">
        <v>4993.1191019900007</v>
      </c>
      <c r="AA25" s="41">
        <v>5019.1009999999997</v>
      </c>
      <c r="AB25" s="41">
        <v>5255.1326699999991</v>
      </c>
      <c r="AC25" s="41">
        <v>5247.0290000000005</v>
      </c>
      <c r="AD25" s="41">
        <v>5408.3363674999991</v>
      </c>
      <c r="AE25" s="41">
        <v>5790.5676419000001</v>
      </c>
      <c r="AF25" s="41">
        <v>5647.0365489999995</v>
      </c>
      <c r="AG25" s="41">
        <v>5770.6682828599996</v>
      </c>
      <c r="AH25" s="41">
        <v>5833.4722424999991</v>
      </c>
      <c r="AI25" s="41">
        <v>5391.6639999999998</v>
      </c>
      <c r="AJ25" s="41">
        <v>5749.9153101000002</v>
      </c>
      <c r="AK25" s="41">
        <v>5487.7553484399996</v>
      </c>
      <c r="AL25" s="41">
        <v>5963.7109995199999</v>
      </c>
      <c r="AM25" s="41">
        <v>5938.8059999999996</v>
      </c>
      <c r="AN25" s="41">
        <v>5833.3447198999993</v>
      </c>
    </row>
    <row r="26" spans="1:40" x14ac:dyDescent="0.25">
      <c r="A26" s="40" t="s">
        <v>807</v>
      </c>
      <c r="B26" s="38" t="s">
        <v>684</v>
      </c>
      <c r="C26" s="38" t="s">
        <v>795</v>
      </c>
      <c r="D26" s="38" t="s">
        <v>417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2">
        <v>6987.6319999999996</v>
      </c>
      <c r="V26" s="43">
        <v>6434.2420000000002</v>
      </c>
      <c r="W26" s="43">
        <v>7158.9030000000002</v>
      </c>
      <c r="X26" s="43">
        <v>6806.6239999999998</v>
      </c>
      <c r="Y26" s="41">
        <v>6928.3451745299999</v>
      </c>
      <c r="Z26" s="41">
        <v>7356.8902461599992</v>
      </c>
      <c r="AA26" s="41">
        <v>6939.2190000000001</v>
      </c>
      <c r="AB26" s="41">
        <v>7316.1030813599991</v>
      </c>
      <c r="AC26" s="41">
        <v>7198.4979999999996</v>
      </c>
      <c r="AD26" s="41">
        <v>7520.6512601999993</v>
      </c>
      <c r="AE26" s="41">
        <v>7571.3410152999995</v>
      </c>
      <c r="AF26" s="41">
        <v>7602.2391662399996</v>
      </c>
      <c r="AG26" s="41">
        <v>7539.4595394599992</v>
      </c>
      <c r="AH26" s="41">
        <v>7580.1332426400004</v>
      </c>
      <c r="AI26" s="41">
        <v>7259.7129999999988</v>
      </c>
      <c r="AJ26" s="41">
        <v>7427.3112983999999</v>
      </c>
      <c r="AK26" s="41">
        <v>7413.8520876800003</v>
      </c>
      <c r="AL26" s="41">
        <v>7820.6880973100015</v>
      </c>
      <c r="AM26" s="41">
        <v>7619.1670000000013</v>
      </c>
      <c r="AN26" s="41">
        <v>7538.7906814400003</v>
      </c>
    </row>
    <row r="27" spans="1:40" x14ac:dyDescent="0.25">
      <c r="A27" s="40" t="s">
        <v>807</v>
      </c>
      <c r="B27" s="38" t="s">
        <v>684</v>
      </c>
      <c r="C27" s="38" t="s">
        <v>796</v>
      </c>
      <c r="D27" s="38" t="s">
        <v>417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2">
        <v>1199.4449999999999</v>
      </c>
      <c r="V27" s="43">
        <v>1093.702</v>
      </c>
      <c r="W27" s="43">
        <v>1315.2850000000001</v>
      </c>
      <c r="X27" s="43">
        <v>1274.078</v>
      </c>
      <c r="Y27" s="41">
        <v>1255.2990075</v>
      </c>
      <c r="Z27" s="41">
        <v>1431.5902538000003</v>
      </c>
      <c r="AA27" s="41">
        <v>1311.2460000000001</v>
      </c>
      <c r="AB27" s="41">
        <v>1303.21523002</v>
      </c>
      <c r="AC27" s="41">
        <v>1319.4349999999999</v>
      </c>
      <c r="AD27" s="41">
        <v>1339.5235601000002</v>
      </c>
      <c r="AE27" s="41">
        <v>1403.9218310600002</v>
      </c>
      <c r="AF27" s="41">
        <v>1329.3082303200001</v>
      </c>
      <c r="AG27" s="41">
        <v>1354.8442314399999</v>
      </c>
      <c r="AH27" s="41">
        <v>1391.2437454299998</v>
      </c>
      <c r="AI27" s="41">
        <v>1331.8440000000001</v>
      </c>
      <c r="AJ27" s="41">
        <v>1310.4499533399999</v>
      </c>
      <c r="AK27" s="41">
        <v>1387.7064020799999</v>
      </c>
      <c r="AL27" s="41">
        <v>1378.9690379600002</v>
      </c>
      <c r="AM27" s="41">
        <v>1408.643</v>
      </c>
      <c r="AN27" s="41">
        <v>1365.2023968000001</v>
      </c>
    </row>
    <row r="28" spans="1:40" x14ac:dyDescent="0.25">
      <c r="A28" s="40" t="s">
        <v>807</v>
      </c>
      <c r="B28" s="38" t="s">
        <v>684</v>
      </c>
      <c r="C28" s="38" t="s">
        <v>797</v>
      </c>
      <c r="D28" s="38" t="s">
        <v>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2">
        <v>2408.8960000000002</v>
      </c>
      <c r="V28" s="43">
        <v>2192.5430000000001</v>
      </c>
      <c r="W28" s="43">
        <v>2467.8470000000002</v>
      </c>
      <c r="X28" s="43">
        <v>2334.7690000000002</v>
      </c>
      <c r="Y28" s="41">
        <v>2323.6129133099998</v>
      </c>
      <c r="Z28" s="41">
        <v>2406.4941759100002</v>
      </c>
      <c r="AA28" s="41">
        <v>2396.096</v>
      </c>
      <c r="AB28" s="41">
        <v>2465.9478947999996</v>
      </c>
      <c r="AC28" s="41">
        <v>2381.8960000000002</v>
      </c>
      <c r="AD28" s="41">
        <v>2549.3805170000005</v>
      </c>
      <c r="AE28" s="41">
        <v>2492.6656065400002</v>
      </c>
      <c r="AF28" s="41">
        <v>2393.0627360000003</v>
      </c>
      <c r="AG28" s="41">
        <v>2430.1077264</v>
      </c>
      <c r="AH28" s="41">
        <v>2516.59455948</v>
      </c>
      <c r="AI28" s="41">
        <v>2372.6190000000001</v>
      </c>
      <c r="AJ28" s="41">
        <v>2577.7951056000002</v>
      </c>
      <c r="AK28" s="41">
        <v>2338.1805101200002</v>
      </c>
      <c r="AL28" s="41">
        <v>2533.4776075099994</v>
      </c>
      <c r="AM28" s="41">
        <v>2549.3960000000002</v>
      </c>
      <c r="AN28" s="41">
        <v>2453.6434863600002</v>
      </c>
    </row>
    <row r="29" spans="1:40" x14ac:dyDescent="0.25">
      <c r="A29" s="40" t="s">
        <v>807</v>
      </c>
      <c r="B29" s="38" t="s">
        <v>684</v>
      </c>
      <c r="C29" s="38" t="s">
        <v>798</v>
      </c>
      <c r="D29" s="38" t="s">
        <v>417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2">
        <v>3248.634</v>
      </c>
      <c r="V29" s="43">
        <v>3044.5630000000001</v>
      </c>
      <c r="W29" s="43">
        <v>3312.9459999999999</v>
      </c>
      <c r="X29" s="43">
        <v>3121.0149999999999</v>
      </c>
      <c r="Y29" s="41">
        <v>3439.8328087499999</v>
      </c>
      <c r="Z29" s="41">
        <v>3371.9379453200004</v>
      </c>
      <c r="AA29" s="41">
        <v>3291.2519999999995</v>
      </c>
      <c r="AB29" s="41">
        <v>3389.9707641799996</v>
      </c>
      <c r="AC29" s="41">
        <v>3495.0619999999999</v>
      </c>
      <c r="AD29" s="41">
        <v>3463.9643133</v>
      </c>
      <c r="AE29" s="41">
        <v>3630.7843437799997</v>
      </c>
      <c r="AF29" s="41">
        <v>3563.6757466500003</v>
      </c>
      <c r="AG29" s="41">
        <v>3568.5360874999997</v>
      </c>
      <c r="AH29" s="41">
        <v>3670.4904551700001</v>
      </c>
      <c r="AI29" s="41">
        <v>3436.5619999999999</v>
      </c>
      <c r="AJ29" s="41">
        <v>3537.6773892899996</v>
      </c>
      <c r="AK29" s="41">
        <v>3508.4647125000001</v>
      </c>
      <c r="AL29" s="41">
        <v>3547.1969306999999</v>
      </c>
      <c r="AM29" s="41">
        <v>3419.3220000000001</v>
      </c>
      <c r="AN29" s="41">
        <v>3615.7197967499997</v>
      </c>
    </row>
    <row r="30" spans="1:40" x14ac:dyDescent="0.25">
      <c r="A30" s="40" t="s">
        <v>807</v>
      </c>
      <c r="B30" s="38" t="s">
        <v>684</v>
      </c>
      <c r="C30" s="38" t="s">
        <v>799</v>
      </c>
      <c r="D30" s="38" t="s">
        <v>417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2">
        <v>3422.9960000000001</v>
      </c>
      <c r="V30" s="43">
        <v>3108.201</v>
      </c>
      <c r="W30" s="43">
        <v>3165.4670000000001</v>
      </c>
      <c r="X30" s="43">
        <v>3056.0509999999999</v>
      </c>
      <c r="Y30" s="41">
        <v>3362.4564609599997</v>
      </c>
      <c r="Z30" s="41">
        <v>3701.2880313900005</v>
      </c>
      <c r="AA30" s="41">
        <v>3348.9009999999998</v>
      </c>
      <c r="AB30" s="41">
        <v>3671.3966940300006</v>
      </c>
      <c r="AC30" s="41">
        <v>3361.3079999999995</v>
      </c>
      <c r="AD30" s="41">
        <v>3703.4028680000001</v>
      </c>
      <c r="AE30" s="41">
        <v>3778.5297790800005</v>
      </c>
      <c r="AF30" s="41">
        <v>3765.9541670099993</v>
      </c>
      <c r="AG30" s="41">
        <v>3676.7885431199998</v>
      </c>
      <c r="AH30" s="41">
        <v>3803.1104382500007</v>
      </c>
      <c r="AI30" s="41">
        <v>3444.5920000000006</v>
      </c>
      <c r="AJ30" s="41">
        <v>3801.8110568399998</v>
      </c>
      <c r="AK30" s="41">
        <v>3500.3521508100002</v>
      </c>
      <c r="AL30" s="41">
        <v>3687.0970265599999</v>
      </c>
      <c r="AM30" s="41">
        <v>3776.7509999999997</v>
      </c>
      <c r="AN30" s="41">
        <v>3720.9435510600006</v>
      </c>
    </row>
    <row r="31" spans="1:40" x14ac:dyDescent="0.25">
      <c r="A31" s="40" t="s">
        <v>807</v>
      </c>
      <c r="B31" s="38" t="s">
        <v>684</v>
      </c>
      <c r="C31" s="38" t="s">
        <v>800</v>
      </c>
      <c r="D31" s="38" t="s">
        <v>417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>
        <v>1845.616</v>
      </c>
      <c r="V31" s="43">
        <v>1757.9169999999999</v>
      </c>
      <c r="W31" s="43">
        <v>1915.8320000000001</v>
      </c>
      <c r="X31" s="43">
        <v>1769.2170000000001</v>
      </c>
      <c r="Y31" s="41">
        <v>1901.8426649400001</v>
      </c>
      <c r="Z31" s="41">
        <v>1983.9092047200002</v>
      </c>
      <c r="AA31" s="41">
        <v>1933.1110000000001</v>
      </c>
      <c r="AB31" s="41">
        <v>1919.9769294599998</v>
      </c>
      <c r="AC31" s="41">
        <v>1872.8750000000002</v>
      </c>
      <c r="AD31" s="41">
        <v>1946.9779764000002</v>
      </c>
      <c r="AE31" s="41">
        <v>2108.1858569199999</v>
      </c>
      <c r="AF31" s="41">
        <v>2089.6717763000001</v>
      </c>
      <c r="AG31" s="41">
        <v>2076.32938491</v>
      </c>
      <c r="AH31" s="41">
        <v>2149.3319841000002</v>
      </c>
      <c r="AI31" s="41">
        <v>1978.1759999999999</v>
      </c>
      <c r="AJ31" s="41">
        <v>2100.7020503700001</v>
      </c>
      <c r="AK31" s="41">
        <v>1965.9429824000003</v>
      </c>
      <c r="AL31" s="41">
        <v>2090.7534668999997</v>
      </c>
      <c r="AM31" s="41">
        <v>2072.3420000000001</v>
      </c>
      <c r="AN31" s="41">
        <v>2132.8563495600001</v>
      </c>
    </row>
    <row r="32" spans="1:40" x14ac:dyDescent="0.25">
      <c r="A32" s="40" t="s">
        <v>807</v>
      </c>
      <c r="B32" s="38" t="s">
        <v>684</v>
      </c>
      <c r="C32" s="38" t="s">
        <v>801</v>
      </c>
      <c r="D32" s="38" t="s">
        <v>417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2">
        <v>1478.0039999999999</v>
      </c>
      <c r="V32" s="43">
        <v>1305.991</v>
      </c>
      <c r="W32" s="43">
        <v>1527.5</v>
      </c>
      <c r="X32" s="43">
        <v>1404.002</v>
      </c>
      <c r="Y32" s="41">
        <v>1696.6642810400001</v>
      </c>
      <c r="Z32" s="41">
        <v>1697.8505297699999</v>
      </c>
      <c r="AA32" s="41">
        <v>1502.2350000000001</v>
      </c>
      <c r="AB32" s="41">
        <v>1579.8685432300001</v>
      </c>
      <c r="AC32" s="41">
        <v>1551.933</v>
      </c>
      <c r="AD32" s="41">
        <v>1564.9493483999997</v>
      </c>
      <c r="AE32" s="41">
        <v>1702.3823274200001</v>
      </c>
      <c r="AF32" s="41">
        <v>1601.4313024600001</v>
      </c>
      <c r="AG32" s="41">
        <v>1698.2768204099998</v>
      </c>
      <c r="AH32" s="41">
        <v>1660.0911294799998</v>
      </c>
      <c r="AI32" s="41">
        <v>1543.1779999999999</v>
      </c>
      <c r="AJ32" s="41">
        <v>1562.5512247800002</v>
      </c>
      <c r="AK32" s="41">
        <v>1544.5725375600002</v>
      </c>
      <c r="AL32" s="41">
        <v>1582.3015777199998</v>
      </c>
      <c r="AM32" s="41">
        <v>1674.1110000000001</v>
      </c>
      <c r="AN32" s="41">
        <v>1637.7809610600002</v>
      </c>
    </row>
    <row r="33" spans="1:40" x14ac:dyDescent="0.25">
      <c r="A33" s="40" t="s">
        <v>807</v>
      </c>
      <c r="B33" s="38" t="s">
        <v>684</v>
      </c>
      <c r="C33" s="38" t="s">
        <v>802</v>
      </c>
      <c r="D33" s="38" t="s">
        <v>417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2">
        <v>2340.0630000000001</v>
      </c>
      <c r="V33" s="43">
        <v>2116.9290000000001</v>
      </c>
      <c r="W33" s="43">
        <v>2326.44</v>
      </c>
      <c r="X33" s="43">
        <v>2164.4670000000001</v>
      </c>
      <c r="Y33" s="41">
        <v>2226.6049359499998</v>
      </c>
      <c r="Z33" s="41">
        <v>2456.9415580199998</v>
      </c>
      <c r="AA33" s="41">
        <v>2111.5749999999998</v>
      </c>
      <c r="AB33" s="41">
        <v>2402.4565820000003</v>
      </c>
      <c r="AC33" s="41">
        <v>2200.029</v>
      </c>
      <c r="AD33" s="41">
        <v>2415.448719</v>
      </c>
      <c r="AE33" s="41">
        <v>2468.9100111999996</v>
      </c>
      <c r="AF33" s="41">
        <v>2366.7115291800001</v>
      </c>
      <c r="AG33" s="41">
        <v>2428.9385634</v>
      </c>
      <c r="AH33" s="41">
        <v>2337.0849871599999</v>
      </c>
      <c r="AI33" s="41">
        <v>2169.348</v>
      </c>
      <c r="AJ33" s="41">
        <v>2412.6743630599995</v>
      </c>
      <c r="AK33" s="41">
        <v>2224.5457812000004</v>
      </c>
      <c r="AL33" s="41">
        <v>2422.4286297500003</v>
      </c>
      <c r="AM33" s="41">
        <v>2372.84</v>
      </c>
      <c r="AN33" s="41">
        <v>2335.2991394400001</v>
      </c>
    </row>
    <row r="34" spans="1:40" x14ac:dyDescent="0.25">
      <c r="A34" s="40" t="s">
        <v>807</v>
      </c>
      <c r="B34" s="38" t="s">
        <v>684</v>
      </c>
      <c r="C34" s="38" t="s">
        <v>803</v>
      </c>
      <c r="D34" s="38" t="s">
        <v>417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2">
        <v>2078.5279999999998</v>
      </c>
      <c r="V34" s="43">
        <v>1966.4649999999999</v>
      </c>
      <c r="W34" s="43">
        <v>2120.0509999999999</v>
      </c>
      <c r="X34" s="43">
        <v>2022.3920000000001</v>
      </c>
      <c r="Y34" s="41">
        <v>2038.1049395</v>
      </c>
      <c r="Z34" s="41">
        <v>2148.0209648</v>
      </c>
      <c r="AA34" s="41">
        <v>2107.0929999999998</v>
      </c>
      <c r="AB34" s="41">
        <v>2257.6319067900004</v>
      </c>
      <c r="AC34" s="41">
        <v>2196.7730000000001</v>
      </c>
      <c r="AD34" s="41">
        <v>2128.693213</v>
      </c>
      <c r="AE34" s="41">
        <v>2330.215404</v>
      </c>
      <c r="AF34" s="41">
        <v>2309.8025363800002</v>
      </c>
      <c r="AG34" s="41">
        <v>2370.6206325200005</v>
      </c>
      <c r="AH34" s="41">
        <v>2375.9016627000001</v>
      </c>
      <c r="AI34" s="41">
        <v>2202.9699999999998</v>
      </c>
      <c r="AJ34" s="41">
        <v>2415.6118391600003</v>
      </c>
      <c r="AK34" s="41">
        <v>2319.2113755199998</v>
      </c>
      <c r="AL34" s="41">
        <v>2366.7320646000003</v>
      </c>
      <c r="AM34" s="41">
        <v>2394.6799999999998</v>
      </c>
      <c r="AN34" s="41">
        <v>2461.6025050000003</v>
      </c>
    </row>
    <row r="35" spans="1:40" x14ac:dyDescent="0.25">
      <c r="A35" s="40" t="s">
        <v>807</v>
      </c>
      <c r="B35" s="38" t="s">
        <v>684</v>
      </c>
      <c r="C35" s="38" t="s">
        <v>804</v>
      </c>
      <c r="D35" s="38" t="s">
        <v>417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2">
        <v>2070.306</v>
      </c>
      <c r="V35" s="43">
        <v>1854.7080000000001</v>
      </c>
      <c r="W35" s="43">
        <v>2139.9229999999998</v>
      </c>
      <c r="X35" s="43">
        <v>2017.4680000000001</v>
      </c>
      <c r="Y35" s="41">
        <v>2028.8172793200001</v>
      </c>
      <c r="Z35" s="41">
        <v>2231.6771837000001</v>
      </c>
      <c r="AA35" s="41">
        <v>2097.85</v>
      </c>
      <c r="AB35" s="41">
        <v>2246.1398749999998</v>
      </c>
      <c r="AC35" s="41">
        <v>1897.2170000000001</v>
      </c>
      <c r="AD35" s="41">
        <v>2043.8967209999998</v>
      </c>
      <c r="AE35" s="41">
        <v>2212.6367763499998</v>
      </c>
      <c r="AF35" s="41">
        <v>2164.3992098399999</v>
      </c>
      <c r="AG35" s="41">
        <v>2088.7627046400003</v>
      </c>
      <c r="AH35" s="41">
        <v>2143.97223777</v>
      </c>
      <c r="AI35" s="41">
        <v>1931.7249999999999</v>
      </c>
      <c r="AJ35" s="41">
        <v>2122.69292352</v>
      </c>
      <c r="AK35" s="41">
        <v>2030.76095968</v>
      </c>
      <c r="AL35" s="41">
        <v>2121.0020040000004</v>
      </c>
      <c r="AM35" s="41">
        <v>2065.9520000000002</v>
      </c>
      <c r="AN35" s="41">
        <v>2154.5984233500003</v>
      </c>
    </row>
    <row r="36" spans="1:40" x14ac:dyDescent="0.25">
      <c r="A36" s="40" t="s">
        <v>807</v>
      </c>
      <c r="B36" s="38" t="s">
        <v>684</v>
      </c>
      <c r="C36" s="38" t="s">
        <v>805</v>
      </c>
      <c r="D36" s="38" t="s">
        <v>417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2">
        <v>1162.1769999999999</v>
      </c>
      <c r="V36" s="43">
        <v>1028.711</v>
      </c>
      <c r="W36" s="43">
        <v>1241.19</v>
      </c>
      <c r="X36" s="43">
        <v>1153.325</v>
      </c>
      <c r="Y36" s="41">
        <v>1124.8262048399999</v>
      </c>
      <c r="Z36" s="41">
        <v>1264.6419211800001</v>
      </c>
      <c r="AA36" s="41">
        <v>1135.21</v>
      </c>
      <c r="AB36" s="41">
        <v>1213.07811975</v>
      </c>
      <c r="AC36" s="41">
        <v>1147.5229999999999</v>
      </c>
      <c r="AD36" s="41">
        <v>1244.0991501999999</v>
      </c>
      <c r="AE36" s="41">
        <v>1293.5666794200001</v>
      </c>
      <c r="AF36" s="41">
        <v>1256.5632166999999</v>
      </c>
      <c r="AG36" s="41">
        <v>1314.108066</v>
      </c>
      <c r="AH36" s="41">
        <v>1425.34585072</v>
      </c>
      <c r="AI36" s="41">
        <v>1222.8650000000002</v>
      </c>
      <c r="AJ36" s="41">
        <v>1337.44937256</v>
      </c>
      <c r="AK36" s="41">
        <v>1235.2796089200001</v>
      </c>
      <c r="AL36" s="41">
        <v>1298.29440985</v>
      </c>
      <c r="AM36" s="41">
        <v>1326.8229999999999</v>
      </c>
      <c r="AN36" s="41">
        <v>1318.8837808799999</v>
      </c>
    </row>
    <row r="37" spans="1:40" x14ac:dyDescent="0.25">
      <c r="A37" s="40" t="s">
        <v>807</v>
      </c>
      <c r="B37" s="38" t="s">
        <v>684</v>
      </c>
      <c r="C37" s="38" t="s">
        <v>806</v>
      </c>
      <c r="D37" s="38" t="s">
        <v>417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2">
        <v>1240.1890000000001</v>
      </c>
      <c r="V37" s="43">
        <v>1005.0170000000001</v>
      </c>
      <c r="W37" s="43">
        <v>1536.845</v>
      </c>
      <c r="X37" s="43">
        <v>1491.31</v>
      </c>
      <c r="Y37" s="41">
        <v>1503.8924179999999</v>
      </c>
      <c r="Z37" s="41">
        <v>1648.3986736800002</v>
      </c>
      <c r="AA37" s="41">
        <v>1253.992</v>
      </c>
      <c r="AB37" s="41">
        <v>1425.7645757599998</v>
      </c>
      <c r="AC37" s="41">
        <v>1647.29</v>
      </c>
      <c r="AD37" s="41">
        <v>1860.0174873000001</v>
      </c>
      <c r="AE37" s="41">
        <v>1832.8165636799999</v>
      </c>
      <c r="AF37" s="41">
        <v>2257.9376661599999</v>
      </c>
      <c r="AG37" s="41">
        <v>2212.1714888400002</v>
      </c>
      <c r="AH37" s="41">
        <v>2197.1503577999997</v>
      </c>
      <c r="AI37" s="41">
        <v>1769.9680000000001</v>
      </c>
      <c r="AJ37" s="41">
        <v>2289.2711812599996</v>
      </c>
      <c r="AK37" s="41">
        <v>2013.69056424</v>
      </c>
      <c r="AL37" s="41">
        <v>2211.59629928</v>
      </c>
      <c r="AM37" s="41">
        <v>2269.212</v>
      </c>
      <c r="AN37" s="41">
        <v>2231.13108612</v>
      </c>
    </row>
    <row r="38" spans="1:40" x14ac:dyDescent="0.25">
      <c r="A38" s="40" t="s">
        <v>11</v>
      </c>
      <c r="B38" s="38" t="s">
        <v>684</v>
      </c>
      <c r="C38" s="38" t="s">
        <v>789</v>
      </c>
      <c r="D38" s="38" t="s">
        <v>417</v>
      </c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2">
        <v>42542.940999999999</v>
      </c>
      <c r="V38" s="43">
        <v>33830.212</v>
      </c>
      <c r="W38" s="43">
        <v>41301.648999999998</v>
      </c>
      <c r="X38" s="43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0" t="s">
        <v>11</v>
      </c>
      <c r="B39" s="38" t="s">
        <v>684</v>
      </c>
      <c r="C39" s="38" t="s">
        <v>790</v>
      </c>
      <c r="D39" s="38" t="s">
        <v>417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2">
        <v>5538.7690000000002</v>
      </c>
      <c r="V39" s="43">
        <v>4720.3860000000004</v>
      </c>
      <c r="W39" s="43">
        <v>4969.4139999999998</v>
      </c>
      <c r="X39" s="43">
        <v>4976.0479999999998</v>
      </c>
      <c r="Y39" s="41">
        <v>5244.3945598583077</v>
      </c>
      <c r="Z39" s="41">
        <v>5188.6147975812082</v>
      </c>
      <c r="AA39" s="41">
        <v>5327.1549999999997</v>
      </c>
      <c r="AB39" s="41">
        <v>5576.0080277186198</v>
      </c>
      <c r="AC39" s="41">
        <v>5577.5709999999999</v>
      </c>
      <c r="AD39" s="41">
        <v>5758.2681471033611</v>
      </c>
      <c r="AE39" s="41">
        <v>5943.7505236586394</v>
      </c>
      <c r="AF39" s="41">
        <v>5857.2484845855934</v>
      </c>
      <c r="AG39" s="41">
        <v>6080.2060685582355</v>
      </c>
      <c r="AH39" s="41">
        <v>6159.329083366144</v>
      </c>
      <c r="AI39" s="41">
        <v>5908.64</v>
      </c>
      <c r="AJ39" s="41">
        <v>6072.9248276484841</v>
      </c>
      <c r="AK39" s="41">
        <v>6104.5309250120317</v>
      </c>
      <c r="AL39" s="41">
        <v>6184.2345547238292</v>
      </c>
      <c r="AM39" s="41">
        <v>6064.3669999999993</v>
      </c>
      <c r="AN39" s="41">
        <v>6207.4469026186753</v>
      </c>
    </row>
    <row r="40" spans="1:40" x14ac:dyDescent="0.25">
      <c r="A40" s="40" t="s">
        <v>11</v>
      </c>
      <c r="B40" s="38" t="s">
        <v>684</v>
      </c>
      <c r="C40" s="38" t="s">
        <v>791</v>
      </c>
      <c r="D40" s="38" t="s">
        <v>417</v>
      </c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2">
        <v>740.30100000000004</v>
      </c>
      <c r="V40" s="43">
        <v>514.04</v>
      </c>
      <c r="W40" s="43">
        <v>717.33900000000006</v>
      </c>
      <c r="X40" s="43">
        <v>722.10300000000007</v>
      </c>
      <c r="Y40" s="41">
        <v>720.14017161936772</v>
      </c>
      <c r="Z40" s="41">
        <v>753.70836126269603</v>
      </c>
      <c r="AA40" s="41">
        <v>771.24199999999985</v>
      </c>
      <c r="AB40" s="41">
        <v>763.8225409437224</v>
      </c>
      <c r="AC40" s="41">
        <v>782.80399999999975</v>
      </c>
      <c r="AD40" s="41">
        <v>801.76170285959995</v>
      </c>
      <c r="AE40" s="41">
        <v>837.45923337590807</v>
      </c>
      <c r="AF40" s="41">
        <v>795.03067935244803</v>
      </c>
      <c r="AG40" s="41">
        <v>793.41263513615752</v>
      </c>
      <c r="AH40" s="41">
        <v>811.30931975344788</v>
      </c>
      <c r="AI40" s="41">
        <v>790.74899999999991</v>
      </c>
      <c r="AJ40" s="41">
        <v>824.55548431766101</v>
      </c>
      <c r="AK40" s="41">
        <v>805.40806209954462</v>
      </c>
      <c r="AL40" s="41">
        <v>788.10779449458005</v>
      </c>
      <c r="AM40" s="41">
        <v>847.673</v>
      </c>
      <c r="AN40" s="41">
        <v>802.56052883201903</v>
      </c>
    </row>
    <row r="41" spans="1:40" x14ac:dyDescent="0.25">
      <c r="A41" s="40" t="s">
        <v>11</v>
      </c>
      <c r="B41" s="38" t="s">
        <v>684</v>
      </c>
      <c r="C41" s="38" t="s">
        <v>792</v>
      </c>
      <c r="D41" s="38" t="s">
        <v>417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>
        <v>2019.316</v>
      </c>
      <c r="V41" s="43">
        <v>1677.11</v>
      </c>
      <c r="W41" s="43">
        <v>2036.173</v>
      </c>
      <c r="X41" s="43">
        <v>1960.8009999999999</v>
      </c>
      <c r="Y41" s="41">
        <v>1989.8098837362002</v>
      </c>
      <c r="Z41" s="41">
        <v>2112.4240100787442</v>
      </c>
      <c r="AA41" s="41">
        <v>2038.4449999999999</v>
      </c>
      <c r="AB41" s="41">
        <v>2089.2413605165298</v>
      </c>
      <c r="AC41" s="41">
        <v>2105.866</v>
      </c>
      <c r="AD41" s="41">
        <v>2332.2478670001001</v>
      </c>
      <c r="AE41" s="41">
        <v>2304.6648340466504</v>
      </c>
      <c r="AF41" s="41">
        <v>2212.4087745282077</v>
      </c>
      <c r="AG41" s="41">
        <v>2213.9981521509521</v>
      </c>
      <c r="AH41" s="41">
        <v>2218.1453296902787</v>
      </c>
      <c r="AI41" s="41">
        <v>2091.4229999999998</v>
      </c>
      <c r="AJ41" s="41">
        <v>2232.1860767584876</v>
      </c>
      <c r="AK41" s="41">
        <v>2181.1121160928733</v>
      </c>
      <c r="AL41" s="41">
        <v>2312.6751679214399</v>
      </c>
      <c r="AM41" s="41">
        <v>2093.2249999999999</v>
      </c>
      <c r="AN41" s="41">
        <v>2214.1023497900101</v>
      </c>
    </row>
    <row r="42" spans="1:40" x14ac:dyDescent="0.25">
      <c r="A42" s="40" t="s">
        <v>11</v>
      </c>
      <c r="B42" s="38" t="s">
        <v>684</v>
      </c>
      <c r="C42" s="38" t="s">
        <v>793</v>
      </c>
      <c r="D42" s="38" t="s">
        <v>417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2">
        <v>1492.491</v>
      </c>
      <c r="V42" s="43">
        <v>1227.412</v>
      </c>
      <c r="W42" s="43">
        <v>1440.9590000000001</v>
      </c>
      <c r="X42" s="43">
        <v>1310.21</v>
      </c>
      <c r="Y42" s="41">
        <v>1494.0821943876829</v>
      </c>
      <c r="Z42" s="41">
        <v>1427.0946152066101</v>
      </c>
      <c r="AA42" s="41">
        <v>1537.153</v>
      </c>
      <c r="AB42" s="41">
        <v>1593.2913504524392</v>
      </c>
      <c r="AC42" s="41">
        <v>1521.7850000000001</v>
      </c>
      <c r="AD42" s="41">
        <v>1600.82705060544</v>
      </c>
      <c r="AE42" s="41">
        <v>1638.6388589664655</v>
      </c>
      <c r="AF42" s="41">
        <v>1568.4698294664604</v>
      </c>
      <c r="AG42" s="41">
        <v>1562.1371183828992</v>
      </c>
      <c r="AH42" s="41">
        <v>1530.6270529403257</v>
      </c>
      <c r="AI42" s="41">
        <v>1511.8679999999999</v>
      </c>
      <c r="AJ42" s="41">
        <v>1554.4332678372623</v>
      </c>
      <c r="AK42" s="41">
        <v>1574.0621809246149</v>
      </c>
      <c r="AL42" s="41">
        <v>1626.5122146903871</v>
      </c>
      <c r="AM42" s="41">
        <v>1558.874</v>
      </c>
      <c r="AN42" s="41">
        <v>1613.0620642790072</v>
      </c>
    </row>
    <row r="43" spans="1:40" x14ac:dyDescent="0.25">
      <c r="A43" s="40" t="s">
        <v>11</v>
      </c>
      <c r="B43" s="38" t="s">
        <v>684</v>
      </c>
      <c r="C43" s="38" t="s">
        <v>794</v>
      </c>
      <c r="D43" s="38" t="s">
        <v>417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2">
        <v>4711.5370000000003</v>
      </c>
      <c r="V43" s="43">
        <v>3242.5279999999998</v>
      </c>
      <c r="W43" s="43">
        <v>4515.8779999999997</v>
      </c>
      <c r="X43" s="43">
        <v>4505.9890000000005</v>
      </c>
      <c r="Y43" s="41">
        <v>4641.6092092729223</v>
      </c>
      <c r="Z43" s="41">
        <v>4555.3723503185374</v>
      </c>
      <c r="AA43" s="41">
        <v>4653.1289999999999</v>
      </c>
      <c r="AB43" s="41">
        <v>4876.1325018395992</v>
      </c>
      <c r="AC43" s="41">
        <v>4946.3379999999997</v>
      </c>
      <c r="AD43" s="41">
        <v>5125.4803754797495</v>
      </c>
      <c r="AE43" s="41">
        <v>5503.1817698325031</v>
      </c>
      <c r="AF43" s="41">
        <v>5380.6658349836698</v>
      </c>
      <c r="AG43" s="41">
        <v>5522.125599917219</v>
      </c>
      <c r="AH43" s="41">
        <v>5559.707390159474</v>
      </c>
      <c r="AI43" s="41">
        <v>5150.585</v>
      </c>
      <c r="AJ43" s="41">
        <v>5559.9381082542959</v>
      </c>
      <c r="AK43" s="41">
        <v>5249.0928683363436</v>
      </c>
      <c r="AL43" s="41">
        <v>5765.357971675965</v>
      </c>
      <c r="AM43" s="41">
        <v>5710.2849999999989</v>
      </c>
      <c r="AN43" s="41">
        <v>5662.4277196069288</v>
      </c>
    </row>
    <row r="44" spans="1:40" x14ac:dyDescent="0.25">
      <c r="A44" s="40" t="s">
        <v>11</v>
      </c>
      <c r="B44" s="38" t="s">
        <v>684</v>
      </c>
      <c r="C44" s="38" t="s">
        <v>795</v>
      </c>
      <c r="D44" s="38" t="s">
        <v>417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2">
        <v>6519.4740000000002</v>
      </c>
      <c r="V44" s="43">
        <v>5360.6660000000002</v>
      </c>
      <c r="W44" s="43">
        <v>6272.8459999999995</v>
      </c>
      <c r="X44" s="43">
        <v>6056.2240000000002</v>
      </c>
      <c r="Y44" s="41">
        <v>6014.7735798164731</v>
      </c>
      <c r="Z44" s="41">
        <v>6370.1841263450196</v>
      </c>
      <c r="AA44" s="41">
        <v>6377.2539999999999</v>
      </c>
      <c r="AB44" s="41">
        <v>6564.5198118118869</v>
      </c>
      <c r="AC44" s="41">
        <v>6662.808</v>
      </c>
      <c r="AD44" s="41">
        <v>7011.5031698844596</v>
      </c>
      <c r="AE44" s="41">
        <v>7092.9079765431916</v>
      </c>
      <c r="AF44" s="41">
        <v>7167.6951754977217</v>
      </c>
      <c r="AG44" s="41">
        <v>7092.0680103884433</v>
      </c>
      <c r="AH44" s="41">
        <v>7162.7711063002416</v>
      </c>
      <c r="AI44" s="41">
        <v>6828.7989999999991</v>
      </c>
      <c r="AJ44" s="41">
        <v>7035.5206274093998</v>
      </c>
      <c r="AK44" s="41">
        <v>6976.8055071112649</v>
      </c>
      <c r="AL44" s="41">
        <v>7405.9570075096517</v>
      </c>
      <c r="AM44" s="41">
        <v>7203.8940000000011</v>
      </c>
      <c r="AN44" s="41">
        <v>7109.0042246911071</v>
      </c>
    </row>
    <row r="45" spans="1:40" x14ac:dyDescent="0.25">
      <c r="A45" s="40" t="s">
        <v>11</v>
      </c>
      <c r="B45" s="38" t="s">
        <v>684</v>
      </c>
      <c r="C45" s="38" t="s">
        <v>796</v>
      </c>
      <c r="D45" s="38" t="s">
        <v>417</v>
      </c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2">
        <v>1156.8009999999999</v>
      </c>
      <c r="V45" s="43">
        <v>957.375</v>
      </c>
      <c r="W45" s="43">
        <v>1240.5440000000001</v>
      </c>
      <c r="X45" s="43">
        <v>1173.6780000000001</v>
      </c>
      <c r="Y45" s="41">
        <v>1138.1545041201</v>
      </c>
      <c r="Z45" s="41">
        <v>1347.5559059019402</v>
      </c>
      <c r="AA45" s="41">
        <v>1217.5360000000001</v>
      </c>
      <c r="AB45" s="41">
        <v>1172.7764176472981</v>
      </c>
      <c r="AC45" s="41">
        <v>1234.0249999999999</v>
      </c>
      <c r="AD45" s="41">
        <v>1269.4664779067703</v>
      </c>
      <c r="AE45" s="41">
        <v>1331.310993957577</v>
      </c>
      <c r="AF45" s="41">
        <v>1259.8917545326899</v>
      </c>
      <c r="AG45" s="41">
        <v>1289.0258986766446</v>
      </c>
      <c r="AH45" s="41">
        <v>1351.3150499361586</v>
      </c>
      <c r="AI45" s="41">
        <v>1272.8789999999999</v>
      </c>
      <c r="AJ45" s="41">
        <v>1260.5611236163461</v>
      </c>
      <c r="AK45" s="41">
        <v>1326.2310084678556</v>
      </c>
      <c r="AL45" s="41">
        <v>1322.6519424497137</v>
      </c>
      <c r="AM45" s="41">
        <v>1347.182</v>
      </c>
      <c r="AN45" s="41">
        <v>1304.7102785977922</v>
      </c>
    </row>
    <row r="46" spans="1:40" x14ac:dyDescent="0.25">
      <c r="A46" s="40" t="s">
        <v>11</v>
      </c>
      <c r="B46" s="38" t="s">
        <v>684</v>
      </c>
      <c r="C46" s="38" t="s">
        <v>797</v>
      </c>
      <c r="D46" s="38" t="s">
        <v>417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2">
        <v>2275.8620000000001</v>
      </c>
      <c r="V46" s="43">
        <v>1847.49</v>
      </c>
      <c r="W46" s="43">
        <v>2242.2109999999998</v>
      </c>
      <c r="X46" s="43">
        <v>2144.0660000000003</v>
      </c>
      <c r="Y46" s="41">
        <v>2059.7201947453832</v>
      </c>
      <c r="Z46" s="41">
        <v>2237.0047911006586</v>
      </c>
      <c r="AA46" s="41">
        <v>2195.2089999999998</v>
      </c>
      <c r="AB46" s="41">
        <v>2243.5687136469355</v>
      </c>
      <c r="AC46" s="41">
        <v>2196.0650000000001</v>
      </c>
      <c r="AD46" s="41">
        <v>2392.3386771528003</v>
      </c>
      <c r="AE46" s="41">
        <v>2362.0000754451735</v>
      </c>
      <c r="AF46" s="41">
        <v>2288.8927151019202</v>
      </c>
      <c r="AG46" s="41">
        <v>2270.789863857216</v>
      </c>
      <c r="AH46" s="41">
        <v>2417.8685549115999</v>
      </c>
      <c r="AI46" s="41">
        <v>2225.3339999999994</v>
      </c>
      <c r="AJ46" s="41">
        <v>2469.8628245285281</v>
      </c>
      <c r="AK46" s="41">
        <v>2206.6578564257502</v>
      </c>
      <c r="AL46" s="41">
        <v>2395.9097734222064</v>
      </c>
      <c r="AM46" s="41">
        <v>2395.7640000000006</v>
      </c>
      <c r="AN46" s="41">
        <v>2316.0922325146585</v>
      </c>
    </row>
    <row r="47" spans="1:40" x14ac:dyDescent="0.25">
      <c r="A47" s="40" t="s">
        <v>11</v>
      </c>
      <c r="B47" s="38" t="s">
        <v>684</v>
      </c>
      <c r="C47" s="38" t="s">
        <v>798</v>
      </c>
      <c r="D47" s="38" t="s">
        <v>417</v>
      </c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2">
        <v>3065.5070000000001</v>
      </c>
      <c r="V47" s="43">
        <v>2628.0169999999998</v>
      </c>
      <c r="W47" s="43">
        <v>3104.3069999999998</v>
      </c>
      <c r="X47" s="43">
        <v>2937.8139999999999</v>
      </c>
      <c r="Y47" s="41">
        <v>3125.7416749830372</v>
      </c>
      <c r="Z47" s="41">
        <v>3118.4693699702962</v>
      </c>
      <c r="AA47" s="41">
        <v>3047.0369999999994</v>
      </c>
      <c r="AB47" s="41">
        <v>3194.5050499173808</v>
      </c>
      <c r="AC47" s="41">
        <v>3331.0940000000001</v>
      </c>
      <c r="AD47" s="41">
        <v>3269.2895188925399</v>
      </c>
      <c r="AE47" s="41">
        <v>3413.009898840075</v>
      </c>
      <c r="AF47" s="41">
        <v>3381.3580954513864</v>
      </c>
      <c r="AG47" s="41">
        <v>3370.0184249523745</v>
      </c>
      <c r="AH47" s="41">
        <v>3514.1275617797578</v>
      </c>
      <c r="AI47" s="41">
        <v>3280.1329999999994</v>
      </c>
      <c r="AJ47" s="41">
        <v>3416.9718367674245</v>
      </c>
      <c r="AK47" s="41">
        <v>3385.2123471498749</v>
      </c>
      <c r="AL47" s="41">
        <v>3404.2448943927898</v>
      </c>
      <c r="AM47" s="41">
        <v>3253.268</v>
      </c>
      <c r="AN47" s="41">
        <v>3466.7882983218674</v>
      </c>
    </row>
    <row r="48" spans="1:40" x14ac:dyDescent="0.25">
      <c r="A48" s="40" t="s">
        <v>11</v>
      </c>
      <c r="B48" s="38" t="s">
        <v>684</v>
      </c>
      <c r="C48" s="38" t="s">
        <v>799</v>
      </c>
      <c r="D48" s="38" t="s">
        <v>417</v>
      </c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2">
        <v>3301.7710000000002</v>
      </c>
      <c r="V48" s="43">
        <v>2589.1060000000002</v>
      </c>
      <c r="W48" s="43">
        <v>2796.53</v>
      </c>
      <c r="X48" s="43">
        <v>2753.6930000000002</v>
      </c>
      <c r="Y48" s="41">
        <v>3124.9661611223951</v>
      </c>
      <c r="Z48" s="41">
        <v>3397.3382582522531</v>
      </c>
      <c r="AA48" s="41">
        <v>3047.7879999999996</v>
      </c>
      <c r="AB48" s="41">
        <v>3414.7293511503631</v>
      </c>
      <c r="AC48" s="41">
        <v>3089.4079999999994</v>
      </c>
      <c r="AD48" s="41">
        <v>3511.1962591508004</v>
      </c>
      <c r="AE48" s="41">
        <v>3606.4177476429063</v>
      </c>
      <c r="AF48" s="41">
        <v>3548.7715901985325</v>
      </c>
      <c r="AG48" s="41">
        <v>3521.2971556314551</v>
      </c>
      <c r="AH48" s="41">
        <v>3605.3486954610003</v>
      </c>
      <c r="AI48" s="41">
        <v>3257.7660000000005</v>
      </c>
      <c r="AJ48" s="41">
        <v>3649.8906870086735</v>
      </c>
      <c r="AK48" s="41">
        <v>3322.114219290755</v>
      </c>
      <c r="AL48" s="41">
        <v>3541.2723391595518</v>
      </c>
      <c r="AM48" s="41">
        <v>3604.2839999999997</v>
      </c>
      <c r="AN48" s="41">
        <v>3613.2966541278347</v>
      </c>
    </row>
    <row r="49" spans="1:40" x14ac:dyDescent="0.25">
      <c r="A49" s="40" t="s">
        <v>11</v>
      </c>
      <c r="B49" s="38" t="s">
        <v>684</v>
      </c>
      <c r="C49" s="38" t="s">
        <v>800</v>
      </c>
      <c r="D49" s="38" t="s">
        <v>417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2">
        <v>1761.3330000000001</v>
      </c>
      <c r="V49" s="43">
        <v>1507.2049999999999</v>
      </c>
      <c r="W49" s="43">
        <v>1761.3330000000001</v>
      </c>
      <c r="X49" s="43">
        <v>1674.75</v>
      </c>
      <c r="Y49" s="41">
        <v>1757.6449540842495</v>
      </c>
      <c r="Z49" s="41">
        <v>1884.4756753794336</v>
      </c>
      <c r="AA49" s="41">
        <v>1805.7239999999999</v>
      </c>
      <c r="AB49" s="41">
        <v>1773.617088127264</v>
      </c>
      <c r="AC49" s="41">
        <v>1741.087</v>
      </c>
      <c r="AD49" s="41">
        <v>1830.5486934112801</v>
      </c>
      <c r="AE49" s="41">
        <v>2012.3055641472783</v>
      </c>
      <c r="AF49" s="41">
        <v>2027.1279000353413</v>
      </c>
      <c r="AG49" s="41">
        <v>1997.7403176911566</v>
      </c>
      <c r="AH49" s="41">
        <v>2059.5328938043021</v>
      </c>
      <c r="AI49" s="41">
        <v>1875.0800000000002</v>
      </c>
      <c r="AJ49" s="41">
        <v>2011.9263817213639</v>
      </c>
      <c r="AK49" s="41">
        <v>1860.3915036749443</v>
      </c>
      <c r="AL49" s="41">
        <v>2028.3235683783657</v>
      </c>
      <c r="AM49" s="41">
        <v>1983.7249999999999</v>
      </c>
      <c r="AN49" s="41">
        <v>2067.3776596285084</v>
      </c>
    </row>
    <row r="50" spans="1:40" x14ac:dyDescent="0.25">
      <c r="A50" s="40" t="s">
        <v>11</v>
      </c>
      <c r="B50" s="38" t="s">
        <v>684</v>
      </c>
      <c r="C50" s="38" t="s">
        <v>801</v>
      </c>
      <c r="D50" s="38" t="s">
        <v>417</v>
      </c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2">
        <v>1425.6849999999999</v>
      </c>
      <c r="V50" s="43">
        <v>993.66</v>
      </c>
      <c r="W50" s="43">
        <v>1432.7380000000001</v>
      </c>
      <c r="X50" s="43">
        <v>1298.54</v>
      </c>
      <c r="Y50" s="41">
        <v>1636.2630326349761</v>
      </c>
      <c r="Z50" s="41">
        <v>1642.5685165206887</v>
      </c>
      <c r="AA50" s="41">
        <v>1417.3830000000003</v>
      </c>
      <c r="AB50" s="41">
        <v>1500.5591423598541</v>
      </c>
      <c r="AC50" s="41">
        <v>1474.2739999999999</v>
      </c>
      <c r="AD50" s="41">
        <v>1520.3482919705998</v>
      </c>
      <c r="AE50" s="41">
        <v>1632.9251284612642</v>
      </c>
      <c r="AF50" s="41">
        <v>1570.0112203057347</v>
      </c>
      <c r="AG50" s="41">
        <v>1654.0706747747274</v>
      </c>
      <c r="AH50" s="41">
        <v>1614.4054215967103</v>
      </c>
      <c r="AI50" s="41">
        <v>1473.5289999999995</v>
      </c>
      <c r="AJ50" s="41">
        <v>1487.7675231620294</v>
      </c>
      <c r="AK50" s="41">
        <v>1484.1797513414044</v>
      </c>
      <c r="AL50" s="41">
        <v>1546.1934557164295</v>
      </c>
      <c r="AM50" s="41">
        <v>1627.94</v>
      </c>
      <c r="AN50" s="41">
        <v>1598.5069736137814</v>
      </c>
    </row>
    <row r="51" spans="1:40" x14ac:dyDescent="0.25">
      <c r="A51" s="40" t="s">
        <v>11</v>
      </c>
      <c r="B51" s="38" t="s">
        <v>684</v>
      </c>
      <c r="C51" s="38" t="s">
        <v>802</v>
      </c>
      <c r="D51" s="38" t="s">
        <v>417</v>
      </c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2">
        <v>2264.1509999999998</v>
      </c>
      <c r="V51" s="43">
        <v>1881.114</v>
      </c>
      <c r="W51" s="43">
        <v>2187.288</v>
      </c>
      <c r="X51" s="43">
        <v>2043.654</v>
      </c>
      <c r="Y51" s="41">
        <v>2069.5847558668056</v>
      </c>
      <c r="Z51" s="41">
        <v>2322.1783135626029</v>
      </c>
      <c r="AA51" s="41">
        <v>2008.4949999999994</v>
      </c>
      <c r="AB51" s="41">
        <v>2303.2591497292201</v>
      </c>
      <c r="AC51" s="41">
        <v>2087.9209999999994</v>
      </c>
      <c r="AD51" s="41">
        <v>2315.4491420334002</v>
      </c>
      <c r="AE51" s="41">
        <v>2338.6009408088635</v>
      </c>
      <c r="AF51" s="41">
        <v>2279.0485341391732</v>
      </c>
      <c r="AG51" s="41">
        <v>2316.138656515704</v>
      </c>
      <c r="AH51" s="41">
        <v>2212.7520658430881</v>
      </c>
      <c r="AI51" s="41">
        <v>2051.5590000000002</v>
      </c>
      <c r="AJ51" s="41">
        <v>2302.3427644372659</v>
      </c>
      <c r="AK51" s="41">
        <v>2132.0936585333284</v>
      </c>
      <c r="AL51" s="41">
        <v>2317.0529843558752</v>
      </c>
      <c r="AM51" s="41">
        <v>2247.6950000000002</v>
      </c>
      <c r="AN51" s="41">
        <v>2242.3308806988939</v>
      </c>
    </row>
    <row r="52" spans="1:40" x14ac:dyDescent="0.25">
      <c r="A52" s="40" t="s">
        <v>11</v>
      </c>
      <c r="B52" s="38" t="s">
        <v>684</v>
      </c>
      <c r="C52" s="38" t="s">
        <v>803</v>
      </c>
      <c r="D52" s="38" t="s">
        <v>417</v>
      </c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2">
        <v>1983.0050000000001</v>
      </c>
      <c r="V52" s="43">
        <v>1615.2950000000001</v>
      </c>
      <c r="W52" s="43">
        <v>1951.0550000000001</v>
      </c>
      <c r="X52" s="43">
        <v>1883.875</v>
      </c>
      <c r="Y52" s="41">
        <v>1927.945367520025</v>
      </c>
      <c r="Z52" s="41">
        <v>2057.181158198608</v>
      </c>
      <c r="AA52" s="41">
        <v>2003.5809999999999</v>
      </c>
      <c r="AB52" s="41">
        <v>2132.7397097063777</v>
      </c>
      <c r="AC52" s="41">
        <v>2091.8969999999999</v>
      </c>
      <c r="AD52" s="41">
        <v>2048.2286095485997</v>
      </c>
      <c r="AE52" s="41">
        <v>2261.9400926628</v>
      </c>
      <c r="AF52" s="41">
        <v>2229.7216824437055</v>
      </c>
      <c r="AG52" s="41">
        <v>2264.4879468020799</v>
      </c>
      <c r="AH52" s="41">
        <v>2298.3997504627259</v>
      </c>
      <c r="AI52" s="41">
        <v>2119.8039999999996</v>
      </c>
      <c r="AJ52" s="41">
        <v>2346.3804038496746</v>
      </c>
      <c r="AK52" s="41">
        <v>2242.4918632177978</v>
      </c>
      <c r="AL52" s="41">
        <v>2282.5710723828242</v>
      </c>
      <c r="AM52" s="41">
        <v>2321.0889999999999</v>
      </c>
      <c r="AN52" s="41">
        <v>2399.7424340493499</v>
      </c>
    </row>
    <row r="53" spans="1:40" x14ac:dyDescent="0.25">
      <c r="A53" s="40" t="s">
        <v>11</v>
      </c>
      <c r="B53" s="38" t="s">
        <v>684</v>
      </c>
      <c r="C53" s="38" t="s">
        <v>804</v>
      </c>
      <c r="D53" s="38" t="s">
        <v>417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2">
        <v>2001.5619999999999</v>
      </c>
      <c r="V53" s="43">
        <v>1461.367</v>
      </c>
      <c r="W53" s="43">
        <v>1995.7429999999999</v>
      </c>
      <c r="X53" s="43">
        <v>1889.5910000000001</v>
      </c>
      <c r="Y53" s="41">
        <v>1890.5736699071354</v>
      </c>
      <c r="Z53" s="41">
        <v>2124.6236291979112</v>
      </c>
      <c r="AA53" s="41">
        <v>1984.6880000000001</v>
      </c>
      <c r="AB53" s="41">
        <v>2137.5165506449998</v>
      </c>
      <c r="AC53" s="41">
        <v>1811.893</v>
      </c>
      <c r="AD53" s="41">
        <v>1931.6867910170999</v>
      </c>
      <c r="AE53" s="41">
        <v>2125.6580246716812</v>
      </c>
      <c r="AF53" s="41">
        <v>2083.9052032260506</v>
      </c>
      <c r="AG53" s="41">
        <v>2014.6534038793729</v>
      </c>
      <c r="AH53" s="41">
        <v>2057.7202346445129</v>
      </c>
      <c r="AI53" s="41">
        <v>1860.211</v>
      </c>
      <c r="AJ53" s="41">
        <v>2055.509692490592</v>
      </c>
      <c r="AK53" s="41">
        <v>1964.3550762984642</v>
      </c>
      <c r="AL53" s="41">
        <v>2041.2947486896805</v>
      </c>
      <c r="AM53" s="41">
        <v>1976.402</v>
      </c>
      <c r="AN53" s="41">
        <v>2103.2327969373364</v>
      </c>
    </row>
    <row r="54" spans="1:40" x14ac:dyDescent="0.25">
      <c r="A54" s="40" t="s">
        <v>11</v>
      </c>
      <c r="B54" s="38" t="s">
        <v>684</v>
      </c>
      <c r="C54" s="38" t="s">
        <v>805</v>
      </c>
      <c r="D54" s="38" t="s">
        <v>417</v>
      </c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2">
        <v>1111.0360000000001</v>
      </c>
      <c r="V54" s="43">
        <v>901.69</v>
      </c>
      <c r="W54" s="43">
        <v>1158.194</v>
      </c>
      <c r="X54" s="43">
        <v>1065.58</v>
      </c>
      <c r="Y54" s="41">
        <v>1023.5468533562064</v>
      </c>
      <c r="Z54" s="41">
        <v>1190.8500650791473</v>
      </c>
      <c r="AA54" s="41">
        <v>1076.7850000000001</v>
      </c>
      <c r="AB54" s="41">
        <v>1154.0133460993725</v>
      </c>
      <c r="AC54" s="41">
        <v>1079.6320000000001</v>
      </c>
      <c r="AD54" s="41">
        <v>1193.58872470188</v>
      </c>
      <c r="AE54" s="41">
        <v>1253.3496913568324</v>
      </c>
      <c r="AF54" s="41">
        <v>1209.6054492919211</v>
      </c>
      <c r="AG54" s="41">
        <v>1248.1661232481199</v>
      </c>
      <c r="AH54" s="41">
        <v>1382.0723506921408</v>
      </c>
      <c r="AI54" s="41">
        <v>1160.4839999999999</v>
      </c>
      <c r="AJ54" s="41">
        <v>1292.8053125039473</v>
      </c>
      <c r="AK54" s="41">
        <v>1172.7374023203804</v>
      </c>
      <c r="AL54" s="41">
        <v>1246.830019443546</v>
      </c>
      <c r="AM54" s="41">
        <v>1276.9339999999997</v>
      </c>
      <c r="AN54" s="41">
        <v>1282.4034555008591</v>
      </c>
    </row>
    <row r="55" spans="1:40" x14ac:dyDescent="0.25">
      <c r="A55" s="40" t="s">
        <v>11</v>
      </c>
      <c r="B55" s="38" t="s">
        <v>684</v>
      </c>
      <c r="C55" s="38" t="s">
        <v>806</v>
      </c>
      <c r="D55" s="38" t="s">
        <v>417</v>
      </c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2">
        <v>1174.3409999999999</v>
      </c>
      <c r="V55" s="43">
        <v>705.75099999999998</v>
      </c>
      <c r="W55" s="43">
        <v>1479.096</v>
      </c>
      <c r="X55" s="43">
        <v>1439.9490000000001</v>
      </c>
      <c r="Y55" s="41">
        <v>1388.8596869471799</v>
      </c>
      <c r="Z55" s="41">
        <v>1539.3900693895418</v>
      </c>
      <c r="AA55" s="41">
        <v>1162.377</v>
      </c>
      <c r="AB55" s="41">
        <v>1331.1650961583239</v>
      </c>
      <c r="AC55" s="41">
        <v>1531.9349999999999</v>
      </c>
      <c r="AD55" s="41">
        <v>1719.2141635113903</v>
      </c>
      <c r="AE55" s="41">
        <v>1731.0036035675757</v>
      </c>
      <c r="AF55" s="41">
        <v>2202.731090222388</v>
      </c>
      <c r="AG55" s="41">
        <v>2141.4704880566737</v>
      </c>
      <c r="AH55" s="41">
        <v>2102.6289494074435</v>
      </c>
      <c r="AI55" s="41">
        <v>1697.13</v>
      </c>
      <c r="AJ55" s="41">
        <v>2214.5493699036733</v>
      </c>
      <c r="AK55" s="41">
        <v>1955.2935378770399</v>
      </c>
      <c r="AL55" s="41">
        <v>2146.2436286362763</v>
      </c>
      <c r="AM55" s="41">
        <v>2185.8719999999998</v>
      </c>
      <c r="AN55" s="41">
        <v>2153.8447052968031</v>
      </c>
    </row>
    <row r="56" spans="1:40" x14ac:dyDescent="0.25">
      <c r="A56" s="40" t="s">
        <v>12</v>
      </c>
      <c r="B56" s="38" t="s">
        <v>684</v>
      </c>
      <c r="C56" s="38" t="s">
        <v>789</v>
      </c>
      <c r="D56" s="38" t="s">
        <v>417</v>
      </c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2">
        <v>2391.2849999999999</v>
      </c>
      <c r="V56" s="43">
        <v>7228.1210000000001</v>
      </c>
      <c r="W56" s="43">
        <v>4569.0540000000001</v>
      </c>
      <c r="X56" s="43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1">
        <v>2150.3710000000001</v>
      </c>
      <c r="AL56" s="41">
        <v>2040.943</v>
      </c>
      <c r="AM56" s="34">
        <v>2375.0880000000002</v>
      </c>
      <c r="AN56" s="34">
        <v>1965.6489999999999</v>
      </c>
    </row>
    <row r="57" spans="1:40" x14ac:dyDescent="0.25">
      <c r="A57" s="40" t="s">
        <v>12</v>
      </c>
      <c r="B57" s="38" t="s">
        <v>684</v>
      </c>
      <c r="C57" s="38" t="s">
        <v>790</v>
      </c>
      <c r="D57" s="38" t="s">
        <v>417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2">
        <v>366.44099999999997</v>
      </c>
      <c r="V57" s="43">
        <v>664.92899999999997</v>
      </c>
      <c r="W57" s="43">
        <v>929.01</v>
      </c>
      <c r="X57" s="43">
        <v>705.745</v>
      </c>
      <c r="Y57" s="41">
        <v>505.72282390169198</v>
      </c>
      <c r="Z57" s="41">
        <v>875.40137461879192</v>
      </c>
      <c r="AA57" s="41">
        <v>535.07600000000002</v>
      </c>
      <c r="AB57" s="41">
        <v>568.48885124137917</v>
      </c>
      <c r="AC57" s="41">
        <v>439.02200000000005</v>
      </c>
      <c r="AD57" s="41">
        <v>464.19581129664004</v>
      </c>
      <c r="AE57" s="41">
        <v>443.25842074136</v>
      </c>
      <c r="AF57" s="41">
        <v>345.68974768440711</v>
      </c>
      <c r="AG57" s="41">
        <v>368.95659604176609</v>
      </c>
      <c r="AH57" s="41">
        <v>347.05027497385561</v>
      </c>
      <c r="AI57" s="41">
        <v>305.14799999999997</v>
      </c>
      <c r="AJ57" s="41">
        <v>347.33611711151599</v>
      </c>
      <c r="AK57" s="41">
        <v>291.59959018796798</v>
      </c>
      <c r="AL57" s="41">
        <v>285.10373858617169</v>
      </c>
      <c r="AM57" s="41">
        <v>422.96300000000008</v>
      </c>
      <c r="AN57" s="41">
        <v>339.11173756132399</v>
      </c>
    </row>
    <row r="58" spans="1:40" x14ac:dyDescent="0.25">
      <c r="A58" s="40" t="s">
        <v>12</v>
      </c>
      <c r="B58" s="38" t="s">
        <v>684</v>
      </c>
      <c r="C58" s="38" t="s">
        <v>791</v>
      </c>
      <c r="D58" s="38" t="s">
        <v>417</v>
      </c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2">
        <v>21.244</v>
      </c>
      <c r="V58" s="43">
        <v>174.214</v>
      </c>
      <c r="W58" s="43">
        <v>76.218000000000004</v>
      </c>
      <c r="X58" s="43">
        <v>42.033000000000001</v>
      </c>
      <c r="Y58" s="41">
        <v>48.821368160632204</v>
      </c>
      <c r="Z58" s="41">
        <v>47.793559537303999</v>
      </c>
      <c r="AA58" s="41">
        <v>39.903999999999996</v>
      </c>
      <c r="AB58" s="41">
        <v>41.124757476277807</v>
      </c>
      <c r="AC58" s="41">
        <v>42.496999999999986</v>
      </c>
      <c r="AD58" s="41">
        <v>36.901166240400002</v>
      </c>
      <c r="AE58" s="41">
        <v>36.624091304092005</v>
      </c>
      <c r="AF58" s="41">
        <v>24.419618887552001</v>
      </c>
      <c r="AG58" s="41">
        <v>27.985018043842604</v>
      </c>
      <c r="AH58" s="41">
        <v>22.341851386552001</v>
      </c>
      <c r="AI58" s="41">
        <v>34.338999999999992</v>
      </c>
      <c r="AJ58" s="41">
        <v>28.271204742339002</v>
      </c>
      <c r="AK58" s="41">
        <v>27.468261140455194</v>
      </c>
      <c r="AL58" s="41">
        <v>30.739528505420001</v>
      </c>
      <c r="AM58" s="41">
        <v>19.806000000000001</v>
      </c>
      <c r="AN58" s="41">
        <v>19.271972147981</v>
      </c>
    </row>
    <row r="59" spans="1:40" x14ac:dyDescent="0.25">
      <c r="A59" s="40" t="s">
        <v>12</v>
      </c>
      <c r="B59" s="38" t="s">
        <v>684</v>
      </c>
      <c r="C59" s="38" t="s">
        <v>792</v>
      </c>
      <c r="D59" s="38" t="s">
        <v>417</v>
      </c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2">
        <v>195.93199999999999</v>
      </c>
      <c r="V59" s="43">
        <v>481.85599999999999</v>
      </c>
      <c r="W59" s="43">
        <v>255.184</v>
      </c>
      <c r="X59" s="43">
        <v>254.47800000000001</v>
      </c>
      <c r="Y59" s="41">
        <v>203.90588026380001</v>
      </c>
      <c r="Z59" s="41">
        <v>171.8456029912561</v>
      </c>
      <c r="AA59" s="41">
        <v>137.37200000000001</v>
      </c>
      <c r="AB59" s="41">
        <v>191.21638168346996</v>
      </c>
      <c r="AC59" s="41">
        <v>163.56100000000004</v>
      </c>
      <c r="AD59" s="41">
        <v>146.4936219999</v>
      </c>
      <c r="AE59" s="41">
        <v>124.28959830334949</v>
      </c>
      <c r="AF59" s="41">
        <v>91.151895721792499</v>
      </c>
      <c r="AG59" s="41">
        <v>104.66442890904841</v>
      </c>
      <c r="AH59" s="41">
        <v>104.13086454972161</v>
      </c>
      <c r="AI59" s="41">
        <v>95.431000000000012</v>
      </c>
      <c r="AJ59" s="41">
        <v>111.43939099151251</v>
      </c>
      <c r="AK59" s="41">
        <v>91.187378727126585</v>
      </c>
      <c r="AL59" s="41">
        <v>84.525288078559981</v>
      </c>
      <c r="AM59" s="41">
        <v>122.095</v>
      </c>
      <c r="AN59" s="41">
        <v>76.458935709990001</v>
      </c>
    </row>
    <row r="60" spans="1:40" x14ac:dyDescent="0.25">
      <c r="A60" s="40" t="s">
        <v>12</v>
      </c>
      <c r="B60" s="38" t="s">
        <v>684</v>
      </c>
      <c r="C60" s="38" t="s">
        <v>793</v>
      </c>
      <c r="D60" s="38" t="s">
        <v>417</v>
      </c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2">
        <v>61.927</v>
      </c>
      <c r="V60" s="43">
        <v>227.66800000000001</v>
      </c>
      <c r="W60" s="43">
        <v>149.94</v>
      </c>
      <c r="X60" s="43">
        <v>80.956000000000003</v>
      </c>
      <c r="Y60" s="41">
        <v>95.992829172317201</v>
      </c>
      <c r="Z60" s="41">
        <v>137.18754549339002</v>
      </c>
      <c r="AA60" s="41">
        <v>67.138000000000019</v>
      </c>
      <c r="AB60" s="41">
        <v>55.549446447561017</v>
      </c>
      <c r="AC60" s="41">
        <v>68.918000000000021</v>
      </c>
      <c r="AD60" s="41">
        <v>63.926537794559998</v>
      </c>
      <c r="AE60" s="41">
        <v>46.492781973534605</v>
      </c>
      <c r="AF60" s="41">
        <v>60.077096083539494</v>
      </c>
      <c r="AG60" s="41">
        <v>48.961280337100803</v>
      </c>
      <c r="AH60" s="41">
        <v>37.3652567396744</v>
      </c>
      <c r="AI60" s="41">
        <v>52.207999999999998</v>
      </c>
      <c r="AJ60" s="41">
        <v>60.327460822737606</v>
      </c>
      <c r="AK60" s="41">
        <v>47.495422195384791</v>
      </c>
      <c r="AL60" s="41">
        <v>60.198713009612995</v>
      </c>
      <c r="AM60" s="41">
        <v>56.512</v>
      </c>
      <c r="AN60" s="41">
        <v>50.694667620993009</v>
      </c>
    </row>
    <row r="61" spans="1:40" x14ac:dyDescent="0.25">
      <c r="A61" s="40" t="s">
        <v>12</v>
      </c>
      <c r="B61" s="38" t="s">
        <v>684</v>
      </c>
      <c r="C61" s="38" t="s">
        <v>794</v>
      </c>
      <c r="D61" s="38" t="s">
        <v>417</v>
      </c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2">
        <v>303.78199999999998</v>
      </c>
      <c r="V61" s="43">
        <v>1219.201</v>
      </c>
      <c r="W61" s="43">
        <v>552.35900000000004</v>
      </c>
      <c r="X61" s="43">
        <v>476.29300000000001</v>
      </c>
      <c r="Y61" s="41">
        <v>436.9601036870784</v>
      </c>
      <c r="Z61" s="41">
        <v>437.74675167146336</v>
      </c>
      <c r="AA61" s="41">
        <v>365.97199999999998</v>
      </c>
      <c r="AB61" s="41">
        <v>379.00016816039994</v>
      </c>
      <c r="AC61" s="41">
        <v>300.69099999999997</v>
      </c>
      <c r="AD61" s="41">
        <v>282.85599202024997</v>
      </c>
      <c r="AE61" s="41">
        <v>287.38587206749702</v>
      </c>
      <c r="AF61" s="41">
        <v>266.37071401632994</v>
      </c>
      <c r="AG61" s="41">
        <v>248.5426829427802</v>
      </c>
      <c r="AH61" s="41">
        <v>273.76485234052495</v>
      </c>
      <c r="AI61" s="41">
        <v>241.07900000000004</v>
      </c>
      <c r="AJ61" s="41">
        <v>189.977201845704</v>
      </c>
      <c r="AK61" s="41">
        <v>238.66248010365558</v>
      </c>
      <c r="AL61" s="41">
        <v>198.35302784403518</v>
      </c>
      <c r="AM61" s="41">
        <v>228.52099999999999</v>
      </c>
      <c r="AN61" s="41">
        <v>170.91700029307</v>
      </c>
    </row>
    <row r="62" spans="1:40" x14ac:dyDescent="0.25">
      <c r="A62" s="40" t="s">
        <v>12</v>
      </c>
      <c r="B62" s="38" t="s">
        <v>684</v>
      </c>
      <c r="C62" s="38" t="s">
        <v>795</v>
      </c>
      <c r="D62" s="38" t="s">
        <v>417</v>
      </c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2">
        <v>468.15800000000002</v>
      </c>
      <c r="V62" s="43">
        <v>1073.576</v>
      </c>
      <c r="W62" s="43">
        <v>886.05700000000002</v>
      </c>
      <c r="X62" s="43">
        <v>750.4</v>
      </c>
      <c r="Y62" s="41">
        <v>913.57159471352577</v>
      </c>
      <c r="Z62" s="41">
        <v>986.70611981497916</v>
      </c>
      <c r="AA62" s="41">
        <v>561.96500000000003</v>
      </c>
      <c r="AB62" s="41">
        <v>751.58326954811275</v>
      </c>
      <c r="AC62" s="41">
        <v>535.69000000000005</v>
      </c>
      <c r="AD62" s="41">
        <v>509.14809031553995</v>
      </c>
      <c r="AE62" s="41">
        <v>478.43303875680692</v>
      </c>
      <c r="AF62" s="41">
        <v>434.54399074227837</v>
      </c>
      <c r="AG62" s="41">
        <v>447.39152907155636</v>
      </c>
      <c r="AH62" s="41">
        <v>417.36213633975848</v>
      </c>
      <c r="AI62" s="41">
        <v>430.91399999999993</v>
      </c>
      <c r="AJ62" s="41">
        <v>391.79067099060006</v>
      </c>
      <c r="AK62" s="41">
        <v>437.04658056873598</v>
      </c>
      <c r="AL62" s="41">
        <v>414.73108980034937</v>
      </c>
      <c r="AM62" s="41">
        <v>415.27300000000008</v>
      </c>
      <c r="AN62" s="41">
        <v>429.78645674889441</v>
      </c>
    </row>
    <row r="63" spans="1:40" x14ac:dyDescent="0.25">
      <c r="A63" s="40" t="s">
        <v>12</v>
      </c>
      <c r="B63" s="38" t="s">
        <v>684</v>
      </c>
      <c r="C63" s="38" t="s">
        <v>796</v>
      </c>
      <c r="D63" s="38" t="s">
        <v>417</v>
      </c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2">
        <v>42.643999999999998</v>
      </c>
      <c r="V63" s="43">
        <v>136.32599999999999</v>
      </c>
      <c r="W63" s="43">
        <v>74.741</v>
      </c>
      <c r="X63" s="43">
        <v>100.4</v>
      </c>
      <c r="Y63" s="41">
        <v>117.14450337990002</v>
      </c>
      <c r="Z63" s="41">
        <v>84.03434789806002</v>
      </c>
      <c r="AA63" s="41">
        <v>93.71</v>
      </c>
      <c r="AB63" s="41">
        <v>130.42578022040158</v>
      </c>
      <c r="AC63" s="41">
        <v>85.409000000000006</v>
      </c>
      <c r="AD63" s="41">
        <v>70.057082193230016</v>
      </c>
      <c r="AE63" s="41">
        <v>72.610837102423204</v>
      </c>
      <c r="AF63" s="41">
        <v>69.416475787310404</v>
      </c>
      <c r="AG63" s="41">
        <v>65.818332763355201</v>
      </c>
      <c r="AH63" s="41">
        <v>39.928695493840991</v>
      </c>
      <c r="AI63" s="41">
        <v>58.966000000000001</v>
      </c>
      <c r="AJ63" s="41">
        <v>49.888829723653792</v>
      </c>
      <c r="AK63" s="41">
        <v>61.4615165481232</v>
      </c>
      <c r="AL63" s="41">
        <v>56.3170955102864</v>
      </c>
      <c r="AM63" s="41">
        <v>61.461000000000006</v>
      </c>
      <c r="AN63" s="41">
        <v>60.492118202208005</v>
      </c>
    </row>
    <row r="64" spans="1:40" x14ac:dyDescent="0.25">
      <c r="A64" s="40" t="s">
        <v>12</v>
      </c>
      <c r="B64" s="38" t="s">
        <v>684</v>
      </c>
      <c r="C64" s="38" t="s">
        <v>797</v>
      </c>
      <c r="D64" s="38" t="s">
        <v>417</v>
      </c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2">
        <v>133.03399999999999</v>
      </c>
      <c r="V64" s="43">
        <v>345.05399999999997</v>
      </c>
      <c r="W64" s="43">
        <v>225.636</v>
      </c>
      <c r="X64" s="43">
        <v>190.70400000000001</v>
      </c>
      <c r="Y64" s="41">
        <v>263.89271856461664</v>
      </c>
      <c r="Z64" s="41">
        <v>169.48938480934132</v>
      </c>
      <c r="AA64" s="41">
        <v>200.88699999999997</v>
      </c>
      <c r="AB64" s="41">
        <v>222.379181153064</v>
      </c>
      <c r="AC64" s="41">
        <v>185.83199999999999</v>
      </c>
      <c r="AD64" s="41">
        <v>157.04183984720004</v>
      </c>
      <c r="AE64" s="41">
        <v>130.6655310948268</v>
      </c>
      <c r="AF64" s="41">
        <v>104.17002089808001</v>
      </c>
      <c r="AG64" s="41">
        <v>159.31786254278401</v>
      </c>
      <c r="AH64" s="41">
        <v>98.726004568400398</v>
      </c>
      <c r="AI64" s="41">
        <v>147.28399999999999</v>
      </c>
      <c r="AJ64" s="41">
        <v>107.93228107147202</v>
      </c>
      <c r="AK64" s="41">
        <v>131.52265369425001</v>
      </c>
      <c r="AL64" s="41">
        <v>137.56783408779296</v>
      </c>
      <c r="AM64" s="41">
        <v>153.63200000000001</v>
      </c>
      <c r="AN64" s="41">
        <v>137.55125384534162</v>
      </c>
    </row>
    <row r="65" spans="1:40" x14ac:dyDescent="0.25">
      <c r="A65" s="40" t="s">
        <v>12</v>
      </c>
      <c r="B65" s="38" t="s">
        <v>684</v>
      </c>
      <c r="C65" s="38" t="s">
        <v>798</v>
      </c>
      <c r="D65" s="38" t="s">
        <v>417</v>
      </c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2">
        <v>183.12700000000001</v>
      </c>
      <c r="V65" s="43">
        <v>416.54599999999999</v>
      </c>
      <c r="W65" s="43">
        <v>208.63900000000001</v>
      </c>
      <c r="X65" s="43">
        <v>183.20099999999999</v>
      </c>
      <c r="Y65" s="41">
        <v>314.09113376696251</v>
      </c>
      <c r="Z65" s="41">
        <v>253.46857534970442</v>
      </c>
      <c r="AA65" s="41">
        <v>244.21499999999995</v>
      </c>
      <c r="AB65" s="41">
        <v>195.46571426261877</v>
      </c>
      <c r="AC65" s="41">
        <v>163.96800000000002</v>
      </c>
      <c r="AD65" s="41">
        <v>194.67479440745998</v>
      </c>
      <c r="AE65" s="41">
        <v>217.77444493992439</v>
      </c>
      <c r="AF65" s="41">
        <v>182.31765119861402</v>
      </c>
      <c r="AG65" s="41">
        <v>198.51766254762498</v>
      </c>
      <c r="AH65" s="41">
        <v>156.36289339024199</v>
      </c>
      <c r="AI65" s="41">
        <v>156.429</v>
      </c>
      <c r="AJ65" s="41">
        <v>120.70555252257478</v>
      </c>
      <c r="AK65" s="41">
        <v>123.252365350125</v>
      </c>
      <c r="AL65" s="41">
        <v>142.95203630720999</v>
      </c>
      <c r="AM65" s="41">
        <v>166.054</v>
      </c>
      <c r="AN65" s="41">
        <v>148.93149842813247</v>
      </c>
    </row>
    <row r="66" spans="1:40" x14ac:dyDescent="0.25">
      <c r="A66" s="40" t="s">
        <v>12</v>
      </c>
      <c r="B66" s="38" t="s">
        <v>684</v>
      </c>
      <c r="C66" s="38" t="s">
        <v>799</v>
      </c>
      <c r="D66" s="38" t="s">
        <v>417</v>
      </c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2">
        <v>121.22499999999999</v>
      </c>
      <c r="V66" s="43">
        <v>519.09500000000003</v>
      </c>
      <c r="W66" s="43">
        <v>368.93700000000001</v>
      </c>
      <c r="X66" s="43">
        <v>302.358</v>
      </c>
      <c r="Y66" s="41">
        <v>237.49029983760477</v>
      </c>
      <c r="Z66" s="41">
        <v>303.94977313774683</v>
      </c>
      <c r="AA66" s="41">
        <v>301.113</v>
      </c>
      <c r="AB66" s="41">
        <v>256.66734287963732</v>
      </c>
      <c r="AC66" s="41">
        <v>271.89999999999992</v>
      </c>
      <c r="AD66" s="41">
        <v>192.20660884920002</v>
      </c>
      <c r="AE66" s="41">
        <v>172.11203143709403</v>
      </c>
      <c r="AF66" s="41">
        <v>217.18257681146667</v>
      </c>
      <c r="AG66" s="41">
        <v>155.4913874885448</v>
      </c>
      <c r="AH66" s="41">
        <v>197.76174278900007</v>
      </c>
      <c r="AI66" s="41">
        <v>186.82599999999999</v>
      </c>
      <c r="AJ66" s="41">
        <v>151.92036983132641</v>
      </c>
      <c r="AK66" s="41">
        <v>178.23793151924519</v>
      </c>
      <c r="AL66" s="41">
        <v>145.824687400448</v>
      </c>
      <c r="AM66" s="41">
        <v>172.46699999999998</v>
      </c>
      <c r="AN66" s="41">
        <v>107.6468969321658</v>
      </c>
    </row>
    <row r="67" spans="1:40" x14ac:dyDescent="0.25">
      <c r="A67" s="40" t="s">
        <v>12</v>
      </c>
      <c r="B67" s="38" t="s">
        <v>684</v>
      </c>
      <c r="C67" s="38" t="s">
        <v>800</v>
      </c>
      <c r="D67" s="38" t="s">
        <v>417</v>
      </c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2">
        <v>84.283000000000001</v>
      </c>
      <c r="V67" s="43">
        <v>250.71199999999999</v>
      </c>
      <c r="W67" s="43">
        <v>154.499</v>
      </c>
      <c r="X67" s="43">
        <v>94.466000000000008</v>
      </c>
      <c r="Y67" s="41">
        <v>144.19771085575081</v>
      </c>
      <c r="Z67" s="41">
        <v>99.433529340566409</v>
      </c>
      <c r="AA67" s="41">
        <v>127.38600000000001</v>
      </c>
      <c r="AB67" s="41">
        <v>146.35984133273581</v>
      </c>
      <c r="AC67" s="41">
        <v>131.78800000000001</v>
      </c>
      <c r="AD67" s="41">
        <v>116.42928298872002</v>
      </c>
      <c r="AE67" s="41">
        <v>95.880292772721589</v>
      </c>
      <c r="AF67" s="41">
        <v>62.543876264658998</v>
      </c>
      <c r="AG67" s="41">
        <v>78.58906721884351</v>
      </c>
      <c r="AH67" s="41">
        <v>89.799090295698008</v>
      </c>
      <c r="AI67" s="41">
        <v>103.095</v>
      </c>
      <c r="AJ67" s="41">
        <v>88.775668648636199</v>
      </c>
      <c r="AK67" s="41">
        <v>105.55147872505601</v>
      </c>
      <c r="AL67" s="41">
        <v>62.429898521633994</v>
      </c>
      <c r="AM67" s="41">
        <v>88.617000000000004</v>
      </c>
      <c r="AN67" s="41">
        <v>65.478689931491999</v>
      </c>
    </row>
    <row r="68" spans="1:40" x14ac:dyDescent="0.25">
      <c r="A68" s="40" t="s">
        <v>12</v>
      </c>
      <c r="B68" s="38" t="s">
        <v>684</v>
      </c>
      <c r="C68" s="38" t="s">
        <v>801</v>
      </c>
      <c r="D68" s="38" t="s">
        <v>417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2">
        <v>52.319000000000003</v>
      </c>
      <c r="V68" s="43">
        <v>312.33</v>
      </c>
      <c r="W68" s="43">
        <v>94.760999999999996</v>
      </c>
      <c r="X68" s="43">
        <v>105.462</v>
      </c>
      <c r="Y68" s="41">
        <v>60.401248405024006</v>
      </c>
      <c r="Z68" s="41">
        <v>55.282013249311191</v>
      </c>
      <c r="AA68" s="41">
        <v>84.851000000000013</v>
      </c>
      <c r="AB68" s="41">
        <v>79.309400870145993</v>
      </c>
      <c r="AC68" s="41">
        <v>77.659000000000006</v>
      </c>
      <c r="AD68" s="41">
        <v>44.601056429399996</v>
      </c>
      <c r="AE68" s="41">
        <v>69.457198958736015</v>
      </c>
      <c r="AF68" s="41">
        <v>31.420082154265199</v>
      </c>
      <c r="AG68" s="41">
        <v>44.2061456352723</v>
      </c>
      <c r="AH68" s="41">
        <v>45.685707883289595</v>
      </c>
      <c r="AI68" s="41">
        <v>69.649000000000001</v>
      </c>
      <c r="AJ68" s="41">
        <v>74.783701617970806</v>
      </c>
      <c r="AK68" s="41">
        <v>60.392786218596015</v>
      </c>
      <c r="AL68" s="41">
        <v>36.108122003570394</v>
      </c>
      <c r="AM68" s="41">
        <v>46.171999999999997</v>
      </c>
      <c r="AN68" s="41">
        <v>39.273987446218804</v>
      </c>
    </row>
    <row r="69" spans="1:40" x14ac:dyDescent="0.25">
      <c r="A69" s="40" t="s">
        <v>12</v>
      </c>
      <c r="B69" s="38" t="s">
        <v>684</v>
      </c>
      <c r="C69" s="38" t="s">
        <v>802</v>
      </c>
      <c r="D69" s="38" t="s">
        <v>417</v>
      </c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2">
        <v>75.912000000000006</v>
      </c>
      <c r="V69" s="43">
        <v>235.815</v>
      </c>
      <c r="W69" s="43">
        <v>139.15199999999999</v>
      </c>
      <c r="X69" s="43">
        <v>120.813</v>
      </c>
      <c r="Y69" s="41">
        <v>157.02018008319399</v>
      </c>
      <c r="Z69" s="41">
        <v>134.76324445739701</v>
      </c>
      <c r="AA69" s="41">
        <v>103.08</v>
      </c>
      <c r="AB69" s="41">
        <v>99.197432270779998</v>
      </c>
      <c r="AC69" s="41">
        <v>112.108</v>
      </c>
      <c r="AD69" s="41">
        <v>99.999576966600003</v>
      </c>
      <c r="AE69" s="41">
        <v>130.30907039113598</v>
      </c>
      <c r="AF69" s="41">
        <v>87.662995040827212</v>
      </c>
      <c r="AG69" s="41">
        <v>112.79990688429601</v>
      </c>
      <c r="AH69" s="41">
        <v>124.33292131691201</v>
      </c>
      <c r="AI69" s="41">
        <v>117.789</v>
      </c>
      <c r="AJ69" s="41">
        <v>110.33159862273379</v>
      </c>
      <c r="AK69" s="41">
        <v>92.452122666672011</v>
      </c>
      <c r="AL69" s="41">
        <v>105.375645394125</v>
      </c>
      <c r="AM69" s="41">
        <v>125.14500000000001</v>
      </c>
      <c r="AN69" s="41">
        <v>92.968258741106396</v>
      </c>
    </row>
    <row r="70" spans="1:40" x14ac:dyDescent="0.25">
      <c r="A70" s="40" t="s">
        <v>12</v>
      </c>
      <c r="B70" s="38" t="s">
        <v>684</v>
      </c>
      <c r="C70" s="38" t="s">
        <v>803</v>
      </c>
      <c r="D70" s="38" t="s">
        <v>417</v>
      </c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2">
        <v>95.522999999999996</v>
      </c>
      <c r="V70" s="43">
        <v>351.17</v>
      </c>
      <c r="W70" s="43">
        <v>168.99600000000001</v>
      </c>
      <c r="X70" s="43">
        <v>138.517</v>
      </c>
      <c r="Y70" s="41">
        <v>110.159571979975</v>
      </c>
      <c r="Z70" s="41">
        <v>90.839806601391999</v>
      </c>
      <c r="AA70" s="41">
        <v>103.512</v>
      </c>
      <c r="AB70" s="41">
        <v>124.89219708362282</v>
      </c>
      <c r="AC70" s="41">
        <v>104.876</v>
      </c>
      <c r="AD70" s="41">
        <v>80.464603451399995</v>
      </c>
      <c r="AE70" s="41">
        <v>68.275311337200009</v>
      </c>
      <c r="AF70" s="41">
        <v>80.080853936294602</v>
      </c>
      <c r="AG70" s="41">
        <v>106.13268571792044</v>
      </c>
      <c r="AH70" s="41">
        <v>77.501912237274013</v>
      </c>
      <c r="AI70" s="41">
        <v>83.167000000000002</v>
      </c>
      <c r="AJ70" s="41">
        <v>69.231435310325608</v>
      </c>
      <c r="AK70" s="41">
        <v>76.719512302201593</v>
      </c>
      <c r="AL70" s="41">
        <v>84.160992217176016</v>
      </c>
      <c r="AM70" s="41">
        <v>73.590999999999994</v>
      </c>
      <c r="AN70" s="41">
        <v>61.860070950650005</v>
      </c>
    </row>
    <row r="71" spans="1:40" x14ac:dyDescent="0.25">
      <c r="A71" s="40" t="s">
        <v>12</v>
      </c>
      <c r="B71" s="38" t="s">
        <v>684</v>
      </c>
      <c r="C71" s="38" t="s">
        <v>804</v>
      </c>
      <c r="D71" s="38" t="s">
        <v>417</v>
      </c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2">
        <v>68.744</v>
      </c>
      <c r="V71" s="43">
        <v>393.34100000000001</v>
      </c>
      <c r="W71" s="43">
        <v>144.18</v>
      </c>
      <c r="X71" s="43">
        <v>127.87700000000001</v>
      </c>
      <c r="Y71" s="41">
        <v>138.24360941286483</v>
      </c>
      <c r="Z71" s="41">
        <v>107.053554502089</v>
      </c>
      <c r="AA71" s="41">
        <v>113.16199999999999</v>
      </c>
      <c r="AB71" s="41">
        <v>108.62332435499999</v>
      </c>
      <c r="AC71" s="41">
        <v>85.323999999999998</v>
      </c>
      <c r="AD71" s="41">
        <v>112.20992998289999</v>
      </c>
      <c r="AE71" s="41">
        <v>86.978751678318488</v>
      </c>
      <c r="AF71" s="41">
        <v>80.494006613949594</v>
      </c>
      <c r="AG71" s="41">
        <v>74.109300760627207</v>
      </c>
      <c r="AH71" s="41">
        <v>86.252003125487093</v>
      </c>
      <c r="AI71" s="41">
        <v>71.515000000000001</v>
      </c>
      <c r="AJ71" s="41">
        <v>67.183231029407992</v>
      </c>
      <c r="AK71" s="41">
        <v>66.405883381536</v>
      </c>
      <c r="AL71" s="41">
        <v>79.707255310320022</v>
      </c>
      <c r="AM71" s="41">
        <v>89.55</v>
      </c>
      <c r="AN71" s="41">
        <v>51.365626412664007</v>
      </c>
    </row>
    <row r="72" spans="1:40" x14ac:dyDescent="0.25">
      <c r="A72" s="40" t="s">
        <v>12</v>
      </c>
      <c r="B72" s="38" t="s">
        <v>684</v>
      </c>
      <c r="C72" s="38" t="s">
        <v>805</v>
      </c>
      <c r="D72" s="38" t="s">
        <v>417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2">
        <v>51.140999999999998</v>
      </c>
      <c r="V72" s="43">
        <v>127.021</v>
      </c>
      <c r="W72" s="43">
        <v>82.995000000000005</v>
      </c>
      <c r="X72" s="43">
        <v>87.745000000000005</v>
      </c>
      <c r="Y72" s="41">
        <v>101.27935148379359</v>
      </c>
      <c r="Z72" s="41">
        <v>73.791856100852996</v>
      </c>
      <c r="AA72" s="41">
        <v>58.423999999999999</v>
      </c>
      <c r="AB72" s="41">
        <v>59.064773650627501</v>
      </c>
      <c r="AC72" s="41">
        <v>67.891000000000005</v>
      </c>
      <c r="AD72" s="41">
        <v>50.510425498119993</v>
      </c>
      <c r="AE72" s="41">
        <v>40.216988063167804</v>
      </c>
      <c r="AF72" s="41">
        <v>46.957767408078993</v>
      </c>
      <c r="AG72" s="41">
        <v>65.941942751879992</v>
      </c>
      <c r="AH72" s="41">
        <v>43.273500027859207</v>
      </c>
      <c r="AI72" s="41">
        <v>62.381000000000014</v>
      </c>
      <c r="AJ72" s="41">
        <v>44.644060056052801</v>
      </c>
      <c r="AK72" s="41">
        <v>62.542206599619597</v>
      </c>
      <c r="AL72" s="41">
        <v>51.464390406454001</v>
      </c>
      <c r="AM72" s="41">
        <v>49.888999999999989</v>
      </c>
      <c r="AN72" s="41">
        <v>36.480325379140801</v>
      </c>
    </row>
    <row r="73" spans="1:40" x14ac:dyDescent="0.25">
      <c r="A73" s="40" t="s">
        <v>12</v>
      </c>
      <c r="B73" s="38" t="s">
        <v>684</v>
      </c>
      <c r="C73" s="38" t="s">
        <v>806</v>
      </c>
      <c r="D73" s="38" t="s">
        <v>417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2">
        <v>65.847999999999999</v>
      </c>
      <c r="V73" s="43">
        <v>299.26600000000002</v>
      </c>
      <c r="W73" s="43">
        <v>57.749000000000002</v>
      </c>
      <c r="X73" s="43">
        <v>51.361000000000004</v>
      </c>
      <c r="Y73" s="41">
        <v>115.03273105282</v>
      </c>
      <c r="Z73" s="41">
        <v>109.00860429045842</v>
      </c>
      <c r="AA73" s="41">
        <v>91.614999999999995</v>
      </c>
      <c r="AB73" s="41">
        <v>94.599479601675981</v>
      </c>
      <c r="AC73" s="41">
        <v>115.355</v>
      </c>
      <c r="AD73" s="41">
        <v>140.80332378861002</v>
      </c>
      <c r="AE73" s="41">
        <v>101.81296011242399</v>
      </c>
      <c r="AF73" s="41">
        <v>55.206575937611994</v>
      </c>
      <c r="AG73" s="41">
        <v>70.701000783326407</v>
      </c>
      <c r="AH73" s="41">
        <v>94.521408392555983</v>
      </c>
      <c r="AI73" s="41">
        <v>72.837999999999994</v>
      </c>
      <c r="AJ73" s="41">
        <v>74.72181135632637</v>
      </c>
      <c r="AK73" s="41">
        <v>58.397026362959991</v>
      </c>
      <c r="AL73" s="41">
        <v>65.352670643723997</v>
      </c>
      <c r="AM73" s="41">
        <v>83.34</v>
      </c>
      <c r="AN73" s="41">
        <v>77.286380823196794</v>
      </c>
    </row>
    <row r="74" spans="1:40" x14ac:dyDescent="0.25">
      <c r="A74" s="40" t="s">
        <v>808</v>
      </c>
      <c r="B74" s="38" t="s">
        <v>684</v>
      </c>
      <c r="C74" s="38" t="s">
        <v>789</v>
      </c>
      <c r="D74" s="38" t="s">
        <v>417</v>
      </c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2">
        <v>27906.405999999999</v>
      </c>
      <c r="V74" s="43">
        <v>32663.948</v>
      </c>
      <c r="W74" s="43">
        <v>28189.665000000001</v>
      </c>
      <c r="X74" s="43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1">
        <v>30561.898000000001</v>
      </c>
      <c r="AL74" s="41">
        <v>28221.3</v>
      </c>
      <c r="AM74" s="34">
        <v>28820.358000000007</v>
      </c>
      <c r="AN74" s="34">
        <v>29098.556000000004</v>
      </c>
    </row>
    <row r="75" spans="1:40" x14ac:dyDescent="0.25">
      <c r="A75" s="40" t="s">
        <v>808</v>
      </c>
      <c r="B75" s="38" t="s">
        <v>684</v>
      </c>
      <c r="C75" s="38" t="s">
        <v>790</v>
      </c>
      <c r="D75" s="38" t="s">
        <v>417</v>
      </c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2">
        <v>3914.1959999999999</v>
      </c>
      <c r="V75" s="43">
        <v>4558.5690000000004</v>
      </c>
      <c r="W75" s="43">
        <v>4063.2829999999999</v>
      </c>
      <c r="X75" s="43">
        <v>4344.8730000000005</v>
      </c>
      <c r="Y75" s="41"/>
      <c r="Z75" s="41"/>
      <c r="AA75" s="41"/>
      <c r="AB75" s="41"/>
      <c r="AC75" s="41"/>
      <c r="AD75" s="41"/>
      <c r="AE75" s="41"/>
      <c r="AF75" s="41"/>
      <c r="AG75" s="41">
        <f t="shared" ref="AG75:AN75" si="0">AG3-AG21</f>
        <v>3848.0793353999989</v>
      </c>
      <c r="AH75" s="41">
        <f t="shared" si="0"/>
        <v>3807.6186416599994</v>
      </c>
      <c r="AI75" s="41">
        <f t="shared" si="0"/>
        <v>4184.0650000000005</v>
      </c>
      <c r="AJ75" s="41">
        <f t="shared" si="0"/>
        <v>3963.8060552399993</v>
      </c>
      <c r="AK75" s="41">
        <f t="shared" si="0"/>
        <v>4056.4294848</v>
      </c>
      <c r="AL75" s="41">
        <f t="shared" si="0"/>
        <v>3921.6707066899999</v>
      </c>
      <c r="AM75" s="41">
        <f t="shared" si="0"/>
        <v>3972.902</v>
      </c>
      <c r="AN75" s="41">
        <f t="shared" si="0"/>
        <v>3960.0433598200007</v>
      </c>
    </row>
    <row r="76" spans="1:40" x14ac:dyDescent="0.25">
      <c r="A76" s="40" t="s">
        <v>808</v>
      </c>
      <c r="B76" s="38" t="s">
        <v>684</v>
      </c>
      <c r="C76" s="38" t="s">
        <v>791</v>
      </c>
      <c r="D76" s="38" t="s">
        <v>417</v>
      </c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2">
        <v>448.90600000000001</v>
      </c>
      <c r="V76" s="43">
        <v>541.572</v>
      </c>
      <c r="W76" s="43">
        <v>434.94600000000003</v>
      </c>
      <c r="X76" s="43">
        <v>469.197</v>
      </c>
      <c r="Y76" s="41"/>
      <c r="Z76" s="41"/>
      <c r="AA76" s="41"/>
      <c r="AB76" s="41"/>
      <c r="AC76" s="41"/>
      <c r="AD76" s="41"/>
      <c r="AE76" s="41"/>
      <c r="AF76" s="41"/>
      <c r="AG76" s="41">
        <f t="shared" ref="AG76:AH91" si="1">AG4-AG22</f>
        <v>454.08434681999995</v>
      </c>
      <c r="AH76" s="41">
        <f t="shared" si="1"/>
        <v>441.00582885999995</v>
      </c>
      <c r="AI76" s="41">
        <f t="shared" ref="AI76:AJ76" si="2">AI4-AI22</f>
        <v>462.73800000000017</v>
      </c>
      <c r="AJ76" s="41">
        <f t="shared" si="2"/>
        <v>432.28631094000002</v>
      </c>
      <c r="AK76" s="41">
        <f t="shared" ref="AK76:AL91" si="3">AK4-AK22</f>
        <v>461.89767676000008</v>
      </c>
      <c r="AL76" s="41">
        <f t="shared" si="3"/>
        <v>470.45267699999988</v>
      </c>
      <c r="AM76" s="41">
        <f t="shared" ref="AM76:AN76" si="4">AM4-AM22</f>
        <v>424.35500000000002</v>
      </c>
      <c r="AN76" s="41">
        <f t="shared" si="4"/>
        <v>473.24849901999994</v>
      </c>
    </row>
    <row r="77" spans="1:40" x14ac:dyDescent="0.25">
      <c r="A77" s="40" t="s">
        <v>808</v>
      </c>
      <c r="B77" s="38" t="s">
        <v>684</v>
      </c>
      <c r="C77" s="38" t="s">
        <v>792</v>
      </c>
      <c r="D77" s="38" t="s">
        <v>417</v>
      </c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2">
        <v>1282.123</v>
      </c>
      <c r="V77" s="43">
        <v>1394.587</v>
      </c>
      <c r="W77" s="43">
        <v>1248.7550000000001</v>
      </c>
      <c r="X77" s="43">
        <v>1374.136</v>
      </c>
      <c r="Y77" s="41"/>
      <c r="Z77" s="41"/>
      <c r="AA77" s="41"/>
      <c r="AB77" s="41"/>
      <c r="AC77" s="41"/>
      <c r="AD77" s="41"/>
      <c r="AE77" s="41"/>
      <c r="AF77" s="41"/>
      <c r="AG77" s="41">
        <f t="shared" si="1"/>
        <v>1316.9154189399997</v>
      </c>
      <c r="AH77" s="41">
        <f t="shared" si="1"/>
        <v>1314.7478057599997</v>
      </c>
      <c r="AI77" s="41">
        <f t="shared" ref="AI77:AJ77" si="5">AI5-AI23</f>
        <v>1524.3390000000004</v>
      </c>
      <c r="AJ77" s="41">
        <f t="shared" si="5"/>
        <v>1342.18953225</v>
      </c>
      <c r="AK77" s="41">
        <f t="shared" si="3"/>
        <v>1460.0015051800001</v>
      </c>
      <c r="AL77" s="41">
        <f t="shared" si="3"/>
        <v>1339.0845440000003</v>
      </c>
      <c r="AM77" s="41">
        <f t="shared" ref="AM77:AN77" si="6">AM5-AM23</f>
        <v>1474.0529999999999</v>
      </c>
      <c r="AN77" s="41">
        <f t="shared" si="6"/>
        <v>1415.5487145000002</v>
      </c>
    </row>
    <row r="78" spans="1:40" x14ac:dyDescent="0.25">
      <c r="A78" s="40" t="s">
        <v>808</v>
      </c>
      <c r="B78" s="38" t="s">
        <v>684</v>
      </c>
      <c r="C78" s="38" t="s">
        <v>793</v>
      </c>
      <c r="D78" s="38" t="s">
        <v>417</v>
      </c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2">
        <v>860.26800000000003</v>
      </c>
      <c r="V78" s="43">
        <v>988.03300000000002</v>
      </c>
      <c r="W78" s="43">
        <v>866</v>
      </c>
      <c r="X78" s="43">
        <v>1061.9390000000001</v>
      </c>
      <c r="Y78" s="41"/>
      <c r="Z78" s="41"/>
      <c r="AA78" s="41"/>
      <c r="AB78" s="41"/>
      <c r="AC78" s="41"/>
      <c r="AD78" s="41"/>
      <c r="AE78" s="41"/>
      <c r="AF78" s="41"/>
      <c r="AG78" s="41">
        <f t="shared" si="1"/>
        <v>896.21360127999992</v>
      </c>
      <c r="AH78" s="41">
        <f t="shared" si="1"/>
        <v>927.45969032000016</v>
      </c>
      <c r="AI78" s="41">
        <f t="shared" ref="AI78:AJ78" si="7">AI6-AI24</f>
        <v>1000.2569999999998</v>
      </c>
      <c r="AJ78" s="41">
        <f t="shared" si="7"/>
        <v>902.56027133999987</v>
      </c>
      <c r="AK78" s="41">
        <f t="shared" si="3"/>
        <v>953.65139687999999</v>
      </c>
      <c r="AL78" s="41">
        <f t="shared" si="3"/>
        <v>871.43107229999987</v>
      </c>
      <c r="AM78" s="41">
        <f t="shared" ref="AM78:AN78" si="8">AM6-AM24</f>
        <v>959.85300000000007</v>
      </c>
      <c r="AN78" s="41">
        <f t="shared" si="8"/>
        <v>909.12926809999976</v>
      </c>
    </row>
    <row r="79" spans="1:40" x14ac:dyDescent="0.25">
      <c r="A79" s="40" t="s">
        <v>808</v>
      </c>
      <c r="B79" s="38" t="s">
        <v>684</v>
      </c>
      <c r="C79" s="38" t="s">
        <v>794</v>
      </c>
      <c r="D79" s="38" t="s">
        <v>417</v>
      </c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2">
        <v>3401.5630000000001</v>
      </c>
      <c r="V79" s="43">
        <v>4128.7470000000003</v>
      </c>
      <c r="W79" s="43">
        <v>3538.7089999999998</v>
      </c>
      <c r="X79" s="43">
        <v>3708.7760000000003</v>
      </c>
      <c r="Y79" s="41"/>
      <c r="Z79" s="41"/>
      <c r="AA79" s="41"/>
      <c r="AB79" s="41"/>
      <c r="AC79" s="41"/>
      <c r="AD79" s="41"/>
      <c r="AE79" s="41"/>
      <c r="AF79" s="41"/>
      <c r="AG79" s="41">
        <f t="shared" si="1"/>
        <v>3276.1097171400006</v>
      </c>
      <c r="AH79" s="41">
        <f t="shared" si="1"/>
        <v>3274.2127575000004</v>
      </c>
      <c r="AI79" s="41">
        <f t="shared" ref="AI79:AJ79" si="9">AI7-AI25</f>
        <v>3773.1760000000004</v>
      </c>
      <c r="AJ79" s="41">
        <f t="shared" si="9"/>
        <v>3401.7746899000003</v>
      </c>
      <c r="AK79" s="41">
        <f t="shared" si="3"/>
        <v>3762.7256515600002</v>
      </c>
      <c r="AL79" s="41">
        <f t="shared" si="3"/>
        <v>3282.9260004800008</v>
      </c>
      <c r="AM79" s="41">
        <f t="shared" ref="AM79:AN79" si="10">AM7-AM25</f>
        <v>3365.9450000000006</v>
      </c>
      <c r="AN79" s="41">
        <f t="shared" si="10"/>
        <v>3610.9202801000001</v>
      </c>
    </row>
    <row r="80" spans="1:40" x14ac:dyDescent="0.25">
      <c r="A80" s="40" t="s">
        <v>808</v>
      </c>
      <c r="B80" s="38" t="s">
        <v>684</v>
      </c>
      <c r="C80" s="38" t="s">
        <v>795</v>
      </c>
      <c r="D80" s="38" t="s">
        <v>417</v>
      </c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2">
        <v>3924.8380000000002</v>
      </c>
      <c r="V80" s="43">
        <v>4607.3710000000001</v>
      </c>
      <c r="W80" s="43">
        <v>4047.3319999999999</v>
      </c>
      <c r="X80" s="43">
        <v>4419.1410000000005</v>
      </c>
      <c r="Y80" s="41"/>
      <c r="Z80" s="41"/>
      <c r="AA80" s="41"/>
      <c r="AB80" s="41"/>
      <c r="AC80" s="41"/>
      <c r="AD80" s="41"/>
      <c r="AE80" s="41"/>
      <c r="AF80" s="41"/>
      <c r="AG80" s="41">
        <f t="shared" si="1"/>
        <v>4255.8744605400016</v>
      </c>
      <c r="AH80" s="41">
        <f t="shared" si="1"/>
        <v>4208.1987573599999</v>
      </c>
      <c r="AI80" s="41">
        <f t="shared" ref="AI80:AJ80" si="11">AI8-AI26</f>
        <v>4656.7450000000017</v>
      </c>
      <c r="AJ80" s="41">
        <f t="shared" si="11"/>
        <v>4521.3877016000006</v>
      </c>
      <c r="AK80" s="41">
        <f t="shared" si="3"/>
        <v>4628.6599123200003</v>
      </c>
      <c r="AL80" s="41">
        <f t="shared" si="3"/>
        <v>4249.5789026899984</v>
      </c>
      <c r="AM80" s="41">
        <f t="shared" ref="AM80:AN80" si="12">AM8-AM26</f>
        <v>4479.6899999999987</v>
      </c>
      <c r="AN80" s="41">
        <f t="shared" si="12"/>
        <v>4612.9053185599996</v>
      </c>
    </row>
    <row r="81" spans="1:40" x14ac:dyDescent="0.25">
      <c r="A81" s="40" t="s">
        <v>808</v>
      </c>
      <c r="B81" s="38" t="s">
        <v>684</v>
      </c>
      <c r="C81" s="38" t="s">
        <v>796</v>
      </c>
      <c r="D81" s="38" t="s">
        <v>417</v>
      </c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2">
        <v>841.95600000000002</v>
      </c>
      <c r="V81" s="43">
        <v>955.39400000000001</v>
      </c>
      <c r="W81" s="43">
        <v>733.71500000000003</v>
      </c>
      <c r="X81" s="43">
        <v>781.10699999999997</v>
      </c>
      <c r="Y81" s="41"/>
      <c r="Z81" s="41"/>
      <c r="AA81" s="41"/>
      <c r="AB81" s="41"/>
      <c r="AC81" s="41"/>
      <c r="AD81" s="41"/>
      <c r="AE81" s="41"/>
      <c r="AF81" s="41"/>
      <c r="AG81" s="41">
        <f t="shared" si="1"/>
        <v>760.90976855999997</v>
      </c>
      <c r="AH81" s="41">
        <f t="shared" si="1"/>
        <v>740.96325457000012</v>
      </c>
      <c r="AI81" s="41">
        <f t="shared" ref="AI81:AJ81" si="13">AI9-AI27</f>
        <v>810.27300000000014</v>
      </c>
      <c r="AJ81" s="41">
        <f t="shared" si="13"/>
        <v>836.45604666000008</v>
      </c>
      <c r="AK81" s="41">
        <f t="shared" si="3"/>
        <v>762.50959792000003</v>
      </c>
      <c r="AL81" s="41">
        <f t="shared" si="3"/>
        <v>768.52296204000004</v>
      </c>
      <c r="AM81" s="41">
        <f t="shared" ref="AM81:AN81" si="14">AM9-AM27</f>
        <v>756.91600000000017</v>
      </c>
      <c r="AN81" s="41">
        <f t="shared" si="14"/>
        <v>786.92560320000007</v>
      </c>
    </row>
    <row r="82" spans="1:40" x14ac:dyDescent="0.25">
      <c r="A82" s="40" t="s">
        <v>808</v>
      </c>
      <c r="B82" s="38" t="s">
        <v>684</v>
      </c>
      <c r="C82" s="38" t="s">
        <v>797</v>
      </c>
      <c r="D82" s="38" t="s">
        <v>417</v>
      </c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2">
        <v>1499.165</v>
      </c>
      <c r="V82" s="43">
        <v>1775.895</v>
      </c>
      <c r="W82" s="43">
        <v>1504.6079999999999</v>
      </c>
      <c r="X82" s="43">
        <v>1615.1670000000001</v>
      </c>
      <c r="Y82" s="41"/>
      <c r="Z82" s="41"/>
      <c r="AA82" s="41"/>
      <c r="AB82" s="41"/>
      <c r="AC82" s="41"/>
      <c r="AD82" s="41"/>
      <c r="AE82" s="41"/>
      <c r="AF82" s="41"/>
      <c r="AG82" s="41">
        <f t="shared" si="1"/>
        <v>1681.3322735999996</v>
      </c>
      <c r="AH82" s="41">
        <f t="shared" si="1"/>
        <v>1599.9274405199999</v>
      </c>
      <c r="AI82" s="41">
        <f t="shared" ref="AI82:AJ82" si="15">AI10-AI28</f>
        <v>1776.1569999999997</v>
      </c>
      <c r="AJ82" s="41">
        <f t="shared" si="15"/>
        <v>1566.2368944</v>
      </c>
      <c r="AK82" s="41">
        <f t="shared" si="3"/>
        <v>1846.55748988</v>
      </c>
      <c r="AL82" s="41">
        <f t="shared" si="3"/>
        <v>1638.4353924900001</v>
      </c>
      <c r="AM82" s="41">
        <f t="shared" ref="AM82:AN82" si="16">AM10-AM28</f>
        <v>1646.9969999999998</v>
      </c>
      <c r="AN82" s="41">
        <f t="shared" si="16"/>
        <v>1743.5605136399995</v>
      </c>
    </row>
    <row r="83" spans="1:40" x14ac:dyDescent="0.25">
      <c r="A83" s="40" t="s">
        <v>808</v>
      </c>
      <c r="B83" s="38" t="s">
        <v>684</v>
      </c>
      <c r="C83" s="38" t="s">
        <v>798</v>
      </c>
      <c r="D83" s="38" t="s">
        <v>417</v>
      </c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2">
        <v>2135.3200000000002</v>
      </c>
      <c r="V83" s="43">
        <v>2385.2420000000002</v>
      </c>
      <c r="W83" s="43">
        <v>2134.9</v>
      </c>
      <c r="X83" s="43">
        <v>2311.8780000000002</v>
      </c>
      <c r="Y83" s="41"/>
      <c r="Z83" s="41"/>
      <c r="AA83" s="41"/>
      <c r="AB83" s="41"/>
      <c r="AC83" s="41"/>
      <c r="AD83" s="41"/>
      <c r="AE83" s="41"/>
      <c r="AF83" s="41"/>
      <c r="AG83" s="41">
        <f t="shared" si="1"/>
        <v>2021.7139125000003</v>
      </c>
      <c r="AH83" s="41">
        <f t="shared" si="1"/>
        <v>1919.0605448300003</v>
      </c>
      <c r="AI83" s="41">
        <f t="shared" ref="AI83:AJ83" si="17">AI11-AI29</f>
        <v>2200.4110000000001</v>
      </c>
      <c r="AJ83" s="41">
        <f t="shared" si="17"/>
        <v>2103.56161071</v>
      </c>
      <c r="AK83" s="41">
        <f t="shared" si="3"/>
        <v>2161.7812875</v>
      </c>
      <c r="AL83" s="41">
        <f t="shared" si="3"/>
        <v>2137.8690692999999</v>
      </c>
      <c r="AM83" s="41">
        <f t="shared" ref="AM83:AN83" si="18">AM11-AM29</f>
        <v>2234.5159999999996</v>
      </c>
      <c r="AN83" s="41">
        <f t="shared" si="18"/>
        <v>2064.1052032500002</v>
      </c>
    </row>
    <row r="84" spans="1:40" x14ac:dyDescent="0.25">
      <c r="A84" s="40" t="s">
        <v>808</v>
      </c>
      <c r="B84" s="38" t="s">
        <v>684</v>
      </c>
      <c r="C84" s="38" t="s">
        <v>799</v>
      </c>
      <c r="D84" s="38" t="s">
        <v>417</v>
      </c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2">
        <v>1942.989</v>
      </c>
      <c r="V84" s="43">
        <v>2311.6959999999999</v>
      </c>
      <c r="W84" s="43">
        <v>2316.1480000000001</v>
      </c>
      <c r="X84" s="43">
        <v>2407.9740000000002</v>
      </c>
      <c r="Y84" s="41"/>
      <c r="Z84" s="41"/>
      <c r="AA84" s="41"/>
      <c r="AB84" s="41"/>
      <c r="AC84" s="41"/>
      <c r="AD84" s="41"/>
      <c r="AE84" s="41"/>
      <c r="AF84" s="41"/>
      <c r="AG84" s="41">
        <f t="shared" si="1"/>
        <v>1976.2434568800004</v>
      </c>
      <c r="AH84" s="41">
        <f t="shared" si="1"/>
        <v>1871.5645617499995</v>
      </c>
      <c r="AI84" s="41">
        <f t="shared" ref="AI84:AJ84" si="19">AI12-AI30</f>
        <v>2267.4649999999992</v>
      </c>
      <c r="AJ84" s="41">
        <f t="shared" si="19"/>
        <v>1944.6649431599999</v>
      </c>
      <c r="AK84" s="41">
        <f t="shared" si="3"/>
        <v>2263.5368491899999</v>
      </c>
      <c r="AL84" s="41">
        <f t="shared" si="3"/>
        <v>2102.21497344</v>
      </c>
      <c r="AM84" s="41">
        <f t="shared" ref="AM84:AN84" si="20">AM12-AM30</f>
        <v>2008.5270000000005</v>
      </c>
      <c r="AN84" s="41">
        <f t="shared" si="20"/>
        <v>2081.8784489399995</v>
      </c>
    </row>
    <row r="85" spans="1:40" x14ac:dyDescent="0.25">
      <c r="A85" s="40" t="s">
        <v>808</v>
      </c>
      <c r="B85" s="38" t="s">
        <v>684</v>
      </c>
      <c r="C85" s="38" t="s">
        <v>800</v>
      </c>
      <c r="D85" s="38" t="s">
        <v>417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2">
        <v>1257.942</v>
      </c>
      <c r="V85" s="43">
        <v>1368.9949999999999</v>
      </c>
      <c r="W85" s="43">
        <v>1227.8610000000001</v>
      </c>
      <c r="X85" s="43">
        <v>1380.279</v>
      </c>
      <c r="Y85" s="41"/>
      <c r="Z85" s="41"/>
      <c r="AA85" s="41"/>
      <c r="AB85" s="41"/>
      <c r="AC85" s="41"/>
      <c r="AD85" s="41"/>
      <c r="AE85" s="41"/>
      <c r="AF85" s="41"/>
      <c r="AG85" s="41">
        <f t="shared" si="1"/>
        <v>1182.6516150900002</v>
      </c>
      <c r="AH85" s="41">
        <f t="shared" si="1"/>
        <v>1127.9380158999998</v>
      </c>
      <c r="AI85" s="41">
        <f t="shared" ref="AI85:AJ85" si="21">AI13-AI31</f>
        <v>1322.5039999999999</v>
      </c>
      <c r="AJ85" s="41">
        <f t="shared" si="21"/>
        <v>1200.05694963</v>
      </c>
      <c r="AK85" s="41">
        <f t="shared" si="3"/>
        <v>1365.7120175999999</v>
      </c>
      <c r="AL85" s="41">
        <f t="shared" si="3"/>
        <v>1259.5445331000001</v>
      </c>
      <c r="AM85" s="41">
        <f t="shared" ref="AM85:AN85" si="22">AM13-AM31</f>
        <v>1275.0529999999999</v>
      </c>
      <c r="AN85" s="41">
        <f t="shared" si="22"/>
        <v>1222.1156504400001</v>
      </c>
    </row>
    <row r="86" spans="1:40" x14ac:dyDescent="0.25">
      <c r="A86" s="40" t="s">
        <v>808</v>
      </c>
      <c r="B86" s="38" t="s">
        <v>684</v>
      </c>
      <c r="C86" s="38" t="s">
        <v>801</v>
      </c>
      <c r="D86" s="38" t="s">
        <v>417</v>
      </c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2">
        <v>1013.241</v>
      </c>
      <c r="V86" s="43">
        <v>1206.444</v>
      </c>
      <c r="W86" s="43">
        <v>994.46699999999998</v>
      </c>
      <c r="X86" s="43">
        <v>1115.681</v>
      </c>
      <c r="Y86" s="41"/>
      <c r="Z86" s="41"/>
      <c r="AA86" s="41"/>
      <c r="AB86" s="41"/>
      <c r="AC86" s="41"/>
      <c r="AD86" s="41"/>
      <c r="AE86" s="41"/>
      <c r="AF86" s="41"/>
      <c r="AG86" s="41">
        <f t="shared" si="1"/>
        <v>906.48217959000021</v>
      </c>
      <c r="AH86" s="41">
        <f t="shared" si="1"/>
        <v>945.03587052000012</v>
      </c>
      <c r="AI86" s="41">
        <f t="shared" ref="AI86:AJ86" si="23">AI14-AI32</f>
        <v>1079.5370000000003</v>
      </c>
      <c r="AJ86" s="41">
        <f t="shared" si="23"/>
        <v>1056.8057752199998</v>
      </c>
      <c r="AK86" s="41">
        <f t="shared" si="3"/>
        <v>1101.4214624399999</v>
      </c>
      <c r="AL86" s="41">
        <f t="shared" si="3"/>
        <v>1074.1714222800001</v>
      </c>
      <c r="AM86" s="41">
        <f t="shared" ref="AM86:AN86" si="24">AM14-AM32</f>
        <v>992.34599999999978</v>
      </c>
      <c r="AN86" s="41">
        <f t="shared" si="24"/>
        <v>1022.2930389399999</v>
      </c>
    </row>
    <row r="87" spans="1:40" x14ac:dyDescent="0.25">
      <c r="A87" s="40" t="s">
        <v>808</v>
      </c>
      <c r="B87" s="38" t="s">
        <v>684</v>
      </c>
      <c r="C87" s="38" t="s">
        <v>802</v>
      </c>
      <c r="D87" s="38" t="s">
        <v>417</v>
      </c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2">
        <v>1000.905</v>
      </c>
      <c r="V87" s="43">
        <v>1254.6600000000001</v>
      </c>
      <c r="W87" s="43">
        <v>1055.9259999999999</v>
      </c>
      <c r="X87" s="43">
        <v>1228.271</v>
      </c>
      <c r="Y87" s="41"/>
      <c r="Z87" s="41"/>
      <c r="AA87" s="41"/>
      <c r="AB87" s="41"/>
      <c r="AC87" s="41"/>
      <c r="AD87" s="41"/>
      <c r="AE87" s="41"/>
      <c r="AF87" s="41"/>
      <c r="AG87" s="41">
        <f t="shared" si="1"/>
        <v>1111.8914365999999</v>
      </c>
      <c r="AH87" s="41">
        <f t="shared" si="1"/>
        <v>1221.15101284</v>
      </c>
      <c r="AI87" s="41">
        <f t="shared" ref="AI87:AJ87" si="25">AI15-AI33</f>
        <v>1423.9380000000001</v>
      </c>
      <c r="AJ87" s="41">
        <f t="shared" si="25"/>
        <v>1193.8226369400004</v>
      </c>
      <c r="AK87" s="41">
        <f t="shared" si="3"/>
        <v>1402.2142187999998</v>
      </c>
      <c r="AL87" s="41">
        <f t="shared" si="3"/>
        <v>1202.4963702499999</v>
      </c>
      <c r="AM87" s="41">
        <f t="shared" ref="AM87:AN87" si="26">AM15-AM33</f>
        <v>1283.962</v>
      </c>
      <c r="AN87" s="41">
        <f t="shared" si="26"/>
        <v>1315.2028605599999</v>
      </c>
    </row>
    <row r="88" spans="1:40" x14ac:dyDescent="0.25">
      <c r="A88" s="40" t="s">
        <v>808</v>
      </c>
      <c r="B88" s="38" t="s">
        <v>684</v>
      </c>
      <c r="C88" s="38" t="s">
        <v>803</v>
      </c>
      <c r="D88" s="38" t="s">
        <v>417</v>
      </c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2">
        <v>1454.462</v>
      </c>
      <c r="V88" s="43">
        <v>1588.42</v>
      </c>
      <c r="W88" s="43">
        <v>1444.8119999999999</v>
      </c>
      <c r="X88" s="43">
        <v>1557.8430000000001</v>
      </c>
      <c r="Y88" s="41"/>
      <c r="Z88" s="41"/>
      <c r="AA88" s="41"/>
      <c r="AB88" s="41"/>
      <c r="AC88" s="41"/>
      <c r="AD88" s="41"/>
      <c r="AE88" s="41"/>
      <c r="AF88" s="41"/>
      <c r="AG88" s="41">
        <f t="shared" si="1"/>
        <v>1379.2933674799997</v>
      </c>
      <c r="AH88" s="41">
        <f t="shared" si="1"/>
        <v>1384.0313372999999</v>
      </c>
      <c r="AI88" s="41">
        <f t="shared" ref="AI88:AJ88" si="27">AI16-AI34</f>
        <v>1586.1130000000003</v>
      </c>
      <c r="AJ88" s="41">
        <f t="shared" si="27"/>
        <v>1364.21516084</v>
      </c>
      <c r="AK88" s="41">
        <f t="shared" si="3"/>
        <v>1501.12462448</v>
      </c>
      <c r="AL88" s="41">
        <f t="shared" si="3"/>
        <v>1454.5839353999995</v>
      </c>
      <c r="AM88" s="41">
        <f t="shared" ref="AM88:AN88" si="28">AM16-AM34</f>
        <v>1436.125</v>
      </c>
      <c r="AN88" s="41">
        <f t="shared" si="28"/>
        <v>1405.4974949999996</v>
      </c>
    </row>
    <row r="89" spans="1:40" x14ac:dyDescent="0.25">
      <c r="A89" s="40" t="s">
        <v>808</v>
      </c>
      <c r="B89" s="38" t="s">
        <v>684</v>
      </c>
      <c r="C89" s="38" t="s">
        <v>804</v>
      </c>
      <c r="D89" s="38" t="s">
        <v>417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2">
        <v>1097.3119999999999</v>
      </c>
      <c r="V89" s="43">
        <v>1378.3920000000001</v>
      </c>
      <c r="W89" s="43">
        <v>1082.509</v>
      </c>
      <c r="X89" s="43">
        <v>1208.444</v>
      </c>
      <c r="Y89" s="41"/>
      <c r="Z89" s="41"/>
      <c r="AA89" s="41"/>
      <c r="AB89" s="41"/>
      <c r="AC89" s="41"/>
      <c r="AD89" s="41"/>
      <c r="AE89" s="41"/>
      <c r="AF89" s="41"/>
      <c r="AG89" s="41">
        <f t="shared" si="1"/>
        <v>934.66129535999971</v>
      </c>
      <c r="AH89" s="41">
        <f t="shared" si="1"/>
        <v>893.11676222999995</v>
      </c>
      <c r="AI89" s="41">
        <f t="shared" ref="AI89:AJ89" si="29">AI17-AI35</f>
        <v>1141.6849999999999</v>
      </c>
      <c r="AJ89" s="41">
        <f t="shared" si="29"/>
        <v>941.77107647999992</v>
      </c>
      <c r="AK89" s="41">
        <f t="shared" si="3"/>
        <v>1057.5670403199999</v>
      </c>
      <c r="AL89" s="41">
        <f t="shared" si="3"/>
        <v>951.13299599999982</v>
      </c>
      <c r="AM89" s="41">
        <f t="shared" ref="AM89:AN89" si="30">AM17-AM35</f>
        <v>1054.5749999999998</v>
      </c>
      <c r="AN89" s="41">
        <f t="shared" si="30"/>
        <v>938.20057664999968</v>
      </c>
    </row>
    <row r="90" spans="1:40" x14ac:dyDescent="0.25">
      <c r="A90" s="40" t="s">
        <v>808</v>
      </c>
      <c r="B90" s="38" t="s">
        <v>684</v>
      </c>
      <c r="C90" s="38" t="s">
        <v>805</v>
      </c>
      <c r="D90" s="38" t="s">
        <v>417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2">
        <v>632.48</v>
      </c>
      <c r="V90" s="43">
        <v>777.29499999999996</v>
      </c>
      <c r="W90" s="43">
        <v>567.30799999999999</v>
      </c>
      <c r="X90" s="43">
        <v>653.94000000000005</v>
      </c>
      <c r="Y90" s="41"/>
      <c r="Z90" s="41"/>
      <c r="AA90" s="41"/>
      <c r="AB90" s="41"/>
      <c r="AC90" s="41"/>
      <c r="AD90" s="41"/>
      <c r="AE90" s="41"/>
      <c r="AF90" s="41"/>
      <c r="AG90" s="41">
        <f t="shared" si="1"/>
        <v>561.179934</v>
      </c>
      <c r="AH90" s="41">
        <f t="shared" si="1"/>
        <v>451.49214927999992</v>
      </c>
      <c r="AI90" s="41">
        <f t="shared" ref="AI90:AJ90" si="31">AI18-AI36</f>
        <v>668.15999999999985</v>
      </c>
      <c r="AJ90" s="41">
        <f t="shared" si="31"/>
        <v>545.69862743999988</v>
      </c>
      <c r="AK90" s="41">
        <f t="shared" si="3"/>
        <v>668.98839107999993</v>
      </c>
      <c r="AL90" s="41">
        <f t="shared" si="3"/>
        <v>603.94059014999993</v>
      </c>
      <c r="AM90" s="41">
        <f t="shared" ref="AM90:AN90" si="32">AM18-AM36</f>
        <v>572.81700000000023</v>
      </c>
      <c r="AN90" s="41">
        <f t="shared" si="32"/>
        <v>586.1642191200001</v>
      </c>
    </row>
    <row r="91" spans="1:40" x14ac:dyDescent="0.25">
      <c r="A91" s="40" t="s">
        <v>808</v>
      </c>
      <c r="B91" s="38" t="s">
        <v>684</v>
      </c>
      <c r="C91" s="38" t="s">
        <v>806</v>
      </c>
      <c r="D91" s="38" t="s">
        <v>417</v>
      </c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2">
        <v>1198.741</v>
      </c>
      <c r="V91" s="43">
        <v>1442.635</v>
      </c>
      <c r="W91" s="43">
        <v>928.38400000000001</v>
      </c>
      <c r="X91" s="43">
        <v>1018.559</v>
      </c>
      <c r="Y91" s="41"/>
      <c r="Z91" s="41"/>
      <c r="AA91" s="41"/>
      <c r="AB91" s="41"/>
      <c r="AC91" s="41"/>
      <c r="AD91" s="41"/>
      <c r="AE91" s="41"/>
      <c r="AF91" s="41"/>
      <c r="AG91" s="41">
        <f t="shared" si="1"/>
        <v>810.99451116</v>
      </c>
      <c r="AH91" s="41">
        <f t="shared" si="1"/>
        <v>818.17964220000022</v>
      </c>
      <c r="AI91" s="41">
        <f t="shared" ref="AI91:AJ91" si="33">AI19-AI37</f>
        <v>1307.171</v>
      </c>
      <c r="AJ91" s="41">
        <f t="shared" si="33"/>
        <v>804.71481874000028</v>
      </c>
      <c r="AK91" s="41">
        <f t="shared" si="3"/>
        <v>1107.19743576</v>
      </c>
      <c r="AL91" s="41">
        <f t="shared" si="3"/>
        <v>893.09570071999997</v>
      </c>
      <c r="AM91" s="41">
        <f t="shared" ref="AM91:AN91" si="34">AM19-AM37</f>
        <v>881.72699999999986</v>
      </c>
      <c r="AN91" s="41">
        <f t="shared" si="34"/>
        <v>950.92591387999983</v>
      </c>
    </row>
    <row r="92" spans="1:40" x14ac:dyDescent="0.25">
      <c r="A92" s="40" t="s">
        <v>14</v>
      </c>
      <c r="B92" s="38" t="s">
        <v>684</v>
      </c>
      <c r="C92" s="38" t="s">
        <v>789</v>
      </c>
      <c r="D92" s="38" t="s">
        <v>417</v>
      </c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2">
        <v>6298.9040000000005</v>
      </c>
      <c r="V92" s="43">
        <v>6397.9719999999998</v>
      </c>
      <c r="W92" s="43">
        <v>7136.2669999999998</v>
      </c>
      <c r="X92" s="43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1">
        <v>6394.241</v>
      </c>
      <c r="AL92" s="41">
        <v>7037.1959999999999</v>
      </c>
      <c r="AM92" s="41">
        <v>5776.576</v>
      </c>
      <c r="AN92" s="41">
        <v>6083.0879999999997</v>
      </c>
    </row>
    <row r="93" spans="1:40" x14ac:dyDescent="0.25">
      <c r="A93" s="40" t="s">
        <v>14</v>
      </c>
      <c r="B93" s="38" t="s">
        <v>684</v>
      </c>
      <c r="C93" s="38" t="s">
        <v>790</v>
      </c>
      <c r="D93" s="38" t="s">
        <v>417</v>
      </c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2">
        <v>255.59299999999999</v>
      </c>
      <c r="V93" s="43">
        <v>479.61900000000003</v>
      </c>
      <c r="W93" s="43">
        <v>570.55899999999997</v>
      </c>
      <c r="X93" s="43">
        <v>553.74599999999998</v>
      </c>
      <c r="Y93" s="41">
        <v>429.20125077880391</v>
      </c>
      <c r="Z93" s="41">
        <v>803.40511525747434</v>
      </c>
      <c r="AA93" s="41">
        <v>755.27599999999995</v>
      </c>
      <c r="AB93" s="41">
        <v>567.24729665981522</v>
      </c>
      <c r="AC93" s="41">
        <v>501.98399999999987</v>
      </c>
      <c r="AD93" s="41">
        <v>404.80625074136628</v>
      </c>
      <c r="AE93" s="41">
        <v>456.42060271174688</v>
      </c>
      <c r="AF93" s="41">
        <v>431.32777840488308</v>
      </c>
      <c r="AG93" s="41">
        <v>439.35569051401814</v>
      </c>
      <c r="AH93" s="41">
        <v>487.01815062176104</v>
      </c>
      <c r="AI93" s="41">
        <v>532.37400000000002</v>
      </c>
      <c r="AJ93" s="41">
        <v>469.43708917722785</v>
      </c>
      <c r="AK93" s="41">
        <v>492.94087219472146</v>
      </c>
      <c r="AL93" s="41">
        <v>354.72769405895883</v>
      </c>
      <c r="AM93" s="41">
        <v>355.03399999999993</v>
      </c>
      <c r="AN93" s="41">
        <v>426.01708092671976</v>
      </c>
    </row>
    <row r="94" spans="1:40" x14ac:dyDescent="0.25">
      <c r="A94" s="40" t="s">
        <v>14</v>
      </c>
      <c r="B94" s="38" t="s">
        <v>684</v>
      </c>
      <c r="C94" s="38" t="s">
        <v>791</v>
      </c>
      <c r="D94" s="38" t="s">
        <v>417</v>
      </c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2">
        <v>83.92</v>
      </c>
      <c r="V94" s="43">
        <v>118.518</v>
      </c>
      <c r="W94" s="43">
        <v>123.087</v>
      </c>
      <c r="X94" s="43">
        <v>65.83</v>
      </c>
      <c r="Y94" s="41">
        <v>97.931861938517812</v>
      </c>
      <c r="Z94" s="41">
        <v>140.89824105444839</v>
      </c>
      <c r="AA94" s="41">
        <v>165.53499999999997</v>
      </c>
      <c r="AB94" s="41">
        <v>132.79054874306615</v>
      </c>
      <c r="AC94" s="41">
        <v>147.47599999999994</v>
      </c>
      <c r="AD94" s="41">
        <v>102.06426477402707</v>
      </c>
      <c r="AE94" s="41">
        <v>141.5222358481947</v>
      </c>
      <c r="AF94" s="41">
        <v>104.02181408647429</v>
      </c>
      <c r="AG94" s="41">
        <v>100.40636897648074</v>
      </c>
      <c r="AH94" s="41">
        <v>84.092210992444876</v>
      </c>
      <c r="AI94" s="41">
        <v>149.59099999999998</v>
      </c>
      <c r="AJ94" s="41">
        <v>148.70858159669018</v>
      </c>
      <c r="AK94" s="41">
        <v>135.53406869011135</v>
      </c>
      <c r="AL94" s="41">
        <v>91.081617809738617</v>
      </c>
      <c r="AM94" s="41">
        <v>137.98500000000001</v>
      </c>
      <c r="AN94" s="41">
        <v>123.00042664879524</v>
      </c>
    </row>
    <row r="95" spans="1:40" x14ac:dyDescent="0.25">
      <c r="A95" s="40" t="s">
        <v>14</v>
      </c>
      <c r="B95" s="38" t="s">
        <v>684</v>
      </c>
      <c r="C95" s="38" t="s">
        <v>792</v>
      </c>
      <c r="D95" s="38" t="s">
        <v>417</v>
      </c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2">
        <v>325.03300000000002</v>
      </c>
      <c r="V95" s="43">
        <v>346.99</v>
      </c>
      <c r="W95" s="43">
        <v>321.50700000000001</v>
      </c>
      <c r="X95" s="43">
        <v>327.96600000000001</v>
      </c>
      <c r="Y95" s="41">
        <v>336.57634183397823</v>
      </c>
      <c r="Z95" s="41">
        <v>373.49768922202281</v>
      </c>
      <c r="AA95" s="41">
        <v>431.75099999999998</v>
      </c>
      <c r="AB95" s="41">
        <v>324.62632259705839</v>
      </c>
      <c r="AC95" s="41">
        <v>309.637</v>
      </c>
      <c r="AD95" s="41">
        <v>372.69320914661597</v>
      </c>
      <c r="AE95" s="41">
        <v>402.14096689280007</v>
      </c>
      <c r="AF95" s="41">
        <v>233.07726439654667</v>
      </c>
      <c r="AG95" s="41">
        <v>254.32196773757988</v>
      </c>
      <c r="AH95" s="41">
        <v>280.88374309867999</v>
      </c>
      <c r="AI95" s="41">
        <v>295.85000000000002</v>
      </c>
      <c r="AJ95" s="41">
        <v>263.55421008287465</v>
      </c>
      <c r="AK95" s="41">
        <v>314.23282256550027</v>
      </c>
      <c r="AL95" s="41">
        <v>199.86138801177083</v>
      </c>
      <c r="AM95" s="41">
        <v>114.08499999999999</v>
      </c>
      <c r="AN95" s="41">
        <v>139.99769157722235</v>
      </c>
    </row>
    <row r="96" spans="1:40" x14ac:dyDescent="0.25">
      <c r="A96" s="40" t="s">
        <v>14</v>
      </c>
      <c r="B96" s="38" t="s">
        <v>684</v>
      </c>
      <c r="C96" s="38" t="s">
        <v>793</v>
      </c>
      <c r="D96" s="38" t="s">
        <v>417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2">
        <v>243.46299999999999</v>
      </c>
      <c r="V96" s="43">
        <v>215.16499999999999</v>
      </c>
      <c r="W96" s="43">
        <v>314.43400000000003</v>
      </c>
      <c r="X96" s="43">
        <v>145.626</v>
      </c>
      <c r="Y96" s="41">
        <v>259.53701798708437</v>
      </c>
      <c r="Z96" s="41">
        <v>217.6604707113122</v>
      </c>
      <c r="AA96" s="41">
        <v>385.03500000000008</v>
      </c>
      <c r="AB96" s="41">
        <v>302.67755784544988</v>
      </c>
      <c r="AC96" s="41">
        <v>301.99700000000001</v>
      </c>
      <c r="AD96" s="41">
        <v>241.72488464142143</v>
      </c>
      <c r="AE96" s="41">
        <v>247.20505826368097</v>
      </c>
      <c r="AF96" s="41">
        <v>248.74363025508598</v>
      </c>
      <c r="AG96" s="41">
        <v>257.83073138909754</v>
      </c>
      <c r="AH96" s="41">
        <v>182.11400675883996</v>
      </c>
      <c r="AI96" s="41">
        <v>354.08800000000002</v>
      </c>
      <c r="AJ96" s="41">
        <v>198.47003963746167</v>
      </c>
      <c r="AK96" s="41">
        <v>263.79708090115622</v>
      </c>
      <c r="AL96" s="41">
        <v>367.7056163750558</v>
      </c>
      <c r="AM96" s="41">
        <v>281.10199999999998</v>
      </c>
      <c r="AN96" s="41">
        <v>336.0008279893172</v>
      </c>
    </row>
    <row r="97" spans="1:40" x14ac:dyDescent="0.25">
      <c r="A97" s="40" t="s">
        <v>14</v>
      </c>
      <c r="B97" s="38" t="s">
        <v>684</v>
      </c>
      <c r="C97" s="38" t="s">
        <v>794</v>
      </c>
      <c r="D97" s="38" t="s">
        <v>417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2">
        <v>587.35</v>
      </c>
      <c r="V97" s="43">
        <v>400.911</v>
      </c>
      <c r="W97" s="43">
        <v>712.04499999999996</v>
      </c>
      <c r="X97" s="43">
        <v>360.73900000000003</v>
      </c>
      <c r="Y97" s="41">
        <v>402.24185407559145</v>
      </c>
      <c r="Z97" s="41">
        <v>437.7712828656114</v>
      </c>
      <c r="AA97" s="41">
        <v>669.78099999999984</v>
      </c>
      <c r="AB97" s="41">
        <v>490.19760040993492</v>
      </c>
      <c r="AC97" s="41">
        <v>466.29199999999997</v>
      </c>
      <c r="AD97" s="41">
        <v>387.48631638626904</v>
      </c>
      <c r="AE97" s="41">
        <v>382.69126027415223</v>
      </c>
      <c r="AF97" s="41">
        <v>554.20858100331805</v>
      </c>
      <c r="AG97" s="41">
        <v>358.60683645862417</v>
      </c>
      <c r="AH97" s="41">
        <v>646.98314899285799</v>
      </c>
      <c r="AI97" s="41">
        <v>458.85300000000001</v>
      </c>
      <c r="AJ97" s="41">
        <v>165.07456243407003</v>
      </c>
      <c r="AK97" s="41">
        <v>458.08833461971273</v>
      </c>
      <c r="AL97" s="41">
        <v>529.02924748098656</v>
      </c>
      <c r="AM97" s="41">
        <v>345.38099999999991</v>
      </c>
      <c r="AN97" s="41">
        <v>428.02291132508776</v>
      </c>
    </row>
    <row r="98" spans="1:40" x14ac:dyDescent="0.25">
      <c r="A98" s="40" t="s">
        <v>14</v>
      </c>
      <c r="B98" s="38" t="s">
        <v>684</v>
      </c>
      <c r="C98" s="38" t="s">
        <v>795</v>
      </c>
      <c r="D98" s="38" t="s">
        <v>417</v>
      </c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2">
        <v>755.28599999999994</v>
      </c>
      <c r="V98" s="43">
        <v>1272.675</v>
      </c>
      <c r="W98" s="43">
        <v>1375.588</v>
      </c>
      <c r="X98" s="43">
        <v>758.14600000000007</v>
      </c>
      <c r="Y98" s="41">
        <v>910.0352426262325</v>
      </c>
      <c r="Z98" s="41">
        <v>1187.3386193094482</v>
      </c>
      <c r="AA98" s="41">
        <v>1210.5050000000001</v>
      </c>
      <c r="AB98" s="41">
        <v>1290.5189498040988</v>
      </c>
      <c r="AC98" s="41">
        <v>911.60799999999995</v>
      </c>
      <c r="AD98" s="41">
        <v>1202.4727936351846</v>
      </c>
      <c r="AE98" s="41">
        <v>984.49562714419505</v>
      </c>
      <c r="AF98" s="41">
        <v>1134.6461462812892</v>
      </c>
      <c r="AG98" s="41">
        <v>1203.7367034032304</v>
      </c>
      <c r="AH98" s="41">
        <v>951.28763062773521</v>
      </c>
      <c r="AI98" s="41">
        <v>1035.9599999999998</v>
      </c>
      <c r="AJ98" s="41">
        <v>631.43797630999359</v>
      </c>
      <c r="AK98" s="41">
        <v>898.26370904057535</v>
      </c>
      <c r="AL98" s="41">
        <v>1415.5005628453198</v>
      </c>
      <c r="AM98" s="41">
        <v>1160.211</v>
      </c>
      <c r="AN98" s="41">
        <v>1006.9904484274953</v>
      </c>
    </row>
    <row r="99" spans="1:40" x14ac:dyDescent="0.25">
      <c r="A99" s="40" t="s">
        <v>14</v>
      </c>
      <c r="B99" s="38" t="s">
        <v>684</v>
      </c>
      <c r="C99" s="38" t="s">
        <v>796</v>
      </c>
      <c r="D99" s="38" t="s">
        <v>417</v>
      </c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2">
        <v>271.14299999999997</v>
      </c>
      <c r="V99" s="43">
        <v>210.73099999999999</v>
      </c>
      <c r="W99" s="43">
        <v>337.84500000000003</v>
      </c>
      <c r="X99" s="43">
        <v>260.97199999999998</v>
      </c>
      <c r="Y99" s="41">
        <v>289.35301958245299</v>
      </c>
      <c r="Z99" s="41">
        <v>325.65036022026288</v>
      </c>
      <c r="AA99" s="41">
        <v>379.39800000000002</v>
      </c>
      <c r="AB99" s="41">
        <v>312.46282095376961</v>
      </c>
      <c r="AC99" s="41">
        <v>309.56799999999993</v>
      </c>
      <c r="AD99" s="41">
        <v>256.30528188937694</v>
      </c>
      <c r="AE99" s="41">
        <v>293.19462019927721</v>
      </c>
      <c r="AF99" s="41">
        <v>210.95627537895359</v>
      </c>
      <c r="AG99" s="41">
        <v>339.14271394182521</v>
      </c>
      <c r="AH99" s="41">
        <v>206.44040017874693</v>
      </c>
      <c r="AI99" s="41">
        <v>354.20800000000003</v>
      </c>
      <c r="AJ99" s="41">
        <v>293.10567246327275</v>
      </c>
      <c r="AK99" s="41">
        <v>243.68168549588378</v>
      </c>
      <c r="AL99" s="41">
        <v>294.02552680657135</v>
      </c>
      <c r="AM99" s="41">
        <v>207.35600000000002</v>
      </c>
      <c r="AN99" s="41">
        <v>272.99757869380204</v>
      </c>
    </row>
    <row r="100" spans="1:40" x14ac:dyDescent="0.25">
      <c r="A100" s="40" t="s">
        <v>14</v>
      </c>
      <c r="B100" s="38" t="s">
        <v>684</v>
      </c>
      <c r="C100" s="38" t="s">
        <v>797</v>
      </c>
      <c r="D100" s="38" t="s">
        <v>417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2">
        <v>691.41600000000005</v>
      </c>
      <c r="V100" s="43">
        <v>506.733</v>
      </c>
      <c r="W100" s="43">
        <v>521.84199999999998</v>
      </c>
      <c r="X100" s="43">
        <v>377.59199999999998</v>
      </c>
      <c r="Y100" s="41">
        <v>515.17721510971523</v>
      </c>
      <c r="Z100" s="41">
        <v>454.46989336000973</v>
      </c>
      <c r="AA100" s="41">
        <v>666.04899999999998</v>
      </c>
      <c r="AB100" s="41">
        <v>601.16423682169648</v>
      </c>
      <c r="AC100" s="41">
        <v>495.85199999999998</v>
      </c>
      <c r="AD100" s="41">
        <v>507.41503342410897</v>
      </c>
      <c r="AE100" s="41">
        <v>459.22005466805064</v>
      </c>
      <c r="AF100" s="41">
        <v>531.32066595660876</v>
      </c>
      <c r="AG100" s="41">
        <v>617.95004565146417</v>
      </c>
      <c r="AH100" s="41">
        <v>606.86082859726241</v>
      </c>
      <c r="AI100" s="41">
        <v>501.25999999999988</v>
      </c>
      <c r="AJ100" s="41">
        <v>684.00381062493045</v>
      </c>
      <c r="AK100" s="41">
        <v>411.93888863755899</v>
      </c>
      <c r="AL100" s="41">
        <v>509.15478594995307</v>
      </c>
      <c r="AM100" s="41">
        <v>508.38700000000011</v>
      </c>
      <c r="AN100" s="41">
        <v>418.00832612424551</v>
      </c>
    </row>
    <row r="101" spans="1:40" x14ac:dyDescent="0.25">
      <c r="A101" s="40" t="s">
        <v>14</v>
      </c>
      <c r="B101" s="38" t="s">
        <v>684</v>
      </c>
      <c r="C101" s="38" t="s">
        <v>798</v>
      </c>
      <c r="D101" s="38" t="s">
        <v>417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2">
        <v>382.976</v>
      </c>
      <c r="V101" s="43">
        <v>285.63099999999997</v>
      </c>
      <c r="W101" s="43">
        <v>323.19099999999997</v>
      </c>
      <c r="X101" s="43">
        <v>377.59199999999998</v>
      </c>
      <c r="Y101" s="41">
        <v>659.71903792191995</v>
      </c>
      <c r="Z101" s="41">
        <v>673.40227575138579</v>
      </c>
      <c r="AA101" s="41">
        <v>769.45099999999979</v>
      </c>
      <c r="AB101" s="41">
        <v>559.10227383653989</v>
      </c>
      <c r="AC101" s="41">
        <v>564.45399999999995</v>
      </c>
      <c r="AD101" s="41">
        <v>537.47119690593365</v>
      </c>
      <c r="AE101" s="41">
        <v>565.84291112869607</v>
      </c>
      <c r="AF101" s="41">
        <v>517.99024664219792</v>
      </c>
      <c r="AG101" s="41">
        <v>434.02467294961627</v>
      </c>
      <c r="AH101" s="41">
        <v>438.70368481258498</v>
      </c>
      <c r="AI101" s="41">
        <v>647.70899999999995</v>
      </c>
      <c r="AJ101" s="41">
        <v>506.12186846199091</v>
      </c>
      <c r="AK101" s="41">
        <v>440.55153485808472</v>
      </c>
      <c r="AL101" s="41">
        <v>434.27952117768814</v>
      </c>
      <c r="AM101" s="41">
        <v>298.79300000000001</v>
      </c>
      <c r="AN101" s="41">
        <v>345.98547217252235</v>
      </c>
    </row>
    <row r="102" spans="1:40" x14ac:dyDescent="0.25">
      <c r="A102" s="40" t="s">
        <v>14</v>
      </c>
      <c r="B102" s="38" t="s">
        <v>684</v>
      </c>
      <c r="C102" s="38" t="s">
        <v>799</v>
      </c>
      <c r="D102" s="38" t="s">
        <v>417</v>
      </c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2">
        <v>484.75799999999998</v>
      </c>
      <c r="V102" s="43">
        <v>459.44799999999998</v>
      </c>
      <c r="W102" s="43">
        <v>475.08800000000002</v>
      </c>
      <c r="X102" s="43">
        <v>391.19400000000002</v>
      </c>
      <c r="Y102" s="41">
        <v>412.24553597526636</v>
      </c>
      <c r="Z102" s="41">
        <v>705.89894329965318</v>
      </c>
      <c r="AA102" s="41">
        <v>731.92499999999984</v>
      </c>
      <c r="AB102" s="41">
        <v>598.46546608261258</v>
      </c>
      <c r="AC102" s="41">
        <v>508.22899999999993</v>
      </c>
      <c r="AD102" s="41">
        <v>373.59128197364521</v>
      </c>
      <c r="AE102" s="41">
        <v>527.2943388828694</v>
      </c>
      <c r="AF102" s="41">
        <v>528.23465120105163</v>
      </c>
      <c r="AG102" s="41">
        <v>347.09426063059249</v>
      </c>
      <c r="AH102" s="41">
        <v>243.72157181316359</v>
      </c>
      <c r="AI102" s="41">
        <v>460.19100000000009</v>
      </c>
      <c r="AJ102" s="41">
        <v>324.14679191324029</v>
      </c>
      <c r="AK102" s="41">
        <v>397.09231263182392</v>
      </c>
      <c r="AL102" s="41">
        <v>397.57864551744291</v>
      </c>
      <c r="AM102" s="41">
        <v>439.86099999999999</v>
      </c>
      <c r="AN102" s="41">
        <v>309.98471995762696</v>
      </c>
    </row>
    <row r="103" spans="1:40" x14ac:dyDescent="0.25">
      <c r="A103" s="40" t="s">
        <v>14</v>
      </c>
      <c r="B103" s="38" t="s">
        <v>684</v>
      </c>
      <c r="C103" s="38" t="s">
        <v>800</v>
      </c>
      <c r="D103" s="38" t="s">
        <v>417</v>
      </c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2">
        <v>289.61099999999999</v>
      </c>
      <c r="V103" s="43">
        <v>328.435</v>
      </c>
      <c r="W103" s="43">
        <v>374.05900000000003</v>
      </c>
      <c r="X103" s="43">
        <v>354.70699999999999</v>
      </c>
      <c r="Y103" s="41">
        <v>372.93710635759606</v>
      </c>
      <c r="Z103" s="41">
        <v>291.58492125145978</v>
      </c>
      <c r="AA103" s="41">
        <v>493.54599999999994</v>
      </c>
      <c r="AB103" s="41">
        <v>316.18271830044739</v>
      </c>
      <c r="AC103" s="41">
        <v>343.536</v>
      </c>
      <c r="AD103" s="41">
        <v>271.28731636355172</v>
      </c>
      <c r="AE103" s="41">
        <v>322.17012081997933</v>
      </c>
      <c r="AF103" s="41">
        <v>453.81312298091188</v>
      </c>
      <c r="AG103" s="41">
        <v>374.91592542109936</v>
      </c>
      <c r="AH103" s="41">
        <v>369.74794042468636</v>
      </c>
      <c r="AI103" s="41">
        <v>470.54500000000013</v>
      </c>
      <c r="AJ103" s="41">
        <v>399.30702898023912</v>
      </c>
      <c r="AK103" s="41">
        <v>375.72466808219178</v>
      </c>
      <c r="AL103" s="41">
        <v>408.03785225067588</v>
      </c>
      <c r="AM103" s="41">
        <v>315.65100000000001</v>
      </c>
      <c r="AN103" s="41">
        <v>261.0064295280992</v>
      </c>
    </row>
    <row r="104" spans="1:40" x14ac:dyDescent="0.25">
      <c r="A104" s="40" t="s">
        <v>14</v>
      </c>
      <c r="B104" s="38" t="s">
        <v>684</v>
      </c>
      <c r="C104" s="38" t="s">
        <v>801</v>
      </c>
      <c r="D104" s="38" t="s">
        <v>417</v>
      </c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2">
        <v>275.37799999999999</v>
      </c>
      <c r="V104" s="43">
        <v>233.43199999999999</v>
      </c>
      <c r="W104" s="43">
        <v>206.16200000000001</v>
      </c>
      <c r="X104" s="43">
        <v>162.31900000000002</v>
      </c>
      <c r="Y104" s="41">
        <v>436.08046082754754</v>
      </c>
      <c r="Z104" s="41">
        <v>278.15255258761346</v>
      </c>
      <c r="AA104" s="41">
        <v>356.20499999999998</v>
      </c>
      <c r="AB104" s="41">
        <v>204.99138443777969</v>
      </c>
      <c r="AC104" s="41">
        <v>275.78500000000003</v>
      </c>
      <c r="AD104" s="41">
        <v>311.97546951236706</v>
      </c>
      <c r="AE104" s="41">
        <v>209.92885451498015</v>
      </c>
      <c r="AF104" s="41">
        <v>268.70742035532646</v>
      </c>
      <c r="AG104" s="41">
        <v>327.85334844709877</v>
      </c>
      <c r="AH104" s="41">
        <v>170.20676359894117</v>
      </c>
      <c r="AI104" s="41">
        <v>321.77999999999986</v>
      </c>
      <c r="AJ104" s="41">
        <v>171.10814283886501</v>
      </c>
      <c r="AK104" s="41">
        <v>280.28734604082427</v>
      </c>
      <c r="AL104" s="41">
        <v>295.26110230360939</v>
      </c>
      <c r="AM104" s="41">
        <v>108.02</v>
      </c>
      <c r="AN104" s="41">
        <v>218.99545538508804</v>
      </c>
    </row>
    <row r="105" spans="1:40" x14ac:dyDescent="0.25">
      <c r="A105" s="40" t="s">
        <v>14</v>
      </c>
      <c r="B105" s="38" t="s">
        <v>684</v>
      </c>
      <c r="C105" s="38" t="s">
        <v>802</v>
      </c>
      <c r="D105" s="38" t="s">
        <v>417</v>
      </c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2">
        <v>491.13499999999999</v>
      </c>
      <c r="V105" s="43">
        <v>552.40200000000004</v>
      </c>
      <c r="W105" s="43">
        <v>527.29499999999996</v>
      </c>
      <c r="X105" s="43">
        <v>409.65199999999999</v>
      </c>
      <c r="Y105" s="41">
        <v>517.43758066181863</v>
      </c>
      <c r="Z105" s="41">
        <v>458.28189018157968</v>
      </c>
      <c r="AA105" s="41">
        <v>410.76199999999989</v>
      </c>
      <c r="AB105" s="41">
        <v>180.25306105780876</v>
      </c>
      <c r="AC105" s="41">
        <v>310.94099999999992</v>
      </c>
      <c r="AD105" s="41">
        <v>323.93133497047268</v>
      </c>
      <c r="AE105" s="41">
        <v>310.30895883592808</v>
      </c>
      <c r="AF105" s="41">
        <v>284.69874288466553</v>
      </c>
      <c r="AG105" s="41">
        <v>336.58126956486211</v>
      </c>
      <c r="AH105" s="41">
        <v>258.20603856322992</v>
      </c>
      <c r="AI105" s="41">
        <v>346.61900000000003</v>
      </c>
      <c r="AJ105" s="41">
        <v>231.79986952354392</v>
      </c>
      <c r="AK105" s="41">
        <v>376.01603761893779</v>
      </c>
      <c r="AL105" s="41">
        <v>488.55062175143632</v>
      </c>
      <c r="AM105" s="41">
        <v>427.733</v>
      </c>
      <c r="AN105" s="41">
        <v>451.98663562247606</v>
      </c>
    </row>
    <row r="106" spans="1:40" x14ac:dyDescent="0.25">
      <c r="A106" s="40" t="s">
        <v>14</v>
      </c>
      <c r="B106" s="38" t="s">
        <v>684</v>
      </c>
      <c r="C106" s="38" t="s">
        <v>803</v>
      </c>
      <c r="D106" s="38" t="s">
        <v>417</v>
      </c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2">
        <v>281.27600000000001</v>
      </c>
      <c r="V106" s="43">
        <v>337.64699999999999</v>
      </c>
      <c r="W106" s="43">
        <v>179.25399999999999</v>
      </c>
      <c r="X106" s="43">
        <v>170.26599999999999</v>
      </c>
      <c r="Y106" s="41">
        <v>208.77720384874354</v>
      </c>
      <c r="Z106" s="41">
        <v>186.01032032431814</v>
      </c>
      <c r="AA106" s="41">
        <v>344.47</v>
      </c>
      <c r="AB106" s="41">
        <v>163.19724258673202</v>
      </c>
      <c r="AC106" s="41">
        <v>231.12299999999999</v>
      </c>
      <c r="AD106" s="41">
        <v>165.90651737343657</v>
      </c>
      <c r="AE106" s="41">
        <v>174.35034234244861</v>
      </c>
      <c r="AF106" s="41">
        <v>174.34193835027332</v>
      </c>
      <c r="AG106" s="41">
        <v>143.72704998352802</v>
      </c>
      <c r="AH106" s="41">
        <v>200.28255425532197</v>
      </c>
      <c r="AI106" s="41">
        <v>308.94999999999987</v>
      </c>
      <c r="AJ106" s="41">
        <v>171.73158175775771</v>
      </c>
      <c r="AK106" s="41">
        <v>319.01689246136391</v>
      </c>
      <c r="AL106" s="41">
        <v>161.26364626384654</v>
      </c>
      <c r="AM106" s="41">
        <v>85.691000000000003</v>
      </c>
      <c r="AN106" s="41">
        <v>104.00483709169882</v>
      </c>
    </row>
    <row r="107" spans="1:40" x14ac:dyDescent="0.25">
      <c r="A107" s="40" t="s">
        <v>14</v>
      </c>
      <c r="B107" s="38" t="s">
        <v>684</v>
      </c>
      <c r="C107" s="38" t="s">
        <v>804</v>
      </c>
      <c r="D107" s="38" t="s">
        <v>417</v>
      </c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2">
        <v>485.017</v>
      </c>
      <c r="V107" s="43">
        <v>303.71100000000001</v>
      </c>
      <c r="W107" s="43">
        <v>442.78199999999998</v>
      </c>
      <c r="X107" s="43">
        <v>396.71600000000001</v>
      </c>
      <c r="Y107" s="41">
        <v>363.7085626167347</v>
      </c>
      <c r="Z107" s="41">
        <v>393.73525096295691</v>
      </c>
      <c r="AA107" s="41">
        <v>471.38999999999993</v>
      </c>
      <c r="AB107" s="41">
        <v>525.50844397607318</v>
      </c>
      <c r="AC107" s="41">
        <v>376.02600000000001</v>
      </c>
      <c r="AD107" s="41">
        <v>449.50351626967915</v>
      </c>
      <c r="AE107" s="41">
        <v>503.95100448916213</v>
      </c>
      <c r="AF107" s="41">
        <v>565.5927112075824</v>
      </c>
      <c r="AG107" s="41">
        <v>594.14143533806589</v>
      </c>
      <c r="AH107" s="41">
        <v>599.90775720826127</v>
      </c>
      <c r="AI107" s="41">
        <v>424.94000000000005</v>
      </c>
      <c r="AJ107" s="41">
        <v>518.99564225694951</v>
      </c>
      <c r="AK107" s="41">
        <v>527.31147668155972</v>
      </c>
      <c r="AL107" s="41">
        <v>656.50080412608816</v>
      </c>
      <c r="AM107" s="41">
        <v>579.83100000000002</v>
      </c>
      <c r="AN107" s="41">
        <v>740.98994668899297</v>
      </c>
    </row>
    <row r="108" spans="1:40" x14ac:dyDescent="0.25">
      <c r="A108" s="40" t="s">
        <v>14</v>
      </c>
      <c r="B108" s="38" t="s">
        <v>684</v>
      </c>
      <c r="C108" s="38" t="s">
        <v>805</v>
      </c>
      <c r="D108" s="38" t="s">
        <v>417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2">
        <v>304.72300000000001</v>
      </c>
      <c r="V108" s="43">
        <v>290.745</v>
      </c>
      <c r="W108" s="43">
        <v>197.99799999999999</v>
      </c>
      <c r="X108" s="43">
        <v>181.34200000000001</v>
      </c>
      <c r="Y108" s="41">
        <v>200.72777341168563</v>
      </c>
      <c r="Z108" s="41">
        <v>348.14501652588871</v>
      </c>
      <c r="AA108" s="41">
        <v>300.36900000000003</v>
      </c>
      <c r="AB108" s="41">
        <v>326.4011348107465</v>
      </c>
      <c r="AC108" s="41">
        <v>192.46</v>
      </c>
      <c r="AD108" s="41">
        <v>175.81561914858693</v>
      </c>
      <c r="AE108" s="41">
        <v>320.23084614167067</v>
      </c>
      <c r="AF108" s="41">
        <v>192.93206916206142</v>
      </c>
      <c r="AG108" s="41">
        <v>302.66780322643655</v>
      </c>
      <c r="AH108" s="41">
        <v>268.42609195142762</v>
      </c>
      <c r="AI108" s="41">
        <v>218.45500000000001</v>
      </c>
      <c r="AJ108" s="41">
        <v>204.52180043812447</v>
      </c>
      <c r="AK108" s="41">
        <v>214.36466977014234</v>
      </c>
      <c r="AL108" s="41">
        <v>242.59571688313076</v>
      </c>
      <c r="AM108" s="41">
        <v>164.56899999999993</v>
      </c>
      <c r="AN108" s="41">
        <v>167.99485267061254</v>
      </c>
    </row>
    <row r="109" spans="1:40" x14ac:dyDescent="0.25">
      <c r="A109" s="40" t="s">
        <v>14</v>
      </c>
      <c r="B109" s="38" t="s">
        <v>684</v>
      </c>
      <c r="C109" s="38" t="s">
        <v>806</v>
      </c>
      <c r="D109" s="38" t="s">
        <v>417</v>
      </c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2">
        <v>90.825999999999993</v>
      </c>
      <c r="V109" s="43">
        <v>55.179000000000002</v>
      </c>
      <c r="W109" s="43">
        <v>133.53299999999999</v>
      </c>
      <c r="X109" s="43">
        <v>207.25399999999999</v>
      </c>
      <c r="Y109" s="41">
        <v>177.01016710141803</v>
      </c>
      <c r="Z109" s="41">
        <v>176.75276776730718</v>
      </c>
      <c r="AA109" s="41">
        <v>227.57300000000001</v>
      </c>
      <c r="AB109" s="41">
        <v>147.73270237165079</v>
      </c>
      <c r="AC109" s="41">
        <v>183.82900000000001</v>
      </c>
      <c r="AD109" s="41">
        <v>318.39846308230949</v>
      </c>
      <c r="AE109" s="41">
        <v>240.52295071571464</v>
      </c>
      <c r="AF109" s="41">
        <v>233.4674682526709</v>
      </c>
      <c r="AG109" s="41">
        <v>222.15614843099934</v>
      </c>
      <c r="AH109" s="41">
        <v>209.06439643958208</v>
      </c>
      <c r="AI109" s="41">
        <v>187.48500000000001</v>
      </c>
      <c r="AJ109" s="41">
        <v>215.20990776723897</v>
      </c>
      <c r="AK109" s="41">
        <v>245.38933900356849</v>
      </c>
      <c r="AL109" s="41">
        <v>192.04587989037401</v>
      </c>
      <c r="AM109" s="41">
        <v>246.887</v>
      </c>
      <c r="AN109" s="41">
        <v>331.99362287444922</v>
      </c>
    </row>
    <row r="110" spans="1:40" x14ac:dyDescent="0.25">
      <c r="A110" s="40" t="s">
        <v>788</v>
      </c>
      <c r="B110" s="38" t="s">
        <v>684</v>
      </c>
      <c r="C110" s="38" t="s">
        <v>789</v>
      </c>
      <c r="D110" s="38" t="s">
        <v>417</v>
      </c>
      <c r="E110" s="41"/>
      <c r="F110" s="41"/>
      <c r="G110" s="41"/>
      <c r="H110" s="41"/>
      <c r="I110" s="41"/>
      <c r="J110" s="41">
        <v>69605.104999999996</v>
      </c>
      <c r="K110" s="41">
        <v>70163.563999999998</v>
      </c>
      <c r="L110" s="41">
        <v>70380.457999999999</v>
      </c>
      <c r="M110" s="41">
        <v>70896.895999999993</v>
      </c>
      <c r="N110" s="41">
        <v>71014.577000000005</v>
      </c>
      <c r="O110" s="41">
        <v>71561.247000000003</v>
      </c>
      <c r="P110" s="41">
        <v>71884.788</v>
      </c>
      <c r="Q110" s="41">
        <v>72525.297000000006</v>
      </c>
      <c r="R110" s="41">
        <v>72538.504000000001</v>
      </c>
      <c r="S110" s="41">
        <v>73133.304000000004</v>
      </c>
      <c r="T110" s="41">
        <v>73530.150000000009</v>
      </c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</row>
    <row r="111" spans="1:40" x14ac:dyDescent="0.25">
      <c r="A111" s="40" t="s">
        <v>788</v>
      </c>
      <c r="B111" s="38" t="s">
        <v>684</v>
      </c>
      <c r="C111" s="38" t="s">
        <v>790</v>
      </c>
      <c r="D111" s="38" t="s">
        <v>417</v>
      </c>
      <c r="E111" s="41"/>
      <c r="F111" s="41"/>
      <c r="G111" s="41"/>
      <c r="H111" s="41"/>
      <c r="I111" s="41"/>
      <c r="J111" s="41">
        <v>9053.01</v>
      </c>
      <c r="K111" s="41">
        <v>9118.8230000000003</v>
      </c>
      <c r="L111" s="41">
        <v>9155.2630000000008</v>
      </c>
      <c r="M111" s="41">
        <v>9142.2309999999998</v>
      </c>
      <c r="N111" s="41">
        <v>9133.8559999999998</v>
      </c>
      <c r="O111" s="41">
        <v>9225.3510000000006</v>
      </c>
      <c r="P111" s="41">
        <v>9244.2890000000007</v>
      </c>
      <c r="Q111" s="41">
        <v>9353.7330000000002</v>
      </c>
      <c r="R111" s="41">
        <v>9283.2749999999996</v>
      </c>
      <c r="S111" s="41">
        <v>9377.7810000000009</v>
      </c>
      <c r="T111" s="41">
        <v>9421.5349999999999</v>
      </c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</row>
    <row r="112" spans="1:40" x14ac:dyDescent="0.25">
      <c r="A112" s="40" t="s">
        <v>788</v>
      </c>
      <c r="B112" s="38" t="s">
        <v>684</v>
      </c>
      <c r="C112" s="38" t="s">
        <v>791</v>
      </c>
      <c r="D112" s="38" t="s">
        <v>417</v>
      </c>
      <c r="E112" s="41"/>
      <c r="F112" s="41"/>
      <c r="G112" s="41"/>
      <c r="H112" s="41"/>
      <c r="I112" s="41"/>
      <c r="J112" s="41">
        <v>1239.2929999999999</v>
      </c>
      <c r="K112" s="41">
        <v>1244.097</v>
      </c>
      <c r="L112" s="41">
        <v>1243.3</v>
      </c>
      <c r="M112" s="41">
        <v>1263.8109999999999</v>
      </c>
      <c r="N112" s="41">
        <v>1261.6600000000001</v>
      </c>
      <c r="O112" s="41">
        <v>1272.0160000000001</v>
      </c>
      <c r="P112" s="41">
        <v>1282.72</v>
      </c>
      <c r="Q112" s="41">
        <v>1285.6669999999999</v>
      </c>
      <c r="R112" s="41">
        <v>1291.02</v>
      </c>
      <c r="S112" s="41">
        <v>1303.2560000000001</v>
      </c>
      <c r="T112" s="41">
        <v>1311.8320000000001</v>
      </c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</row>
    <row r="113" spans="1:40" x14ac:dyDescent="0.25">
      <c r="A113" s="40" t="s">
        <v>788</v>
      </c>
      <c r="B113" s="38" t="s">
        <v>684</v>
      </c>
      <c r="C113" s="38" t="s">
        <v>792</v>
      </c>
      <c r="D113" s="38" t="s">
        <v>417</v>
      </c>
      <c r="E113" s="41"/>
      <c r="F113" s="41"/>
      <c r="G113" s="41"/>
      <c r="H113" s="41"/>
      <c r="I113" s="41"/>
      <c r="J113" s="41">
        <v>3443.4459999999999</v>
      </c>
      <c r="K113" s="41">
        <v>3513.2220000000002</v>
      </c>
      <c r="L113" s="41">
        <v>3470.163</v>
      </c>
      <c r="M113" s="41">
        <v>3502.3420000000001</v>
      </c>
      <c r="N113" s="41">
        <v>3548.9780000000001</v>
      </c>
      <c r="O113" s="41">
        <v>3510.7089999999998</v>
      </c>
      <c r="P113" s="41">
        <v>3517.8710000000001</v>
      </c>
      <c r="Q113" s="41">
        <v>3533.6030000000001</v>
      </c>
      <c r="R113" s="41">
        <v>3552.3159999999998</v>
      </c>
      <c r="S113" s="41">
        <v>3588.38</v>
      </c>
      <c r="T113" s="41">
        <v>3610.7960000000003</v>
      </c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</row>
    <row r="114" spans="1:40" x14ac:dyDescent="0.25">
      <c r="A114" s="40" t="s">
        <v>788</v>
      </c>
      <c r="B114" s="38" t="s">
        <v>684</v>
      </c>
      <c r="C114" s="38" t="s">
        <v>793</v>
      </c>
      <c r="D114" s="38" t="s">
        <v>417</v>
      </c>
      <c r="E114" s="41"/>
      <c r="F114" s="41"/>
      <c r="G114" s="41"/>
      <c r="H114" s="41"/>
      <c r="I114" s="41"/>
      <c r="J114" s="41">
        <v>2363.5650000000001</v>
      </c>
      <c r="K114" s="41">
        <v>2378.3020000000001</v>
      </c>
      <c r="L114" s="41">
        <v>2360.654</v>
      </c>
      <c r="M114" s="41">
        <v>2389.4839999999999</v>
      </c>
      <c r="N114" s="41">
        <v>2401.7530000000002</v>
      </c>
      <c r="O114" s="41">
        <v>2406.8580000000002</v>
      </c>
      <c r="P114" s="41">
        <v>2411.982</v>
      </c>
      <c r="Q114" s="41">
        <v>2420.5680000000002</v>
      </c>
      <c r="R114" s="41">
        <v>2416.8809999999999</v>
      </c>
      <c r="S114" s="41">
        <v>2461.5419999999999</v>
      </c>
      <c r="T114" s="41">
        <v>2472.1990000000001</v>
      </c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</row>
    <row r="115" spans="1:40" x14ac:dyDescent="0.25">
      <c r="A115" s="40" t="s">
        <v>788</v>
      </c>
      <c r="B115" s="38" t="s">
        <v>684</v>
      </c>
      <c r="C115" s="38" t="s">
        <v>794</v>
      </c>
      <c r="D115" s="38" t="s">
        <v>417</v>
      </c>
      <c r="E115" s="41"/>
      <c r="F115" s="41"/>
      <c r="G115" s="41"/>
      <c r="H115" s="41"/>
      <c r="I115" s="41"/>
      <c r="J115" s="41">
        <v>7719.4859999999999</v>
      </c>
      <c r="K115" s="41">
        <v>7794.3540000000003</v>
      </c>
      <c r="L115" s="41">
        <v>7845.6670000000004</v>
      </c>
      <c r="M115" s="41">
        <v>7852.7520000000004</v>
      </c>
      <c r="N115" s="41">
        <v>7810.067</v>
      </c>
      <c r="O115" s="41">
        <v>7904.22</v>
      </c>
      <c r="P115" s="41">
        <v>7989.7640000000001</v>
      </c>
      <c r="Q115" s="41">
        <v>8051.0559999999996</v>
      </c>
      <c r="R115" s="41">
        <v>8034.3969999999999</v>
      </c>
      <c r="S115" s="41">
        <v>8080.8540000000003</v>
      </c>
      <c r="T115" s="41">
        <v>8177.0510000000004</v>
      </c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</row>
    <row r="116" spans="1:40" x14ac:dyDescent="0.25">
      <c r="A116" s="40" t="s">
        <v>788</v>
      </c>
      <c r="B116" s="38" t="s">
        <v>684</v>
      </c>
      <c r="C116" s="38" t="s">
        <v>795</v>
      </c>
      <c r="D116" s="38" t="s">
        <v>417</v>
      </c>
      <c r="E116" s="41"/>
      <c r="F116" s="41"/>
      <c r="G116" s="41"/>
      <c r="H116" s="41"/>
      <c r="I116" s="41"/>
      <c r="J116" s="41">
        <v>9720.6630000000005</v>
      </c>
      <c r="K116" s="41">
        <v>9839.57</v>
      </c>
      <c r="L116" s="41">
        <v>9854.9789999999994</v>
      </c>
      <c r="M116" s="41">
        <v>9973.1479999999992</v>
      </c>
      <c r="N116" s="41">
        <v>10062.087</v>
      </c>
      <c r="O116" s="41">
        <v>10153.028</v>
      </c>
      <c r="P116" s="41">
        <v>10194.607</v>
      </c>
      <c r="Q116" s="41">
        <v>10269.449000000001</v>
      </c>
      <c r="R116" s="41">
        <v>10238.959000000001</v>
      </c>
      <c r="S116" s="41">
        <v>10347.754000000001</v>
      </c>
      <c r="T116" s="41">
        <v>10343.496000000001</v>
      </c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</row>
    <row r="117" spans="1:40" x14ac:dyDescent="0.25">
      <c r="A117" s="40" t="s">
        <v>788</v>
      </c>
      <c r="B117" s="38" t="s">
        <v>684</v>
      </c>
      <c r="C117" s="38" t="s">
        <v>796</v>
      </c>
      <c r="D117" s="38" t="s">
        <v>417</v>
      </c>
      <c r="E117" s="41"/>
      <c r="F117" s="41"/>
      <c r="G117" s="41"/>
      <c r="H117" s="41"/>
      <c r="I117" s="41"/>
      <c r="J117" s="41">
        <v>2038.56</v>
      </c>
      <c r="K117" s="41">
        <v>2051.62</v>
      </c>
      <c r="L117" s="41">
        <v>2059.7249999999999</v>
      </c>
      <c r="M117" s="41">
        <v>2076.5360000000001</v>
      </c>
      <c r="N117" s="41">
        <v>2092.5320000000002</v>
      </c>
      <c r="O117" s="41">
        <v>2101.3969999999999</v>
      </c>
      <c r="P117" s="41">
        <v>2103.1640000000002</v>
      </c>
      <c r="Q117" s="41">
        <v>2135.0129999999999</v>
      </c>
      <c r="R117" s="41">
        <v>2143.0219999999999</v>
      </c>
      <c r="S117" s="41">
        <v>2145.7890000000002</v>
      </c>
      <c r="T117" s="41">
        <v>2168.002</v>
      </c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</row>
    <row r="118" spans="1:40" x14ac:dyDescent="0.25">
      <c r="A118" s="40" t="s">
        <v>788</v>
      </c>
      <c r="B118" s="38" t="s">
        <v>684</v>
      </c>
      <c r="C118" s="38" t="s">
        <v>797</v>
      </c>
      <c r="D118" s="38" t="s">
        <v>417</v>
      </c>
      <c r="E118" s="41"/>
      <c r="F118" s="41"/>
      <c r="G118" s="41"/>
      <c r="H118" s="41"/>
      <c r="I118" s="41"/>
      <c r="J118" s="41">
        <v>4005.9839999999999</v>
      </c>
      <c r="K118" s="41">
        <v>4028.7469999999998</v>
      </c>
      <c r="L118" s="41">
        <v>4038.665</v>
      </c>
      <c r="M118" s="41">
        <v>4078.6469999999999</v>
      </c>
      <c r="N118" s="41">
        <v>4081.3240000000001</v>
      </c>
      <c r="O118" s="41">
        <v>4146.8869999999997</v>
      </c>
      <c r="P118" s="41">
        <v>4144.5029999999997</v>
      </c>
      <c r="Q118" s="41">
        <v>4203.9480000000003</v>
      </c>
      <c r="R118" s="41">
        <v>4195.4669999999996</v>
      </c>
      <c r="S118" s="41">
        <v>4232.0169999999998</v>
      </c>
      <c r="T118" s="41">
        <v>4246.4220000000005</v>
      </c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</row>
    <row r="119" spans="1:40" x14ac:dyDescent="0.25">
      <c r="A119" s="40" t="s">
        <v>788</v>
      </c>
      <c r="B119" s="38" t="s">
        <v>684</v>
      </c>
      <c r="C119" s="38" t="s">
        <v>798</v>
      </c>
      <c r="D119" s="38" t="s">
        <v>417</v>
      </c>
      <c r="E119" s="41"/>
      <c r="F119" s="41"/>
      <c r="G119" s="41"/>
      <c r="H119" s="41"/>
      <c r="I119" s="41"/>
      <c r="J119" s="41">
        <v>5349.634</v>
      </c>
      <c r="K119" s="41">
        <v>5381.8540000000003</v>
      </c>
      <c r="L119" s="41">
        <v>5368.2929999999997</v>
      </c>
      <c r="M119" s="41">
        <v>5439.1409999999996</v>
      </c>
      <c r="N119" s="41">
        <v>5439.2359999999999</v>
      </c>
      <c r="O119" s="41">
        <v>5475.3119999999999</v>
      </c>
      <c r="P119" s="41">
        <v>5483.3069999999998</v>
      </c>
      <c r="Q119" s="41">
        <v>5518.5240000000003</v>
      </c>
      <c r="R119" s="41">
        <v>5583.8789999999999</v>
      </c>
      <c r="S119" s="41">
        <v>5585.54</v>
      </c>
      <c r="T119" s="41">
        <v>5582.8010000000004</v>
      </c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</row>
    <row r="120" spans="1:40" x14ac:dyDescent="0.25">
      <c r="A120" s="40" t="s">
        <v>788</v>
      </c>
      <c r="B120" s="38" t="s">
        <v>684</v>
      </c>
      <c r="C120" s="38" t="s">
        <v>799</v>
      </c>
      <c r="D120" s="38" t="s">
        <v>417</v>
      </c>
      <c r="E120" s="41"/>
      <c r="F120" s="41"/>
      <c r="G120" s="41"/>
      <c r="H120" s="41"/>
      <c r="I120" s="41"/>
      <c r="J120" s="41">
        <v>5175.7830000000004</v>
      </c>
      <c r="K120" s="41">
        <v>5211.8540000000003</v>
      </c>
      <c r="L120" s="41">
        <v>5210.1840000000002</v>
      </c>
      <c r="M120" s="41">
        <v>5279.7120000000004</v>
      </c>
      <c r="N120" s="41">
        <v>5263.5039999999999</v>
      </c>
      <c r="O120" s="41">
        <v>5308.0860000000002</v>
      </c>
      <c r="P120" s="41">
        <v>5330.2520000000004</v>
      </c>
      <c r="Q120" s="41">
        <v>5387.43</v>
      </c>
      <c r="R120" s="41">
        <v>5404.5330000000004</v>
      </c>
      <c r="S120" s="41">
        <v>5436.2920000000004</v>
      </c>
      <c r="T120" s="41">
        <v>5476.3019999999997</v>
      </c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</row>
    <row r="121" spans="1:40" x14ac:dyDescent="0.25">
      <c r="A121" s="40" t="s">
        <v>788</v>
      </c>
      <c r="B121" s="38" t="s">
        <v>684</v>
      </c>
      <c r="C121" s="38" t="s">
        <v>800</v>
      </c>
      <c r="D121" s="38" t="s">
        <v>417</v>
      </c>
      <c r="E121" s="41"/>
      <c r="F121" s="41"/>
      <c r="G121" s="41"/>
      <c r="H121" s="41"/>
      <c r="I121" s="41"/>
      <c r="J121" s="41">
        <v>3080.6669999999999</v>
      </c>
      <c r="K121" s="41">
        <v>3084.2280000000001</v>
      </c>
      <c r="L121" s="41">
        <v>3102.4789999999998</v>
      </c>
      <c r="M121" s="41">
        <v>3136.806</v>
      </c>
      <c r="N121" s="41">
        <v>3152.2359999999999</v>
      </c>
      <c r="O121" s="41">
        <v>3157.52</v>
      </c>
      <c r="P121" s="41">
        <v>3174.4940000000001</v>
      </c>
      <c r="Q121" s="41">
        <v>3205.71</v>
      </c>
      <c r="R121" s="41">
        <v>3226.5880000000002</v>
      </c>
      <c r="S121" s="41">
        <v>3241.24</v>
      </c>
      <c r="T121" s="41">
        <v>3258.654</v>
      </c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</row>
    <row r="122" spans="1:40" x14ac:dyDescent="0.25">
      <c r="A122" s="40" t="s">
        <v>788</v>
      </c>
      <c r="B122" s="38" t="s">
        <v>684</v>
      </c>
      <c r="C122" s="38" t="s">
        <v>801</v>
      </c>
      <c r="D122" s="38" t="s">
        <v>417</v>
      </c>
      <c r="E122" s="41"/>
      <c r="F122" s="41"/>
      <c r="G122" s="41"/>
      <c r="H122" s="41"/>
      <c r="I122" s="41"/>
      <c r="J122" s="41">
        <v>2547.9760000000001</v>
      </c>
      <c r="K122" s="41">
        <v>2566.625</v>
      </c>
      <c r="L122" s="41">
        <v>2581.9699999999998</v>
      </c>
      <c r="M122" s="41">
        <v>2608.5659999999998</v>
      </c>
      <c r="N122" s="41">
        <v>2614.752</v>
      </c>
      <c r="O122" s="41">
        <v>2615.6660000000002</v>
      </c>
      <c r="P122" s="41">
        <v>2628.962</v>
      </c>
      <c r="Q122" s="41">
        <v>2659.2330000000002</v>
      </c>
      <c r="R122" s="41">
        <v>2668.3040000000001</v>
      </c>
      <c r="S122" s="41">
        <v>2683.473</v>
      </c>
      <c r="T122" s="41">
        <v>2716.3150000000001</v>
      </c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</row>
    <row r="123" spans="1:40" x14ac:dyDescent="0.25">
      <c r="A123" s="40" t="s">
        <v>788</v>
      </c>
      <c r="B123" s="38" t="s">
        <v>684</v>
      </c>
      <c r="C123" s="38" t="s">
        <v>802</v>
      </c>
      <c r="D123" s="38" t="s">
        <v>417</v>
      </c>
      <c r="E123" s="41"/>
      <c r="F123" s="41"/>
      <c r="G123" s="41"/>
      <c r="H123" s="41"/>
      <c r="I123" s="41"/>
      <c r="J123" s="41">
        <v>3239.2750000000001</v>
      </c>
      <c r="K123" s="41">
        <v>3266.5810000000001</v>
      </c>
      <c r="L123" s="41">
        <v>3285.721</v>
      </c>
      <c r="M123" s="41">
        <v>3300.5050000000001</v>
      </c>
      <c r="N123" s="41">
        <v>3304.567</v>
      </c>
      <c r="O123" s="41">
        <v>3320.8490000000002</v>
      </c>
      <c r="P123" s="41">
        <v>3329.4189999999999</v>
      </c>
      <c r="Q123" s="41">
        <v>3369.01</v>
      </c>
      <c r="R123" s="41">
        <v>3369.779</v>
      </c>
      <c r="S123" s="41">
        <v>3397.3420000000001</v>
      </c>
      <c r="T123" s="41">
        <v>3417.1860000000001</v>
      </c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</row>
    <row r="124" spans="1:40" x14ac:dyDescent="0.25">
      <c r="A124" s="40" t="s">
        <v>788</v>
      </c>
      <c r="B124" s="38" t="s">
        <v>684</v>
      </c>
      <c r="C124" s="38" t="s">
        <v>803</v>
      </c>
      <c r="D124" s="38" t="s">
        <v>417</v>
      </c>
      <c r="E124" s="41"/>
      <c r="F124" s="41"/>
      <c r="G124" s="41"/>
      <c r="H124" s="41"/>
      <c r="I124" s="41"/>
      <c r="J124" s="41">
        <v>3434.1469999999999</v>
      </c>
      <c r="K124" s="41">
        <v>3440.1390000000001</v>
      </c>
      <c r="L124" s="41">
        <v>3467.7069999999999</v>
      </c>
      <c r="M124" s="41">
        <v>3478.5140000000001</v>
      </c>
      <c r="N124" s="41">
        <v>3488.2849999999999</v>
      </c>
      <c r="O124" s="41">
        <v>3516.893</v>
      </c>
      <c r="P124" s="41">
        <v>3534.5610000000001</v>
      </c>
      <c r="Q124" s="41">
        <v>3558.3319999999999</v>
      </c>
      <c r="R124" s="41">
        <v>3565</v>
      </c>
      <c r="S124" s="41">
        <v>3596.355</v>
      </c>
      <c r="T124" s="41">
        <v>3617.13</v>
      </c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</row>
    <row r="125" spans="1:40" x14ac:dyDescent="0.25">
      <c r="A125" s="40" t="s">
        <v>788</v>
      </c>
      <c r="B125" s="38" t="s">
        <v>684</v>
      </c>
      <c r="C125" s="38" t="s">
        <v>804</v>
      </c>
      <c r="D125" s="38" t="s">
        <v>417</v>
      </c>
      <c r="E125" s="41"/>
      <c r="F125" s="41"/>
      <c r="G125" s="41"/>
      <c r="H125" s="41"/>
      <c r="I125" s="41"/>
      <c r="J125" s="41">
        <v>3078.0410000000002</v>
      </c>
      <c r="K125" s="41">
        <v>3080.4209999999998</v>
      </c>
      <c r="L125" s="41">
        <v>3119.49</v>
      </c>
      <c r="M125" s="41">
        <v>3131.2190000000001</v>
      </c>
      <c r="N125" s="41">
        <v>3133.5079999999998</v>
      </c>
      <c r="O125" s="41">
        <v>3150.7020000000002</v>
      </c>
      <c r="P125" s="41">
        <v>3183.136</v>
      </c>
      <c r="Q125" s="41">
        <v>3199.41</v>
      </c>
      <c r="R125" s="41">
        <v>3206.31</v>
      </c>
      <c r="S125" s="41">
        <v>3238.8960000000002</v>
      </c>
      <c r="T125" s="41">
        <v>3243.2020000000002</v>
      </c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</row>
    <row r="126" spans="1:40" x14ac:dyDescent="0.25">
      <c r="A126" s="40" t="s">
        <v>788</v>
      </c>
      <c r="B126" s="38" t="s">
        <v>684</v>
      </c>
      <c r="C126" s="38" t="s">
        <v>805</v>
      </c>
      <c r="D126" s="38" t="s">
        <v>417</v>
      </c>
      <c r="E126" s="41"/>
      <c r="F126" s="41"/>
      <c r="G126" s="41"/>
      <c r="H126" s="41"/>
      <c r="I126" s="41"/>
      <c r="J126" s="41">
        <v>1843.1130000000001</v>
      </c>
      <c r="K126" s="41">
        <v>1850.663</v>
      </c>
      <c r="L126" s="41">
        <v>1852.5060000000001</v>
      </c>
      <c r="M126" s="41">
        <v>1874.857</v>
      </c>
      <c r="N126" s="41">
        <v>1872.3130000000001</v>
      </c>
      <c r="O126" s="41">
        <v>1894.9280000000001</v>
      </c>
      <c r="P126" s="41">
        <v>1896.615</v>
      </c>
      <c r="Q126" s="41">
        <v>1927.5650000000001</v>
      </c>
      <c r="R126" s="41">
        <v>1926.9269999999999</v>
      </c>
      <c r="S126" s="41">
        <v>1943.068</v>
      </c>
      <c r="T126" s="41">
        <v>1945.21</v>
      </c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</row>
    <row r="127" spans="1:40" x14ac:dyDescent="0.25">
      <c r="A127" s="40" t="s">
        <v>788</v>
      </c>
      <c r="B127" s="38" t="s">
        <v>684</v>
      </c>
      <c r="C127" s="38" t="s">
        <v>806</v>
      </c>
      <c r="D127" s="38" t="s">
        <v>417</v>
      </c>
      <c r="E127" s="41"/>
      <c r="F127" s="41"/>
      <c r="G127" s="41"/>
      <c r="H127" s="41"/>
      <c r="I127" s="41"/>
      <c r="J127" s="41">
        <v>2272.462</v>
      </c>
      <c r="K127" s="41">
        <v>2312.4650000000001</v>
      </c>
      <c r="L127" s="41">
        <v>2363.6930000000002</v>
      </c>
      <c r="M127" s="41">
        <v>2368.625</v>
      </c>
      <c r="N127" s="41">
        <v>2353.9180000000001</v>
      </c>
      <c r="O127" s="41">
        <v>2400.8240000000001</v>
      </c>
      <c r="P127" s="41">
        <v>2435.1419999999998</v>
      </c>
      <c r="Q127" s="41">
        <v>2447.0459999999998</v>
      </c>
      <c r="R127" s="41">
        <v>2431.846</v>
      </c>
      <c r="S127" s="41">
        <v>2473.723</v>
      </c>
      <c r="T127" s="41">
        <v>2522.018</v>
      </c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</row>
    <row r="128" spans="1:40" x14ac:dyDescent="0.25">
      <c r="A128" s="40" t="s">
        <v>807</v>
      </c>
      <c r="B128" s="38" t="s">
        <v>684</v>
      </c>
      <c r="C128" s="38" t="s">
        <v>789</v>
      </c>
      <c r="D128" s="38" t="s">
        <v>417</v>
      </c>
      <c r="E128" s="41"/>
      <c r="F128" s="41"/>
      <c r="G128" s="41"/>
      <c r="H128" s="41"/>
      <c r="I128" s="41"/>
      <c r="J128" s="41">
        <v>42713.788999999997</v>
      </c>
      <c r="K128" s="41">
        <v>42544.318999999996</v>
      </c>
      <c r="L128" s="41">
        <v>43731.887999999999</v>
      </c>
      <c r="M128" s="41">
        <v>44075.163999999997</v>
      </c>
      <c r="N128" s="41">
        <v>43257.02</v>
      </c>
      <c r="O128" s="41">
        <v>42978.974000000002</v>
      </c>
      <c r="P128" s="41">
        <v>43528.462</v>
      </c>
      <c r="Q128" s="41">
        <v>43659.841</v>
      </c>
      <c r="R128" s="41">
        <v>44528.752</v>
      </c>
      <c r="S128" s="41">
        <v>45386.582000000002</v>
      </c>
      <c r="T128" s="41">
        <v>45193.97</v>
      </c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</row>
    <row r="129" spans="1:40" x14ac:dyDescent="0.25">
      <c r="A129" s="40" t="s">
        <v>807</v>
      </c>
      <c r="B129" s="38" t="s">
        <v>684</v>
      </c>
      <c r="C129" s="38" t="s">
        <v>790</v>
      </c>
      <c r="D129" s="38" t="s">
        <v>417</v>
      </c>
      <c r="E129" s="41"/>
      <c r="F129" s="41"/>
      <c r="G129" s="41"/>
      <c r="H129" s="41"/>
      <c r="I129" s="41"/>
      <c r="J129" s="41">
        <v>5480.2669999999998</v>
      </c>
      <c r="K129" s="41">
        <v>5519.81</v>
      </c>
      <c r="L129" s="41">
        <v>5675.5969999999998</v>
      </c>
      <c r="M129" s="41">
        <v>5542.3130000000001</v>
      </c>
      <c r="N129" s="41">
        <v>5463.0370000000003</v>
      </c>
      <c r="O129" s="41">
        <v>5534.692</v>
      </c>
      <c r="P129" s="41">
        <v>5606.1610000000001</v>
      </c>
      <c r="Q129" s="41">
        <v>5659.9110000000001</v>
      </c>
      <c r="R129" s="41">
        <v>5632.152</v>
      </c>
      <c r="S129" s="41">
        <v>5767.5870000000004</v>
      </c>
      <c r="T129" s="41">
        <v>5705.7080000000005</v>
      </c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</row>
    <row r="130" spans="1:40" x14ac:dyDescent="0.25">
      <c r="A130" s="40" t="s">
        <v>807</v>
      </c>
      <c r="B130" s="38" t="s">
        <v>684</v>
      </c>
      <c r="C130" s="38" t="s">
        <v>791</v>
      </c>
      <c r="D130" s="38" t="s">
        <v>417</v>
      </c>
      <c r="E130" s="41"/>
      <c r="F130" s="41"/>
      <c r="G130" s="41"/>
      <c r="H130" s="41"/>
      <c r="I130" s="41"/>
      <c r="J130" s="41">
        <v>768.48699999999997</v>
      </c>
      <c r="K130" s="41">
        <v>802.15600000000006</v>
      </c>
      <c r="L130" s="41">
        <v>798.59400000000005</v>
      </c>
      <c r="M130" s="41">
        <v>785.98199999999997</v>
      </c>
      <c r="N130" s="41">
        <v>759.17399999999998</v>
      </c>
      <c r="O130" s="41">
        <v>801.96600000000001</v>
      </c>
      <c r="P130" s="41">
        <v>797.43399999999997</v>
      </c>
      <c r="Q130" s="41">
        <v>792.19299999999998</v>
      </c>
      <c r="R130" s="41">
        <v>806.31600000000003</v>
      </c>
      <c r="S130" s="41">
        <v>806.34100000000001</v>
      </c>
      <c r="T130" s="41">
        <v>817.99300000000005</v>
      </c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</row>
    <row r="131" spans="1:40" x14ac:dyDescent="0.25">
      <c r="A131" s="40" t="s">
        <v>807</v>
      </c>
      <c r="B131" s="38" t="s">
        <v>684</v>
      </c>
      <c r="C131" s="38" t="s">
        <v>792</v>
      </c>
      <c r="D131" s="38" t="s">
        <v>417</v>
      </c>
      <c r="E131" s="41"/>
      <c r="F131" s="41"/>
      <c r="G131" s="41"/>
      <c r="H131" s="41"/>
      <c r="I131" s="41"/>
      <c r="J131" s="41">
        <v>1948.5319999999999</v>
      </c>
      <c r="K131" s="41">
        <v>2062.587</v>
      </c>
      <c r="L131" s="41">
        <v>2071.4789999999998</v>
      </c>
      <c r="M131" s="41">
        <v>2216.5010000000002</v>
      </c>
      <c r="N131" s="41">
        <v>2211.1970000000001</v>
      </c>
      <c r="O131" s="41">
        <v>2104.654</v>
      </c>
      <c r="P131" s="41">
        <v>2156.7080000000001</v>
      </c>
      <c r="Q131" s="41">
        <v>2166.489</v>
      </c>
      <c r="R131" s="41">
        <v>2128.6129999999998</v>
      </c>
      <c r="S131" s="41">
        <v>2235.212</v>
      </c>
      <c r="T131" s="41">
        <v>2288.4140000000002</v>
      </c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</row>
    <row r="132" spans="1:40" x14ac:dyDescent="0.25">
      <c r="A132" s="40" t="s">
        <v>807</v>
      </c>
      <c r="B132" s="38" t="s">
        <v>684</v>
      </c>
      <c r="C132" s="38" t="s">
        <v>793</v>
      </c>
      <c r="D132" s="38" t="s">
        <v>417</v>
      </c>
      <c r="E132" s="41"/>
      <c r="F132" s="41"/>
      <c r="G132" s="41"/>
      <c r="H132" s="41"/>
      <c r="I132" s="41"/>
      <c r="J132" s="41">
        <v>1479.096</v>
      </c>
      <c r="K132" s="41">
        <v>1468.2079999999999</v>
      </c>
      <c r="L132" s="41">
        <v>1544.693</v>
      </c>
      <c r="M132" s="41">
        <v>1560.316</v>
      </c>
      <c r="N132" s="41">
        <v>1555.904</v>
      </c>
      <c r="O132" s="41">
        <v>1502.3050000000001</v>
      </c>
      <c r="P132" s="41">
        <v>1523.182</v>
      </c>
      <c r="Q132" s="41">
        <v>1501.5129999999999</v>
      </c>
      <c r="R132" s="41">
        <v>1529.902</v>
      </c>
      <c r="S132" s="41">
        <v>1546.38</v>
      </c>
      <c r="T132" s="41">
        <v>1584.5060000000001</v>
      </c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</row>
    <row r="133" spans="1:40" x14ac:dyDescent="0.25">
      <c r="A133" s="40" t="s">
        <v>807</v>
      </c>
      <c r="B133" s="38" t="s">
        <v>684</v>
      </c>
      <c r="C133" s="38" t="s">
        <v>794</v>
      </c>
      <c r="D133" s="38" t="s">
        <v>417</v>
      </c>
      <c r="E133" s="41"/>
      <c r="F133" s="41"/>
      <c r="G133" s="41"/>
      <c r="H133" s="41"/>
      <c r="I133" s="41"/>
      <c r="J133" s="41">
        <v>4432.7060000000001</v>
      </c>
      <c r="K133" s="41">
        <v>4719.2950000000001</v>
      </c>
      <c r="L133" s="41">
        <v>4614.0810000000001</v>
      </c>
      <c r="M133" s="41">
        <v>4768.7809999999999</v>
      </c>
      <c r="N133" s="41">
        <v>4704.1409999999996</v>
      </c>
      <c r="O133" s="41">
        <v>4778.0659999999998</v>
      </c>
      <c r="P133" s="41">
        <v>4637.1660000000002</v>
      </c>
      <c r="Q133" s="41">
        <v>4794.51</v>
      </c>
      <c r="R133" s="41">
        <v>4824.2550000000001</v>
      </c>
      <c r="S133" s="41">
        <v>4880.6589999999997</v>
      </c>
      <c r="T133" s="41">
        <v>4906.2049999999999</v>
      </c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</row>
    <row r="134" spans="1:40" x14ac:dyDescent="0.25">
      <c r="A134" s="40" t="s">
        <v>807</v>
      </c>
      <c r="B134" s="38" t="s">
        <v>684</v>
      </c>
      <c r="C134" s="38" t="s">
        <v>795</v>
      </c>
      <c r="D134" s="38" t="s">
        <v>417</v>
      </c>
      <c r="E134" s="41"/>
      <c r="F134" s="41"/>
      <c r="G134" s="41"/>
      <c r="H134" s="41"/>
      <c r="I134" s="41"/>
      <c r="J134" s="41">
        <v>6188.0839999999998</v>
      </c>
      <c r="K134" s="41">
        <v>6143.2750000000005</v>
      </c>
      <c r="L134" s="41">
        <v>6457.2529999999997</v>
      </c>
      <c r="M134" s="41">
        <v>6275.5550000000003</v>
      </c>
      <c r="N134" s="41">
        <v>6249.25</v>
      </c>
      <c r="O134" s="41">
        <v>6329.643</v>
      </c>
      <c r="P134" s="41">
        <v>6457.8249999999998</v>
      </c>
      <c r="Q134" s="41">
        <v>6478.0060000000003</v>
      </c>
      <c r="R134" s="41">
        <v>6496.0879999999997</v>
      </c>
      <c r="S134" s="41">
        <v>6817.3429999999998</v>
      </c>
      <c r="T134" s="41">
        <v>6625.1750000000002</v>
      </c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</row>
    <row r="135" spans="1:40" x14ac:dyDescent="0.25">
      <c r="A135" s="40" t="s">
        <v>807</v>
      </c>
      <c r="B135" s="38" t="s">
        <v>684</v>
      </c>
      <c r="C135" s="38" t="s">
        <v>796</v>
      </c>
      <c r="D135" s="38" t="s">
        <v>417</v>
      </c>
      <c r="E135" s="41"/>
      <c r="F135" s="41"/>
      <c r="G135" s="41"/>
      <c r="H135" s="41"/>
      <c r="I135" s="41"/>
      <c r="J135" s="41">
        <v>1294.5650000000001</v>
      </c>
      <c r="K135" s="41">
        <v>1304.4080000000001</v>
      </c>
      <c r="L135" s="41">
        <v>1396.146</v>
      </c>
      <c r="M135" s="41">
        <v>1369.2070000000001</v>
      </c>
      <c r="N135" s="41">
        <v>1296.674</v>
      </c>
      <c r="O135" s="41">
        <v>1276.4580000000001</v>
      </c>
      <c r="P135" s="41">
        <v>1249.2080000000001</v>
      </c>
      <c r="Q135" s="41">
        <v>1276.481</v>
      </c>
      <c r="R135" s="41">
        <v>1312.653</v>
      </c>
      <c r="S135" s="41">
        <v>1323.7550000000001</v>
      </c>
      <c r="T135" s="41">
        <v>1271.3520000000001</v>
      </c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</row>
    <row r="136" spans="1:40" x14ac:dyDescent="0.25">
      <c r="A136" s="40" t="s">
        <v>807</v>
      </c>
      <c r="B136" s="38" t="s">
        <v>684</v>
      </c>
      <c r="C136" s="38" t="s">
        <v>797</v>
      </c>
      <c r="D136" s="38" t="s">
        <v>417</v>
      </c>
      <c r="E136" s="41"/>
      <c r="F136" s="41"/>
      <c r="G136" s="41"/>
      <c r="H136" s="41"/>
      <c r="I136" s="41"/>
      <c r="J136" s="41">
        <v>2369.4740000000002</v>
      </c>
      <c r="K136" s="41">
        <v>2401.4390000000003</v>
      </c>
      <c r="L136" s="41">
        <v>2525.2150000000001</v>
      </c>
      <c r="M136" s="41">
        <v>2527.87</v>
      </c>
      <c r="N136" s="41">
        <v>2552.12</v>
      </c>
      <c r="O136" s="41">
        <v>2393.23</v>
      </c>
      <c r="P136" s="41">
        <v>2540.14</v>
      </c>
      <c r="Q136" s="41">
        <v>2347.84</v>
      </c>
      <c r="R136" s="41">
        <v>2547.694</v>
      </c>
      <c r="S136" s="41">
        <v>2637.2159999999999</v>
      </c>
      <c r="T136" s="41">
        <v>2616.1010000000001</v>
      </c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</row>
    <row r="137" spans="1:40" x14ac:dyDescent="0.25">
      <c r="A137" s="40" t="s">
        <v>807</v>
      </c>
      <c r="B137" s="38" t="s">
        <v>684</v>
      </c>
      <c r="C137" s="38" t="s">
        <v>798</v>
      </c>
      <c r="D137" s="38" t="s">
        <v>417</v>
      </c>
      <c r="E137" s="41"/>
      <c r="F137" s="41"/>
      <c r="G137" s="41"/>
      <c r="H137" s="41"/>
      <c r="I137" s="41"/>
      <c r="J137" s="41">
        <v>3280.1990000000001</v>
      </c>
      <c r="K137" s="41">
        <v>3350.373</v>
      </c>
      <c r="L137" s="41">
        <v>3245.069</v>
      </c>
      <c r="M137" s="41">
        <v>3370.6469999999999</v>
      </c>
      <c r="N137" s="41">
        <v>3362.174</v>
      </c>
      <c r="O137" s="41">
        <v>3334.7829999999999</v>
      </c>
      <c r="P137" s="41">
        <v>3306.643</v>
      </c>
      <c r="Q137" s="41">
        <v>3290.4160000000002</v>
      </c>
      <c r="R137" s="41">
        <v>3169.41</v>
      </c>
      <c r="S137" s="41">
        <v>3322.0419999999999</v>
      </c>
      <c r="T137" s="41">
        <v>3369.5340000000001</v>
      </c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</row>
    <row r="138" spans="1:40" x14ac:dyDescent="0.25">
      <c r="A138" s="40" t="s">
        <v>807</v>
      </c>
      <c r="B138" s="38" t="s">
        <v>684</v>
      </c>
      <c r="C138" s="38" t="s">
        <v>799</v>
      </c>
      <c r="D138" s="38" t="s">
        <v>417</v>
      </c>
      <c r="E138" s="41"/>
      <c r="F138" s="41"/>
      <c r="G138" s="41"/>
      <c r="H138" s="41"/>
      <c r="I138" s="41"/>
      <c r="J138" s="41">
        <v>3481.328</v>
      </c>
      <c r="K138" s="41">
        <v>3290.3799999999997</v>
      </c>
      <c r="L138" s="41">
        <v>3316.0830000000001</v>
      </c>
      <c r="M138" s="41">
        <v>3333.8939999999998</v>
      </c>
      <c r="N138" s="41">
        <v>3251.2449999999999</v>
      </c>
      <c r="O138" s="41">
        <v>3170.873</v>
      </c>
      <c r="P138" s="41">
        <v>3235.5790000000002</v>
      </c>
      <c r="Q138" s="41">
        <v>3397.2669999999998</v>
      </c>
      <c r="R138" s="41">
        <v>3376.172</v>
      </c>
      <c r="S138" s="41">
        <v>3295.7420000000002</v>
      </c>
      <c r="T138" s="41">
        <v>3460.1390000000001</v>
      </c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</row>
    <row r="139" spans="1:40" x14ac:dyDescent="0.25">
      <c r="A139" s="40" t="s">
        <v>807</v>
      </c>
      <c r="B139" s="38" t="s">
        <v>684</v>
      </c>
      <c r="C139" s="38" t="s">
        <v>800</v>
      </c>
      <c r="D139" s="38" t="s">
        <v>417</v>
      </c>
      <c r="E139" s="41"/>
      <c r="F139" s="41"/>
      <c r="G139" s="41"/>
      <c r="H139" s="41"/>
      <c r="I139" s="41"/>
      <c r="J139" s="41">
        <v>1978.241</v>
      </c>
      <c r="K139" s="41">
        <v>1870.6889999999999</v>
      </c>
      <c r="L139" s="41">
        <v>1868.607</v>
      </c>
      <c r="M139" s="41">
        <v>1932.4010000000001</v>
      </c>
      <c r="N139" s="41">
        <v>1991.9839999999999</v>
      </c>
      <c r="O139" s="41">
        <v>1950.9680000000001</v>
      </c>
      <c r="P139" s="41">
        <v>1854.0429999999999</v>
      </c>
      <c r="Q139" s="41">
        <v>1889.0060000000001</v>
      </c>
      <c r="R139" s="41">
        <v>1969.2550000000001</v>
      </c>
      <c r="S139" s="41">
        <v>1994.9280000000001</v>
      </c>
      <c r="T139" s="41">
        <v>1899.701</v>
      </c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</row>
    <row r="140" spans="1:40" x14ac:dyDescent="0.25">
      <c r="A140" s="40" t="s">
        <v>807</v>
      </c>
      <c r="B140" s="38" t="s">
        <v>684</v>
      </c>
      <c r="C140" s="38" t="s">
        <v>801</v>
      </c>
      <c r="D140" s="38" t="s">
        <v>417</v>
      </c>
      <c r="E140" s="41"/>
      <c r="F140" s="41"/>
      <c r="G140" s="41"/>
      <c r="H140" s="41"/>
      <c r="I140" s="41"/>
      <c r="J140" s="41">
        <v>1551.28</v>
      </c>
      <c r="K140" s="41">
        <v>1480.559</v>
      </c>
      <c r="L140" s="41">
        <v>1523.248</v>
      </c>
      <c r="M140" s="41">
        <v>1548.048</v>
      </c>
      <c r="N140" s="41">
        <v>1428.8989999999999</v>
      </c>
      <c r="O140" s="41">
        <v>1426.5719999999999</v>
      </c>
      <c r="P140" s="41">
        <v>1495.867</v>
      </c>
      <c r="Q140" s="41">
        <v>1484.0050000000001</v>
      </c>
      <c r="R140" s="41">
        <v>1506.9670000000001</v>
      </c>
      <c r="S140" s="41">
        <v>1498.42</v>
      </c>
      <c r="T140" s="41">
        <v>1561.105</v>
      </c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</row>
    <row r="141" spans="1:40" x14ac:dyDescent="0.25">
      <c r="A141" s="40" t="s">
        <v>807</v>
      </c>
      <c r="B141" s="38" t="s">
        <v>684</v>
      </c>
      <c r="C141" s="38" t="s">
        <v>802</v>
      </c>
      <c r="D141" s="38" t="s">
        <v>417</v>
      </c>
      <c r="E141" s="41"/>
      <c r="F141" s="41"/>
      <c r="G141" s="41"/>
      <c r="H141" s="41"/>
      <c r="I141" s="41"/>
      <c r="J141" s="41">
        <v>2097.252</v>
      </c>
      <c r="K141" s="41">
        <v>1966.0680000000002</v>
      </c>
      <c r="L141" s="41">
        <v>2207.7579999999998</v>
      </c>
      <c r="M141" s="41">
        <v>2377.36</v>
      </c>
      <c r="N141" s="41">
        <v>2179.5219999999999</v>
      </c>
      <c r="O141" s="41">
        <v>2059.4609999999998</v>
      </c>
      <c r="P141" s="41">
        <v>2169.3009999999999</v>
      </c>
      <c r="Q141" s="41">
        <v>2103.509</v>
      </c>
      <c r="R141" s="41">
        <v>2478.4479999999999</v>
      </c>
      <c r="S141" s="41">
        <v>2461.7399999999998</v>
      </c>
      <c r="T141" s="41">
        <v>2282.4380000000001</v>
      </c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</row>
    <row r="142" spans="1:40" x14ac:dyDescent="0.25">
      <c r="A142" s="40" t="s">
        <v>807</v>
      </c>
      <c r="B142" s="38" t="s">
        <v>684</v>
      </c>
      <c r="C142" s="38" t="s">
        <v>803</v>
      </c>
      <c r="D142" s="38" t="s">
        <v>417</v>
      </c>
      <c r="E142" s="41"/>
      <c r="F142" s="41"/>
      <c r="G142" s="41"/>
      <c r="H142" s="41"/>
      <c r="I142" s="41"/>
      <c r="J142" s="41">
        <v>2197.0300000000002</v>
      </c>
      <c r="K142" s="41">
        <v>2061.9110000000001</v>
      </c>
      <c r="L142" s="41">
        <v>2264.7429999999999</v>
      </c>
      <c r="M142" s="41">
        <v>2162.5410000000002</v>
      </c>
      <c r="N142" s="41">
        <v>2078.7950000000001</v>
      </c>
      <c r="O142" s="41">
        <v>2074.643</v>
      </c>
      <c r="P142" s="41">
        <v>2133.9319999999998</v>
      </c>
      <c r="Q142" s="41">
        <v>2142.7649999999999</v>
      </c>
      <c r="R142" s="41">
        <v>2076.27</v>
      </c>
      <c r="S142" s="41">
        <v>2131.9720000000002</v>
      </c>
      <c r="T142" s="41">
        <v>2229.1480000000001</v>
      </c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</row>
    <row r="143" spans="1:40" x14ac:dyDescent="0.25">
      <c r="A143" s="40" t="s">
        <v>807</v>
      </c>
      <c r="B143" s="38" t="s">
        <v>684</v>
      </c>
      <c r="C143" s="38" t="s">
        <v>804</v>
      </c>
      <c r="D143" s="38" t="s">
        <v>417</v>
      </c>
      <c r="E143" s="41"/>
      <c r="F143" s="41"/>
      <c r="G143" s="41"/>
      <c r="H143" s="41"/>
      <c r="I143" s="41"/>
      <c r="J143" s="41">
        <v>1871.566</v>
      </c>
      <c r="K143" s="41">
        <v>1886.962</v>
      </c>
      <c r="L143" s="41">
        <v>1991.5889999999999</v>
      </c>
      <c r="M143" s="41">
        <v>1954.336</v>
      </c>
      <c r="N143" s="41">
        <v>1894.3109999999999</v>
      </c>
      <c r="O143" s="41">
        <v>1944.1220000000001</v>
      </c>
      <c r="P143" s="41">
        <v>1982.298</v>
      </c>
      <c r="Q143" s="41">
        <v>2026.46</v>
      </c>
      <c r="R143" s="41">
        <v>2079.27</v>
      </c>
      <c r="S143" s="41">
        <v>2117.0500000000002</v>
      </c>
      <c r="T143" s="41">
        <v>2035.0240000000001</v>
      </c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</row>
    <row r="144" spans="1:40" x14ac:dyDescent="0.25">
      <c r="A144" s="40" t="s">
        <v>807</v>
      </c>
      <c r="B144" s="38" t="s">
        <v>684</v>
      </c>
      <c r="C144" s="38" t="s">
        <v>805</v>
      </c>
      <c r="D144" s="38" t="s">
        <v>417</v>
      </c>
      <c r="E144" s="41"/>
      <c r="F144" s="41"/>
      <c r="G144" s="41"/>
      <c r="H144" s="41"/>
      <c r="I144" s="41"/>
      <c r="J144" s="41">
        <v>1200.915</v>
      </c>
      <c r="K144" s="41">
        <v>1141.3399999999999</v>
      </c>
      <c r="L144" s="41">
        <v>1154.9159999999999</v>
      </c>
      <c r="M144" s="41">
        <v>1257.2619999999999</v>
      </c>
      <c r="N144" s="41">
        <v>1236.933</v>
      </c>
      <c r="O144" s="41">
        <v>1187.5920000000001</v>
      </c>
      <c r="P144" s="41">
        <v>1176.482</v>
      </c>
      <c r="Q144" s="41">
        <v>1141.5999999999999</v>
      </c>
      <c r="R144" s="41">
        <v>1258.0940000000001</v>
      </c>
      <c r="S144" s="41">
        <v>1231.837</v>
      </c>
      <c r="T144" s="41">
        <v>1194.5060000000001</v>
      </c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</row>
    <row r="145" spans="1:40" x14ac:dyDescent="0.25">
      <c r="A145" s="40" t="s">
        <v>807</v>
      </c>
      <c r="B145" s="38" t="s">
        <v>684</v>
      </c>
      <c r="C145" s="38" t="s">
        <v>806</v>
      </c>
      <c r="D145" s="38" t="s">
        <v>417</v>
      </c>
      <c r="E145" s="41"/>
      <c r="F145" s="41"/>
      <c r="G145" s="41"/>
      <c r="H145" s="41"/>
      <c r="I145" s="41"/>
      <c r="J145" s="41">
        <v>1094.769</v>
      </c>
      <c r="K145" s="41">
        <v>1074.8579999999999</v>
      </c>
      <c r="L145" s="41">
        <v>1076.816</v>
      </c>
      <c r="M145" s="41">
        <v>1092.1469999999999</v>
      </c>
      <c r="N145" s="41">
        <v>1041.6579999999999</v>
      </c>
      <c r="O145" s="41">
        <v>1108.9459999999999</v>
      </c>
      <c r="P145" s="41">
        <v>1206.491</v>
      </c>
      <c r="Q145" s="41">
        <v>1167.8699999999999</v>
      </c>
      <c r="R145" s="41">
        <v>1337.191</v>
      </c>
      <c r="S145" s="41">
        <v>1318.355</v>
      </c>
      <c r="T145" s="41">
        <v>1346.92</v>
      </c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</row>
    <row r="146" spans="1:40" x14ac:dyDescent="0.25">
      <c r="A146" s="40" t="s">
        <v>11</v>
      </c>
      <c r="B146" s="38" t="s">
        <v>684</v>
      </c>
      <c r="C146" s="38" t="s">
        <v>789</v>
      </c>
      <c r="D146" s="38" t="s">
        <v>417</v>
      </c>
      <c r="E146" s="41"/>
      <c r="F146" s="41"/>
      <c r="G146" s="41"/>
      <c r="H146" s="41"/>
      <c r="I146" s="41"/>
      <c r="J146" s="41">
        <v>40271.057000000001</v>
      </c>
      <c r="K146" s="41">
        <v>40171.002999999997</v>
      </c>
      <c r="L146" s="41">
        <v>41546.508999999998</v>
      </c>
      <c r="M146" s="41">
        <v>41755.035000000003</v>
      </c>
      <c r="N146" s="41">
        <v>40896.366999999998</v>
      </c>
      <c r="O146" s="41">
        <v>40649.711000000003</v>
      </c>
      <c r="P146" s="41">
        <v>41325.025999999998</v>
      </c>
      <c r="Q146" s="41">
        <v>41375.567000000003</v>
      </c>
      <c r="R146" s="41">
        <v>42242.451999999997</v>
      </c>
      <c r="S146" s="41">
        <v>42951.883000000002</v>
      </c>
      <c r="T146" s="41">
        <v>43143.565000000002</v>
      </c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</row>
    <row r="147" spans="1:40" x14ac:dyDescent="0.25">
      <c r="A147" s="40" t="s">
        <v>11</v>
      </c>
      <c r="B147" s="38" t="s">
        <v>684</v>
      </c>
      <c r="C147" s="38" t="s">
        <v>790</v>
      </c>
      <c r="D147" s="38" t="s">
        <v>417</v>
      </c>
      <c r="E147" s="41"/>
      <c r="F147" s="41"/>
      <c r="G147" s="41"/>
      <c r="H147" s="41"/>
      <c r="I147" s="41"/>
      <c r="J147" s="41">
        <v>5088.0150000000003</v>
      </c>
      <c r="K147" s="41">
        <v>5083.4870000000001</v>
      </c>
      <c r="L147" s="41">
        <v>5328.9939999999997</v>
      </c>
      <c r="M147" s="41">
        <v>5108.4719999999998</v>
      </c>
      <c r="N147" s="41">
        <v>5112.3509999999997</v>
      </c>
      <c r="O147" s="41">
        <v>5195.0119999999997</v>
      </c>
      <c r="P147" s="41">
        <v>5268.3090000000002</v>
      </c>
      <c r="Q147" s="41">
        <v>5297.1869999999999</v>
      </c>
      <c r="R147" s="41">
        <v>5278.8180000000002</v>
      </c>
      <c r="S147" s="41">
        <v>5414.5039999999999</v>
      </c>
      <c r="T147" s="41">
        <v>5444.2480000000005</v>
      </c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</row>
    <row r="148" spans="1:40" x14ac:dyDescent="0.25">
      <c r="A148" s="40" t="s">
        <v>11</v>
      </c>
      <c r="B148" s="38" t="s">
        <v>684</v>
      </c>
      <c r="C148" s="38" t="s">
        <v>791</v>
      </c>
      <c r="D148" s="38" t="s">
        <v>417</v>
      </c>
      <c r="E148" s="41"/>
      <c r="F148" s="41"/>
      <c r="G148" s="41"/>
      <c r="H148" s="41"/>
      <c r="I148" s="41"/>
      <c r="J148" s="41">
        <v>736.89</v>
      </c>
      <c r="K148" s="41">
        <v>774.77700000000004</v>
      </c>
      <c r="L148" s="41">
        <v>769.15099999999995</v>
      </c>
      <c r="M148" s="41">
        <v>757.404</v>
      </c>
      <c r="N148" s="41">
        <v>734.43799999999999</v>
      </c>
      <c r="O148" s="41">
        <v>761.76300000000003</v>
      </c>
      <c r="P148" s="41">
        <v>761.92100000000005</v>
      </c>
      <c r="Q148" s="41">
        <v>753.19399999999996</v>
      </c>
      <c r="R148" s="41">
        <v>783.26700000000005</v>
      </c>
      <c r="S148" s="41">
        <v>778.27200000000005</v>
      </c>
      <c r="T148" s="41">
        <v>795.12</v>
      </c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</row>
    <row r="149" spans="1:40" x14ac:dyDescent="0.25">
      <c r="A149" s="40" t="s">
        <v>11</v>
      </c>
      <c r="B149" s="38" t="s">
        <v>684</v>
      </c>
      <c r="C149" s="38" t="s">
        <v>792</v>
      </c>
      <c r="D149" s="38" t="s">
        <v>417</v>
      </c>
      <c r="E149" s="41"/>
      <c r="F149" s="41"/>
      <c r="G149" s="41"/>
      <c r="H149" s="41"/>
      <c r="I149" s="41"/>
      <c r="J149" s="41">
        <v>1745.19</v>
      </c>
      <c r="K149" s="41">
        <v>1892.8109999999999</v>
      </c>
      <c r="L149" s="41">
        <v>1902.2909999999999</v>
      </c>
      <c r="M149" s="41">
        <v>2068.4270000000001</v>
      </c>
      <c r="N149" s="41">
        <v>2049.83</v>
      </c>
      <c r="O149" s="41">
        <v>1968.1220000000001</v>
      </c>
      <c r="P149" s="41">
        <v>2011.922</v>
      </c>
      <c r="Q149" s="41">
        <v>2054.3119999999999</v>
      </c>
      <c r="R149" s="41">
        <v>2002.4290000000001</v>
      </c>
      <c r="S149" s="41">
        <v>2124.8429999999998</v>
      </c>
      <c r="T149" s="41">
        <v>2168.558</v>
      </c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</row>
    <row r="150" spans="1:40" x14ac:dyDescent="0.25">
      <c r="A150" s="40" t="s">
        <v>11</v>
      </c>
      <c r="B150" s="38" t="s">
        <v>684</v>
      </c>
      <c r="C150" s="38" t="s">
        <v>793</v>
      </c>
      <c r="D150" s="38" t="s">
        <v>417</v>
      </c>
      <c r="E150" s="41"/>
      <c r="F150" s="41"/>
      <c r="G150" s="41"/>
      <c r="H150" s="41"/>
      <c r="I150" s="41"/>
      <c r="J150" s="41">
        <v>1431.837</v>
      </c>
      <c r="K150" s="41">
        <v>1433.848</v>
      </c>
      <c r="L150" s="41">
        <v>1512.51</v>
      </c>
      <c r="M150" s="41">
        <v>1494.671</v>
      </c>
      <c r="N150" s="41">
        <v>1519.7080000000001</v>
      </c>
      <c r="O150" s="41">
        <v>1462.549</v>
      </c>
      <c r="P150" s="41">
        <v>1480.6369999999999</v>
      </c>
      <c r="Q150" s="41">
        <v>1455.5440000000001</v>
      </c>
      <c r="R150" s="41">
        <v>1483.296</v>
      </c>
      <c r="S150" s="41">
        <v>1478.394</v>
      </c>
      <c r="T150" s="41">
        <v>1528.078</v>
      </c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</row>
    <row r="151" spans="1:40" x14ac:dyDescent="0.25">
      <c r="A151" s="40" t="s">
        <v>11</v>
      </c>
      <c r="B151" s="38" t="s">
        <v>684</v>
      </c>
      <c r="C151" s="38" t="s">
        <v>794</v>
      </c>
      <c r="D151" s="38" t="s">
        <v>417</v>
      </c>
      <c r="E151" s="41"/>
      <c r="F151" s="41"/>
      <c r="G151" s="41"/>
      <c r="H151" s="41"/>
      <c r="I151" s="41"/>
      <c r="J151" s="41">
        <v>4134.9120000000003</v>
      </c>
      <c r="K151" s="41">
        <v>4384.5360000000001</v>
      </c>
      <c r="L151" s="41">
        <v>4337.9769999999999</v>
      </c>
      <c r="M151" s="41">
        <v>4511.4309999999996</v>
      </c>
      <c r="N151" s="41">
        <v>4450.8459999999995</v>
      </c>
      <c r="O151" s="41">
        <v>4475.6019999999999</v>
      </c>
      <c r="P151" s="41">
        <v>4360.9129999999996</v>
      </c>
      <c r="Q151" s="41">
        <v>4546.6940000000004</v>
      </c>
      <c r="R151" s="41">
        <v>4575.5309999999999</v>
      </c>
      <c r="S151" s="41">
        <v>4628.5209999999997</v>
      </c>
      <c r="T151" s="41">
        <v>4673.99</v>
      </c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</row>
    <row r="152" spans="1:40" x14ac:dyDescent="0.25">
      <c r="A152" s="40" t="s">
        <v>11</v>
      </c>
      <c r="B152" s="38" t="s">
        <v>684</v>
      </c>
      <c r="C152" s="38" t="s">
        <v>795</v>
      </c>
      <c r="D152" s="38" t="s">
        <v>417</v>
      </c>
      <c r="E152" s="41"/>
      <c r="F152" s="41"/>
      <c r="G152" s="41"/>
      <c r="H152" s="41"/>
      <c r="I152" s="41"/>
      <c r="J152" s="41">
        <v>5746.9049999999997</v>
      </c>
      <c r="K152" s="41">
        <v>5716.2790000000005</v>
      </c>
      <c r="L152" s="41">
        <v>6091.817</v>
      </c>
      <c r="M152" s="41">
        <v>5852.4840000000004</v>
      </c>
      <c r="N152" s="41">
        <v>5837.6049999999996</v>
      </c>
      <c r="O152" s="41">
        <v>5930.857</v>
      </c>
      <c r="P152" s="41">
        <v>6031.6689999999999</v>
      </c>
      <c r="Q152" s="41">
        <v>6082.1559999999999</v>
      </c>
      <c r="R152" s="41">
        <v>6154.875</v>
      </c>
      <c r="S152" s="41">
        <v>6325.1809999999996</v>
      </c>
      <c r="T152" s="41">
        <v>6241.08</v>
      </c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</row>
    <row r="153" spans="1:40" x14ac:dyDescent="0.25">
      <c r="A153" s="40" t="s">
        <v>11</v>
      </c>
      <c r="B153" s="38" t="s">
        <v>684</v>
      </c>
      <c r="C153" s="38" t="s">
        <v>796</v>
      </c>
      <c r="D153" s="38" t="s">
        <v>417</v>
      </c>
      <c r="E153" s="41"/>
      <c r="F153" s="41"/>
      <c r="G153" s="41"/>
      <c r="H153" s="41"/>
      <c r="I153" s="41"/>
      <c r="J153" s="41">
        <v>1233.7349999999999</v>
      </c>
      <c r="K153" s="41">
        <v>1251.595</v>
      </c>
      <c r="L153" s="41">
        <v>1343.7370000000001</v>
      </c>
      <c r="M153" s="41">
        <v>1314.6579999999999</v>
      </c>
      <c r="N153" s="41">
        <v>1229.489</v>
      </c>
      <c r="O153" s="41">
        <v>1211.1179999999999</v>
      </c>
      <c r="P153" s="41">
        <v>1194.4000000000001</v>
      </c>
      <c r="Q153" s="41">
        <v>1216.53</v>
      </c>
      <c r="R153" s="41">
        <v>1250.443</v>
      </c>
      <c r="S153" s="41">
        <v>1264.9880000000001</v>
      </c>
      <c r="T153" s="41">
        <v>1223.8340000000001</v>
      </c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</row>
    <row r="154" spans="1:40" x14ac:dyDescent="0.25">
      <c r="A154" s="40" t="s">
        <v>11</v>
      </c>
      <c r="B154" s="38" t="s">
        <v>684</v>
      </c>
      <c r="C154" s="38" t="s">
        <v>797</v>
      </c>
      <c r="D154" s="38" t="s">
        <v>417</v>
      </c>
      <c r="E154" s="41"/>
      <c r="F154" s="41"/>
      <c r="G154" s="41"/>
      <c r="H154" s="41"/>
      <c r="I154" s="41"/>
      <c r="J154" s="41">
        <v>2272.1860000000001</v>
      </c>
      <c r="K154" s="41">
        <v>2294.1370000000002</v>
      </c>
      <c r="L154" s="41">
        <v>2410.0390000000002</v>
      </c>
      <c r="M154" s="41">
        <v>2426.6329999999998</v>
      </c>
      <c r="N154" s="41">
        <v>2426.8380000000002</v>
      </c>
      <c r="O154" s="41">
        <v>2241.1329999999998</v>
      </c>
      <c r="P154" s="41">
        <v>2428.1419999999998</v>
      </c>
      <c r="Q154" s="41">
        <v>2219.9499999999998</v>
      </c>
      <c r="R154" s="41">
        <v>2399.143</v>
      </c>
      <c r="S154" s="41">
        <v>2506.2359999999999</v>
      </c>
      <c r="T154" s="41">
        <v>2491.6620000000003</v>
      </c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</row>
    <row r="155" spans="1:40" x14ac:dyDescent="0.25">
      <c r="A155" s="40" t="s">
        <v>11</v>
      </c>
      <c r="B155" s="38" t="s">
        <v>684</v>
      </c>
      <c r="C155" s="38" t="s">
        <v>798</v>
      </c>
      <c r="D155" s="38" t="s">
        <v>417</v>
      </c>
      <c r="E155" s="41"/>
      <c r="F155" s="41"/>
      <c r="G155" s="41"/>
      <c r="H155" s="41"/>
      <c r="I155" s="41"/>
      <c r="J155" s="41">
        <v>3080.6039999999998</v>
      </c>
      <c r="K155" s="41">
        <v>3217.7640000000001</v>
      </c>
      <c r="L155" s="41">
        <v>3062.42</v>
      </c>
      <c r="M155" s="41">
        <v>3204.4490000000001</v>
      </c>
      <c r="N155" s="41">
        <v>3180.9679999999998</v>
      </c>
      <c r="O155" s="41">
        <v>3143.3719999999998</v>
      </c>
      <c r="P155" s="41">
        <v>3130.779</v>
      </c>
      <c r="Q155" s="41">
        <v>3161.011</v>
      </c>
      <c r="R155" s="41">
        <v>3016.1260000000002</v>
      </c>
      <c r="S155" s="41">
        <v>3127.6239999999998</v>
      </c>
      <c r="T155" s="41">
        <v>3226.7829999999999</v>
      </c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</row>
    <row r="156" spans="1:40" x14ac:dyDescent="0.25">
      <c r="A156" s="40" t="s">
        <v>11</v>
      </c>
      <c r="B156" s="38" t="s">
        <v>684</v>
      </c>
      <c r="C156" s="38" t="s">
        <v>799</v>
      </c>
      <c r="D156" s="38" t="s">
        <v>417</v>
      </c>
      <c r="E156" s="41"/>
      <c r="F156" s="41"/>
      <c r="G156" s="41"/>
      <c r="H156" s="41"/>
      <c r="I156" s="41"/>
      <c r="J156" s="41">
        <v>3306.5639999999999</v>
      </c>
      <c r="K156" s="41">
        <v>3140.8539999999998</v>
      </c>
      <c r="L156" s="41">
        <v>3179.2669999999998</v>
      </c>
      <c r="M156" s="41">
        <v>3141.373</v>
      </c>
      <c r="N156" s="41">
        <v>3066.0070000000001</v>
      </c>
      <c r="O156" s="41">
        <v>3010.4659999999999</v>
      </c>
      <c r="P156" s="41">
        <v>3081.4180000000001</v>
      </c>
      <c r="Q156" s="41">
        <v>3220.1320000000001</v>
      </c>
      <c r="R156" s="41">
        <v>3190.1019999999999</v>
      </c>
      <c r="S156" s="41">
        <v>3097.364</v>
      </c>
      <c r="T156" s="41">
        <v>3311.761</v>
      </c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</row>
    <row r="157" spans="1:40" x14ac:dyDescent="0.25">
      <c r="A157" s="40" t="s">
        <v>11</v>
      </c>
      <c r="B157" s="38" t="s">
        <v>684</v>
      </c>
      <c r="C157" s="38" t="s">
        <v>800</v>
      </c>
      <c r="D157" s="38" t="s">
        <v>417</v>
      </c>
      <c r="E157" s="41"/>
      <c r="F157" s="41"/>
      <c r="G157" s="41"/>
      <c r="H157" s="41"/>
      <c r="I157" s="41"/>
      <c r="J157" s="41">
        <v>1903.383</v>
      </c>
      <c r="K157" s="41">
        <v>1795.213</v>
      </c>
      <c r="L157" s="41">
        <v>1799.1780000000001</v>
      </c>
      <c r="M157" s="41">
        <v>1861.712</v>
      </c>
      <c r="N157" s="41">
        <v>1900.61</v>
      </c>
      <c r="O157" s="41">
        <v>1859.414</v>
      </c>
      <c r="P157" s="41">
        <v>1782.038</v>
      </c>
      <c r="Q157" s="41">
        <v>1790.135</v>
      </c>
      <c r="R157" s="41">
        <v>1888.232</v>
      </c>
      <c r="S157" s="41">
        <v>1908.569</v>
      </c>
      <c r="T157" s="41">
        <v>1818.777</v>
      </c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</row>
    <row r="158" spans="1:40" x14ac:dyDescent="0.25">
      <c r="A158" s="40" t="s">
        <v>11</v>
      </c>
      <c r="B158" s="38" t="s">
        <v>684</v>
      </c>
      <c r="C158" s="38" t="s">
        <v>801</v>
      </c>
      <c r="D158" s="38" t="s">
        <v>417</v>
      </c>
      <c r="E158" s="41"/>
      <c r="F158" s="41"/>
      <c r="G158" s="41"/>
      <c r="H158" s="41"/>
      <c r="I158" s="41"/>
      <c r="J158" s="41">
        <v>1512.2339999999999</v>
      </c>
      <c r="K158" s="41">
        <v>1413.924</v>
      </c>
      <c r="L158" s="41">
        <v>1457.8630000000001</v>
      </c>
      <c r="M158" s="41">
        <v>1496.078</v>
      </c>
      <c r="N158" s="41">
        <v>1368.204</v>
      </c>
      <c r="O158" s="41">
        <v>1354.337</v>
      </c>
      <c r="P158" s="41">
        <v>1437.1</v>
      </c>
      <c r="Q158" s="41">
        <v>1415.508</v>
      </c>
      <c r="R158" s="41">
        <v>1442.6010000000001</v>
      </c>
      <c r="S158" s="41">
        <v>1436.9059999999999</v>
      </c>
      <c r="T158" s="41">
        <v>1531.2860000000001</v>
      </c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</row>
    <row r="159" spans="1:40" x14ac:dyDescent="0.25">
      <c r="A159" s="40" t="s">
        <v>11</v>
      </c>
      <c r="B159" s="38" t="s">
        <v>684</v>
      </c>
      <c r="C159" s="38" t="s">
        <v>802</v>
      </c>
      <c r="D159" s="38" t="s">
        <v>417</v>
      </c>
      <c r="E159" s="41"/>
      <c r="F159" s="41"/>
      <c r="G159" s="41"/>
      <c r="H159" s="41"/>
      <c r="I159" s="41"/>
      <c r="J159" s="41">
        <v>1984.9929999999999</v>
      </c>
      <c r="K159" s="41">
        <v>1854.8320000000001</v>
      </c>
      <c r="L159" s="41">
        <v>2103.0909999999999</v>
      </c>
      <c r="M159" s="41">
        <v>2305.1680000000001</v>
      </c>
      <c r="N159" s="41">
        <v>2068.2559999999999</v>
      </c>
      <c r="O159" s="41">
        <v>1953.482</v>
      </c>
      <c r="P159" s="41">
        <v>2102.598</v>
      </c>
      <c r="Q159" s="41">
        <v>2015.1880000000001</v>
      </c>
      <c r="R159" s="41">
        <v>2355.12</v>
      </c>
      <c r="S159" s="41">
        <v>2340.9119999999998</v>
      </c>
      <c r="T159" s="41">
        <v>2202.8780000000002</v>
      </c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</row>
    <row r="160" spans="1:40" x14ac:dyDescent="0.25">
      <c r="A160" s="40" t="s">
        <v>11</v>
      </c>
      <c r="B160" s="38" t="s">
        <v>684</v>
      </c>
      <c r="C160" s="38" t="s">
        <v>803</v>
      </c>
      <c r="D160" s="38" t="s">
        <v>417</v>
      </c>
      <c r="E160" s="41"/>
      <c r="F160" s="41"/>
      <c r="G160" s="41"/>
      <c r="H160" s="41"/>
      <c r="I160" s="41"/>
      <c r="J160" s="41">
        <v>2090.4459999999999</v>
      </c>
      <c r="K160" s="41">
        <v>1964.223</v>
      </c>
      <c r="L160" s="41">
        <v>2174.9430000000002</v>
      </c>
      <c r="M160" s="41">
        <v>2061.116</v>
      </c>
      <c r="N160" s="41">
        <v>1967.288</v>
      </c>
      <c r="O160" s="41">
        <v>2005.5740000000001</v>
      </c>
      <c r="P160" s="41">
        <v>2052.8609999999999</v>
      </c>
      <c r="Q160" s="41">
        <v>2046.357</v>
      </c>
      <c r="R160" s="41">
        <v>2011.5070000000001</v>
      </c>
      <c r="S160" s="41">
        <v>2061.5140000000001</v>
      </c>
      <c r="T160" s="41">
        <v>2136.8029999999999</v>
      </c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</row>
    <row r="161" spans="1:40" x14ac:dyDescent="0.25">
      <c r="A161" s="40" t="s">
        <v>11</v>
      </c>
      <c r="B161" s="38" t="s">
        <v>684</v>
      </c>
      <c r="C161" s="38" t="s">
        <v>804</v>
      </c>
      <c r="D161" s="38" t="s">
        <v>417</v>
      </c>
      <c r="E161" s="41"/>
      <c r="F161" s="41"/>
      <c r="G161" s="41"/>
      <c r="H161" s="41"/>
      <c r="I161" s="41"/>
      <c r="J161" s="41">
        <v>1791.9380000000001</v>
      </c>
      <c r="K161" s="41">
        <v>1813.184</v>
      </c>
      <c r="L161" s="41">
        <v>1924.1020000000001</v>
      </c>
      <c r="M161" s="41">
        <v>1880.059</v>
      </c>
      <c r="N161" s="41">
        <v>1800.9480000000001</v>
      </c>
      <c r="O161" s="41">
        <v>1877.751</v>
      </c>
      <c r="P161" s="41">
        <v>1910.8050000000001</v>
      </c>
      <c r="Q161" s="41">
        <v>1933.7470000000001</v>
      </c>
      <c r="R161" s="41">
        <v>1987.171</v>
      </c>
      <c r="S161" s="41">
        <v>2025.6289999999999</v>
      </c>
      <c r="T161" s="41">
        <v>1950.6949999999999</v>
      </c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</row>
    <row r="162" spans="1:40" x14ac:dyDescent="0.25">
      <c r="A162" s="40" t="s">
        <v>11</v>
      </c>
      <c r="B162" s="38" t="s">
        <v>684</v>
      </c>
      <c r="C162" s="38" t="s">
        <v>805</v>
      </c>
      <c r="D162" s="38" t="s">
        <v>417</v>
      </c>
      <c r="E162" s="41"/>
      <c r="F162" s="41"/>
      <c r="G162" s="41"/>
      <c r="H162" s="41"/>
      <c r="I162" s="41"/>
      <c r="J162" s="41">
        <v>1144.9079999999999</v>
      </c>
      <c r="K162" s="41">
        <v>1099.231</v>
      </c>
      <c r="L162" s="41">
        <v>1112.7329999999999</v>
      </c>
      <c r="M162" s="41">
        <v>1207.3879999999999</v>
      </c>
      <c r="N162" s="41">
        <v>1184.799</v>
      </c>
      <c r="O162" s="41">
        <v>1138.9939999999999</v>
      </c>
      <c r="P162" s="41">
        <v>1129.1880000000001</v>
      </c>
      <c r="Q162" s="41">
        <v>1074.0740000000001</v>
      </c>
      <c r="R162" s="41">
        <v>1207.1690000000001</v>
      </c>
      <c r="S162" s="41">
        <v>1171.52</v>
      </c>
      <c r="T162" s="41">
        <v>1139.4670000000001</v>
      </c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</row>
    <row r="163" spans="1:40" x14ac:dyDescent="0.25">
      <c r="A163" s="40" t="s">
        <v>11</v>
      </c>
      <c r="B163" s="38" t="s">
        <v>684</v>
      </c>
      <c r="C163" s="38" t="s">
        <v>806</v>
      </c>
      <c r="D163" s="38" t="s">
        <v>417</v>
      </c>
      <c r="E163" s="41"/>
      <c r="F163" s="41"/>
      <c r="G163" s="41"/>
      <c r="H163" s="41"/>
      <c r="I163" s="41"/>
      <c r="J163" s="41">
        <v>1066.3150000000001</v>
      </c>
      <c r="K163" s="41">
        <v>1040.309</v>
      </c>
      <c r="L163" s="41">
        <v>1036.394</v>
      </c>
      <c r="M163" s="41">
        <v>1063.511</v>
      </c>
      <c r="N163" s="41">
        <v>998.18200000000002</v>
      </c>
      <c r="O163" s="41">
        <v>1060.163</v>
      </c>
      <c r="P163" s="41">
        <v>1160.327</v>
      </c>
      <c r="Q163" s="41">
        <v>1093.848</v>
      </c>
      <c r="R163" s="41">
        <v>1216.6189999999999</v>
      </c>
      <c r="S163" s="41">
        <v>1260.9090000000001</v>
      </c>
      <c r="T163" s="41">
        <v>1258.546</v>
      </c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</row>
    <row r="164" spans="1:40" x14ac:dyDescent="0.25">
      <c r="A164" s="40" t="s">
        <v>12</v>
      </c>
      <c r="B164" s="38" t="s">
        <v>684</v>
      </c>
      <c r="C164" s="38" t="s">
        <v>789</v>
      </c>
      <c r="D164" s="38" t="s">
        <v>417</v>
      </c>
      <c r="E164" s="41"/>
      <c r="F164" s="41"/>
      <c r="G164" s="41"/>
      <c r="H164" s="41"/>
      <c r="I164" s="41"/>
      <c r="J164" s="41">
        <v>2442.732</v>
      </c>
      <c r="K164" s="41">
        <v>2373.3159999999998</v>
      </c>
      <c r="L164" s="41">
        <v>2185.3789999999999</v>
      </c>
      <c r="M164" s="41">
        <v>2320.1289999999999</v>
      </c>
      <c r="N164" s="41">
        <v>2360.6529999999998</v>
      </c>
      <c r="O164" s="41">
        <v>2329.2640000000001</v>
      </c>
      <c r="P164" s="41">
        <v>2203.4360000000001</v>
      </c>
      <c r="Q164" s="41">
        <v>2284.2739999999999</v>
      </c>
      <c r="R164" s="41">
        <v>2286.3000000000002</v>
      </c>
      <c r="S164" s="41">
        <v>2434.6990000000001</v>
      </c>
      <c r="T164" s="41">
        <v>2050.404</v>
      </c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</row>
    <row r="165" spans="1:40" x14ac:dyDescent="0.25">
      <c r="A165" s="40" t="s">
        <v>12</v>
      </c>
      <c r="B165" s="38" t="s">
        <v>684</v>
      </c>
      <c r="C165" s="38" t="s">
        <v>790</v>
      </c>
      <c r="D165" s="38" t="s">
        <v>417</v>
      </c>
      <c r="E165" s="41"/>
      <c r="F165" s="41"/>
      <c r="G165" s="41"/>
      <c r="H165" s="41"/>
      <c r="I165" s="41"/>
      <c r="J165" s="41">
        <v>392.25200000000001</v>
      </c>
      <c r="K165" s="41">
        <v>436.32299999999998</v>
      </c>
      <c r="L165" s="41">
        <v>346.60300000000001</v>
      </c>
      <c r="M165" s="41">
        <v>433.84100000000001</v>
      </c>
      <c r="N165" s="41">
        <v>350.68700000000001</v>
      </c>
      <c r="O165" s="41">
        <v>339.68</v>
      </c>
      <c r="P165" s="41">
        <v>337.85199999999998</v>
      </c>
      <c r="Q165" s="41">
        <v>362.72399999999999</v>
      </c>
      <c r="R165" s="41">
        <v>353.33300000000003</v>
      </c>
      <c r="S165" s="41">
        <v>353.084</v>
      </c>
      <c r="T165" s="41">
        <v>261.45999999999998</v>
      </c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</row>
    <row r="166" spans="1:40" x14ac:dyDescent="0.25">
      <c r="A166" s="40" t="s">
        <v>12</v>
      </c>
      <c r="B166" s="38" t="s">
        <v>684</v>
      </c>
      <c r="C166" s="38" t="s">
        <v>791</v>
      </c>
      <c r="D166" s="38" t="s">
        <v>417</v>
      </c>
      <c r="E166" s="41"/>
      <c r="F166" s="41"/>
      <c r="G166" s="41"/>
      <c r="H166" s="41"/>
      <c r="I166" s="41"/>
      <c r="J166" s="41">
        <v>31.597000000000001</v>
      </c>
      <c r="K166" s="41">
        <v>27.379000000000001</v>
      </c>
      <c r="L166" s="41">
        <v>29.443000000000001</v>
      </c>
      <c r="M166" s="41">
        <v>28.577999999999999</v>
      </c>
      <c r="N166" s="41">
        <v>24.734999999999999</v>
      </c>
      <c r="O166" s="41">
        <v>40.201999999999998</v>
      </c>
      <c r="P166" s="41">
        <v>35.512</v>
      </c>
      <c r="Q166" s="41">
        <v>38.999000000000002</v>
      </c>
      <c r="R166" s="41">
        <v>23.05</v>
      </c>
      <c r="S166" s="41">
        <v>28.068999999999999</v>
      </c>
      <c r="T166" s="41">
        <v>22.873000000000001</v>
      </c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</row>
    <row r="167" spans="1:40" x14ac:dyDescent="0.25">
      <c r="A167" s="40" t="s">
        <v>12</v>
      </c>
      <c r="B167" s="38" t="s">
        <v>684</v>
      </c>
      <c r="C167" s="38" t="s">
        <v>792</v>
      </c>
      <c r="D167" s="38" t="s">
        <v>417</v>
      </c>
      <c r="E167" s="41"/>
      <c r="F167" s="41"/>
      <c r="G167" s="41"/>
      <c r="H167" s="41"/>
      <c r="I167" s="41"/>
      <c r="J167" s="41">
        <v>203.34200000000001</v>
      </c>
      <c r="K167" s="41">
        <v>169.77600000000001</v>
      </c>
      <c r="L167" s="41">
        <v>169.18799999999999</v>
      </c>
      <c r="M167" s="41">
        <v>148.07400000000001</v>
      </c>
      <c r="N167" s="41">
        <v>161.36799999999999</v>
      </c>
      <c r="O167" s="41">
        <v>136.53200000000001</v>
      </c>
      <c r="P167" s="41">
        <v>144.786</v>
      </c>
      <c r="Q167" s="41">
        <v>112.17700000000001</v>
      </c>
      <c r="R167" s="41">
        <v>126.184</v>
      </c>
      <c r="S167" s="41">
        <v>110.37</v>
      </c>
      <c r="T167" s="41">
        <v>119.85600000000001</v>
      </c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</row>
    <row r="168" spans="1:40" x14ac:dyDescent="0.25">
      <c r="A168" s="40" t="s">
        <v>12</v>
      </c>
      <c r="B168" s="38" t="s">
        <v>684</v>
      </c>
      <c r="C168" s="38" t="s">
        <v>793</v>
      </c>
      <c r="D168" s="38" t="s">
        <v>417</v>
      </c>
      <c r="E168" s="41"/>
      <c r="F168" s="41"/>
      <c r="G168" s="41"/>
      <c r="H168" s="41"/>
      <c r="I168" s="41"/>
      <c r="J168" s="41">
        <v>47.258000000000003</v>
      </c>
      <c r="K168" s="41">
        <v>34.36</v>
      </c>
      <c r="L168" s="41">
        <v>32.183</v>
      </c>
      <c r="M168" s="41">
        <v>65.644999999999996</v>
      </c>
      <c r="N168" s="41">
        <v>36.197000000000003</v>
      </c>
      <c r="O168" s="41">
        <v>39.756999999999998</v>
      </c>
      <c r="P168" s="41">
        <v>42.545000000000002</v>
      </c>
      <c r="Q168" s="41">
        <v>45.969000000000001</v>
      </c>
      <c r="R168" s="41">
        <v>46.606000000000002</v>
      </c>
      <c r="S168" s="41">
        <v>67.986999999999995</v>
      </c>
      <c r="T168" s="41">
        <v>56.429000000000002</v>
      </c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</row>
    <row r="169" spans="1:40" x14ac:dyDescent="0.25">
      <c r="A169" s="40" t="s">
        <v>12</v>
      </c>
      <c r="B169" s="38" t="s">
        <v>684</v>
      </c>
      <c r="C169" s="38" t="s">
        <v>794</v>
      </c>
      <c r="D169" s="38" t="s">
        <v>417</v>
      </c>
      <c r="E169" s="41"/>
      <c r="F169" s="41"/>
      <c r="G169" s="41"/>
      <c r="H169" s="41"/>
      <c r="I169" s="41"/>
      <c r="J169" s="41">
        <v>297.79300000000001</v>
      </c>
      <c r="K169" s="41">
        <v>334.75900000000001</v>
      </c>
      <c r="L169" s="41">
        <v>276.10399999999998</v>
      </c>
      <c r="M169" s="41">
        <v>257.35000000000002</v>
      </c>
      <c r="N169" s="41">
        <v>253.29499999999999</v>
      </c>
      <c r="O169" s="41">
        <v>302.464</v>
      </c>
      <c r="P169" s="41">
        <v>276.25299999999999</v>
      </c>
      <c r="Q169" s="41">
        <v>247.81700000000001</v>
      </c>
      <c r="R169" s="41">
        <v>248.72499999999999</v>
      </c>
      <c r="S169" s="41">
        <v>252.13900000000001</v>
      </c>
      <c r="T169" s="41">
        <v>232.215</v>
      </c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</row>
    <row r="170" spans="1:40" x14ac:dyDescent="0.25">
      <c r="A170" s="40" t="s">
        <v>12</v>
      </c>
      <c r="B170" s="38" t="s">
        <v>684</v>
      </c>
      <c r="C170" s="38" t="s">
        <v>795</v>
      </c>
      <c r="D170" s="38" t="s">
        <v>417</v>
      </c>
      <c r="E170" s="41"/>
      <c r="F170" s="41"/>
      <c r="G170" s="41"/>
      <c r="H170" s="41"/>
      <c r="I170" s="41"/>
      <c r="J170" s="41">
        <v>441.178</v>
      </c>
      <c r="K170" s="41">
        <v>426.99599999999998</v>
      </c>
      <c r="L170" s="41">
        <v>365.43599999999998</v>
      </c>
      <c r="M170" s="41">
        <v>423.07100000000003</v>
      </c>
      <c r="N170" s="41">
        <v>411.64600000000002</v>
      </c>
      <c r="O170" s="41">
        <v>398.786</v>
      </c>
      <c r="P170" s="41">
        <v>426.15600000000001</v>
      </c>
      <c r="Q170" s="41">
        <v>395.85</v>
      </c>
      <c r="R170" s="41">
        <v>341.21300000000002</v>
      </c>
      <c r="S170" s="41">
        <v>492.16199999999998</v>
      </c>
      <c r="T170" s="41">
        <v>384.09399999999999</v>
      </c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</row>
    <row r="171" spans="1:40" x14ac:dyDescent="0.25">
      <c r="A171" s="40" t="s">
        <v>12</v>
      </c>
      <c r="B171" s="38" t="s">
        <v>684</v>
      </c>
      <c r="C171" s="38" t="s">
        <v>796</v>
      </c>
      <c r="D171" s="38" t="s">
        <v>417</v>
      </c>
      <c r="E171" s="41"/>
      <c r="F171" s="41"/>
      <c r="G171" s="41"/>
      <c r="H171" s="41"/>
      <c r="I171" s="41"/>
      <c r="J171" s="41">
        <v>60.83</v>
      </c>
      <c r="K171" s="41">
        <v>52.813000000000002</v>
      </c>
      <c r="L171" s="41">
        <v>52.408999999999999</v>
      </c>
      <c r="M171" s="41">
        <v>54.548999999999999</v>
      </c>
      <c r="N171" s="41">
        <v>67.185000000000002</v>
      </c>
      <c r="O171" s="41">
        <v>65.34</v>
      </c>
      <c r="P171" s="41">
        <v>54.808</v>
      </c>
      <c r="Q171" s="41">
        <v>59.951000000000001</v>
      </c>
      <c r="R171" s="41">
        <v>62.21</v>
      </c>
      <c r="S171" s="41">
        <v>58.765999999999998</v>
      </c>
      <c r="T171" s="41">
        <v>47.518000000000001</v>
      </c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</row>
    <row r="172" spans="1:40" x14ac:dyDescent="0.25">
      <c r="A172" s="40" t="s">
        <v>12</v>
      </c>
      <c r="B172" s="38" t="s">
        <v>684</v>
      </c>
      <c r="C172" s="38" t="s">
        <v>797</v>
      </c>
      <c r="D172" s="38" t="s">
        <v>417</v>
      </c>
      <c r="E172" s="41"/>
      <c r="F172" s="41"/>
      <c r="G172" s="41"/>
      <c r="H172" s="41"/>
      <c r="I172" s="41"/>
      <c r="J172" s="41">
        <v>97.287999999999997</v>
      </c>
      <c r="K172" s="41">
        <v>107.30200000000001</v>
      </c>
      <c r="L172" s="41">
        <v>115.176</v>
      </c>
      <c r="M172" s="41">
        <v>101.23699999999999</v>
      </c>
      <c r="N172" s="41">
        <v>125.282</v>
      </c>
      <c r="O172" s="41">
        <v>152.09700000000001</v>
      </c>
      <c r="P172" s="41">
        <v>111.998</v>
      </c>
      <c r="Q172" s="41">
        <v>127.89</v>
      </c>
      <c r="R172" s="41">
        <v>148.55000000000001</v>
      </c>
      <c r="S172" s="41">
        <v>130.97999999999999</v>
      </c>
      <c r="T172" s="41">
        <v>124.44</v>
      </c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</row>
    <row r="173" spans="1:40" x14ac:dyDescent="0.25">
      <c r="A173" s="40" t="s">
        <v>12</v>
      </c>
      <c r="B173" s="38" t="s">
        <v>684</v>
      </c>
      <c r="C173" s="38" t="s">
        <v>798</v>
      </c>
      <c r="D173" s="38" t="s">
        <v>417</v>
      </c>
      <c r="E173" s="41"/>
      <c r="F173" s="41"/>
      <c r="G173" s="41"/>
      <c r="H173" s="41"/>
      <c r="I173" s="41"/>
      <c r="J173" s="41">
        <v>199.596</v>
      </c>
      <c r="K173" s="41">
        <v>132.60900000000001</v>
      </c>
      <c r="L173" s="41">
        <v>182.649</v>
      </c>
      <c r="M173" s="41">
        <v>166.19800000000001</v>
      </c>
      <c r="N173" s="41">
        <v>181.20599999999999</v>
      </c>
      <c r="O173" s="41">
        <v>191.411</v>
      </c>
      <c r="P173" s="41">
        <v>175.864</v>
      </c>
      <c r="Q173" s="41">
        <v>129.405</v>
      </c>
      <c r="R173" s="41">
        <v>153.285</v>
      </c>
      <c r="S173" s="41">
        <v>194.41900000000001</v>
      </c>
      <c r="T173" s="41">
        <v>142.75</v>
      </c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</row>
    <row r="174" spans="1:40" x14ac:dyDescent="0.25">
      <c r="A174" s="40" t="s">
        <v>12</v>
      </c>
      <c r="B174" s="38" t="s">
        <v>684</v>
      </c>
      <c r="C174" s="38" t="s">
        <v>799</v>
      </c>
      <c r="D174" s="38" t="s">
        <v>417</v>
      </c>
      <c r="E174" s="41"/>
      <c r="F174" s="41"/>
      <c r="G174" s="41"/>
      <c r="H174" s="41"/>
      <c r="I174" s="41"/>
      <c r="J174" s="41">
        <v>174.76400000000001</v>
      </c>
      <c r="K174" s="41">
        <v>149.52600000000001</v>
      </c>
      <c r="L174" s="41">
        <v>136.816</v>
      </c>
      <c r="M174" s="41">
        <v>192.52099999999999</v>
      </c>
      <c r="N174" s="41">
        <v>185.238</v>
      </c>
      <c r="O174" s="41">
        <v>160.40700000000001</v>
      </c>
      <c r="P174" s="41">
        <v>154.16200000000001</v>
      </c>
      <c r="Q174" s="41">
        <v>177.13499999999999</v>
      </c>
      <c r="R174" s="41">
        <v>186.07</v>
      </c>
      <c r="S174" s="41">
        <v>198.37799999999999</v>
      </c>
      <c r="T174" s="41">
        <v>148.37800000000001</v>
      </c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</row>
    <row r="175" spans="1:40" x14ac:dyDescent="0.25">
      <c r="A175" s="40" t="s">
        <v>12</v>
      </c>
      <c r="B175" s="38" t="s">
        <v>684</v>
      </c>
      <c r="C175" s="38" t="s">
        <v>800</v>
      </c>
      <c r="D175" s="38" t="s">
        <v>417</v>
      </c>
      <c r="E175" s="41"/>
      <c r="F175" s="41"/>
      <c r="G175" s="41"/>
      <c r="H175" s="41"/>
      <c r="I175" s="41"/>
      <c r="J175" s="41">
        <v>74.856999999999999</v>
      </c>
      <c r="K175" s="41">
        <v>75.475999999999999</v>
      </c>
      <c r="L175" s="41">
        <v>69.429000000000002</v>
      </c>
      <c r="M175" s="41">
        <v>70.688999999999993</v>
      </c>
      <c r="N175" s="41">
        <v>91.373000000000005</v>
      </c>
      <c r="O175" s="41">
        <v>91.554000000000002</v>
      </c>
      <c r="P175" s="41">
        <v>72.004999999999995</v>
      </c>
      <c r="Q175" s="41">
        <v>98.870999999999995</v>
      </c>
      <c r="R175" s="41">
        <v>81.022999999999996</v>
      </c>
      <c r="S175" s="41">
        <v>86.358999999999995</v>
      </c>
      <c r="T175" s="41">
        <v>80.924000000000007</v>
      </c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</row>
    <row r="176" spans="1:40" x14ac:dyDescent="0.25">
      <c r="A176" s="40" t="s">
        <v>12</v>
      </c>
      <c r="B176" s="38" t="s">
        <v>684</v>
      </c>
      <c r="C176" s="38" t="s">
        <v>801</v>
      </c>
      <c r="D176" s="38" t="s">
        <v>417</v>
      </c>
      <c r="E176" s="41"/>
      <c r="F176" s="41"/>
      <c r="G176" s="41"/>
      <c r="H176" s="41"/>
      <c r="I176" s="41"/>
      <c r="J176" s="41">
        <v>39.045999999999999</v>
      </c>
      <c r="K176" s="41">
        <v>66.635000000000005</v>
      </c>
      <c r="L176" s="41">
        <v>65.385000000000005</v>
      </c>
      <c r="M176" s="41">
        <v>51.97</v>
      </c>
      <c r="N176" s="41">
        <v>60.695</v>
      </c>
      <c r="O176" s="41">
        <v>72.233999999999995</v>
      </c>
      <c r="P176" s="41">
        <v>58.767000000000003</v>
      </c>
      <c r="Q176" s="41">
        <v>68.498000000000005</v>
      </c>
      <c r="R176" s="41">
        <v>64.366</v>
      </c>
      <c r="S176" s="41">
        <v>61.515000000000001</v>
      </c>
      <c r="T176" s="41">
        <v>29.818999999999999</v>
      </c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</row>
    <row r="177" spans="1:40" x14ac:dyDescent="0.25">
      <c r="A177" s="40" t="s">
        <v>12</v>
      </c>
      <c r="B177" s="38" t="s">
        <v>684</v>
      </c>
      <c r="C177" s="38" t="s">
        <v>802</v>
      </c>
      <c r="D177" s="38" t="s">
        <v>417</v>
      </c>
      <c r="E177" s="41"/>
      <c r="F177" s="41"/>
      <c r="G177" s="41"/>
      <c r="H177" s="41"/>
      <c r="I177" s="41"/>
      <c r="J177" s="41">
        <v>112.259</v>
      </c>
      <c r="K177" s="41">
        <v>111.236</v>
      </c>
      <c r="L177" s="41">
        <v>104.667</v>
      </c>
      <c r="M177" s="41">
        <v>72.191999999999993</v>
      </c>
      <c r="N177" s="41">
        <v>111.267</v>
      </c>
      <c r="O177" s="41">
        <v>105.979</v>
      </c>
      <c r="P177" s="41">
        <v>66.703000000000003</v>
      </c>
      <c r="Q177" s="41">
        <v>88.320999999999998</v>
      </c>
      <c r="R177" s="41">
        <v>123.328</v>
      </c>
      <c r="S177" s="41">
        <v>120.82899999999999</v>
      </c>
      <c r="T177" s="41">
        <v>79.56</v>
      </c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</row>
    <row r="178" spans="1:40" x14ac:dyDescent="0.25">
      <c r="A178" s="40" t="s">
        <v>12</v>
      </c>
      <c r="B178" s="38" t="s">
        <v>684</v>
      </c>
      <c r="C178" s="38" t="s">
        <v>803</v>
      </c>
      <c r="D178" s="38" t="s">
        <v>417</v>
      </c>
      <c r="E178" s="41"/>
      <c r="F178" s="41"/>
      <c r="G178" s="41"/>
      <c r="H178" s="41"/>
      <c r="I178" s="41"/>
      <c r="J178" s="41">
        <v>106.584</v>
      </c>
      <c r="K178" s="41">
        <v>97.688000000000002</v>
      </c>
      <c r="L178" s="41">
        <v>89.8</v>
      </c>
      <c r="M178" s="41">
        <v>101.425</v>
      </c>
      <c r="N178" s="41">
        <v>111.50700000000001</v>
      </c>
      <c r="O178" s="41">
        <v>69.069000000000003</v>
      </c>
      <c r="P178" s="41">
        <v>81.072000000000003</v>
      </c>
      <c r="Q178" s="41">
        <v>96.408000000000001</v>
      </c>
      <c r="R178" s="41">
        <v>64.763000000000005</v>
      </c>
      <c r="S178" s="41">
        <v>70.457999999999998</v>
      </c>
      <c r="T178" s="41">
        <v>92.346000000000004</v>
      </c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</row>
    <row r="179" spans="1:40" x14ac:dyDescent="0.25">
      <c r="A179" s="40" t="s">
        <v>12</v>
      </c>
      <c r="B179" s="38" t="s">
        <v>684</v>
      </c>
      <c r="C179" s="38" t="s">
        <v>804</v>
      </c>
      <c r="D179" s="38" t="s">
        <v>417</v>
      </c>
      <c r="E179" s="41"/>
      <c r="F179" s="41"/>
      <c r="G179" s="41"/>
      <c r="H179" s="41"/>
      <c r="I179" s="41"/>
      <c r="J179" s="41">
        <v>79.628</v>
      </c>
      <c r="K179" s="41">
        <v>73.778000000000006</v>
      </c>
      <c r="L179" s="41">
        <v>67.486999999999995</v>
      </c>
      <c r="M179" s="41">
        <v>74.277000000000001</v>
      </c>
      <c r="N179" s="41">
        <v>93.364000000000004</v>
      </c>
      <c r="O179" s="41">
        <v>66.370999999999995</v>
      </c>
      <c r="P179" s="41">
        <v>71.492999999999995</v>
      </c>
      <c r="Q179" s="41">
        <v>92.712999999999994</v>
      </c>
      <c r="R179" s="41">
        <v>92.097999999999999</v>
      </c>
      <c r="S179" s="41">
        <v>91.421999999999997</v>
      </c>
      <c r="T179" s="41">
        <v>84.329000000000008</v>
      </c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</row>
    <row r="180" spans="1:40" x14ac:dyDescent="0.25">
      <c r="A180" s="40" t="s">
        <v>12</v>
      </c>
      <c r="B180" s="38" t="s">
        <v>684</v>
      </c>
      <c r="C180" s="38" t="s">
        <v>805</v>
      </c>
      <c r="D180" s="38" t="s">
        <v>417</v>
      </c>
      <c r="E180" s="41"/>
      <c r="F180" s="41"/>
      <c r="G180" s="41"/>
      <c r="H180" s="41"/>
      <c r="I180" s="41"/>
      <c r="J180" s="41">
        <v>56.006999999999998</v>
      </c>
      <c r="K180" s="41">
        <v>42.109000000000002</v>
      </c>
      <c r="L180" s="41">
        <v>42.183</v>
      </c>
      <c r="M180" s="41">
        <v>49.874000000000002</v>
      </c>
      <c r="N180" s="41">
        <v>52.134</v>
      </c>
      <c r="O180" s="41">
        <v>48.597999999999999</v>
      </c>
      <c r="P180" s="41">
        <v>47.293999999999997</v>
      </c>
      <c r="Q180" s="41">
        <v>67.525999999999996</v>
      </c>
      <c r="R180" s="41">
        <v>50.924999999999997</v>
      </c>
      <c r="S180" s="41">
        <v>60.317</v>
      </c>
      <c r="T180" s="41">
        <v>55.039000000000001</v>
      </c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</row>
    <row r="181" spans="1:40" x14ac:dyDescent="0.25">
      <c r="A181" s="40" t="s">
        <v>12</v>
      </c>
      <c r="B181" s="38" t="s">
        <v>684</v>
      </c>
      <c r="C181" s="38" t="s">
        <v>806</v>
      </c>
      <c r="D181" s="38" t="s">
        <v>417</v>
      </c>
      <c r="E181" s="41"/>
      <c r="F181" s="41"/>
      <c r="G181" s="41"/>
      <c r="H181" s="41"/>
      <c r="I181" s="41"/>
      <c r="J181" s="41">
        <v>28.452999999999999</v>
      </c>
      <c r="K181" s="41">
        <v>34.548999999999999</v>
      </c>
      <c r="L181" s="41">
        <v>40.421999999999997</v>
      </c>
      <c r="M181" s="41">
        <v>28.635999999999999</v>
      </c>
      <c r="N181" s="41">
        <v>43.475999999999999</v>
      </c>
      <c r="O181" s="41">
        <v>48.781999999999996</v>
      </c>
      <c r="P181" s="41">
        <v>46.164000000000001</v>
      </c>
      <c r="Q181" s="41">
        <v>74.022000000000006</v>
      </c>
      <c r="R181" s="41">
        <v>120.571</v>
      </c>
      <c r="S181" s="41">
        <v>57.445999999999998</v>
      </c>
      <c r="T181" s="41">
        <v>88.373999999999995</v>
      </c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</row>
    <row r="182" spans="1:40" x14ac:dyDescent="0.25">
      <c r="A182" s="40" t="s">
        <v>808</v>
      </c>
      <c r="B182" s="38" t="s">
        <v>684</v>
      </c>
      <c r="C182" s="38" t="s">
        <v>789</v>
      </c>
      <c r="D182" s="38" t="s">
        <v>417</v>
      </c>
      <c r="E182" s="41"/>
      <c r="F182" s="41"/>
      <c r="G182" s="41"/>
      <c r="H182" s="41"/>
      <c r="I182" s="41"/>
      <c r="J182" s="41">
        <v>26891.314999999999</v>
      </c>
      <c r="K182" s="41">
        <v>27619.244999999999</v>
      </c>
      <c r="L182" s="41">
        <v>26648.571</v>
      </c>
      <c r="M182" s="41">
        <v>26821.732</v>
      </c>
      <c r="N182" s="41">
        <v>27757.556</v>
      </c>
      <c r="O182" s="41">
        <v>28582.272000000001</v>
      </c>
      <c r="P182" s="41">
        <v>28356.326000000001</v>
      </c>
      <c r="Q182" s="41">
        <v>28865.455999999998</v>
      </c>
      <c r="R182" s="41">
        <v>28009.752</v>
      </c>
      <c r="S182" s="41">
        <v>27746.722000000002</v>
      </c>
      <c r="T182" s="41">
        <v>28336.18</v>
      </c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</row>
    <row r="183" spans="1:40" x14ac:dyDescent="0.25">
      <c r="A183" s="40" t="s">
        <v>808</v>
      </c>
      <c r="B183" s="38" t="s">
        <v>684</v>
      </c>
      <c r="C183" s="38" t="s">
        <v>790</v>
      </c>
      <c r="D183" s="38" t="s">
        <v>417</v>
      </c>
      <c r="E183" s="41"/>
      <c r="F183" s="41"/>
      <c r="G183" s="41"/>
      <c r="H183" s="41"/>
      <c r="I183" s="41"/>
      <c r="J183" s="41">
        <v>3572.7429999999999</v>
      </c>
      <c r="K183" s="41">
        <v>3599.0120000000002</v>
      </c>
      <c r="L183" s="41">
        <v>3479.6660000000002</v>
      </c>
      <c r="M183" s="41">
        <v>3599.9180000000001</v>
      </c>
      <c r="N183" s="41">
        <v>3670.819</v>
      </c>
      <c r="O183" s="41">
        <v>3690.66</v>
      </c>
      <c r="P183" s="41">
        <v>3638.127</v>
      </c>
      <c r="Q183" s="41">
        <v>3693.8229999999999</v>
      </c>
      <c r="R183" s="41">
        <v>3651.123</v>
      </c>
      <c r="S183" s="41">
        <v>3610.1930000000002</v>
      </c>
      <c r="T183" s="41">
        <v>3715.8270000000002</v>
      </c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</row>
    <row r="184" spans="1:40" x14ac:dyDescent="0.25">
      <c r="A184" s="40" t="s">
        <v>808</v>
      </c>
      <c r="B184" s="38" t="s">
        <v>684</v>
      </c>
      <c r="C184" s="38" t="s">
        <v>791</v>
      </c>
      <c r="D184" s="38" t="s">
        <v>417</v>
      </c>
      <c r="E184" s="41"/>
      <c r="F184" s="41"/>
      <c r="G184" s="41"/>
      <c r="H184" s="41"/>
      <c r="I184" s="41"/>
      <c r="J184" s="41">
        <v>470.80599999999998</v>
      </c>
      <c r="K184" s="41">
        <v>441.94099999999997</v>
      </c>
      <c r="L184" s="41">
        <v>444.70699999999999</v>
      </c>
      <c r="M184" s="41">
        <v>477.82900000000001</v>
      </c>
      <c r="N184" s="41">
        <v>502.48700000000002</v>
      </c>
      <c r="O184" s="41">
        <v>470.05</v>
      </c>
      <c r="P184" s="41">
        <v>485.28699999999998</v>
      </c>
      <c r="Q184" s="41">
        <v>493.47399999999999</v>
      </c>
      <c r="R184" s="41">
        <v>484.70400000000001</v>
      </c>
      <c r="S184" s="41">
        <v>496.91500000000002</v>
      </c>
      <c r="T184" s="41">
        <v>493.839</v>
      </c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</row>
    <row r="185" spans="1:40" x14ac:dyDescent="0.25">
      <c r="A185" s="40" t="s">
        <v>808</v>
      </c>
      <c r="B185" s="38" t="s">
        <v>684</v>
      </c>
      <c r="C185" s="38" t="s">
        <v>792</v>
      </c>
      <c r="D185" s="38" t="s">
        <v>417</v>
      </c>
      <c r="E185" s="41"/>
      <c r="F185" s="41"/>
      <c r="G185" s="41"/>
      <c r="H185" s="41"/>
      <c r="I185" s="41"/>
      <c r="J185" s="41">
        <v>1494.914</v>
      </c>
      <c r="K185" s="41">
        <v>1450.635</v>
      </c>
      <c r="L185" s="41">
        <v>1398.684</v>
      </c>
      <c r="M185" s="41">
        <v>1285.8409999999999</v>
      </c>
      <c r="N185" s="41">
        <v>1337.78</v>
      </c>
      <c r="O185" s="41">
        <v>1406.0540000000001</v>
      </c>
      <c r="P185" s="41">
        <v>1361.163</v>
      </c>
      <c r="Q185" s="41">
        <v>1367.114</v>
      </c>
      <c r="R185" s="41">
        <v>1423.703</v>
      </c>
      <c r="S185" s="41">
        <v>1353.1679999999999</v>
      </c>
      <c r="T185" s="41">
        <v>1322.3820000000001</v>
      </c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</row>
    <row r="186" spans="1:40" x14ac:dyDescent="0.25">
      <c r="A186" s="40" t="s">
        <v>808</v>
      </c>
      <c r="B186" s="38" t="s">
        <v>684</v>
      </c>
      <c r="C186" s="38" t="s">
        <v>793</v>
      </c>
      <c r="D186" s="38" t="s">
        <v>417</v>
      </c>
      <c r="E186" s="41"/>
      <c r="F186" s="41"/>
      <c r="G186" s="41"/>
      <c r="H186" s="41"/>
      <c r="I186" s="41"/>
      <c r="J186" s="41">
        <v>884.46900000000005</v>
      </c>
      <c r="K186" s="41">
        <v>910.09400000000005</v>
      </c>
      <c r="L186" s="41">
        <v>815.96100000000001</v>
      </c>
      <c r="M186" s="41">
        <v>829.16899999999998</v>
      </c>
      <c r="N186" s="41">
        <v>845.84900000000005</v>
      </c>
      <c r="O186" s="41">
        <v>904.553</v>
      </c>
      <c r="P186" s="41">
        <v>888.8</v>
      </c>
      <c r="Q186" s="41">
        <v>919.05499999999995</v>
      </c>
      <c r="R186" s="41">
        <v>886.97900000000004</v>
      </c>
      <c r="S186" s="41">
        <v>915.16200000000003</v>
      </c>
      <c r="T186" s="41">
        <v>887.69299999999998</v>
      </c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</row>
    <row r="187" spans="1:40" x14ac:dyDescent="0.25">
      <c r="A187" s="40" t="s">
        <v>808</v>
      </c>
      <c r="B187" s="38" t="s">
        <v>684</v>
      </c>
      <c r="C187" s="38" t="s">
        <v>794</v>
      </c>
      <c r="D187" s="38" t="s">
        <v>417</v>
      </c>
      <c r="E187" s="41"/>
      <c r="F187" s="41"/>
      <c r="G187" s="41"/>
      <c r="H187" s="41"/>
      <c r="I187" s="41"/>
      <c r="J187" s="41">
        <v>3286.78</v>
      </c>
      <c r="K187" s="41">
        <v>3075.0590000000002</v>
      </c>
      <c r="L187" s="41">
        <v>3231.5859999999998</v>
      </c>
      <c r="M187" s="41">
        <v>3083.971</v>
      </c>
      <c r="N187" s="41">
        <v>3105.9259999999999</v>
      </c>
      <c r="O187" s="41">
        <v>3126.1529999999998</v>
      </c>
      <c r="P187" s="41">
        <v>3352.598</v>
      </c>
      <c r="Q187" s="41">
        <v>3256.5459999999998</v>
      </c>
      <c r="R187" s="41">
        <v>3210.1419999999998</v>
      </c>
      <c r="S187" s="41">
        <v>3200.1950000000002</v>
      </c>
      <c r="T187" s="41">
        <v>3270.846</v>
      </c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</row>
    <row r="188" spans="1:40" x14ac:dyDescent="0.25">
      <c r="A188" s="40" t="s">
        <v>808</v>
      </c>
      <c r="B188" s="38" t="s">
        <v>684</v>
      </c>
      <c r="C188" s="38" t="s">
        <v>795</v>
      </c>
      <c r="D188" s="38" t="s">
        <v>417</v>
      </c>
      <c r="E188" s="41"/>
      <c r="F188" s="41"/>
      <c r="G188" s="41"/>
      <c r="H188" s="41"/>
      <c r="I188" s="41"/>
      <c r="J188" s="41">
        <v>3532.5790000000002</v>
      </c>
      <c r="K188" s="41">
        <v>3696.2959999999998</v>
      </c>
      <c r="L188" s="41">
        <v>3397.7249999999999</v>
      </c>
      <c r="M188" s="41">
        <v>3697.5929999999998</v>
      </c>
      <c r="N188" s="41">
        <v>3812.8359999999998</v>
      </c>
      <c r="O188" s="41">
        <v>3823.386</v>
      </c>
      <c r="P188" s="41">
        <v>3736.7820000000002</v>
      </c>
      <c r="Q188" s="41">
        <v>3791.4430000000002</v>
      </c>
      <c r="R188" s="41">
        <v>3742.8710000000001</v>
      </c>
      <c r="S188" s="41">
        <v>3530.4110000000001</v>
      </c>
      <c r="T188" s="41">
        <v>3718.3209999999999</v>
      </c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</row>
    <row r="189" spans="1:40" x14ac:dyDescent="0.25">
      <c r="A189" s="40" t="s">
        <v>808</v>
      </c>
      <c r="B189" s="38" t="s">
        <v>684</v>
      </c>
      <c r="C189" s="38" t="s">
        <v>796</v>
      </c>
      <c r="D189" s="38" t="s">
        <v>417</v>
      </c>
      <c r="E189" s="41"/>
      <c r="F189" s="41"/>
      <c r="G189" s="41"/>
      <c r="H189" s="41"/>
      <c r="I189" s="41"/>
      <c r="J189" s="41">
        <v>743.995</v>
      </c>
      <c r="K189" s="41">
        <v>747.21199999999999</v>
      </c>
      <c r="L189" s="41">
        <v>663.57799999999997</v>
      </c>
      <c r="M189" s="41">
        <v>707.32899999999995</v>
      </c>
      <c r="N189" s="41">
        <v>795.85900000000004</v>
      </c>
      <c r="O189" s="41">
        <v>824.93899999999996</v>
      </c>
      <c r="P189" s="41">
        <v>853.95600000000002</v>
      </c>
      <c r="Q189" s="41">
        <v>858.53200000000004</v>
      </c>
      <c r="R189" s="41">
        <v>830.36900000000003</v>
      </c>
      <c r="S189" s="41">
        <v>822.03499999999997</v>
      </c>
      <c r="T189" s="41">
        <v>896.65</v>
      </c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</row>
    <row r="190" spans="1:40" x14ac:dyDescent="0.25">
      <c r="A190" s="40" t="s">
        <v>808</v>
      </c>
      <c r="B190" s="38" t="s">
        <v>684</v>
      </c>
      <c r="C190" s="38" t="s">
        <v>797</v>
      </c>
      <c r="D190" s="38" t="s">
        <v>417</v>
      </c>
      <c r="E190" s="41"/>
      <c r="F190" s="41"/>
      <c r="G190" s="41"/>
      <c r="H190" s="41"/>
      <c r="I190" s="41"/>
      <c r="J190" s="41">
        <v>1636.51</v>
      </c>
      <c r="K190" s="41">
        <v>1627.307</v>
      </c>
      <c r="L190" s="41">
        <v>1513.45</v>
      </c>
      <c r="M190" s="41">
        <v>1550.777</v>
      </c>
      <c r="N190" s="41">
        <v>1529.204</v>
      </c>
      <c r="O190" s="41">
        <v>1753.6569999999999</v>
      </c>
      <c r="P190" s="41">
        <v>1604.3630000000001</v>
      </c>
      <c r="Q190" s="41">
        <v>1856.1079999999999</v>
      </c>
      <c r="R190" s="41">
        <v>1647.7729999999999</v>
      </c>
      <c r="S190" s="41">
        <v>1594.8009999999999</v>
      </c>
      <c r="T190" s="41">
        <v>1630.32</v>
      </c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</row>
    <row r="191" spans="1:40" x14ac:dyDescent="0.25">
      <c r="A191" s="40" t="s">
        <v>808</v>
      </c>
      <c r="B191" s="38" t="s">
        <v>684</v>
      </c>
      <c r="C191" s="38" t="s">
        <v>798</v>
      </c>
      <c r="D191" s="38" t="s">
        <v>417</v>
      </c>
      <c r="E191" s="41"/>
      <c r="F191" s="41"/>
      <c r="G191" s="41"/>
      <c r="H191" s="41"/>
      <c r="I191" s="41"/>
      <c r="J191" s="41">
        <v>2069.4349999999999</v>
      </c>
      <c r="K191" s="41">
        <v>2031.481</v>
      </c>
      <c r="L191" s="41">
        <v>2123.223</v>
      </c>
      <c r="M191" s="41">
        <v>2068.4929999999999</v>
      </c>
      <c r="N191" s="41">
        <v>2077.0619999999999</v>
      </c>
      <c r="O191" s="41">
        <v>2140.529</v>
      </c>
      <c r="P191" s="41">
        <v>2176.6640000000002</v>
      </c>
      <c r="Q191" s="41">
        <v>2228.1089999999999</v>
      </c>
      <c r="R191" s="41">
        <v>2414.4690000000001</v>
      </c>
      <c r="S191" s="41">
        <v>2263.498</v>
      </c>
      <c r="T191" s="41">
        <v>2213.268</v>
      </c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</row>
    <row r="192" spans="1:40" x14ac:dyDescent="0.25">
      <c r="A192" s="40" t="s">
        <v>808</v>
      </c>
      <c r="B192" s="38" t="s">
        <v>684</v>
      </c>
      <c r="C192" s="38" t="s">
        <v>799</v>
      </c>
      <c r="D192" s="38" t="s">
        <v>417</v>
      </c>
      <c r="E192" s="41"/>
      <c r="F192" s="41"/>
      <c r="G192" s="41"/>
      <c r="H192" s="41"/>
      <c r="I192" s="41"/>
      <c r="J192" s="41">
        <v>1694.4549999999999</v>
      </c>
      <c r="K192" s="41">
        <v>1921.473</v>
      </c>
      <c r="L192" s="41">
        <v>1894.1</v>
      </c>
      <c r="M192" s="41">
        <v>1945.817</v>
      </c>
      <c r="N192" s="41">
        <v>2012.259</v>
      </c>
      <c r="O192" s="41">
        <v>2137.2130000000002</v>
      </c>
      <c r="P192" s="41">
        <v>2094.672</v>
      </c>
      <c r="Q192" s="41">
        <v>1990.163</v>
      </c>
      <c r="R192" s="41">
        <v>2028.3610000000001</v>
      </c>
      <c r="S192" s="41">
        <v>2140.5500000000002</v>
      </c>
      <c r="T192" s="41">
        <v>2016.162</v>
      </c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</row>
    <row r="193" spans="1:40" x14ac:dyDescent="0.25">
      <c r="A193" s="40" t="s">
        <v>808</v>
      </c>
      <c r="B193" s="38" t="s">
        <v>684</v>
      </c>
      <c r="C193" s="38" t="s">
        <v>800</v>
      </c>
      <c r="D193" s="38" t="s">
        <v>417</v>
      </c>
      <c r="E193" s="41"/>
      <c r="F193" s="41"/>
      <c r="G193" s="41"/>
      <c r="H193" s="41"/>
      <c r="I193" s="41"/>
      <c r="J193" s="41">
        <v>1102.4259999999999</v>
      </c>
      <c r="K193" s="41">
        <v>1213.539</v>
      </c>
      <c r="L193" s="41">
        <v>1233.8720000000001</v>
      </c>
      <c r="M193" s="41">
        <v>1204.404</v>
      </c>
      <c r="N193" s="41">
        <v>1160.2529999999999</v>
      </c>
      <c r="O193" s="41">
        <v>1206.5519999999999</v>
      </c>
      <c r="P193" s="41">
        <v>1320.451</v>
      </c>
      <c r="Q193" s="41">
        <v>1316.704</v>
      </c>
      <c r="R193" s="41">
        <v>1257.3330000000001</v>
      </c>
      <c r="S193" s="41">
        <v>1246.3119999999999</v>
      </c>
      <c r="T193" s="41">
        <v>1358.953</v>
      </c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</row>
    <row r="194" spans="1:40" x14ac:dyDescent="0.25">
      <c r="A194" s="40" t="s">
        <v>808</v>
      </c>
      <c r="B194" s="38" t="s">
        <v>684</v>
      </c>
      <c r="C194" s="38" t="s">
        <v>801</v>
      </c>
      <c r="D194" s="38" t="s">
        <v>417</v>
      </c>
      <c r="E194" s="41"/>
      <c r="F194" s="41"/>
      <c r="G194" s="41"/>
      <c r="H194" s="41"/>
      <c r="I194" s="41"/>
      <c r="J194" s="41">
        <v>996.69600000000003</v>
      </c>
      <c r="K194" s="41">
        <v>1086.066</v>
      </c>
      <c r="L194" s="41">
        <v>1058.723</v>
      </c>
      <c r="M194" s="41">
        <v>1060.518</v>
      </c>
      <c r="N194" s="41">
        <v>1185.8530000000001</v>
      </c>
      <c r="O194" s="41">
        <v>1189.095</v>
      </c>
      <c r="P194" s="41">
        <v>1133.095</v>
      </c>
      <c r="Q194" s="41">
        <v>1175.2280000000001</v>
      </c>
      <c r="R194" s="41">
        <v>1161.337</v>
      </c>
      <c r="S194" s="41">
        <v>1185.0530000000001</v>
      </c>
      <c r="T194" s="41">
        <v>1155.21</v>
      </c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</row>
    <row r="195" spans="1:40" x14ac:dyDescent="0.25">
      <c r="A195" s="40" t="s">
        <v>808</v>
      </c>
      <c r="B195" s="38" t="s">
        <v>684</v>
      </c>
      <c r="C195" s="38" t="s">
        <v>802</v>
      </c>
      <c r="D195" s="38" t="s">
        <v>417</v>
      </c>
      <c r="E195" s="41"/>
      <c r="F195" s="41"/>
      <c r="G195" s="41"/>
      <c r="H195" s="41"/>
      <c r="I195" s="41"/>
      <c r="J195" s="41">
        <v>1142.0219999999999</v>
      </c>
      <c r="K195" s="41">
        <v>1300.5129999999999</v>
      </c>
      <c r="L195" s="41">
        <v>1077.963</v>
      </c>
      <c r="M195" s="41">
        <v>923.14499999999998</v>
      </c>
      <c r="N195" s="41">
        <v>1125.0440000000001</v>
      </c>
      <c r="O195" s="41">
        <v>1261.3879999999999</v>
      </c>
      <c r="P195" s="41">
        <v>1160.1179999999999</v>
      </c>
      <c r="Q195" s="41">
        <v>1265.501</v>
      </c>
      <c r="R195" s="41">
        <v>891.33100000000002</v>
      </c>
      <c r="S195" s="41">
        <v>935.60199999999998</v>
      </c>
      <c r="T195" s="41">
        <v>1134.748</v>
      </c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</row>
    <row r="196" spans="1:40" x14ac:dyDescent="0.25">
      <c r="A196" s="40" t="s">
        <v>808</v>
      </c>
      <c r="B196" s="38" t="s">
        <v>684</v>
      </c>
      <c r="C196" s="38" t="s">
        <v>803</v>
      </c>
      <c r="D196" s="38" t="s">
        <v>417</v>
      </c>
      <c r="E196" s="41"/>
      <c r="F196" s="41"/>
      <c r="G196" s="41"/>
      <c r="H196" s="41"/>
      <c r="I196" s="41"/>
      <c r="J196" s="41">
        <v>1237.117</v>
      </c>
      <c r="K196" s="41">
        <v>1378.2280000000001</v>
      </c>
      <c r="L196" s="41">
        <v>1202.9639999999999</v>
      </c>
      <c r="M196" s="41">
        <v>1315.972</v>
      </c>
      <c r="N196" s="41">
        <v>1409.489</v>
      </c>
      <c r="O196" s="41">
        <v>1442.251</v>
      </c>
      <c r="P196" s="41">
        <v>1400.6279999999999</v>
      </c>
      <c r="Q196" s="41">
        <v>1415.567</v>
      </c>
      <c r="R196" s="41">
        <v>1488.73</v>
      </c>
      <c r="S196" s="41">
        <v>1464.383</v>
      </c>
      <c r="T196" s="41">
        <v>1387.982</v>
      </c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</row>
    <row r="197" spans="1:40" x14ac:dyDescent="0.25">
      <c r="A197" s="40" t="s">
        <v>808</v>
      </c>
      <c r="B197" s="38" t="s">
        <v>684</v>
      </c>
      <c r="C197" s="38" t="s">
        <v>804</v>
      </c>
      <c r="D197" s="38" t="s">
        <v>417</v>
      </c>
      <c r="E197" s="41"/>
      <c r="F197" s="41"/>
      <c r="G197" s="41"/>
      <c r="H197" s="41"/>
      <c r="I197" s="41"/>
      <c r="J197" s="41">
        <v>1206.4749999999999</v>
      </c>
      <c r="K197" s="41">
        <v>1193.4580000000001</v>
      </c>
      <c r="L197" s="41">
        <v>1127.9010000000001</v>
      </c>
      <c r="M197" s="41">
        <v>1176.883</v>
      </c>
      <c r="N197" s="41">
        <v>1239.1959999999999</v>
      </c>
      <c r="O197" s="41">
        <v>1206.58</v>
      </c>
      <c r="P197" s="41">
        <v>1200.838</v>
      </c>
      <c r="Q197" s="41">
        <v>1172.95</v>
      </c>
      <c r="R197" s="41">
        <v>1127.0409999999999</v>
      </c>
      <c r="S197" s="41">
        <v>1121.846</v>
      </c>
      <c r="T197" s="41">
        <v>1208.1790000000001</v>
      </c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</row>
    <row r="198" spans="1:40" x14ac:dyDescent="0.25">
      <c r="A198" s="40" t="s">
        <v>808</v>
      </c>
      <c r="B198" s="38" t="s">
        <v>684</v>
      </c>
      <c r="C198" s="38" t="s">
        <v>805</v>
      </c>
      <c r="D198" s="38" t="s">
        <v>417</v>
      </c>
      <c r="E198" s="41"/>
      <c r="F198" s="41"/>
      <c r="G198" s="41"/>
      <c r="H198" s="41"/>
      <c r="I198" s="41"/>
      <c r="J198" s="41">
        <v>642.19799999999998</v>
      </c>
      <c r="K198" s="41">
        <v>709.32299999999998</v>
      </c>
      <c r="L198" s="41">
        <v>697.59</v>
      </c>
      <c r="M198" s="41">
        <v>617.59400000000005</v>
      </c>
      <c r="N198" s="41">
        <v>635.38</v>
      </c>
      <c r="O198" s="41">
        <v>707.33500000000004</v>
      </c>
      <c r="P198" s="41">
        <v>720.13300000000004</v>
      </c>
      <c r="Q198" s="41">
        <v>785.96500000000003</v>
      </c>
      <c r="R198" s="41">
        <v>668.83299999999997</v>
      </c>
      <c r="S198" s="41">
        <v>711.23099999999999</v>
      </c>
      <c r="T198" s="41">
        <v>750.70400000000006</v>
      </c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</row>
    <row r="199" spans="1:40" x14ac:dyDescent="0.25">
      <c r="A199" s="40" t="s">
        <v>808</v>
      </c>
      <c r="B199" s="38" t="s">
        <v>684</v>
      </c>
      <c r="C199" s="38" t="s">
        <v>806</v>
      </c>
      <c r="D199" s="38" t="s">
        <v>417</v>
      </c>
      <c r="E199" s="41"/>
      <c r="F199" s="41"/>
      <c r="G199" s="41"/>
      <c r="H199" s="41"/>
      <c r="I199" s="41"/>
      <c r="J199" s="41">
        <v>1177.693</v>
      </c>
      <c r="K199" s="41">
        <v>1237.607</v>
      </c>
      <c r="L199" s="41">
        <v>1286.877</v>
      </c>
      <c r="M199" s="41">
        <v>1276.479</v>
      </c>
      <c r="N199" s="41">
        <v>1312.26</v>
      </c>
      <c r="O199" s="41">
        <v>1291.8779999999999</v>
      </c>
      <c r="P199" s="41">
        <v>1228.6510000000001</v>
      </c>
      <c r="Q199" s="41">
        <v>1279.1759999999999</v>
      </c>
      <c r="R199" s="41">
        <v>1094.6559999999999</v>
      </c>
      <c r="S199" s="41">
        <v>1155.3679999999999</v>
      </c>
      <c r="T199" s="41">
        <v>1175.098</v>
      </c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</row>
    <row r="200" spans="1:40" x14ac:dyDescent="0.25">
      <c r="A200" s="40" t="s">
        <v>14</v>
      </c>
      <c r="B200" s="38" t="s">
        <v>684</v>
      </c>
      <c r="C200" s="38" t="s">
        <v>789</v>
      </c>
      <c r="D200" s="38" t="s">
        <v>417</v>
      </c>
      <c r="E200" s="41"/>
      <c r="F200" s="41"/>
      <c r="G200" s="41"/>
      <c r="H200" s="41"/>
      <c r="I200" s="41"/>
      <c r="J200" s="41">
        <v>6468.4859999999999</v>
      </c>
      <c r="K200" s="41">
        <v>6541.05</v>
      </c>
      <c r="L200" s="41">
        <v>6615.51</v>
      </c>
      <c r="M200" s="41">
        <v>7497.6949999999997</v>
      </c>
      <c r="N200" s="41">
        <v>6935.0050000000001</v>
      </c>
      <c r="O200" s="41">
        <v>7002.8379999999997</v>
      </c>
      <c r="P200" s="41">
        <v>5501.7870000000003</v>
      </c>
      <c r="Q200" s="41">
        <v>6452.4750000000004</v>
      </c>
      <c r="R200" s="41">
        <v>5709.1409999999996</v>
      </c>
      <c r="S200" s="41">
        <v>5956.741</v>
      </c>
      <c r="T200" s="41">
        <v>5615.7889999999998</v>
      </c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</row>
    <row r="201" spans="1:40" x14ac:dyDescent="0.25">
      <c r="A201" s="40" t="s">
        <v>14</v>
      </c>
      <c r="B201" s="38" t="s">
        <v>684</v>
      </c>
      <c r="C201" s="38" t="s">
        <v>790</v>
      </c>
      <c r="D201" s="38" t="s">
        <v>417</v>
      </c>
      <c r="E201" s="41"/>
      <c r="F201" s="41"/>
      <c r="G201" s="41"/>
      <c r="H201" s="41"/>
      <c r="I201" s="41"/>
      <c r="J201" s="41">
        <v>478.55200000000002</v>
      </c>
      <c r="K201" s="41">
        <v>376.58</v>
      </c>
      <c r="L201" s="41">
        <v>458.74599999999998</v>
      </c>
      <c r="M201" s="41">
        <v>367.83100000000002</v>
      </c>
      <c r="N201" s="41">
        <v>461.661</v>
      </c>
      <c r="O201" s="41">
        <v>415.98099999999999</v>
      </c>
      <c r="P201" s="41">
        <v>255.136</v>
      </c>
      <c r="Q201" s="41">
        <v>371.70400000000001</v>
      </c>
      <c r="R201" s="41">
        <v>243.89699999999999</v>
      </c>
      <c r="S201" s="41">
        <v>334.822</v>
      </c>
      <c r="T201" s="41">
        <v>197.471</v>
      </c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</row>
    <row r="202" spans="1:40" x14ac:dyDescent="0.25">
      <c r="A202" s="40" t="s">
        <v>14</v>
      </c>
      <c r="B202" s="38" t="s">
        <v>684</v>
      </c>
      <c r="C202" s="38" t="s">
        <v>791</v>
      </c>
      <c r="D202" s="38" t="s">
        <v>417</v>
      </c>
      <c r="E202" s="41"/>
      <c r="F202" s="41"/>
      <c r="G202" s="41"/>
      <c r="H202" s="41"/>
      <c r="I202" s="41"/>
      <c r="J202" s="41">
        <v>115.596</v>
      </c>
      <c r="K202" s="41">
        <v>113.30500000000001</v>
      </c>
      <c r="L202" s="41">
        <v>89.843999999999994</v>
      </c>
      <c r="M202" s="41">
        <v>112.41800000000001</v>
      </c>
      <c r="N202" s="41">
        <v>104.371</v>
      </c>
      <c r="O202" s="41">
        <v>136.99</v>
      </c>
      <c r="P202" s="41">
        <v>105.654</v>
      </c>
      <c r="Q202" s="41">
        <v>122.67</v>
      </c>
      <c r="R202" s="41">
        <v>105.36799999999999</v>
      </c>
      <c r="S202" s="41">
        <v>84.674999999999997</v>
      </c>
      <c r="T202" s="41">
        <v>65.713000000000008</v>
      </c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</row>
    <row r="203" spans="1:40" x14ac:dyDescent="0.25">
      <c r="A203" s="40" t="s">
        <v>14</v>
      </c>
      <c r="B203" s="38" t="s">
        <v>684</v>
      </c>
      <c r="C203" s="38" t="s">
        <v>792</v>
      </c>
      <c r="D203" s="38" t="s">
        <v>417</v>
      </c>
      <c r="E203" s="41"/>
      <c r="F203" s="41"/>
      <c r="G203" s="41"/>
      <c r="H203" s="41"/>
      <c r="I203" s="41"/>
      <c r="J203" s="41">
        <v>326.43599999999998</v>
      </c>
      <c r="K203" s="41">
        <v>382.44400000000002</v>
      </c>
      <c r="L203" s="41">
        <v>380.21800000000002</v>
      </c>
      <c r="M203" s="41">
        <v>576.86800000000005</v>
      </c>
      <c r="N203" s="41">
        <v>394.238</v>
      </c>
      <c r="O203" s="41">
        <v>370.37700000000001</v>
      </c>
      <c r="P203" s="41">
        <v>451.13600000000002</v>
      </c>
      <c r="Q203" s="41">
        <v>311.23899999999998</v>
      </c>
      <c r="R203" s="41">
        <v>409.786</v>
      </c>
      <c r="S203" s="41">
        <v>321.339</v>
      </c>
      <c r="T203" s="41">
        <v>368.54599999999999</v>
      </c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</row>
    <row r="204" spans="1:40" x14ac:dyDescent="0.25">
      <c r="A204" s="40" t="s">
        <v>14</v>
      </c>
      <c r="B204" s="38" t="s">
        <v>684</v>
      </c>
      <c r="C204" s="38" t="s">
        <v>793</v>
      </c>
      <c r="D204" s="38" t="s">
        <v>417</v>
      </c>
      <c r="E204" s="41"/>
      <c r="F204" s="41"/>
      <c r="G204" s="41"/>
      <c r="H204" s="41"/>
      <c r="I204" s="41"/>
      <c r="J204" s="41">
        <v>229.65100000000001</v>
      </c>
      <c r="K204" s="41">
        <v>115.03100000000001</v>
      </c>
      <c r="L204" s="41">
        <v>214.24700000000001</v>
      </c>
      <c r="M204" s="41">
        <v>370.14</v>
      </c>
      <c r="N204" s="41">
        <v>316.85899999999998</v>
      </c>
      <c r="O204" s="41">
        <v>235.399</v>
      </c>
      <c r="P204" s="41">
        <v>243.82300000000001</v>
      </c>
      <c r="Q204" s="41">
        <v>225.28299999999999</v>
      </c>
      <c r="R204" s="41">
        <v>275.56900000000002</v>
      </c>
      <c r="S204" s="41">
        <v>262.27199999999999</v>
      </c>
      <c r="T204" s="41">
        <v>196.28200000000001</v>
      </c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</row>
    <row r="205" spans="1:40" x14ac:dyDescent="0.25">
      <c r="A205" s="40" t="s">
        <v>14</v>
      </c>
      <c r="B205" s="38" t="s">
        <v>684</v>
      </c>
      <c r="C205" s="38" t="s">
        <v>794</v>
      </c>
      <c r="D205" s="38" t="s">
        <v>417</v>
      </c>
      <c r="E205" s="41"/>
      <c r="F205" s="41"/>
      <c r="G205" s="41"/>
      <c r="H205" s="41"/>
      <c r="I205" s="41"/>
      <c r="J205" s="41">
        <v>400.995</v>
      </c>
      <c r="K205" s="41">
        <v>450.791</v>
      </c>
      <c r="L205" s="41">
        <v>434.56299999999999</v>
      </c>
      <c r="M205" s="41">
        <v>516.80100000000004</v>
      </c>
      <c r="N205" s="41">
        <v>612.303</v>
      </c>
      <c r="O205" s="41">
        <v>532.13</v>
      </c>
      <c r="P205" s="41">
        <v>361.37700000000001</v>
      </c>
      <c r="Q205" s="41">
        <v>646.625</v>
      </c>
      <c r="R205" s="41">
        <v>393.48399999999998</v>
      </c>
      <c r="S205" s="41">
        <v>450.41800000000001</v>
      </c>
      <c r="T205" s="41">
        <v>387.83499999999998</v>
      </c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</row>
    <row r="206" spans="1:40" x14ac:dyDescent="0.25">
      <c r="A206" s="40" t="s">
        <v>14</v>
      </c>
      <c r="B206" s="38" t="s">
        <v>684</v>
      </c>
      <c r="C206" s="38" t="s">
        <v>795</v>
      </c>
      <c r="D206" s="38" t="s">
        <v>417</v>
      </c>
      <c r="E206" s="41"/>
      <c r="F206" s="41"/>
      <c r="G206" s="41"/>
      <c r="H206" s="41"/>
      <c r="I206" s="41"/>
      <c r="J206" s="41">
        <v>663.39499999999998</v>
      </c>
      <c r="K206" s="41">
        <v>824.024</v>
      </c>
      <c r="L206" s="41">
        <v>917.08600000000001</v>
      </c>
      <c r="M206" s="41">
        <v>764.255</v>
      </c>
      <c r="N206" s="41">
        <v>742.85400000000004</v>
      </c>
      <c r="O206" s="41">
        <v>859.61900000000003</v>
      </c>
      <c r="P206" s="41">
        <v>795.25400000000002</v>
      </c>
      <c r="Q206" s="41">
        <v>786.08699999999999</v>
      </c>
      <c r="R206" s="41">
        <v>653.56200000000001</v>
      </c>
      <c r="S206" s="41">
        <v>775.86500000000001</v>
      </c>
      <c r="T206" s="41">
        <v>708.81600000000003</v>
      </c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</row>
    <row r="207" spans="1:40" x14ac:dyDescent="0.25">
      <c r="A207" s="40" t="s">
        <v>14</v>
      </c>
      <c r="B207" s="38" t="s">
        <v>684</v>
      </c>
      <c r="C207" s="38" t="s">
        <v>796</v>
      </c>
      <c r="D207" s="38" t="s">
        <v>417</v>
      </c>
      <c r="E207" s="41"/>
      <c r="F207" s="41"/>
      <c r="G207" s="41"/>
      <c r="H207" s="41"/>
      <c r="I207" s="41"/>
      <c r="J207" s="41">
        <v>272.18700000000001</v>
      </c>
      <c r="K207" s="41">
        <v>387.82600000000002</v>
      </c>
      <c r="L207" s="41">
        <v>281.66000000000003</v>
      </c>
      <c r="M207" s="41">
        <v>294.79199999999997</v>
      </c>
      <c r="N207" s="41">
        <v>271.98500000000001</v>
      </c>
      <c r="O207" s="41">
        <v>278.90300000000002</v>
      </c>
      <c r="P207" s="41">
        <v>173.13200000000001</v>
      </c>
      <c r="Q207" s="41">
        <v>256.298</v>
      </c>
      <c r="R207" s="41">
        <v>231.637</v>
      </c>
      <c r="S207" s="41">
        <v>285.048</v>
      </c>
      <c r="T207" s="41">
        <v>196.566</v>
      </c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</row>
    <row r="208" spans="1:40" x14ac:dyDescent="0.25">
      <c r="A208" s="40" t="s">
        <v>14</v>
      </c>
      <c r="B208" s="38" t="s">
        <v>684</v>
      </c>
      <c r="C208" s="38" t="s">
        <v>797</v>
      </c>
      <c r="D208" s="38" t="s">
        <v>417</v>
      </c>
      <c r="E208" s="41"/>
      <c r="F208" s="41"/>
      <c r="G208" s="41"/>
      <c r="H208" s="41"/>
      <c r="I208" s="41"/>
      <c r="J208" s="41">
        <v>526.03099999999995</v>
      </c>
      <c r="K208" s="41">
        <v>764.053</v>
      </c>
      <c r="L208" s="41">
        <v>790.46500000000003</v>
      </c>
      <c r="M208" s="41">
        <v>819.803</v>
      </c>
      <c r="N208" s="41">
        <v>837.06299999999999</v>
      </c>
      <c r="O208" s="41">
        <v>626.54100000000005</v>
      </c>
      <c r="P208" s="41">
        <v>539.93499999999995</v>
      </c>
      <c r="Q208" s="41">
        <v>536.14200000000005</v>
      </c>
      <c r="R208" s="41">
        <v>799.68100000000004</v>
      </c>
      <c r="S208" s="41">
        <v>638.44799999999998</v>
      </c>
      <c r="T208" s="41">
        <v>650.28800000000001</v>
      </c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</row>
    <row r="209" spans="1:40" x14ac:dyDescent="0.25">
      <c r="A209" s="40" t="s">
        <v>14</v>
      </c>
      <c r="B209" s="38" t="s">
        <v>684</v>
      </c>
      <c r="C209" s="38" t="s">
        <v>798</v>
      </c>
      <c r="D209" s="38" t="s">
        <v>417</v>
      </c>
      <c r="E209" s="41"/>
      <c r="F209" s="41"/>
      <c r="G209" s="41"/>
      <c r="H209" s="41"/>
      <c r="I209" s="41"/>
      <c r="J209" s="41">
        <v>616.29</v>
      </c>
      <c r="K209" s="41">
        <v>540.80499999999995</v>
      </c>
      <c r="L209" s="41">
        <v>418.93700000000001</v>
      </c>
      <c r="M209" s="41">
        <v>733.73</v>
      </c>
      <c r="N209" s="41">
        <v>555.93299999999999</v>
      </c>
      <c r="O209" s="41">
        <v>664.79</v>
      </c>
      <c r="P209" s="41">
        <v>397.44200000000001</v>
      </c>
      <c r="Q209" s="41">
        <v>531.98800000000006</v>
      </c>
      <c r="R209" s="41">
        <v>260.303</v>
      </c>
      <c r="S209" s="41">
        <v>269.10300000000001</v>
      </c>
      <c r="T209" s="41">
        <v>340.63900000000001</v>
      </c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</row>
    <row r="210" spans="1:40" x14ac:dyDescent="0.25">
      <c r="A210" s="40" t="s">
        <v>14</v>
      </c>
      <c r="B210" s="38" t="s">
        <v>684</v>
      </c>
      <c r="C210" s="38" t="s">
        <v>799</v>
      </c>
      <c r="D210" s="38" t="s">
        <v>417</v>
      </c>
      <c r="E210" s="41"/>
      <c r="F210" s="41"/>
      <c r="G210" s="41"/>
      <c r="H210" s="41"/>
      <c r="I210" s="41"/>
      <c r="J210" s="41">
        <v>613.60799999999995</v>
      </c>
      <c r="K210" s="41">
        <v>563.59100000000001</v>
      </c>
      <c r="L210" s="41">
        <v>624.40800000000002</v>
      </c>
      <c r="M210" s="41">
        <v>765.80799999999999</v>
      </c>
      <c r="N210" s="41">
        <v>489.47</v>
      </c>
      <c r="O210" s="41">
        <v>438.65100000000001</v>
      </c>
      <c r="P210" s="41">
        <v>491.95699999999999</v>
      </c>
      <c r="Q210" s="41">
        <v>591.44100000000003</v>
      </c>
      <c r="R210" s="41">
        <v>393.36700000000002</v>
      </c>
      <c r="S210" s="41">
        <v>382.30700000000002</v>
      </c>
      <c r="T210" s="41">
        <v>549.35500000000002</v>
      </c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</row>
    <row r="211" spans="1:40" x14ac:dyDescent="0.25">
      <c r="A211" s="40" t="s">
        <v>14</v>
      </c>
      <c r="B211" s="38" t="s">
        <v>684</v>
      </c>
      <c r="C211" s="38" t="s">
        <v>800</v>
      </c>
      <c r="D211" s="38" t="s">
        <v>417</v>
      </c>
      <c r="E211" s="41"/>
      <c r="F211" s="41"/>
      <c r="G211" s="41"/>
      <c r="H211" s="41"/>
      <c r="I211" s="41"/>
      <c r="J211" s="41">
        <v>456.96</v>
      </c>
      <c r="K211" s="41">
        <v>393.74400000000003</v>
      </c>
      <c r="L211" s="41">
        <v>385.50599999999997</v>
      </c>
      <c r="M211" s="41">
        <v>360.93900000000002</v>
      </c>
      <c r="N211" s="41">
        <v>452.91199999999998</v>
      </c>
      <c r="O211" s="41">
        <v>506.3</v>
      </c>
      <c r="P211" s="41">
        <v>264.88200000000001</v>
      </c>
      <c r="Q211" s="41">
        <v>437.88600000000002</v>
      </c>
      <c r="R211" s="41">
        <v>351.93200000000002</v>
      </c>
      <c r="S211" s="41">
        <v>408.49799999999999</v>
      </c>
      <c r="T211" s="41">
        <v>296.85200000000003</v>
      </c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</row>
    <row r="212" spans="1:40" x14ac:dyDescent="0.25">
      <c r="A212" s="40" t="s">
        <v>14</v>
      </c>
      <c r="B212" s="38" t="s">
        <v>684</v>
      </c>
      <c r="C212" s="38" t="s">
        <v>801</v>
      </c>
      <c r="D212" s="38" t="s">
        <v>417</v>
      </c>
      <c r="E212" s="41"/>
      <c r="F212" s="41"/>
      <c r="G212" s="41"/>
      <c r="H212" s="41"/>
      <c r="I212" s="41"/>
      <c r="J212" s="41">
        <v>356.67</v>
      </c>
      <c r="K212" s="41">
        <v>294.63200000000001</v>
      </c>
      <c r="L212" s="41">
        <v>134.655</v>
      </c>
      <c r="M212" s="41">
        <v>240.58</v>
      </c>
      <c r="N212" s="41">
        <v>207.99</v>
      </c>
      <c r="O212" s="41">
        <v>347.673</v>
      </c>
      <c r="P212" s="41">
        <v>270.68599999999998</v>
      </c>
      <c r="Q212" s="41">
        <v>267.084</v>
      </c>
      <c r="R212" s="41">
        <v>176.47</v>
      </c>
      <c r="S212" s="41">
        <v>220.965</v>
      </c>
      <c r="T212" s="41">
        <v>295.61400000000003</v>
      </c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</row>
    <row r="213" spans="1:40" x14ac:dyDescent="0.25">
      <c r="A213" s="40" t="s">
        <v>14</v>
      </c>
      <c r="B213" s="38" t="s">
        <v>684</v>
      </c>
      <c r="C213" s="38" t="s">
        <v>802</v>
      </c>
      <c r="D213" s="38" t="s">
        <v>417</v>
      </c>
      <c r="E213" s="41"/>
      <c r="F213" s="41"/>
      <c r="G213" s="41"/>
      <c r="H213" s="41"/>
      <c r="I213" s="41"/>
      <c r="J213" s="41">
        <v>380.17599999999999</v>
      </c>
      <c r="K213" s="41">
        <v>287.81299999999999</v>
      </c>
      <c r="L213" s="41">
        <v>429.291</v>
      </c>
      <c r="M213" s="41">
        <v>485.01799999999997</v>
      </c>
      <c r="N213" s="41">
        <v>424.88299999999998</v>
      </c>
      <c r="O213" s="41">
        <v>459.18700000000001</v>
      </c>
      <c r="P213" s="41">
        <v>381.012</v>
      </c>
      <c r="Q213" s="41">
        <v>363.64</v>
      </c>
      <c r="R213" s="41">
        <v>498.4</v>
      </c>
      <c r="S213" s="41">
        <v>597.92999999999995</v>
      </c>
      <c r="T213" s="41">
        <v>481.27</v>
      </c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</row>
    <row r="214" spans="1:40" x14ac:dyDescent="0.25">
      <c r="A214" s="40" t="s">
        <v>14</v>
      </c>
      <c r="B214" s="38" t="s">
        <v>684</v>
      </c>
      <c r="C214" s="38" t="s">
        <v>803</v>
      </c>
      <c r="D214" s="38" t="s">
        <v>417</v>
      </c>
      <c r="E214" s="41"/>
      <c r="F214" s="41"/>
      <c r="G214" s="41"/>
      <c r="H214" s="41"/>
      <c r="I214" s="41"/>
      <c r="J214" s="41">
        <v>361.68099999999998</v>
      </c>
      <c r="K214" s="41">
        <v>345.95800000000003</v>
      </c>
      <c r="L214" s="41">
        <v>461.01799999999997</v>
      </c>
      <c r="M214" s="41">
        <v>367.464</v>
      </c>
      <c r="N214" s="41">
        <v>373.036</v>
      </c>
      <c r="O214" s="41">
        <v>341.113</v>
      </c>
      <c r="P214" s="41">
        <v>165.14699999999999</v>
      </c>
      <c r="Q214" s="41">
        <v>298.322</v>
      </c>
      <c r="R214" s="41">
        <v>164.61099999999999</v>
      </c>
      <c r="S214" s="41">
        <v>247.05600000000001</v>
      </c>
      <c r="T214" s="41">
        <v>202.16499999999999</v>
      </c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</row>
    <row r="215" spans="1:40" x14ac:dyDescent="0.25">
      <c r="A215" s="40" t="s">
        <v>14</v>
      </c>
      <c r="B215" s="38" t="s">
        <v>684</v>
      </c>
      <c r="C215" s="38" t="s">
        <v>804</v>
      </c>
      <c r="D215" s="38" t="s">
        <v>417</v>
      </c>
      <c r="E215" s="41"/>
      <c r="F215" s="41"/>
      <c r="G215" s="41"/>
      <c r="H215" s="41"/>
      <c r="I215" s="41"/>
      <c r="J215" s="41">
        <v>303.56799999999998</v>
      </c>
      <c r="K215" s="41">
        <v>345.411</v>
      </c>
      <c r="L215" s="41">
        <v>280.85899999999998</v>
      </c>
      <c r="M215" s="41">
        <v>336.88099999999997</v>
      </c>
      <c r="N215" s="41">
        <v>283.51900000000001</v>
      </c>
      <c r="O215" s="41">
        <v>353.916</v>
      </c>
      <c r="P215" s="41">
        <v>296.96100000000001</v>
      </c>
      <c r="Q215" s="41">
        <v>443.01600000000002</v>
      </c>
      <c r="R215" s="41">
        <v>391.72500000000002</v>
      </c>
      <c r="S215" s="41">
        <v>345.61700000000002</v>
      </c>
      <c r="T215" s="41">
        <v>376.20699999999999</v>
      </c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</row>
    <row r="216" spans="1:40" x14ac:dyDescent="0.25">
      <c r="A216" s="40" t="s">
        <v>14</v>
      </c>
      <c r="B216" s="38" t="s">
        <v>684</v>
      </c>
      <c r="C216" s="38" t="s">
        <v>805</v>
      </c>
      <c r="D216" s="38" t="s">
        <v>417</v>
      </c>
      <c r="E216" s="41"/>
      <c r="F216" s="41"/>
      <c r="G216" s="41"/>
      <c r="H216" s="41"/>
      <c r="I216" s="41"/>
      <c r="J216" s="41">
        <v>266.94</v>
      </c>
      <c r="K216" s="41">
        <v>298.291</v>
      </c>
      <c r="L216" s="41">
        <v>252.351</v>
      </c>
      <c r="M216" s="41">
        <v>298.40699999999998</v>
      </c>
      <c r="N216" s="41">
        <v>348.09199999999998</v>
      </c>
      <c r="O216" s="41">
        <v>287.02600000000001</v>
      </c>
      <c r="P216" s="41">
        <v>241.745</v>
      </c>
      <c r="Q216" s="41">
        <v>219.196</v>
      </c>
      <c r="R216" s="41">
        <v>229.58199999999999</v>
      </c>
      <c r="S216" s="41">
        <v>208.96</v>
      </c>
      <c r="T216" s="41">
        <v>193.20500000000001</v>
      </c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</row>
    <row r="217" spans="1:40" x14ac:dyDescent="0.25">
      <c r="A217" s="40" t="s">
        <v>14</v>
      </c>
      <c r="B217" s="38" t="s">
        <v>684</v>
      </c>
      <c r="C217" s="38" t="s">
        <v>806</v>
      </c>
      <c r="D217" s="38" t="s">
        <v>417</v>
      </c>
      <c r="E217" s="41"/>
      <c r="F217" s="41"/>
      <c r="G217" s="41"/>
      <c r="H217" s="41"/>
      <c r="I217" s="41"/>
      <c r="J217" s="41">
        <v>99.751000000000005</v>
      </c>
      <c r="K217" s="41">
        <v>56.750999999999998</v>
      </c>
      <c r="L217" s="41">
        <v>61.654000000000003</v>
      </c>
      <c r="M217" s="41">
        <v>85.96</v>
      </c>
      <c r="N217" s="41">
        <v>57.837000000000003</v>
      </c>
      <c r="O217" s="41">
        <v>148.24100000000001</v>
      </c>
      <c r="P217" s="41">
        <v>66.507000000000005</v>
      </c>
      <c r="Q217" s="41">
        <v>43.856000000000002</v>
      </c>
      <c r="R217" s="41">
        <v>129.767</v>
      </c>
      <c r="S217" s="41">
        <v>123.417</v>
      </c>
      <c r="T217" s="41">
        <v>108.965</v>
      </c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</row>
    <row r="218" spans="1:40" x14ac:dyDescent="0.25">
      <c r="A218" s="40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40" x14ac:dyDescent="0.25">
      <c r="A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40" x14ac:dyDescent="0.25">
      <c r="A220" s="40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40" x14ac:dyDescent="0.25">
      <c r="A221" s="40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40" x14ac:dyDescent="0.25">
      <c r="A222" s="40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40" x14ac:dyDescent="0.25">
      <c r="A223" s="40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40" x14ac:dyDescent="0.25">
      <c r="A224" s="40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x14ac:dyDescent="0.25">
      <c r="A225" s="40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x14ac:dyDescent="0.25">
      <c r="A226" s="40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x14ac:dyDescent="0.25">
      <c r="A227" s="40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spans="1:26" x14ac:dyDescent="0.25">
      <c r="A228" s="40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spans="1:26" x14ac:dyDescent="0.25">
      <c r="A229" s="40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spans="1:26" x14ac:dyDescent="0.25">
      <c r="A230" s="40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spans="1:26" x14ac:dyDescent="0.25">
      <c r="A231" s="40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spans="1:26" x14ac:dyDescent="0.25">
      <c r="A232" s="40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spans="1:26" x14ac:dyDescent="0.25">
      <c r="A233" s="40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spans="1:26" x14ac:dyDescent="0.25">
      <c r="A234" s="40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spans="1:26" x14ac:dyDescent="0.25">
      <c r="A235" s="40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spans="1:26" x14ac:dyDescent="0.25">
      <c r="A236" s="40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spans="1:26" x14ac:dyDescent="0.25">
      <c r="A237" s="40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spans="1:26" x14ac:dyDescent="0.25">
      <c r="A238" s="40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spans="1:26" x14ac:dyDescent="0.25">
      <c r="A239" s="40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spans="1:26" x14ac:dyDescent="0.25">
      <c r="A240" s="40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spans="1:26" x14ac:dyDescent="0.25">
      <c r="A241" s="40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spans="1:26" x14ac:dyDescent="0.25">
      <c r="A242" s="40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spans="1:26" x14ac:dyDescent="0.25">
      <c r="A243" s="40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spans="1:26" x14ac:dyDescent="0.25">
      <c r="A244" s="40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spans="1:26" x14ac:dyDescent="0.25">
      <c r="A245" s="40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spans="1:26" x14ac:dyDescent="0.25">
      <c r="A246" s="40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spans="1:26" x14ac:dyDescent="0.25">
      <c r="A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spans="1:26" x14ac:dyDescent="0.25">
      <c r="A248" s="40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spans="1:26" x14ac:dyDescent="0.25">
      <c r="A249" s="40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spans="1:26" x14ac:dyDescent="0.25">
      <c r="A250" s="40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spans="1:26" x14ac:dyDescent="0.25">
      <c r="A251" s="40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spans="1:26" x14ac:dyDescent="0.25">
      <c r="A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spans="1:26" x14ac:dyDescent="0.25">
      <c r="A253" s="40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spans="1:26" x14ac:dyDescent="0.25">
      <c r="A254" s="40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spans="1:26" x14ac:dyDescent="0.25">
      <c r="A255" s="40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spans="1:26" x14ac:dyDescent="0.25">
      <c r="A256" s="40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spans="1:26" x14ac:dyDescent="0.25">
      <c r="A257" s="40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spans="1:26" x14ac:dyDescent="0.25">
      <c r="A258" s="40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spans="1:26" x14ac:dyDescent="0.25">
      <c r="A259" s="40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spans="1:26" x14ac:dyDescent="0.25">
      <c r="A260" s="40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spans="1:26" x14ac:dyDescent="0.25">
      <c r="A261" s="40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spans="1:26" x14ac:dyDescent="0.25">
      <c r="A262" s="40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spans="1:26" x14ac:dyDescent="0.25">
      <c r="A263" s="40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spans="1:26" x14ac:dyDescent="0.25">
      <c r="A264" s="40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spans="1:26" x14ac:dyDescent="0.25">
      <c r="A265" s="40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spans="1:26" x14ac:dyDescent="0.25">
      <c r="A266" s="40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spans="1:26" x14ac:dyDescent="0.25">
      <c r="A267" s="40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spans="1:26" x14ac:dyDescent="0.25">
      <c r="A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spans="1:26" x14ac:dyDescent="0.25">
      <c r="A269" s="40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spans="1:26" x14ac:dyDescent="0.25">
      <c r="A270" s="40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spans="1:26" x14ac:dyDescent="0.25">
      <c r="A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spans="1:26" x14ac:dyDescent="0.25">
      <c r="A272" s="40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spans="1:26" x14ac:dyDescent="0.25">
      <c r="A273" s="40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spans="1:26" x14ac:dyDescent="0.25">
      <c r="A274" s="40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spans="1:26" x14ac:dyDescent="0.25">
      <c r="A275" s="40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spans="1:26" x14ac:dyDescent="0.25">
      <c r="A276" s="40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spans="1:26" x14ac:dyDescent="0.25">
      <c r="A277" s="40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spans="1:26" x14ac:dyDescent="0.25">
      <c r="A278" s="40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spans="1:26" x14ac:dyDescent="0.25">
      <c r="A279" s="40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spans="1:26" x14ac:dyDescent="0.25">
      <c r="A280" s="40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spans="1:26" x14ac:dyDescent="0.25">
      <c r="A281" s="40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spans="1:26" x14ac:dyDescent="0.25">
      <c r="A282" s="40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spans="1:26" x14ac:dyDescent="0.25">
      <c r="A283" s="40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spans="1:26" x14ac:dyDescent="0.25">
      <c r="A284" s="40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spans="1:26" x14ac:dyDescent="0.25">
      <c r="A285" s="40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spans="1:26" x14ac:dyDescent="0.25">
      <c r="A286" s="40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spans="1:26" x14ac:dyDescent="0.25">
      <c r="A287" s="40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spans="1:26" x14ac:dyDescent="0.25">
      <c r="A288" s="40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spans="1:26" x14ac:dyDescent="0.25">
      <c r="A289" s="40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spans="1:26" x14ac:dyDescent="0.25">
      <c r="A290" s="40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spans="1:26" x14ac:dyDescent="0.25">
      <c r="A291" s="40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spans="1:26" x14ac:dyDescent="0.25">
      <c r="A292" s="40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spans="1:26" x14ac:dyDescent="0.25">
      <c r="A293" s="40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spans="1:26" x14ac:dyDescent="0.25">
      <c r="A294" s="40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spans="1:26" x14ac:dyDescent="0.25">
      <c r="A295" s="40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spans="1:26" x14ac:dyDescent="0.25">
      <c r="A296" s="40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spans="1:26" x14ac:dyDescent="0.25">
      <c r="A297" s="40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spans="1:26" x14ac:dyDescent="0.25">
      <c r="A298" s="40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spans="1:26" x14ac:dyDescent="0.25">
      <c r="A299" s="40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spans="1:26" x14ac:dyDescent="0.25">
      <c r="A300" s="40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spans="1:26" x14ac:dyDescent="0.25">
      <c r="A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spans="1:26" x14ac:dyDescent="0.25">
      <c r="A302" s="40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spans="1:26" x14ac:dyDescent="0.25">
      <c r="A303" s="40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spans="1:26" x14ac:dyDescent="0.25">
      <c r="A304" s="40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spans="1:26" x14ac:dyDescent="0.25">
      <c r="A305" s="40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spans="1:26" x14ac:dyDescent="0.25">
      <c r="A306" s="40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spans="1:26" x14ac:dyDescent="0.25">
      <c r="A307" s="40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spans="1:26" x14ac:dyDescent="0.25">
      <c r="A308" s="40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spans="1:26" x14ac:dyDescent="0.25">
      <c r="A309" s="40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spans="1:26" x14ac:dyDescent="0.25">
      <c r="A310" s="40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spans="1:26" x14ac:dyDescent="0.25">
      <c r="A311" s="40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spans="1:26" x14ac:dyDescent="0.25">
      <c r="A312" s="40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spans="1:26" x14ac:dyDescent="0.25">
      <c r="A313" s="40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spans="1:26" x14ac:dyDescent="0.25">
      <c r="A314" s="40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spans="1:26" x14ac:dyDescent="0.25">
      <c r="A315" s="40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spans="1:26" x14ac:dyDescent="0.25">
      <c r="A316" s="40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spans="1:26" x14ac:dyDescent="0.25">
      <c r="A317" s="40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spans="1:26" x14ac:dyDescent="0.25">
      <c r="A318" s="40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spans="1:26" x14ac:dyDescent="0.25">
      <c r="A319" s="40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spans="1:26" x14ac:dyDescent="0.25">
      <c r="A320" s="40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spans="1:26" x14ac:dyDescent="0.25">
      <c r="A321" s="40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spans="1:26" x14ac:dyDescent="0.25">
      <c r="A322" s="40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4"/>
  <sheetViews>
    <sheetView workbookViewId="0">
      <pane xSplit="1" ySplit="6" topLeftCell="B182" activePane="bottomRight" state="frozen"/>
      <selection activeCell="B153" sqref="B153"/>
      <selection pane="topRight"/>
      <selection pane="bottomLeft"/>
      <selection pane="bottomRight" activeCell="B195" sqref="B195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  <c r="B190" t="s">
        <v>838</v>
      </c>
    </row>
    <row r="191" spans="1:2" x14ac:dyDescent="0.25">
      <c r="A191" s="1" t="s">
        <v>779</v>
      </c>
      <c r="B191" t="s">
        <v>855</v>
      </c>
    </row>
    <row r="192" spans="1:2" x14ac:dyDescent="0.25">
      <c r="A192" s="1" t="s">
        <v>841</v>
      </c>
      <c r="B192" t="s">
        <v>839</v>
      </c>
    </row>
    <row r="193" spans="1:2" x14ac:dyDescent="0.25">
      <c r="A193" s="1" t="s">
        <v>842</v>
      </c>
      <c r="B193" t="s">
        <v>856</v>
      </c>
    </row>
    <row r="194" spans="1:2" x14ac:dyDescent="0.25">
      <c r="A194" s="1" t="s">
        <v>843</v>
      </c>
      <c r="B194" t="s">
        <v>857</v>
      </c>
    </row>
    <row r="195" spans="1:2" x14ac:dyDescent="0.25">
      <c r="A195" s="1" t="s">
        <v>844</v>
      </c>
      <c r="B195" t="s">
        <v>858</v>
      </c>
    </row>
    <row r="196" spans="1:2" x14ac:dyDescent="0.25">
      <c r="A196" s="1" t="s">
        <v>845</v>
      </c>
    </row>
    <row r="197" spans="1:2" x14ac:dyDescent="0.25">
      <c r="A197" s="1" t="s">
        <v>846</v>
      </c>
    </row>
    <row r="198" spans="1:2" x14ac:dyDescent="0.25">
      <c r="A198" s="1" t="s">
        <v>847</v>
      </c>
    </row>
    <row r="199" spans="1:2" x14ac:dyDescent="0.25">
      <c r="A199" s="1" t="s">
        <v>848</v>
      </c>
    </row>
    <row r="200" spans="1:2" x14ac:dyDescent="0.25">
      <c r="A200" s="1" t="s">
        <v>849</v>
      </c>
    </row>
    <row r="201" spans="1:2" x14ac:dyDescent="0.25">
      <c r="A201" s="1" t="s">
        <v>850</v>
      </c>
    </row>
    <row r="202" spans="1:2" x14ac:dyDescent="0.25">
      <c r="A202" s="1" t="s">
        <v>851</v>
      </c>
    </row>
    <row r="203" spans="1:2" x14ac:dyDescent="0.25">
      <c r="A203" s="1" t="s">
        <v>852</v>
      </c>
    </row>
    <row r="204" spans="1:2" x14ac:dyDescent="0.25">
      <c r="A204" s="1" t="s">
        <v>853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2026-06-24T06:54:38Z</dcterms:modified>
</cp:coreProperties>
</file>