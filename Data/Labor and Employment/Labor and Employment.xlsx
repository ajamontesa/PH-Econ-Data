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0FFA572A-9E60-4F04-8E65-778ECDE79733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4" i="1" l="1"/>
  <c r="H304" i="1"/>
  <c r="G304" i="1"/>
  <c r="F304" i="1"/>
  <c r="N304" i="1"/>
  <c r="I303" i="1"/>
  <c r="H303" i="1"/>
  <c r="G303" i="1"/>
  <c r="F303" i="1"/>
  <c r="N303" i="1"/>
  <c r="F302" i="1"/>
  <c r="G302" i="1"/>
  <c r="H302" i="1"/>
  <c r="I302" i="1"/>
  <c r="N302" i="1"/>
  <c r="F301" i="1"/>
  <c r="G301" i="1"/>
  <c r="H301" i="1"/>
  <c r="I301" i="1"/>
  <c r="N301" i="1"/>
  <c r="I300" i="1"/>
  <c r="H300" i="1"/>
  <c r="G300" i="1"/>
  <c r="F300" i="1"/>
  <c r="N300" i="1"/>
  <c r="F299" i="1"/>
  <c r="G299" i="1"/>
  <c r="H299" i="1"/>
  <c r="I299" i="1"/>
  <c r="N299" i="1"/>
  <c r="N286" i="1"/>
  <c r="F286" i="1"/>
  <c r="G286" i="1"/>
  <c r="H286" i="1"/>
  <c r="I286" i="1"/>
  <c r="I298" i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<sst xmlns="http://schemas.openxmlformats.org/spreadsheetml/2006/main" count="3105" uniqueCount="864">
  <si>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</si>
  <si>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</si>
  <si>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</si>
  <si>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</si>
  <si>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</si>
  <si>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</si>
  <si>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</si>
  <si>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</si>
  <si>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</si>
  <si>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</si>
  <si>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</si>
  <si>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</si>
  <si>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</si>
  <si>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</si>
  <si>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</si>
  <si>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</si>
  <si>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</si>
  <si>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</si>
  <si>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</si>
  <si>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</si>
  <si>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</si>
  <si>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</si>
  <si>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</si>
  <si>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</si>
  <si>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</si>
  <si>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</si>
  <si>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</si>
  <si>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</si>
  <si>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</si>
  <si>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</si>
  <si>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</si>
  <si>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</si>
  <si>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</si>
  <si>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</si>
  <si>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</si>
  <si>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</si>
  <si>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</si>
  <si>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</si>
  <si>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</si>
  <si>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</si>
  <si>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</si>
  <si>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</si>
  <si>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</si>
  <si>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</si>
  <si>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</si>
  <si>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</si>
  <si>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</si>
  <si>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</si>
  <si>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</si>
  <si>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</si>
  <si>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</si>
  <si>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</si>
  <si>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</si>
  <si>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</si>
  <si>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</si>
  <si>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</si>
  <si>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</si>
  <si>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</si>
  <si>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</si>
  <si>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</si>
  <si>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</si>
  <si>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</si>
  <si>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</si>
  <si>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</si>
  <si>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</si>
  <si>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</si>
  <si>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</si>
  <si>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</si>
  <si>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</si>
  <si>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</si>
  <si>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</si>
  <si>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</si>
  <si>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</si>
  <si>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</si>
  <si>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</si>
  <si>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</si>
  <si>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</si>
  <si>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</si>
  <si>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</si>
  <si>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</si>
  <si>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</si>
  <si>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</si>
  <si>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</si>
  <si>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</si>
  <si>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</si>
  <si>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</si>
  <si>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</si>
  <si>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</si>
  <si>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</si>
  <si>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</si>
  <si>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</si>
  <si>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</si>
  <si>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</si>
  <si>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</si>
  <si>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</si>
  <si>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</si>
  <si>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</si>
  <si>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</si>
  <si>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</si>
  <si>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</si>
  <si>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</si>
  <si>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</si>
  <si>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</si>
  <si>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</si>
  <si>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</si>
  <si>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</si>
  <si>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</si>
  <si>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</si>
  <si>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</si>
  <si>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</si>
  <si>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</si>
  <si>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</si>
  <si>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</si>
  <si>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</si>
  <si>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</si>
  <si>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</si>
  <si>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</si>
  <si>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</si>
  <si>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</si>
  <si>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</si>
  <si>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</si>
  <si>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</si>
  <si>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</si>
  <si>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</si>
  <si>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</si>
  <si>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</si>
  <si>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</si>
  <si>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</si>
  <si>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</si>
  <si>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</si>
  <si>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</si>
  <si>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</si>
  <si>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</si>
  <si>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</si>
  <si>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</si>
  <si>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</si>
  <si>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</si>
  <si>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</si>
  <si>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</si>
  <si>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</si>
  <si>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</si>
  <si>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</si>
  <si>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</si>
  <si>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</si>
  <si>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</si>
  <si>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</si>
  <si>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</si>
  <si>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</si>
  <si>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</si>
  <si>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</si>
  <si>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</si>
  <si>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</si>
  <si>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</si>
  <si>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</si>
  <si>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</si>
  <si>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</si>
  <si>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</si>
  <si>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</si>
  <si>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</si>
  <si>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</si>
  <si>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</si>
  <si>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</si>
  <si>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</si>
  <si>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</si>
  <si>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</si>
  <si>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</si>
  <si>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</si>
  <si>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</si>
  <si>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</si>
  <si>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</si>
  <si>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</si>
  <si>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</si>
  <si>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</si>
  <si>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</si>
  <si>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</si>
  <si>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</si>
  <si>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</si>
  <si>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</si>
  <si>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</si>
  <si>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</si>
  <si>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</si>
  <si>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</si>
  <si>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</si>
  <si>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</si>
  <si>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</si>
  <si>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</si>
  <si>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</si>
  <si>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</si>
  <si>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</si>
  <si>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</si>
  <si>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</si>
  <si>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</si>
  <si>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</si>
  <si>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</si>
  <si>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</si>
  <si>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</si>
  <si>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</si>
  <si>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</si>
  <si>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</si>
  <si>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</si>
  <si>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</si>
  <si>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</si>
  <si>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</si>
  <si>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</si>
  <si>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</si>
  <si>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</si>
  <si>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</si>
  <si>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</si>
  <si>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</si>
  <si>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</si>
  <si>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</si>
  <si>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</si>
  <si>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</si>
  <si>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</si>
  <si>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</si>
  <si>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</si>
  <si>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</si>
  <si>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</si>
  <si>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</si>
  <si>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</si>
  <si>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</si>
  <si>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</si>
  <si>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</si>
  <si>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</si>
  <si>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</si>
  <si>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</si>
  <si>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</si>
  <si>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</si>
  <si>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</si>
  <si>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</si>
  <si>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</si>
  <si>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</si>
  <si>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</si>
  <si>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</si>
  <si>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</si>
  <si>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</si>
  <si>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</si>
  <si>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</si>
  <si>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</si>
  <si>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</si>
  <si>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</si>
  <si>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</si>
  <si>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</si>
  <si>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</si>
  <si>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</si>
  <si>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</si>
  <si>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</si>
  <si>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</si>
  <si>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</si>
  <si>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</si>
  <si>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</si>
  <si>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</si>
  <si>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</si>
  <si>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</si>
  <si>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</si>
  <si>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</si>
  <si>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</si>
  <si>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</si>
  <si>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</si>
  <si>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</si>
  <si>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</si>
  <si>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</si>
  <si>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</si>
  <si>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</si>
  <si>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</si>
  <si>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</si>
  <si>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</si>
  <si>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</si>
  <si>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</si>
  <si>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</si>
  <si>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</si>
  <si>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</si>
  <si>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</si>
  <si>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</si>
  <si>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</si>
  <si>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</si>
  <si>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</si>
  <si>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</si>
  <si>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</si>
  <si>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</si>
  <si>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</si>
  <si>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</si>
  <si>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</si>
  <si>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</si>
  <si>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</si>
  <si>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</si>
  <si>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</si>
  <si>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</si>
  <si>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</si>
  <si>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</si>
  <si>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</si>
  <si>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</si>
  <si>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</si>
  <si>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</si>
  <si>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</si>
  <si>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</si>
  <si>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</si>
  <si>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</si>
  <si>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</si>
  <si>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</si>
  <si>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</si>
  <si>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</si>
  <si>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</si>
  <si>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</si>
  <si>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</si>
  <si>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</si>
  <si>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</si>
  <si>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</si>
  <si>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</si>
  <si>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</si>
  <si>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</si>
  <si>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</si>
  <si>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</si>
  <si>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</si>
  <si>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</si>
  <si>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</si>
  <si>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</si>
  <si>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</si>
  <si>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</si>
  <si>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</si>
  <si>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</si>
  <si>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</si>
  <si>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</si>
  <si>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</si>
  <si>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</si>
  <si>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</si>
  <si>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</si>
  <si>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</si>
  <si>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</si>
  <si>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</si>
  <si>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</si>
  <si>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</si>
  <si>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</si>
  <si>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</si>
  <si>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</si>
  <si>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</si>
  <si>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</si>
  <si>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</si>
  <si>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</si>
  <si>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</si>
  <si>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</si>
  <si>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</si>
  <si>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</si>
  <si>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</si>
  <si>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</si>
  <si>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</si>
  <si>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</si>
  <si>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</si>
  <si>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</si>
  <si>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</si>
  <si>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</si>
  <si>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</si>
  <si>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</si>
  <si>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</si>
  <si>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</si>
  <si>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</si>
  <si>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</si>
  <si>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</si>
  <si>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</si>
  <si>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</si>
  <si>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</si>
  <si>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</si>
  <si>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</si>
  <si>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</si>
  <si>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</si>
  <si>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</si>
  <si>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</si>
  <si>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</si>
  <si>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</si>
  <si>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</si>
  <si>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</si>
  <si>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</si>
  <si>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</si>
  <si>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</si>
  <si>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</si>
  <si>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</si>
  <si>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</si>
  <si>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</si>
  <si>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</si>
  <si>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</si>
  <si>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</si>
  <si>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</si>
  <si>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</si>
  <si>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</si>
  <si>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</si>
  <si>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</si>
  <si>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</si>
  <si>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</si>
  <si>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</si>
  <si>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</si>
  <si>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</si>
  <si>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</si>
  <si>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</si>
  <si>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</si>
  <si>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</si>
  <si>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</si>
  <si>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</si>
  <si>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</si>
  <si>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</si>
  <si>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</si>
  <si>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</si>
  <si>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</si>
  <si>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</si>
  <si>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</si>
  <si>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</si>
  <si>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</si>
  <si>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</si>
  <si>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</si>
  <si>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</si>
  <si>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</si>
  <si>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</si>
  <si>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</si>
  <si>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</si>
  <si>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</si>
  <si>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</si>
  <si>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</si>
  <si>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</si>
  <si>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</si>
  <si>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</si>
  <si>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</si>
  <si>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</si>
  <si>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</si>
  <si>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</si>
  <si>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</si>
  <si>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</si>
  <si>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</si>
  <si>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</si>
  <si>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</si>
  <si>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</si>
  <si>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</si>
  <si>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</si>
  <si>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</si>
  <si>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</si>
  <si>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</si>
  <si>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</si>
  <si>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</si>
  <si>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</si>
  <si>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</si>
  <si>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</si>
  <si>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</si>
  <si>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</si>
  <si>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</si>
  <si>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</si>
  <si>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</si>
  <si>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</si>
  <si>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</si>
  <si>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</si>
  <si>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</si>
  <si>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</si>
  <si>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</si>
  <si>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</si>
  <si>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</si>
  <si>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</si>
  <si>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</si>
  <si>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</si>
  <si>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</si>
  <si>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</si>
  <si>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</si>
  <si>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</si>
  <si>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</si>
  <si>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</si>
  <si>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</si>
  <si>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</si>
  <si>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</si>
  <si>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</si>
  <si>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</si>
  <si>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</si>
  <si>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</si>
  <si>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</si>
  <si>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</si>
  <si>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</si>
  <si>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</si>
  <si>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</si>
  <si>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</si>
  <si>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</si>
  <si>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</si>
  <si>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</si>
  <si>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</si>
  <si>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</si>
  <si>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</si>
  <si>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</si>
  <si>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</si>
  <si>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</si>
  <si>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</si>
  <si>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</si>
  <si>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</si>
  <si>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</si>
  <si>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</si>
  <si>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</si>
  <si>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</si>
  <si>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</si>
  <si>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</si>
  <si>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</si>
  <si>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</si>
  <si>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</si>
  <si>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</si>
  <si>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</si>
  <si>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</si>
  <si>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</si>
  <si>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</si>
  <si>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</si>
  <si>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</si>
  <si>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</si>
  <si>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</si>
  <si>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</si>
  <si>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</si>
  <si>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</si>
  <si>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</si>
  <si>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</si>
  <si>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</si>
  <si>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</si>
  <si>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</si>
  <si>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</si>
  <si>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</si>
  <si>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</si>
  <si>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</si>
  <si>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</si>
  <si>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</si>
  <si>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</si>
  <si>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</si>
  <si>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</si>
  <si>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</si>
  <si>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</si>
  <si>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</si>
  <si>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</si>
  <si>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</si>
  <si>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</si>
  <si>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</si>
  <si>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</si>
  <si>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</si>
  <si>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</si>
  <si>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</si>
  <si>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</si>
  <si>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</si>
  <si>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</si>
  <si>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</si>
  <si>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</si>
  <si>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</si>
  <si>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</si>
  <si>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</si>
  <si>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</si>
  <si>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</si>
  <si>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</si>
  <si>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</si>
  <si>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</si>
  <si>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</si>
  <si>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</si>
  <si>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</si>
  <si>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</si>
  <si>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</si>
  <si>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</si>
  <si>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</si>
  <si>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</si>
  <si>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</si>
  <si>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</si>
  <si>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</si>
  <si>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</si>
  <si>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</si>
  <si>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</si>
  <si>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</si>
  <si>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</si>
  <si>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</si>
  <si>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</si>
  <si>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</si>
  <si>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</si>
  <si>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</si>
  <si>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</si>
  <si>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</si>
  <si>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</si>
  <si>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</si>
  <si>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</si>
  <si>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</si>
  <si>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</si>
  <si>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</si>
  <si>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</si>
  <si>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</si>
  <si>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</si>
  <si>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</si>
  <si>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</si>
  <si>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</si>
  <si>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</si>
  <si>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</si>
  <si>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</si>
  <si>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</si>
  <si>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</si>
  <si>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</si>
  <si>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</si>
  <si>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</si>
  <si>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</si>
  <si>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</si>
  <si>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</si>
  <si>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</si>
  <si>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</si>
  <si>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</si>
  <si>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</si>
  <si>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</si>
  <si>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</si>
  <si>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</si>
  <si>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</si>
  <si>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</si>
  <si>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</si>
  <si>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</si>
  <si>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</si>
  <si>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</si>
  <si>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</si>
  <si>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</si>
  <si>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</si>
  <si>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</si>
  <si>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</si>
  <si>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</si>
  <si>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</si>
  <si>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</si>
  <si>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</si>
  <si>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</si>
  <si>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</si>
  <si>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</si>
  <si>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</si>
  <si>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</si>
  <si>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</si>
  <si>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</si>
  <si>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</si>
  <si>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</si>
  <si>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</si>
  <si>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</si>
  <si>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</si>
  <si>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</si>
  <si>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</si>
  <si>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</si>
  <si>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</si>
  <si>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</si>
  <si>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</si>
  <si>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</si>
  <si>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</si>
  <si>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</si>
  <si>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</si>
  <si>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</si>
  <si>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</si>
  <si>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</si>
  <si>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</si>
  <si>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</si>
  <si>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</si>
  <si>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</si>
  <si>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</si>
  <si>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</si>
  <si>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</si>
  <si>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</si>
  <si>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</si>
  <si>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</si>
  <si>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</si>
  <si>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</si>
  <si>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</si>
  <si>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</si>
  <si>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</si>
  <si>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</si>
  <si>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</si>
  <si>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</si>
  <si>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</si>
  <si>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</si>
  <si>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</si>
  <si>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</si>
  <si>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</si>
  <si>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</si>
  <si>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</si>
  <si>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</si>
  <si>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</si>
  <si>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</si>
  <si>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</si>
  <si>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</si>
  <si>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</si>
  <si>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</si>
  <si>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</si>
  <si>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</si>
  <si>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</si>
  <si>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</si>
  <si>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</si>
  <si>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</si>
  <si>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</si>
  <si>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</si>
  <si>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</si>
  <si>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</si>
  <si>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</si>
  <si>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</si>
  <si>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</si>
  <si>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</si>
  <si>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</si>
  <si>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</si>
  <si>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</si>
  <si>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</si>
  <si>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</si>
  <si>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</si>
  <si>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</si>
  <si>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</si>
  <si>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</si>
  <si>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</si>
  <si>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</si>
  <si>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</si>
  <si>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</si>
  <si>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</si>
  <si>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</si>
  <si>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</si>
  <si>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</si>
  <si>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</si>
  <si>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</si>
  <si>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</si>
  <si>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</si>
  <si>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</si>
  <si>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</si>
  <si>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</si>
  <si>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</si>
  <si>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</si>
  <si>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</si>
  <si>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</si>
  <si>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</si>
  <si>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</si>
  <si>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</si>
  <si>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</si>
  <si>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</si>
  <si>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</si>
  <si>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</si>
  <si>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</si>
  <si>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</si>
  <si>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</si>
  <si>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</si>
  <si>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</si>
  <si>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</si>
  <si>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</si>
  <si>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</si>
  <si>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</si>
  <si>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</si>
  <si>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</si>
  <si>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</si>
  <si>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</si>
  <si>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</si>
  <si>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</si>
  <si>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</si>
  <si>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</si>
  <si>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</si>
  <si>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</si>
  <si>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</si>
  <si>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</si>
  <si>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</si>
  <si>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</si>
  <si>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</si>
  <si>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</si>
  <si>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</si>
  <si>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</si>
  <si>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</si>
  <si>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</si>
  <si>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</si>
  <si>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</si>
  <si>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</si>
  <si>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</si>
  <si>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</si>
  <si>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</si>
  <si>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</si>
  <si>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</si>
  <si>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</si>
  <si>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</si>
  <si>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</si>
  <si>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</si>
  <si>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</si>
  <si>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</si>
  <si>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</si>
  <si>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</si>
  <si>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</si>
  <si>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</si>
  <si>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</si>
  <si>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</si>
  <si>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</si>
  <si>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</si>
  <si>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</si>
  <si>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</si>
  <si>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</si>
  <si>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</si>
  <si>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</si>
  <si>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</si>
  <si>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</si>
  <si>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</si>
  <si>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</si>
  <si>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</si>
  <si>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</si>
  <si>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</si>
  <si>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</si>
  <si>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</si>
  <si>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</si>
  <si>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</si>
  <si>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</si>
  <si>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</si>
  <si>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</si>
  <si>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</si>
  <si>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</si>
  <si>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</si>
  <si>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</si>
  <si>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</si>
  <si>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</si>
  <si>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</si>
  <si>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</si>
  <si>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</si>
  <si>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</si>
  <si>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</si>
  <si>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</si>
  <si>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</si>
  <si>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</si>
  <si>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</si>
  <si>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</si>
  <si>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</si>
  <si>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</si>
  <si>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</si>
  <si>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</si>
  <si>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</si>
  <si>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</si>
  <si>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</si>
  <si>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</si>
  <si>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</si>
  <si>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</si>
  <si>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</si>
  <si>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</si>
  <si>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</si>
  <si>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</si>
  <si>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</si>
  <si>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</si>
  <si>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</si>
  <si>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</si>
  <si>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</si>
  <si>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</si>
  <si>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</si>
  <si>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</si>
  <si>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</si>
  <si>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</si>
  <si>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</si>
  <si>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</si>
  <si>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</si>
  <si>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</si>
  <si>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</si>
  <si>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</si>
  <si>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</si>
  <si>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</si>
  <si>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</si>
  <si>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</si>
  <si>
    <t>https://psa.gov.ph/content/number-unemployed-persons-january-2026-increased-296-million-filipinos-aged-15-years-and</t>
  </si>
  <si>
    <t>2026</t>
  </si>
  <si>
    <t>2026 Jan</t>
  </si>
  <si>
    <t>2026 Feb</t>
  </si>
  <si>
    <t>2026 Mar</t>
  </si>
  <si>
    <t>2026 Apr</t>
  </si>
  <si>
    <t>2026 May</t>
  </si>
  <si>
    <t>2026 Jun</t>
  </si>
  <si>
    <t>2026 Jul</t>
  </si>
  <si>
    <t>2026 Aug</t>
  </si>
  <si>
    <t>2026 Sep</t>
  </si>
  <si>
    <t>2026 Oct</t>
  </si>
  <si>
    <t>2026 Nov</t>
  </si>
  <si>
    <t>2026 Dec</t>
  </si>
  <si>
    <t>2026 Annual</t>
  </si>
  <si>
    <t>https://psa.gov.ph/content/2024-annual-provincial-labor-market-statistics-preliminary-results</t>
  </si>
  <si>
    <t>https://psa.gov.ph/content/2025-annual-provincial-labor-market-statistics-preliminary-results</t>
  </si>
  <si>
    <t>https://psa.gov.ph/content/unemployment-rate-declined-51-percent-labor-market-conditions-improved-february-2026</t>
  </si>
  <si>
    <t>https://psa.gov.ph/content/unemployment-rate-eased-50-percent-march-2026</t>
  </si>
  <si>
    <t>https://psa.gov.ph/content/number-employed-persons-april-2026-increased-4889-million-filipinos-aged-15-years-and-over</t>
  </si>
  <si>
    <t>2026Apr</t>
  </si>
  <si>
    <t>2026Mar</t>
  </si>
  <si>
    <t>2026Feb</t>
  </si>
  <si>
    <t>2026Jan</t>
  </si>
  <si>
    <t>https://psa.gov.ph/content/underemployment-rate-declined-122-percent-may-2026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</si>
</sst>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2" fillId="0" borderId="0" applyFont="0" applyFill="0" applyBorder="0" applyProtection="0"/>
    <xf numFmtId="0" fontId="10" fillId="0" borderId="0"/>
    <xf numFmtId="0" fontId="6" fillId="0" borderId="0"/>
  </cellStyleXfs>
  <cellXfs count="56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11" fillId="0" borderId="0" xfId="0" applyNumberFormat="1" applyFont="1"/>
    <xf numFmtId="0" fontId="11" fillId="0" borderId="0" xfId="0" applyFont="1"/>
    <xf numFmtId="0" fontId="10" fillId="0" borderId="0" xfId="2"/>
    <xf numFmtId="0" fontId="10" fillId="0" borderId="0" xfId="2" applyAlignment="1">
      <alignment vertical="center"/>
    </xf>
    <xf numFmtId="167" fontId="10" fillId="0" borderId="0" xfId="2" applyNumberFormat="1"/>
    <xf numFmtId="0" fontId="11" fillId="0" borderId="0" xfId="2" applyFont="1"/>
    <xf numFmtId="0" fontId="11" fillId="0" borderId="0" xfId="2" applyFont="1" applyAlignment="1">
      <alignment vertical="center"/>
    </xf>
    <xf numFmtId="167" fontId="10" fillId="0" borderId="2" xfId="2" applyNumberFormat="1" applyBorder="1"/>
    <xf numFmtId="0" fontId="10" fillId="0" borderId="2" xfId="2" applyBorder="1"/>
    <xf numFmtId="0" fontId="10" fillId="6" borderId="0" xfId="2" applyFill="1"/>
    <xf numFmtId="0" fontId="13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9" fillId="0" borderId="0" xfId="2" applyFont="1"/>
    <xf numFmtId="49" fontId="7" fillId="0" borderId="0" xfId="0" applyNumberFormat="1" applyFont="1"/>
    <xf numFmtId="49" fontId="6" fillId="0" borderId="0" xfId="0" applyNumberFormat="1" applyFont="1"/>
    <xf numFmtId="0" fontId="6" fillId="0" borderId="0" xfId="3"/>
    <xf numFmtId="0" fontId="13" fillId="0" borderId="0" xfId="3" applyFont="1"/>
    <xf numFmtId="0" fontId="6" fillId="0" borderId="0" xfId="3" applyAlignment="1">
      <alignment vertical="center"/>
    </xf>
    <xf numFmtId="167" fontId="6" fillId="0" borderId="0" xfId="3" applyNumberFormat="1"/>
    <xf numFmtId="167" fontId="13" fillId="0" borderId="2" xfId="3" applyNumberFormat="1" applyFont="1" applyBorder="1"/>
    <xf numFmtId="167" fontId="13" fillId="0" borderId="0" xfId="3" applyNumberFormat="1" applyFont="1"/>
    <xf numFmtId="166" fontId="0" fillId="0" borderId="1" xfId="0" applyNumberFormat="1" applyBorder="1"/>
    <xf numFmtId="0" fontId="5" fillId="0" borderId="0" xfId="0" applyFont="1"/>
    <xf numFmtId="3" fontId="13" fillId="0" borderId="0" xfId="0" applyNumberFormat="1" applyFont="1"/>
    <xf numFmtId="0" fontId="4" fillId="0" borderId="0" xfId="0" applyFont="1"/>
    <xf numFmtId="49" fontId="3" fillId="0" borderId="0" xfId="0" applyNumberFormat="1" applyFont="1"/>
    <xf numFmtId="167" fontId="9" fillId="0" borderId="0" xfId="2" applyNumberFormat="1" applyFont="1"/>
    <xf numFmtId="167" fontId="8" fillId="0" borderId="0" xfId="2" applyNumberFormat="1" applyFont="1"/>
    <xf numFmtId="49" fontId="2" fillId="0" borderId="0" xfId="0" applyNumberFormat="1" applyFont="1"/>
    <xf numFmtId="167" fontId="10" fillId="6" borderId="0" xfId="2" applyNumberFormat="1" applyFill="1"/>
    <xf numFmtId="0" fontId="8" fillId="0" borderId="0" xfId="2" applyFont="1"/>
    <xf numFmtId="167" fontId="2" fillId="0" borderId="0" xfId="2" applyNumberFormat="1" applyFont="1"/>
    <xf numFmtId="49" fontId="1" fillId="0" borderId="0" xfId="0" applyNumberFormat="1" applyFont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2"/>
  <sheetViews>
    <sheetView tabSelected="1" workbookViewId="0">
      <pane xSplit="3" ySplit="1" topLeftCell="G275" activePane="bottomRight" state="frozen"/>
      <selection activeCell="F263" sqref="F263"/>
      <selection pane="topRight"/>
      <selection pane="bottomLeft"/>
      <selection pane="bottomRight" activeCell="G305" sqref="G305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F273" s="3">
        <f t="shared" si="29"/>
        <v>0.64902518316184687</v>
      </c>
      <c r="G273" s="3">
        <f t="shared" si="29"/>
        <v>0.95646236465468837</v>
      </c>
      <c r="H273" s="3">
        <f>M273/K273</f>
        <v>4.3537635345311652E-2</v>
      </c>
      <c r="I273" s="3">
        <f>O273/L273</f>
        <v>0.12337530075856781</v>
      </c>
      <c r="J273" s="2">
        <v>77609.913</v>
      </c>
      <c r="K273" s="2">
        <v>50370.788</v>
      </c>
      <c r="L273" s="2">
        <v>48177.762999999999</v>
      </c>
      <c r="M273" s="2">
        <v>2193.0250000000001</v>
      </c>
      <c r="N273" s="2">
        <f>J273-K273</f>
        <v>27239.125</v>
      </c>
      <c r="O273" s="2">
        <v>5943.9459999999999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304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F286" s="3">
        <f t="shared" ref="F286" si="45">K286/J286</f>
        <v>0.64425305221731499</v>
      </c>
      <c r="G286" s="3">
        <f t="shared" ref="G286" si="46">L286/K286</f>
        <v>0.96173929580531325</v>
      </c>
      <c r="H286" s="3">
        <f t="shared" ref="H286" si="47">M286/K286</f>
        <v>3.8260723885731526E-2</v>
      </c>
      <c r="I286" s="3">
        <f t="shared" ref="I286" si="48">O286/L286</f>
        <v>0.11912265678566175</v>
      </c>
      <c r="J286" s="2">
        <v>78826.956000000006</v>
      </c>
      <c r="K286" s="2">
        <v>50784.506999999998</v>
      </c>
      <c r="L286" s="2">
        <v>48841.455999999998</v>
      </c>
      <c r="M286" s="2">
        <v>1943.0519999999999</v>
      </c>
      <c r="N286" s="2">
        <f t="shared" si="34"/>
        <v>28042.449000000008</v>
      </c>
      <c r="O286" s="2">
        <v>5818.1239999999998</v>
      </c>
      <c r="P286" t="s">
        <v>854</v>
      </c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F287" s="3">
        <f t="shared" ref="F287:F288" si="49">K287/J287</f>
        <v>0.63860613190398863</v>
      </c>
      <c r="G287" s="3">
        <f t="shared" ref="G287:G288" si="50">L287/K287</f>
        <v>0.95725210956042472</v>
      </c>
      <c r="H287" s="3">
        <f t="shared" ref="H287:H288" si="51">M287/K287</f>
        <v>4.2747890439575394E-2</v>
      </c>
      <c r="I287" s="3">
        <f t="shared" ref="I287:I288" si="52">O287/L287</f>
        <v>0.13342662775918007</v>
      </c>
      <c r="J287" s="2">
        <v>79316.342999999993</v>
      </c>
      <c r="K287" s="2">
        <v>50651.902999999998</v>
      </c>
      <c r="L287" s="2">
        <v>48486.641000000003</v>
      </c>
      <c r="M287" s="2">
        <v>2165.2620000000002</v>
      </c>
      <c r="N287" s="2">
        <f t="shared" si="34"/>
        <v>28664.439999999995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F288" s="3">
        <f t="shared" si="49"/>
        <v>0.64472798115191687</v>
      </c>
      <c r="G288" s="3">
        <f t="shared" si="50"/>
        <v>0.96208534683068936</v>
      </c>
      <c r="H288" s="3">
        <f t="shared" si="51"/>
        <v>3.7914672741739958E-2</v>
      </c>
      <c r="I288" s="3">
        <f t="shared" si="52"/>
        <v>0.10087542842932454</v>
      </c>
      <c r="J288" s="2">
        <v>79246.255000000005</v>
      </c>
      <c r="K288" s="2">
        <v>51092.277999999998</v>
      </c>
      <c r="L288" s="2">
        <v>49155.131999999998</v>
      </c>
      <c r="M288" s="2">
        <v>1937.1469999999999</v>
      </c>
      <c r="N288" s="2">
        <f t="shared" si="34"/>
        <v>28153.977000000006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/>
      <c r="F289" s="3">
        <f t="shared" ref="F289" si="53">K289/J289</f>
        <v>0.62852465692284698</v>
      </c>
      <c r="G289" s="3">
        <f t="shared" ref="G289" si="54">L289/K289</f>
        <v>0.96132601706253951</v>
      </c>
      <c r="H289" s="3">
        <f t="shared" ref="H289" si="55">M289/K289</f>
        <v>3.8673982937460612E-2</v>
      </c>
      <c r="I289" s="3">
        <f t="shared" ref="I289" si="56">O289/L289</f>
        <v>0.1340917865241773</v>
      </c>
      <c r="J289" s="2">
        <v>79478.551000000007</v>
      </c>
      <c r="K289" s="2">
        <v>49954.228999999999</v>
      </c>
      <c r="L289" s="2">
        <v>48022.3</v>
      </c>
      <c r="M289" s="2">
        <v>1931.9290000000001</v>
      </c>
      <c r="N289" s="2">
        <f t="shared" si="34"/>
        <v>29524.322000000007</v>
      </c>
      <c r="O289" s="2">
        <v>6439.3959999999997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/>
      <c r="F290" s="3">
        <f t="shared" ref="F290" si="57">K290/J290</f>
        <v>0.63744363097856882</v>
      </c>
      <c r="G290" s="3">
        <f t="shared" ref="G290" si="58">L290/K290</f>
        <v>0.95932525707499128</v>
      </c>
      <c r="H290" s="3">
        <f t="shared" ref="H290" si="59">M290/K290</f>
        <v>4.0674742925008833E-2</v>
      </c>
      <c r="I290" s="3">
        <f t="shared" ref="I290" si="60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F291" s="3">
        <f t="shared" ref="F291" si="61">K291/J291</f>
        <v>0.6584863836337842</v>
      </c>
      <c r="G291" s="3">
        <f t="shared" ref="G291" si="62">L291/K291</f>
        <v>0.96111235686185403</v>
      </c>
      <c r="H291" s="3">
        <f t="shared" ref="H291" si="63">M291/K291</f>
        <v>3.8887643138145953E-2</v>
      </c>
      <c r="I291" s="3">
        <f t="shared" ref="I291" si="64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5">K292/J292</f>
        <v>0.65710331091544816</v>
      </c>
      <c r="G292" s="3">
        <f t="shared" ref="G292:G295" si="66">L292/K292</f>
        <v>0.96282180199484058</v>
      </c>
      <c r="H292" s="3">
        <f t="shared" ref="H292:H295" si="67">M292/K292</f>
        <v>3.7178178929830163E-2</v>
      </c>
      <c r="I292" s="3">
        <f t="shared" ref="I292:I295" si="68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5"/>
        <v>0.60733264333125092</v>
      </c>
      <c r="G293" s="3">
        <f t="shared" si="66"/>
        <v>0.94668134653257563</v>
      </c>
      <c r="H293" s="3">
        <f t="shared" si="67"/>
        <v>5.3318653467424447E-2</v>
      </c>
      <c r="I293" s="3">
        <f t="shared" si="68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5"/>
        <v>0.65059958154669972</v>
      </c>
      <c r="G294" s="3">
        <f t="shared" si="66"/>
        <v>0.96099154554045707</v>
      </c>
      <c r="H294" s="3">
        <f t="shared" si="67"/>
        <v>3.9008454459542867E-2</v>
      </c>
      <c r="I294" s="3">
        <f t="shared" si="68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5"/>
        <v>0.64460489114467467</v>
      </c>
      <c r="G295" s="3">
        <f t="shared" si="66"/>
        <v>0.96206599107752477</v>
      </c>
      <c r="H295" s="3">
        <f t="shared" si="67"/>
        <v>3.7933989526717726E-2</v>
      </c>
      <c r="I295" s="3">
        <f t="shared" si="68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9">K296/J296</f>
        <v>0.63560755079129783</v>
      </c>
      <c r="G296" s="3">
        <f t="shared" ref="G296" si="70">L296/K296</f>
        <v>0.95031294409585143</v>
      </c>
      <c r="H296" s="3">
        <f t="shared" ref="H296" si="71">M296/K296</f>
        <v>4.9687055904148611E-2</v>
      </c>
      <c r="I296" s="3">
        <f t="shared" ref="I296" si="72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73">K297/J297</f>
        <v>0.6401309260312904</v>
      </c>
      <c r="G297" s="3">
        <f t="shared" ref="G297:G298" si="74">L297/K297</f>
        <v>0.95627988958077537</v>
      </c>
      <c r="H297" s="3">
        <f t="shared" ref="H297:H298" si="75">M297/K297</f>
        <v>4.3720091008200068E-2</v>
      </c>
      <c r="I297" s="3">
        <f t="shared" ref="I297:I298" si="76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73"/>
        <v>0.64408386794373529</v>
      </c>
      <c r="G298" s="3">
        <f t="shared" si="74"/>
        <v>0.95628417330437099</v>
      </c>
      <c r="H298" s="3">
        <f t="shared" si="75"/>
        <v>4.3715826695628943E-2</v>
      </c>
      <c r="I298" s="3">
        <f t="shared" si="76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E299" s="1" t="s">
        <v>425</v>
      </c>
      <c r="F299" s="3">
        <f t="shared" ref="F299" si="77">K299/J299</f>
        <v>0.64059574979635558</v>
      </c>
      <c r="G299" s="3">
        <f t="shared" ref="G299" si="78">L299/K299</f>
        <v>0.95810662851377437</v>
      </c>
      <c r="H299" s="3">
        <f t="shared" ref="H299" si="79">M299/K299</f>
        <v>4.1893371486225565E-2</v>
      </c>
      <c r="I299" s="3">
        <f t="shared" ref="I299" si="80">O299/L299</f>
        <v>0.11881208662896116</v>
      </c>
      <c r="J299" s="2">
        <v>79857.350000000006</v>
      </c>
      <c r="K299" s="2">
        <v>51156.279000000002</v>
      </c>
      <c r="L299" s="2">
        <v>49013.17</v>
      </c>
      <c r="M299" s="2">
        <v>2143.1089999999999</v>
      </c>
      <c r="N299" s="2">
        <f t="shared" si="34"/>
        <v>28701.071000000004</v>
      </c>
      <c r="O299" s="2">
        <v>5823.357</v>
      </c>
      <c r="P299" t="s">
        <v>855</v>
      </c>
    </row>
    <row r="300" spans="1:16" x14ac:dyDescent="0.25">
      <c r="A300" s="1" t="s">
        <v>841</v>
      </c>
      <c r="B300" s="1" t="s">
        <v>840</v>
      </c>
      <c r="C300" s="1" t="s">
        <v>103</v>
      </c>
      <c r="D300" s="1" t="s">
        <v>417</v>
      </c>
      <c r="E300" s="1" t="s">
        <v>425</v>
      </c>
      <c r="F300" s="3">
        <f t="shared" ref="F300" si="81">K300/J300</f>
        <v>0.62304594527350909</v>
      </c>
      <c r="G300" s="3">
        <f t="shared" ref="G300" si="82">L300/K300</f>
        <v>0.94193643540031868</v>
      </c>
      <c r="H300" s="3">
        <f t="shared" ref="H300" si="83">M300/K300</f>
        <v>5.8063564599681317E-2</v>
      </c>
      <c r="I300" s="3">
        <f t="shared" ref="I300" si="84">O300/L300</f>
        <v>0.13244881397687053</v>
      </c>
      <c r="J300" s="2">
        <v>81683.548999999999</v>
      </c>
      <c r="K300" s="2">
        <v>50892.603999999999</v>
      </c>
      <c r="L300" s="2">
        <v>47937.597999999998</v>
      </c>
      <c r="M300" s="2">
        <v>2955.0059999999999</v>
      </c>
      <c r="N300" s="2">
        <f t="shared" si="34"/>
        <v>30790.945</v>
      </c>
      <c r="O300" s="2">
        <v>6349.2780000000002</v>
      </c>
      <c r="P300" t="s">
        <v>839</v>
      </c>
    </row>
    <row r="301" spans="1:16" x14ac:dyDescent="0.25">
      <c r="A301" s="1" t="s">
        <v>842</v>
      </c>
      <c r="B301" s="1" t="s">
        <v>840</v>
      </c>
      <c r="C301" s="1" t="s">
        <v>430</v>
      </c>
      <c r="D301" s="1" t="s">
        <v>417</v>
      </c>
      <c r="E301" s="1" t="s">
        <v>425</v>
      </c>
      <c r="F301" s="3">
        <f t="shared" ref="F301" si="85">K301/J301</f>
        <v>0.63814578496183227</v>
      </c>
      <c r="G301" s="3">
        <f t="shared" ref="G301" si="86">L301/K301</f>
        <v>0.94891847087590342</v>
      </c>
      <c r="H301" s="3">
        <f t="shared" ref="H301" si="87">M301/K301</f>
        <v>5.1081529124096595E-2</v>
      </c>
      <c r="I301" s="3">
        <f t="shared" ref="I301" si="88">O301/L301</f>
        <v>0.1181406960296031</v>
      </c>
      <c r="J301" s="2">
        <v>81621.751999999993</v>
      </c>
      <c r="K301" s="2">
        <v>52086.576999999997</v>
      </c>
      <c r="L301" s="2">
        <v>49425.915000000001</v>
      </c>
      <c r="M301" s="2">
        <v>2660.6619999999998</v>
      </c>
      <c r="N301" s="2">
        <f t="shared" si="34"/>
        <v>29535.174999999996</v>
      </c>
      <c r="O301" s="2">
        <v>5839.2120000000004</v>
      </c>
      <c r="P301" t="s">
        <v>856</v>
      </c>
    </row>
    <row r="302" spans="1:16" x14ac:dyDescent="0.25">
      <c r="A302" s="1" t="s">
        <v>843</v>
      </c>
      <c r="B302" s="1" t="s">
        <v>840</v>
      </c>
      <c r="C302" s="1" t="s">
        <v>433</v>
      </c>
      <c r="D302" s="1" t="s">
        <v>417</v>
      </c>
      <c r="E302" s="51" t="s">
        <v>425</v>
      </c>
      <c r="F302" s="3">
        <f t="shared" ref="F302" si="89">K302/J302</f>
        <v>0.63323252936195007</v>
      </c>
      <c r="G302" s="3">
        <f t="shared" ref="G302" si="90">L302/K302</f>
        <v>0.95010655661650911</v>
      </c>
      <c r="H302" s="3">
        <f t="shared" ref="H302" si="91">M302/K302</f>
        <v>4.9893443383490894E-2</v>
      </c>
      <c r="I302" s="3">
        <f t="shared" ref="I302" si="92">O302/L302</f>
        <v>0.12291139509308913</v>
      </c>
      <c r="J302" s="2">
        <v>81558.956000000006</v>
      </c>
      <c r="K302" s="2">
        <v>51645.784</v>
      </c>
      <c r="L302" s="2">
        <v>49068.998</v>
      </c>
      <c r="M302" s="2">
        <v>2576.7860000000001</v>
      </c>
      <c r="N302" s="2">
        <f t="shared" si="34"/>
        <v>29913.172000000006</v>
      </c>
      <c r="O302" s="2">
        <v>6031.1390000000001</v>
      </c>
      <c r="P302" t="s">
        <v>857</v>
      </c>
    </row>
    <row r="303" spans="1:16" x14ac:dyDescent="0.25">
      <c r="A303" s="1" t="s">
        <v>844</v>
      </c>
      <c r="B303" s="1" t="s">
        <v>840</v>
      </c>
      <c r="C303" s="1" t="s">
        <v>105</v>
      </c>
      <c r="D303" s="1" t="s">
        <v>417</v>
      </c>
      <c r="E303" s="51" t="s">
        <v>425</v>
      </c>
      <c r="F303" s="3">
        <f t="shared" ref="F303" si="93">K303/J303</f>
        <v>0.62680754809337047</v>
      </c>
      <c r="G303" s="3">
        <f t="shared" ref="G303" si="94">L303/K303</f>
        <v>0.95294387941059833</v>
      </c>
      <c r="H303" s="3">
        <f t="shared" ref="H303" si="95">M303/K303</f>
        <v>4.7056120589401763E-2</v>
      </c>
      <c r="I303" s="3">
        <f t="shared" ref="I303" si="96">O303/L303</f>
        <v>0.15157325103830141</v>
      </c>
      <c r="J303" s="2">
        <v>81849.066999999995</v>
      </c>
      <c r="K303" s="2">
        <v>51303.612999999998</v>
      </c>
      <c r="L303" s="2">
        <v>48889.464</v>
      </c>
      <c r="M303" s="2">
        <v>2414.1489999999999</v>
      </c>
      <c r="N303" s="2">
        <f t="shared" si="34"/>
        <v>30545.453999999998</v>
      </c>
      <c r="O303" s="2">
        <v>7410.335</v>
      </c>
      <c r="P303" t="s">
        <v>858</v>
      </c>
    </row>
    <row r="304" spans="1:16" x14ac:dyDescent="0.25">
      <c r="A304" s="1" t="s">
        <v>845</v>
      </c>
      <c r="B304" s="1" t="s">
        <v>840</v>
      </c>
      <c r="C304" s="1" t="s">
        <v>439</v>
      </c>
      <c r="D304" s="1" t="s">
        <v>417</v>
      </c>
      <c r="E304" s="55" t="s">
        <v>425</v>
      </c>
      <c r="F304" s="3">
        <f t="shared" ref="F304" si="97">K304/J304</f>
        <v>0.63811943802781423</v>
      </c>
      <c r="G304" s="3">
        <f t="shared" ref="G304" si="98">L304/K304</f>
        <v>0.95207138197787045</v>
      </c>
      <c r="H304" s="3">
        <f t="shared" ref="H304" si="99">M304/K304</f>
        <v>4.7928618022129568E-2</v>
      </c>
      <c r="I304" s="3">
        <f t="shared" ref="I304" si="100">O304/L304</f>
        <v>0.12167668102712879</v>
      </c>
      <c r="J304" s="2">
        <v>81686.178</v>
      </c>
      <c r="K304" s="2">
        <v>52125.538</v>
      </c>
      <c r="L304" s="2">
        <v>49627.233</v>
      </c>
      <c r="M304" s="2">
        <v>2498.3049999999998</v>
      </c>
      <c r="N304" s="2">
        <f t="shared" si="34"/>
        <v>29560.639999999999</v>
      </c>
      <c r="O304" s="2">
        <v>6038.4769999999999</v>
      </c>
      <c r="P304" t="s">
        <v>863</v>
      </c>
    </row>
    <row r="305" spans="1:15" x14ac:dyDescent="0.25">
      <c r="A305" s="1" t="s">
        <v>846</v>
      </c>
      <c r="B305" s="1" t="s">
        <v>840</v>
      </c>
      <c r="C305" s="1" t="s">
        <v>442</v>
      </c>
      <c r="D305" s="1" t="s">
        <v>417</v>
      </c>
      <c r="O305" s="2"/>
    </row>
    <row r="306" spans="1:15" x14ac:dyDescent="0.25">
      <c r="A306" s="1" t="s">
        <v>847</v>
      </c>
      <c r="B306" s="1" t="s">
        <v>840</v>
      </c>
      <c r="C306" s="1" t="s">
        <v>107</v>
      </c>
      <c r="D306" s="1" t="s">
        <v>417</v>
      </c>
      <c r="E306" s="48"/>
      <c r="O306" s="2"/>
    </row>
    <row r="307" spans="1:15" x14ac:dyDescent="0.25">
      <c r="A307" s="1" t="s">
        <v>848</v>
      </c>
      <c r="B307" s="1" t="s">
        <v>840</v>
      </c>
      <c r="C307" s="1" t="s">
        <v>447</v>
      </c>
      <c r="D307" s="1" t="s">
        <v>417</v>
      </c>
      <c r="O307" s="2"/>
    </row>
    <row r="308" spans="1:15" x14ac:dyDescent="0.25">
      <c r="A308" s="1" t="s">
        <v>849</v>
      </c>
      <c r="B308" s="1" t="s">
        <v>840</v>
      </c>
      <c r="C308" s="1" t="s">
        <v>450</v>
      </c>
      <c r="D308" s="1" t="s">
        <v>417</v>
      </c>
      <c r="O308" s="2"/>
    </row>
    <row r="309" spans="1:15" x14ac:dyDescent="0.25">
      <c r="A309" s="1" t="s">
        <v>850</v>
      </c>
      <c r="B309" s="1" t="s">
        <v>840</v>
      </c>
      <c r="C309" s="1" t="s">
        <v>110</v>
      </c>
      <c r="D309" s="1" t="s">
        <v>417</v>
      </c>
      <c r="O309" s="2"/>
    </row>
    <row r="310" spans="1:15" x14ac:dyDescent="0.25">
      <c r="A310" s="1" t="s">
        <v>851</v>
      </c>
      <c r="B310" s="1" t="s">
        <v>840</v>
      </c>
      <c r="C310" s="1" t="s">
        <v>455</v>
      </c>
      <c r="D310" s="1" t="s">
        <v>417</v>
      </c>
      <c r="O310" s="2"/>
    </row>
    <row r="311" spans="1:15" x14ac:dyDescent="0.25">
      <c r="A311" s="1" t="s">
        <v>852</v>
      </c>
      <c r="B311" s="1" t="s">
        <v>840</v>
      </c>
      <c r="C311" s="1" t="s">
        <v>458</v>
      </c>
      <c r="D311" s="1" t="s">
        <v>417</v>
      </c>
      <c r="O311" s="2"/>
    </row>
    <row r="312" spans="1:15" x14ac:dyDescent="0.25">
      <c r="A312" s="1" t="s">
        <v>853</v>
      </c>
      <c r="B312" s="1" t="s">
        <v>840</v>
      </c>
      <c r="C312" s="1" t="s">
        <v>28</v>
      </c>
      <c r="D312" s="1" t="s">
        <v>417</v>
      </c>
      <c r="O312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7"/>
  <sheetViews>
    <sheetView workbookViewId="0">
      <pane xSplit="1" ySplit="1" topLeftCell="B29" activePane="bottomRight" state="frozen"/>
      <selection activeCell="B2" sqref="B2"/>
      <selection pane="topRight"/>
      <selection pane="bottomLeft"/>
      <selection pane="bottomRight" activeCell="B45" sqref="B45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spans="1:37" x14ac:dyDescent="0.25">
      <c r="A46">
        <v>2024</v>
      </c>
    </row>
    <row r="47" spans="1:37" x14ac:dyDescent="0.25">
      <c r="A47">
        <v>2025</v>
      </c>
    </row>
  </sheetData>
  <phoneticPr fontId="14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I54"/>
  <sheetViews>
    <sheetView workbookViewId="0">
      <pane xSplit="3" ySplit="1" topLeftCell="CD2" activePane="bottomRight" state="frozen"/>
      <selection pane="topRight" activeCell="D1" sqref="D1"/>
      <selection pane="bottomLeft" activeCell="A2" sqref="A2"/>
      <selection pane="bottomRight" activeCell="CI27" sqref="CI27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7" width="10.7109375" style="26" customWidth="1"/>
    <col min="88" max="16384" width="9.140625" style="24"/>
  </cols>
  <sheetData>
    <row r="1" spans="1:87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24" t="s">
        <v>695</v>
      </c>
      <c r="BR1" s="35" t="s">
        <v>764</v>
      </c>
      <c r="BS1" s="53" t="s">
        <v>766</v>
      </c>
      <c r="BT1" s="26" t="s">
        <v>822</v>
      </c>
      <c r="BU1" s="26" t="s">
        <v>823</v>
      </c>
      <c r="BV1" s="26" t="s">
        <v>824</v>
      </c>
      <c r="BW1" s="52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  <c r="CF1" s="54" t="s">
        <v>862</v>
      </c>
      <c r="CG1" s="54" t="s">
        <v>861</v>
      </c>
      <c r="CH1" s="54" t="s">
        <v>860</v>
      </c>
      <c r="CI1" s="54" t="s">
        <v>859</v>
      </c>
    </row>
    <row r="2" spans="1:87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49155.131999999998</v>
      </c>
      <c r="BV2" s="34">
        <v>48022.3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  <c r="CF2" s="34">
        <v>47937.597999999998</v>
      </c>
      <c r="CG2" s="34">
        <v>49425.915000000001</v>
      </c>
      <c r="CH2" s="34">
        <v>49068.998</v>
      </c>
      <c r="CI2" s="34">
        <v>48889.464</v>
      </c>
    </row>
    <row r="3" spans="1:87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7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8934.3719999999994</v>
      </c>
      <c r="BU4" s="26">
        <v>8418.3580000000002</v>
      </c>
      <c r="BV4" s="26">
        <v>8471.7170000000006</v>
      </c>
      <c r="BW4" s="26">
        <v>8610.2610000000004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  <c r="CF4" s="26">
        <v>7515.3950000000004</v>
      </c>
      <c r="CG4" s="26">
        <v>7895.0129999999999</v>
      </c>
      <c r="CH4" s="26">
        <v>8381.5079999999998</v>
      </c>
      <c r="CI4" s="26">
        <v>8218.6059999999998</v>
      </c>
    </row>
    <row r="5" spans="1:87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1307.856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  <c r="CF5" s="26">
        <v>1168.0509999999999</v>
      </c>
      <c r="CG5" s="26">
        <v>1400.816</v>
      </c>
      <c r="CH5" s="26">
        <v>980.77700000000004</v>
      </c>
      <c r="CI5" s="26">
        <v>1253.923</v>
      </c>
    </row>
    <row r="6" spans="1:87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7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220.392</v>
      </c>
      <c r="BU7" s="26">
        <v>231.15100000000001</v>
      </c>
      <c r="BV7" s="26">
        <v>177.78700000000001</v>
      </c>
      <c r="BW7" s="26">
        <v>187.976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  <c r="CF7" s="26">
        <v>257.41500000000002</v>
      </c>
      <c r="CG7" s="26">
        <v>247.14099999999999</v>
      </c>
      <c r="CH7" s="26">
        <v>324.60000000000002</v>
      </c>
      <c r="CI7" s="26">
        <v>346.44799999999998</v>
      </c>
    </row>
    <row r="8" spans="1:87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3367.7240000000002</v>
      </c>
      <c r="BU8" s="26">
        <v>3585.096</v>
      </c>
      <c r="BV8" s="26">
        <v>3695.4119999999998</v>
      </c>
      <c r="BW8" s="26">
        <v>3327.5920000000001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  <c r="CF8" s="26">
        <v>3693.7040000000002</v>
      </c>
      <c r="CG8" s="26">
        <v>3763.319</v>
      </c>
      <c r="CH8" s="26">
        <v>3546.7910000000002</v>
      </c>
      <c r="CI8" s="26">
        <v>3587.0659999999998</v>
      </c>
    </row>
    <row r="9" spans="1:87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94.67</v>
      </c>
      <c r="BV9" s="26">
        <v>84.483000000000004</v>
      </c>
      <c r="BW9" s="26">
        <v>110.288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  <c r="CF9" s="26">
        <v>107.005</v>
      </c>
      <c r="CG9" s="26">
        <v>107.886</v>
      </c>
      <c r="CH9" s="26">
        <v>100.622</v>
      </c>
      <c r="CI9" s="26">
        <v>110.767</v>
      </c>
    </row>
    <row r="10" spans="1:87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90.442999999999998</v>
      </c>
      <c r="BU10" s="26">
        <v>49.323</v>
      </c>
      <c r="BV10" s="26">
        <v>67.367000000000004</v>
      </c>
      <c r="BW10" s="26">
        <v>78.067999999999998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  <c r="CF10" s="26">
        <v>102.398</v>
      </c>
      <c r="CG10" s="26">
        <v>54.878999999999998</v>
      </c>
      <c r="CH10" s="26">
        <v>84.019000000000005</v>
      </c>
      <c r="CI10" s="26">
        <v>94.965000000000003</v>
      </c>
    </row>
    <row r="11" spans="1:87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5034.17</v>
      </c>
      <c r="BV11" s="26">
        <v>4558.4160000000002</v>
      </c>
      <c r="BW11" s="26">
        <v>4810.817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  <c r="CF11" s="26">
        <v>4597.78</v>
      </c>
      <c r="CG11" s="26">
        <v>4550.3280000000004</v>
      </c>
      <c r="CH11" s="26">
        <v>4733.893</v>
      </c>
      <c r="CI11" s="26">
        <v>4808.732</v>
      </c>
    </row>
    <row r="12" spans="1:87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7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9969.3510000000006</v>
      </c>
      <c r="BU13" s="26">
        <v>10622.892</v>
      </c>
      <c r="BV13" s="26">
        <v>9929.4509999999991</v>
      </c>
      <c r="BW13" s="26">
        <v>10105.784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  <c r="CF13" s="26">
        <v>9240.1880000000001</v>
      </c>
      <c r="CG13" s="26">
        <v>9898.366</v>
      </c>
      <c r="CH13" s="26">
        <v>9911.7520000000004</v>
      </c>
      <c r="CI13" s="26">
        <v>9656.1389999999992</v>
      </c>
    </row>
    <row r="14" spans="1:87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3857.31</v>
      </c>
      <c r="BU14" s="26">
        <v>3682.2550000000001</v>
      </c>
      <c r="BV14" s="26">
        <v>3545.6819999999998</v>
      </c>
      <c r="BW14" s="26">
        <v>3767.777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  <c r="CF14" s="26">
        <v>4016.8910000000001</v>
      </c>
      <c r="CG14" s="26">
        <v>4168.45</v>
      </c>
      <c r="CH14" s="26">
        <v>4053.125</v>
      </c>
      <c r="CI14" s="26">
        <v>3956.7249999999999</v>
      </c>
    </row>
    <row r="15" spans="1:87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2715</v>
      </c>
      <c r="BU15" s="26">
        <v>2803.4749999999999</v>
      </c>
      <c r="BV15" s="26">
        <v>3166.7829999999999</v>
      </c>
      <c r="BW15" s="26">
        <v>2593.4250000000002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  <c r="CF15" s="26">
        <v>2799.2539999999999</v>
      </c>
      <c r="CG15" s="26">
        <v>3160.0189999999998</v>
      </c>
      <c r="CH15" s="26">
        <v>3150.8020000000001</v>
      </c>
      <c r="CI15" s="26">
        <v>3103.8670000000002</v>
      </c>
    </row>
    <row r="16" spans="1:87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502.34500000000003</v>
      </c>
      <c r="BU16" s="26">
        <v>416.47300000000001</v>
      </c>
      <c r="BV16" s="26">
        <v>513.25300000000004</v>
      </c>
      <c r="BW16" s="26">
        <v>452.30500000000001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  <c r="CF16" s="26">
        <v>534.44899999999996</v>
      </c>
      <c r="CG16" s="26">
        <v>469.30099999999999</v>
      </c>
      <c r="CH16" s="26">
        <v>565.06399999999996</v>
      </c>
      <c r="CI16" s="26">
        <v>490.93</v>
      </c>
    </row>
    <row r="17" spans="1:87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742.78700000000003</v>
      </c>
      <c r="BU17" s="26">
        <v>673.19600000000003</v>
      </c>
      <c r="BV17" s="26">
        <v>686.87900000000002</v>
      </c>
      <c r="BW17" s="26">
        <v>658.38199999999995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  <c r="CF17" s="26">
        <v>728.08600000000001</v>
      </c>
      <c r="CG17" s="26">
        <v>896.75699999999995</v>
      </c>
      <c r="CH17" s="26">
        <v>780.95500000000004</v>
      </c>
      <c r="CI17" s="26">
        <v>744.93799999999999</v>
      </c>
    </row>
    <row r="18" spans="1:87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280.822</v>
      </c>
      <c r="BU18" s="26">
        <v>212.18700000000001</v>
      </c>
      <c r="BV18" s="26">
        <v>262.30099999999999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  <c r="CF18" s="26">
        <v>274.21100000000001</v>
      </c>
      <c r="CG18" s="26">
        <v>272.73700000000002</v>
      </c>
      <c r="CH18" s="26">
        <v>307.05900000000003</v>
      </c>
      <c r="CI18" s="26">
        <v>282.81099999999998</v>
      </c>
    </row>
    <row r="19" spans="1:87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426.68900000000002</v>
      </c>
      <c r="BU19" s="26">
        <v>337.40199999999999</v>
      </c>
      <c r="BV19" s="26">
        <v>271.33499999999998</v>
      </c>
      <c r="BW19" s="26">
        <v>391.28399999999999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  <c r="CF19" s="26">
        <v>486.67200000000003</v>
      </c>
      <c r="CG19" s="26">
        <v>389.46699999999998</v>
      </c>
      <c r="CH19" s="26">
        <v>480.75900000000001</v>
      </c>
      <c r="CI19" s="26">
        <v>378.964</v>
      </c>
    </row>
    <row r="20" spans="1:87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2691.9009999999998</v>
      </c>
      <c r="BU20" s="26">
        <v>2453.951</v>
      </c>
      <c r="BV20" s="26">
        <v>2560.7049999999999</v>
      </c>
      <c r="BW20" s="26">
        <v>3008.3760000000002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  <c r="CF20" s="26">
        <v>3094.864</v>
      </c>
      <c r="CG20" s="26">
        <v>3025.8049999999998</v>
      </c>
      <c r="CH20" s="26">
        <v>3018.433</v>
      </c>
      <c r="CI20" s="26">
        <v>2958.6370000000002</v>
      </c>
    </row>
    <row r="21" spans="1:87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2819.0740000000001</v>
      </c>
      <c r="BU21" s="26">
        <v>2949.6309999999999</v>
      </c>
      <c r="BV21" s="26">
        <v>2855.279</v>
      </c>
      <c r="BW21" s="26">
        <v>3065.34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  <c r="CF21" s="26">
        <v>3160.5990000000002</v>
      </c>
      <c r="CG21" s="26">
        <v>2824.107</v>
      </c>
      <c r="CH21" s="26">
        <v>2717.8029999999999</v>
      </c>
      <c r="CI21" s="26">
        <v>3015.7750000000001</v>
      </c>
    </row>
    <row r="22" spans="1:87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1591.529</v>
      </c>
      <c r="BU22" s="26">
        <v>1650.162</v>
      </c>
      <c r="BV22" s="26">
        <v>1823.97</v>
      </c>
      <c r="BW22" s="26">
        <v>1630.933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  <c r="CF22" s="26">
        <v>1672.4290000000001</v>
      </c>
      <c r="CG22" s="26">
        <v>1750.7249999999999</v>
      </c>
      <c r="CH22" s="26">
        <v>1892.867</v>
      </c>
      <c r="CI22" s="26">
        <v>1737.954</v>
      </c>
    </row>
    <row r="23" spans="1:87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738.35199999999998</v>
      </c>
      <c r="BU23" s="26">
        <v>764.09100000000001</v>
      </c>
      <c r="BV23" s="26">
        <v>727.83799999999997</v>
      </c>
      <c r="BW23" s="26">
        <v>783.79899999999998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  <c r="CF23" s="26">
        <v>824.98199999999997</v>
      </c>
      <c r="CG23" s="26">
        <v>978.47400000000005</v>
      </c>
      <c r="CH23" s="26">
        <v>824.15200000000004</v>
      </c>
      <c r="CI23" s="26">
        <v>758.59199999999998</v>
      </c>
    </row>
    <row r="24" spans="1:87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441.14499999999998</v>
      </c>
      <c r="BU24" s="26">
        <v>513.55700000000002</v>
      </c>
      <c r="BV24" s="26">
        <v>514.23</v>
      </c>
      <c r="BW24" s="26">
        <v>445.36599999999999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  <c r="CF24" s="26">
        <v>482.51299999999998</v>
      </c>
      <c r="CG24" s="26">
        <v>427.36799999999999</v>
      </c>
      <c r="CH24" s="26">
        <v>367.56200000000001</v>
      </c>
      <c r="CI24" s="26">
        <v>466.43299999999999</v>
      </c>
    </row>
    <row r="25" spans="1:87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3101.9340000000002</v>
      </c>
      <c r="BU25" s="26">
        <v>3207.8330000000001</v>
      </c>
      <c r="BV25" s="26">
        <v>2939.4969999999998</v>
      </c>
      <c r="BW25" s="26">
        <v>2962.6170000000002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  <c r="CF25" s="26">
        <v>3179.8470000000002</v>
      </c>
      <c r="CG25" s="26">
        <v>3143.88</v>
      </c>
      <c r="CH25" s="26">
        <v>2845.0410000000002</v>
      </c>
      <c r="CI25" s="26">
        <v>2917.0720000000001</v>
      </c>
    </row>
    <row r="26" spans="1:87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  <c r="CF26" s="26">
        <v>0.86599999999999999</v>
      </c>
      <c r="CG26" s="26">
        <v>1.0780000000000001</v>
      </c>
      <c r="CH26" s="26">
        <v>1.415</v>
      </c>
      <c r="CI26" s="26">
        <v>0.11899999999999999</v>
      </c>
    </row>
    <row r="27" spans="1:87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7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7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7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7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7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4"/>
  <sheetViews>
    <sheetView workbookViewId="0">
      <pane xSplit="1" ySplit="6" topLeftCell="B182" activePane="bottomRight" state="frozen"/>
      <selection activeCell="B153" sqref="B153"/>
      <selection pane="topRight"/>
      <selection pane="bottomLeft"/>
      <selection pane="bottomRight" activeCell="B196" sqref="B196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  <c r="B191" t="s">
        <v>855</v>
      </c>
    </row>
    <row r="192" spans="1:2" x14ac:dyDescent="0.25">
      <c r="A192" s="1" t="s">
        <v>841</v>
      </c>
      <c r="B192" t="s">
        <v>839</v>
      </c>
    </row>
    <row r="193" spans="1:2" x14ac:dyDescent="0.25">
      <c r="A193" s="1" t="s">
        <v>842</v>
      </c>
      <c r="B193" t="s">
        <v>856</v>
      </c>
    </row>
    <row r="194" spans="1:2" x14ac:dyDescent="0.25">
      <c r="A194" s="1" t="s">
        <v>843</v>
      </c>
      <c r="B194" t="s">
        <v>857</v>
      </c>
    </row>
    <row r="195" spans="1:2" x14ac:dyDescent="0.25">
      <c r="A195" s="1" t="s">
        <v>844</v>
      </c>
      <c r="B195" t="s">
        <v>858</v>
      </c>
    </row>
    <row r="196" spans="1:2" x14ac:dyDescent="0.25">
      <c r="A196" s="1" t="s">
        <v>845</v>
      </c>
      <c r="B196" t="s">
        <v>863</v>
      </c>
    </row>
    <row r="197" spans="1:2" x14ac:dyDescent="0.25">
      <c r="A197" s="1" t="s">
        <v>846</v>
      </c>
    </row>
    <row r="198" spans="1:2" x14ac:dyDescent="0.25">
      <c r="A198" s="1" t="s">
        <v>847</v>
      </c>
    </row>
    <row r="199" spans="1:2" x14ac:dyDescent="0.25">
      <c r="A199" s="1" t="s">
        <v>848</v>
      </c>
    </row>
    <row r="200" spans="1:2" x14ac:dyDescent="0.25">
      <c r="A200" s="1" t="s">
        <v>849</v>
      </c>
    </row>
    <row r="201" spans="1:2" x14ac:dyDescent="0.25">
      <c r="A201" s="1" t="s">
        <v>850</v>
      </c>
    </row>
    <row r="202" spans="1:2" x14ac:dyDescent="0.25">
      <c r="A202" s="1" t="s">
        <v>851</v>
      </c>
    </row>
    <row r="203" spans="1:2" x14ac:dyDescent="0.25">
      <c r="A203" s="1" t="s">
        <v>852</v>
      </c>
    </row>
    <row r="204" spans="1:2" x14ac:dyDescent="0.25">
      <c r="A204" s="1" t="s">
        <v>853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2026-07-10T02:08:04Z</dcterms:modified>
</cp:coreProperties>
</file>