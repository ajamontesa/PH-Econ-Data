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8_{135D017B-A7E3-4686-8F56-258F406705A0}" xr6:coauthVersionLast="47" xr6:coauthVersionMax="47" xr10:uidLastSave="{00000000-0000-0000-0000-000000000000}"/>
  <bookViews>
    <workbookView xWindow="-28920" yWindow="-120" windowWidth="29040" windowHeight="15720" xr2:uid="{AD6681AD-0E19-4593-8CB6-51169952D4AC}"/>
  </bookViews>
  <sheets>
    <sheet name="Table 4" sheetId="1" r:id="rId1"/>
  </sheets>
  <definedNames>
    <definedName name="_xlnm.Print_Area" localSheetId="0">'Table 4'!$A$1:$F$29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7" i="1"/>
</calcChain>
</file>

<file path=xl/sharedStrings.xml><?xml version="1.0" encoding="utf-8"?>
<sst xmlns="http://schemas.openxmlformats.org/spreadsheetml/2006/main" count="35" uniqueCount="32">
  <si>
    <t>TABLE 4 - Standard Errors and Coefficient of Variations of Average Monthly Wage Rates 
of General Office Clerks by Region, Philippines:  August 2024</t>
  </si>
  <si>
    <t>(In Establishments Employing 10 and More Workers)</t>
  </si>
  <si>
    <t>Region</t>
  </si>
  <si>
    <t>Wage Rate Estimate</t>
  </si>
  <si>
    <t>Standard Error</t>
  </si>
  <si>
    <t>Coefficient of Variation (%)</t>
  </si>
  <si>
    <t>90% Confidence Interval</t>
  </si>
  <si>
    <t>Lower</t>
  </si>
  <si>
    <t>Upper</t>
  </si>
  <si>
    <t>PHILIPPINES</t>
  </si>
  <si>
    <t>_ratio_1</t>
  </si>
  <si>
    <t>National Capital Region</t>
  </si>
  <si>
    <t>Cordillera Administrative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</si>
  <si>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</si>
  <si>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</si>
  <si>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</si>
  <si>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</si>
  <si>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</si>
  <si>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</si>
  <si>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</si>
  <si>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</si>
  <si>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</si>
  <si>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</si>
  <si>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</si>
  <si>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</si>
  <si>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 xml:space="preserve">Region XII - SOCCSKSARGEN </t>
  </si>
  <si>
    <t>Regio XIII - Caraga</t>
  </si>
  <si>
    <t>Bangsamoro Autonomous Region in Muslim Mindanao</t>
  </si>
  <si>
    <t>-</t>
  </si>
  <si>
    <t xml:space="preserve">Note: An estimate with coefficient of variation greater than 10%  should be used with caution since the estimate is located in a very wide spread </t>
  </si>
  <si>
    <t xml:space="preserve">            or wage range, thus, it is less reliable or precise.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</si>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</sst>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#,##0.0"/>
    <numFmt numFmtId="166" formatCode="_-* #,##0.0_-;\-* #,##0.0_-;_-* &quot;-&quot;??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i/>
      <sz val="9"/>
      <name val="Arial"/>
      <family val="2"/>
    </font>
    <font>
      <b/>
      <i/>
      <sz val="8"/>
      <color theme="1"/>
      <name val="Verdana"/>
      <family val="2"/>
    </font>
    <font>
      <b/>
      <i/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2" fontId="4" fillId="0" borderId="1" xfId="0" applyNumberFormat="1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3" fontId="4" fillId="0" borderId="3" xfId="0" applyNumberFormat="1" applyFont="1" applyBorder="1" applyAlignment="1">
      <alignment horizontal="right" wrapText="1" indent="3"/>
    </xf>
    <xf numFmtId="0" fontId="0" fillId="0" borderId="3" xfId="0" applyBorder="1"/>
    <xf numFmtId="0" fontId="0" fillId="0" borderId="4" xfId="0" applyBorder="1"/>
    <xf numFmtId="0" fontId="4" fillId="0" borderId="5" xfId="0" applyFont="1" applyBorder="1" applyAlignment="1">
      <alignment horizontal="center" vertical="center"/>
    </xf>
    <xf numFmtId="3" fontId="4" fillId="0" borderId="0" xfId="0" applyNumberFormat="1" applyFont="1" applyAlignment="1">
      <alignment horizontal="right" wrapText="1" indent="2"/>
    </xf>
    <xf numFmtId="164" fontId="5" fillId="0" borderId="0" xfId="1" applyNumberFormat="1" applyFont="1" applyBorder="1" applyAlignment="1">
      <alignment horizontal="right" wrapText="1" indent="2"/>
    </xf>
    <xf numFmtId="165" fontId="4" fillId="0" borderId="0" xfId="0" applyNumberFormat="1" applyFont="1" applyAlignment="1">
      <alignment horizontal="right" wrapText="1" indent="2"/>
    </xf>
    <xf numFmtId="3" fontId="4" fillId="0" borderId="6" xfId="0" applyNumberFormat="1" applyFont="1" applyBorder="1" applyAlignment="1">
      <alignment horizontal="right" wrapText="1" indent="2"/>
    </xf>
    <xf numFmtId="166" fontId="0" fillId="0" borderId="0" xfId="1" applyNumberFormat="1" applyFont="1"/>
    <xf numFmtId="3" fontId="0" fillId="0" borderId="0" xfId="0" applyNumberFormat="1"/>
    <xf numFmtId="164" fontId="6" fillId="0" borderId="0" xfId="1" applyNumberFormat="1" applyFont="1" applyBorder="1"/>
    <xf numFmtId="0" fontId="2" fillId="0" borderId="5" xfId="0" applyFont="1" applyBorder="1" applyAlignment="1">
      <alignment horizontal="left" vertical="center" indent="1"/>
    </xf>
    <xf numFmtId="3" fontId="2" fillId="0" borderId="0" xfId="0" applyNumberFormat="1" applyFont="1" applyAlignment="1">
      <alignment horizontal="right" wrapText="1" indent="2"/>
    </xf>
    <xf numFmtId="164" fontId="6" fillId="0" borderId="0" xfId="1" applyNumberFormat="1" applyFont="1" applyBorder="1" applyAlignment="1">
      <alignment horizontal="right" wrapText="1" indent="2"/>
    </xf>
    <xf numFmtId="165" fontId="2" fillId="0" borderId="0" xfId="0" applyNumberFormat="1" applyFont="1" applyAlignment="1">
      <alignment horizontal="right" wrapText="1" indent="2"/>
    </xf>
    <xf numFmtId="3" fontId="2" fillId="0" borderId="6" xfId="0" applyNumberFormat="1" applyFont="1" applyBorder="1" applyAlignment="1">
      <alignment horizontal="right" wrapText="1" indent="2"/>
    </xf>
    <xf numFmtId="0" fontId="2" fillId="0" borderId="7" xfId="0" applyFont="1" applyBorder="1" applyAlignment="1">
      <alignment horizontal="left" vertical="center" indent="1"/>
    </xf>
    <xf numFmtId="3" fontId="2" fillId="0" borderId="8" xfId="0" applyNumberFormat="1" applyFont="1" applyBorder="1" applyAlignment="1">
      <alignment horizontal="right" wrapText="1" indent="2"/>
    </xf>
    <xf numFmtId="164" fontId="6" fillId="0" borderId="8" xfId="1" applyNumberFormat="1" applyFont="1" applyBorder="1" applyAlignment="1">
      <alignment horizontal="right" wrapText="1" indent="2"/>
    </xf>
    <xf numFmtId="0" fontId="2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right" wrapText="1" indent="3"/>
    </xf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/>
    <xf numFmtId="0" fontId="6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F7574-1517-456D-99ED-F0CDE25A721D}">
  <dimension ref="A1:N29"/>
  <sheetViews>
    <sheetView tabSelected="1" view="pageBreakPreview" zoomScale="130" zoomScaleNormal="100" zoomScaleSheetLayoutView="130" workbookViewId="0">
      <selection activeCell="B8" sqref="B8"/>
    </sheetView>
  </sheetViews>
  <sheetFormatPr defaultRowHeight="15" x14ac:dyDescent="0.25"/>
  <cols>
    <col min="1" max="1" width="50.7109375" style="33" customWidth="1"/>
    <col min="2" max="3" width="13.5703125" style="33" customWidth="1"/>
    <col min="4" max="6" width="13.5703125" customWidth="1"/>
    <col min="8" max="13" width="0" hidden="1" customWidth="1"/>
  </cols>
  <sheetData>
    <row r="1" spans="1:14" ht="30" customHeight="1" x14ac:dyDescent="0.25">
      <c r="A1" s="1" t="s">
        <v>0</v>
      </c>
      <c r="B1" s="1"/>
      <c r="C1" s="1"/>
      <c r="D1" s="1"/>
      <c r="E1" s="1"/>
      <c r="F1" s="1"/>
      <c r="G1" s="2"/>
    </row>
    <row r="2" spans="1:14" x14ac:dyDescent="0.25">
      <c r="A2" s="3" t="s">
        <v>1</v>
      </c>
      <c r="B2" s="3"/>
      <c r="C2" s="3"/>
      <c r="D2" s="3"/>
      <c r="E2" s="3"/>
      <c r="F2" s="3"/>
    </row>
    <row r="3" spans="1:14" x14ac:dyDescent="0.25">
      <c r="A3" s="4"/>
      <c r="B3" s="4"/>
      <c r="C3" s="4"/>
    </row>
    <row r="4" spans="1:14" ht="24.95" customHeight="1" x14ac:dyDescent="0.25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/>
    </row>
    <row r="5" spans="1:14" ht="24.95" customHeight="1" x14ac:dyDescent="0.25">
      <c r="A5" s="5"/>
      <c r="B5" s="5"/>
      <c r="C5" s="5"/>
      <c r="D5" s="5"/>
      <c r="E5" s="6" t="s">
        <v>7</v>
      </c>
      <c r="F5" s="6" t="s">
        <v>8</v>
      </c>
    </row>
    <row r="6" spans="1:14" x14ac:dyDescent="0.25">
      <c r="A6" s="7"/>
      <c r="B6" s="8"/>
      <c r="C6" s="8"/>
      <c r="D6" s="9"/>
      <c r="E6" s="9"/>
      <c r="F6" s="10"/>
    </row>
    <row r="7" spans="1:14" x14ac:dyDescent="0.25">
      <c r="A7" s="11" t="s">
        <v>9</v>
      </c>
      <c r="B7" s="12">
        <v>19720.59</v>
      </c>
      <c r="C7" s="13">
        <v>313.22300000000001</v>
      </c>
      <c r="D7" s="14">
        <f>C7/B7*100</f>
        <v>1.588304406713998</v>
      </c>
      <c r="E7" s="12">
        <v>19205.34</v>
      </c>
      <c r="F7" s="15">
        <v>20235.849999999999</v>
      </c>
      <c r="H7" t="s">
        <v>10</v>
      </c>
      <c r="I7">
        <v>19676.46</v>
      </c>
      <c r="J7">
        <v>236.8646</v>
      </c>
      <c r="K7" s="16">
        <v>1.2037968211761669</v>
      </c>
      <c r="L7" s="16">
        <v>19212.16</v>
      </c>
      <c r="M7">
        <v>20140.759999999998</v>
      </c>
      <c r="N7" s="17"/>
    </row>
    <row r="8" spans="1:14" x14ac:dyDescent="0.25">
      <c r="A8" s="11"/>
      <c r="B8" s="12"/>
      <c r="C8" s="18"/>
      <c r="D8" s="14"/>
      <c r="E8" s="12"/>
      <c r="F8" s="15"/>
      <c r="K8" s="16"/>
      <c r="L8" s="16"/>
    </row>
    <row r="9" spans="1:14" x14ac:dyDescent="0.25">
      <c r="A9" s="19" t="s">
        <v>11</v>
      </c>
      <c r="B9" s="20">
        <v>22902.85</v>
      </c>
      <c r="C9" s="21">
        <v>347.11970000000002</v>
      </c>
      <c r="D9" s="22">
        <f>C9/B9*100</f>
        <v>1.5156179252800419</v>
      </c>
      <c r="E9" s="20">
        <v>22331.83</v>
      </c>
      <c r="F9" s="23">
        <v>23473.87</v>
      </c>
      <c r="H9">
        <v>13</v>
      </c>
      <c r="I9">
        <v>24529.97</v>
      </c>
      <c r="J9">
        <v>471.34890000000001</v>
      </c>
      <c r="K9" s="16">
        <v>1.9215225293793672</v>
      </c>
      <c r="L9" s="16">
        <v>23606.03</v>
      </c>
      <c r="M9">
        <v>25453.91</v>
      </c>
      <c r="N9" s="17"/>
    </row>
    <row r="10" spans="1:14" x14ac:dyDescent="0.25">
      <c r="A10" s="19" t="s">
        <v>12</v>
      </c>
      <c r="B10" s="20">
        <v>17782.84</v>
      </c>
      <c r="C10" s="21">
        <v>428.49430000000001</v>
      </c>
      <c r="D10" s="22">
        <f t="shared" ref="D10:D24" si="0">C10/B10*100</f>
        <v>2.409594305521503</v>
      </c>
      <c r="E10" s="20">
        <v>17077.96</v>
      </c>
      <c r="F10" s="23">
        <v>18487.72</v>
      </c>
      <c r="H10">
        <v>14</v>
      </c>
      <c r="I10">
        <v>17638.759999999998</v>
      </c>
      <c r="J10">
        <v>1311.6030000000001</v>
      </c>
      <c r="K10" s="16">
        <v>7.4359138624257044</v>
      </c>
      <c r="L10" s="16">
        <v>15067.74</v>
      </c>
      <c r="M10">
        <v>20209.77</v>
      </c>
      <c r="N10" s="17"/>
    </row>
    <row r="11" spans="1:14" x14ac:dyDescent="0.25">
      <c r="A11" s="19" t="s">
        <v>13</v>
      </c>
      <c r="B11" s="20">
        <v>15637.1</v>
      </c>
      <c r="C11" s="21">
        <v>209.85810000000001</v>
      </c>
      <c r="D11" s="22">
        <f t="shared" si="0"/>
        <v>1.3420525545017938</v>
      </c>
      <c r="E11" s="20">
        <v>15291.88</v>
      </c>
      <c r="F11" s="23">
        <v>15982.32</v>
      </c>
      <c r="H11">
        <v>1</v>
      </c>
      <c r="I11">
        <v>14989.04</v>
      </c>
      <c r="J11">
        <v>416.4126</v>
      </c>
      <c r="K11" s="16">
        <v>2.778113875204816</v>
      </c>
      <c r="L11" s="16">
        <v>14172.79</v>
      </c>
      <c r="M11">
        <v>15805.3</v>
      </c>
      <c r="N11" s="17"/>
    </row>
    <row r="12" spans="1:14" x14ac:dyDescent="0.25">
      <c r="A12" s="19" t="s">
        <v>14</v>
      </c>
      <c r="B12" s="20">
        <v>16182.67</v>
      </c>
      <c r="C12" s="21">
        <v>195.98169999999999</v>
      </c>
      <c r="D12" s="22">
        <f t="shared" si="0"/>
        <v>1.2110591144724572</v>
      </c>
      <c r="E12" s="20">
        <v>15860.27</v>
      </c>
      <c r="F12" s="23">
        <v>16505.060000000001</v>
      </c>
      <c r="H12">
        <v>2</v>
      </c>
      <c r="I12">
        <v>17037.71</v>
      </c>
      <c r="J12">
        <v>600.5883</v>
      </c>
      <c r="K12" s="16">
        <v>3.52505295606041</v>
      </c>
      <c r="L12" s="16">
        <v>15860.44</v>
      </c>
      <c r="M12">
        <v>18214.990000000002</v>
      </c>
      <c r="N12" s="17"/>
    </row>
    <row r="13" spans="1:14" x14ac:dyDescent="0.25">
      <c r="A13" s="19" t="s">
        <v>15</v>
      </c>
      <c r="B13" s="20">
        <v>20843.78</v>
      </c>
      <c r="C13" s="21">
        <v>1684.694</v>
      </c>
      <c r="D13" s="22">
        <f t="shared" si="0"/>
        <v>8.0824783220701821</v>
      </c>
      <c r="E13" s="20">
        <v>18072.439999999999</v>
      </c>
      <c r="F13" s="23">
        <v>23615.13</v>
      </c>
      <c r="H13">
        <v>3</v>
      </c>
      <c r="I13">
        <v>20028.55</v>
      </c>
      <c r="J13">
        <v>413.5718</v>
      </c>
      <c r="K13" s="16">
        <v>2.064911339063487</v>
      </c>
      <c r="L13" s="16">
        <v>19217.86</v>
      </c>
      <c r="M13">
        <v>20839.240000000002</v>
      </c>
      <c r="N13" s="17"/>
    </row>
    <row r="14" spans="1:14" x14ac:dyDescent="0.25">
      <c r="A14" s="19" t="s">
        <v>16</v>
      </c>
      <c r="B14" s="20">
        <v>18817.14</v>
      </c>
      <c r="C14" s="21">
        <v>365.02050000000003</v>
      </c>
      <c r="D14" s="22">
        <f t="shared" si="0"/>
        <v>1.9398298572471697</v>
      </c>
      <c r="E14" s="20">
        <v>18216.68</v>
      </c>
      <c r="F14" s="23">
        <v>19417.61</v>
      </c>
      <c r="H14">
        <v>4</v>
      </c>
      <c r="I14">
        <v>17724.14</v>
      </c>
      <c r="J14">
        <v>326.0179</v>
      </c>
      <c r="K14" s="16">
        <v>1.8394003883968417</v>
      </c>
      <c r="L14" s="16">
        <v>17085.080000000002</v>
      </c>
      <c r="M14">
        <v>18363.21</v>
      </c>
      <c r="N14" s="17"/>
    </row>
    <row r="15" spans="1:14" x14ac:dyDescent="0.25">
      <c r="A15" s="19" t="s">
        <v>17</v>
      </c>
      <c r="B15" s="20">
        <v>14610.27</v>
      </c>
      <c r="C15" s="21">
        <v>289.05959999999999</v>
      </c>
      <c r="D15" s="22">
        <f t="shared" si="0"/>
        <v>1.9784685703960296</v>
      </c>
      <c r="E15" s="20">
        <v>14134.77</v>
      </c>
      <c r="F15" s="23">
        <v>15085.78</v>
      </c>
      <c r="H15">
        <v>17</v>
      </c>
      <c r="I15">
        <v>14077.97</v>
      </c>
      <c r="J15">
        <v>482.90899999999999</v>
      </c>
      <c r="K15" s="16">
        <v>3.4302459800667284</v>
      </c>
      <c r="L15" s="16">
        <v>13131.36</v>
      </c>
      <c r="M15">
        <v>15024.57</v>
      </c>
      <c r="N15" s="17"/>
    </row>
    <row r="16" spans="1:14" x14ac:dyDescent="0.25">
      <c r="A16" s="19" t="s">
        <v>18</v>
      </c>
      <c r="B16" s="20">
        <v>14458.22</v>
      </c>
      <c r="C16" s="21">
        <v>250.8083</v>
      </c>
      <c r="D16" s="22">
        <f t="shared" si="0"/>
        <v>1.734710773525372</v>
      </c>
      <c r="E16" s="20">
        <v>14045.64</v>
      </c>
      <c r="F16" s="23">
        <v>14870.81</v>
      </c>
      <c r="H16">
        <v>5</v>
      </c>
      <c r="I16">
        <v>13729.99</v>
      </c>
      <c r="J16">
        <v>561.76779999999997</v>
      </c>
      <c r="K16" s="16">
        <v>4.0915383041065585</v>
      </c>
      <c r="L16" s="16">
        <v>12628.81</v>
      </c>
      <c r="M16">
        <v>14831.17</v>
      </c>
      <c r="N16" s="17"/>
    </row>
    <row r="17" spans="1:14" x14ac:dyDescent="0.25">
      <c r="A17" s="19" t="s">
        <v>19</v>
      </c>
      <c r="B17" s="20">
        <v>15846.16</v>
      </c>
      <c r="C17" s="21">
        <v>226.19130000000001</v>
      </c>
      <c r="D17" s="22">
        <f t="shared" si="0"/>
        <v>1.4274202709047492</v>
      </c>
      <c r="E17" s="20">
        <v>15474.07</v>
      </c>
      <c r="F17" s="23">
        <v>16218.24</v>
      </c>
      <c r="H17">
        <v>6</v>
      </c>
      <c r="I17">
        <v>16170.63</v>
      </c>
      <c r="J17">
        <v>356.15100000000001</v>
      </c>
      <c r="K17" s="16">
        <v>2.202455933998861</v>
      </c>
      <c r="L17" s="16">
        <v>15472.5</v>
      </c>
      <c r="M17">
        <v>16868.759999999998</v>
      </c>
      <c r="N17" s="17"/>
    </row>
    <row r="18" spans="1:14" x14ac:dyDescent="0.25">
      <c r="A18" s="19" t="s">
        <v>20</v>
      </c>
      <c r="B18" s="20">
        <v>24852.38</v>
      </c>
      <c r="C18" s="21">
        <v>1432.1289999999999</v>
      </c>
      <c r="D18" s="22">
        <f t="shared" si="0"/>
        <v>5.7625426619100457</v>
      </c>
      <c r="E18" s="20">
        <v>22496.51</v>
      </c>
      <c r="F18" s="23">
        <v>27208.26</v>
      </c>
      <c r="H18">
        <v>7</v>
      </c>
      <c r="I18">
        <v>18989.41</v>
      </c>
      <c r="J18">
        <v>476.8965</v>
      </c>
      <c r="K18" s="16">
        <v>2.5113813436015127</v>
      </c>
      <c r="L18" s="16">
        <v>18054.59</v>
      </c>
      <c r="M18">
        <v>19924.22</v>
      </c>
      <c r="N18" s="17"/>
    </row>
    <row r="19" spans="1:14" x14ac:dyDescent="0.25">
      <c r="A19" s="19" t="s">
        <v>21</v>
      </c>
      <c r="B19" s="20">
        <v>15243.05</v>
      </c>
      <c r="C19" s="21">
        <v>315.32760000000002</v>
      </c>
      <c r="D19" s="22">
        <f t="shared" si="0"/>
        <v>2.0686647357320225</v>
      </c>
      <c r="E19" s="20">
        <v>14724.33</v>
      </c>
      <c r="F19" s="23">
        <v>15761.77</v>
      </c>
      <c r="H19">
        <v>8</v>
      </c>
      <c r="I19">
        <v>14344.19</v>
      </c>
      <c r="J19">
        <v>723.07119999999998</v>
      </c>
      <c r="K19" s="16">
        <v>5.0408646288148713</v>
      </c>
      <c r="L19" s="16">
        <v>12926.82</v>
      </c>
      <c r="M19">
        <v>15761.56</v>
      </c>
      <c r="N19" s="17"/>
    </row>
    <row r="20" spans="1:14" x14ac:dyDescent="0.25">
      <c r="A20" s="19" t="s">
        <v>22</v>
      </c>
      <c r="B20" s="20">
        <v>13620.91</v>
      </c>
      <c r="C20" s="21">
        <v>363.63810000000001</v>
      </c>
      <c r="D20" s="22">
        <f t="shared" si="0"/>
        <v>2.669704887558908</v>
      </c>
      <c r="E20" s="20">
        <v>13022.72</v>
      </c>
      <c r="F20" s="23">
        <v>14219.1</v>
      </c>
      <c r="H20">
        <v>9</v>
      </c>
      <c r="I20">
        <v>13893.49</v>
      </c>
      <c r="J20">
        <v>583.01049999999998</v>
      </c>
      <c r="K20" s="16">
        <v>4.1962854545546149</v>
      </c>
      <c r="L20" s="16">
        <v>12750.67</v>
      </c>
      <c r="M20">
        <v>15036.31</v>
      </c>
      <c r="N20" s="17"/>
    </row>
    <row r="21" spans="1:14" x14ac:dyDescent="0.25">
      <c r="A21" s="19" t="s">
        <v>23</v>
      </c>
      <c r="B21" s="20">
        <v>15405.99</v>
      </c>
      <c r="C21" s="21">
        <v>159.9699</v>
      </c>
      <c r="D21" s="22">
        <f t="shared" si="0"/>
        <v>1.0383617021690914</v>
      </c>
      <c r="E21" s="20">
        <v>15142.84</v>
      </c>
      <c r="F21" s="23">
        <v>15669.14</v>
      </c>
      <c r="H21">
        <v>10</v>
      </c>
      <c r="I21">
        <v>15114.06</v>
      </c>
      <c r="J21">
        <v>397.9196</v>
      </c>
      <c r="K21" s="16">
        <v>2.6327776917651513</v>
      </c>
      <c r="L21" s="16">
        <v>14334.05</v>
      </c>
      <c r="M21">
        <v>15894.06</v>
      </c>
      <c r="N21" s="17"/>
    </row>
    <row r="22" spans="1:14" x14ac:dyDescent="0.25">
      <c r="A22" s="19" t="s">
        <v>24</v>
      </c>
      <c r="B22" s="20">
        <v>15717.97</v>
      </c>
      <c r="C22" s="21">
        <v>223.0035</v>
      </c>
      <c r="D22" s="22">
        <f t="shared" si="0"/>
        <v>1.418780542271044</v>
      </c>
      <c r="E22" s="20">
        <v>15351.13</v>
      </c>
      <c r="F22" s="23">
        <v>16084.82</v>
      </c>
      <c r="H22">
        <v>11</v>
      </c>
      <c r="I22">
        <v>15540.16</v>
      </c>
      <c r="J22">
        <v>413.65800000000002</v>
      </c>
      <c r="K22" s="16">
        <v>2.6618644853077447</v>
      </c>
      <c r="L22" s="16">
        <v>14729.31</v>
      </c>
      <c r="M22">
        <v>16351.02</v>
      </c>
      <c r="N22" s="17"/>
    </row>
    <row r="23" spans="1:14" x14ac:dyDescent="0.25">
      <c r="A23" s="19" t="s">
        <v>25</v>
      </c>
      <c r="B23" s="20">
        <v>14297.79</v>
      </c>
      <c r="C23" s="21">
        <v>165.55690000000001</v>
      </c>
      <c r="D23" s="22">
        <f t="shared" si="0"/>
        <v>1.1579195106376581</v>
      </c>
      <c r="E23" s="20">
        <v>14025.45</v>
      </c>
      <c r="F23" s="23">
        <v>14570.14</v>
      </c>
      <c r="H23">
        <v>12</v>
      </c>
      <c r="I23">
        <v>13806.55</v>
      </c>
      <c r="J23">
        <v>321.97230000000002</v>
      </c>
      <c r="K23" s="16">
        <v>2.3320257414053476</v>
      </c>
      <c r="L23" s="16">
        <v>13175.42</v>
      </c>
      <c r="M23">
        <v>14437.68</v>
      </c>
      <c r="N23" s="17"/>
    </row>
    <row r="24" spans="1:14" x14ac:dyDescent="0.25">
      <c r="A24" s="19" t="s">
        <v>26</v>
      </c>
      <c r="B24" s="20">
        <v>15953.06</v>
      </c>
      <c r="C24" s="21">
        <v>370.97179999999997</v>
      </c>
      <c r="D24" s="22">
        <f t="shared" si="0"/>
        <v>2.3253958801634296</v>
      </c>
      <c r="E24" s="20">
        <v>15342.81</v>
      </c>
      <c r="F24" s="23">
        <v>16563.310000000001</v>
      </c>
      <c r="H24">
        <v>16</v>
      </c>
      <c r="I24">
        <v>14787.39</v>
      </c>
      <c r="J24">
        <v>599.98310000000004</v>
      </c>
      <c r="K24" s="16">
        <v>4.057396876663157</v>
      </c>
      <c r="L24" s="16">
        <v>13611.29</v>
      </c>
      <c r="M24">
        <v>15963.48</v>
      </c>
      <c r="N24" s="17"/>
    </row>
    <row r="25" spans="1:14" x14ac:dyDescent="0.25">
      <c r="A25" s="24" t="s">
        <v>27</v>
      </c>
      <c r="B25" s="25">
        <v>13346.65</v>
      </c>
      <c r="C25" s="26" t="s">
        <v>28</v>
      </c>
      <c r="D25" s="26" t="s">
        <v>28</v>
      </c>
      <c r="E25" s="26" t="s">
        <v>28</v>
      </c>
      <c r="F25" s="26" t="s">
        <v>28</v>
      </c>
      <c r="H25">
        <v>15</v>
      </c>
      <c r="I25">
        <v>16162.99</v>
      </c>
      <c r="J25">
        <v>2204.1889999999999</v>
      </c>
      <c r="K25" s="16">
        <v>13.637260185151383</v>
      </c>
      <c r="L25" s="16">
        <v>11842.32</v>
      </c>
      <c r="M25">
        <v>20483.66</v>
      </c>
      <c r="N25" s="17"/>
    </row>
    <row r="26" spans="1:14" x14ac:dyDescent="0.25">
      <c r="A26" s="27"/>
      <c r="B26" s="28"/>
      <c r="C26" s="28"/>
    </row>
    <row r="27" spans="1:14" s="32" customFormat="1" ht="15" customHeight="1" x14ac:dyDescent="0.2">
      <c r="A27" s="29" t="s">
        <v>29</v>
      </c>
      <c r="B27" s="30"/>
      <c r="C27" s="30"/>
      <c r="D27" s="31"/>
      <c r="E27" s="30"/>
      <c r="F27" s="30"/>
      <c r="G27" s="30"/>
      <c r="H27" s="30"/>
    </row>
    <row r="28" spans="1:14" s="32" customFormat="1" ht="15" customHeight="1" x14ac:dyDescent="0.2">
      <c r="A28" s="29" t="s">
        <v>30</v>
      </c>
      <c r="B28" s="30"/>
      <c r="C28" s="30"/>
      <c r="D28" s="31"/>
      <c r="E28" s="30"/>
      <c r="F28" s="30"/>
      <c r="G28" s="30"/>
      <c r="H28" s="30"/>
    </row>
    <row r="29" spans="1:14" x14ac:dyDescent="0.25">
      <c r="A29" s="29" t="s">
        <v>31</v>
      </c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scale="73" firstPageNumber="15" orientation="portrait" useFirstPageNumber="1" r:id="rId1"/>
  <headerFooter>
    <oddFooter>&amp;C&amp;"Arial,Regular"&amp;12&amp;P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4</vt:lpstr>
      <vt:lpstr>'Table 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dcterms:created xsi:type="dcterms:W3CDTF">2025-11-24T10:11:34Z</dcterms:created>
  <dcterms:modified xsi:type="dcterms:W3CDTF">2025-11-24T10:11:48Z</dcterms:modified>
</cp:coreProperties>
</file>