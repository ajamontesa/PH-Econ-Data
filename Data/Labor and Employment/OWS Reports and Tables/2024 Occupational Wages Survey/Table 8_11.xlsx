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13_ncr:1_{0A94C2B0-865B-4071-927D-CA1F3DAE87A5}" xr6:coauthVersionLast="47" xr6:coauthVersionMax="47" xr10:uidLastSave="{00000000-0000-0000-0000-000000000000}"/>
  <bookViews>
    <workbookView xWindow="-28920" yWindow="-120" windowWidth="29040" windowHeight="15720" xr2:uid="{4E599F69-886B-470B-A613-33F1628918C9}"/>
  </bookViews>
  <sheets>
    <sheet name="Table 8" sheetId="1" r:id="rId1"/>
  </sheets>
  <definedNames>
    <definedName name="_xlnm.Print_Area" localSheetId="0">'Table 8'!$A$1:$F$30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<sst xmlns="http://schemas.openxmlformats.org/spreadsheetml/2006/main" count="34" uniqueCount="32">
  <si>
    <t>Table 8. Standard Errors and Coefficient of Variations of Average Monthly Allowances of Time-Rated Workers on Full-Time Basis by Region, Philippines: 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</si>
  <si>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</si>
  <si>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</si>
  <si>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</si>
  <si>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</si>
  <si>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</si>
  <si>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</si>
  <si>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</si>
  <si>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</si>
  <si>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PHILIPPINES</t>
  </si>
  <si>
    <t>National Capital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</si>
  <si>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</si>
  <si>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</si>
  <si>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</si>
  <si>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</si>
  <si>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</si>
  <si>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</si>
  <si>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</si>
  <si>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</si>
  <si>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</si>
  <si>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</si>
  <si>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</si>
  <si>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</si>
  <si>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</si>
  <si>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Region XIII - Caraga</t>
  </si>
  <si>
    <t>Cordillera Administrative Region</t>
  </si>
  <si>
    <t>Bangsamoro Autonomous Region in Muslim Mindanao</t>
  </si>
  <si>
    <t>.</t>
  </si>
  <si>
    <t>Notes:  1. Allowances refer to regular/guaranteed cash payments.  These include living allowance but exclude  reimbursements for travel, entertainment, meals and other expenses, etc. incurred in conducting the business</t>
  </si>
  <si>
    <t xml:space="preserve">                of the employer, cost of uniform/working clothes; bonuses and gratuities; family allowances.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</si>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</sst>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3" fontId="2" fillId="0" borderId="1" xfId="2" applyNumberForma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4" fontId="2" fillId="0" borderId="5" xfId="2" applyNumberFormat="1" applyBorder="1" applyAlignment="1">
      <alignment horizontal="left" wrapText="1"/>
    </xf>
    <xf numFmtId="4" fontId="2" fillId="0" borderId="6" xfId="2" applyNumberForma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5" fillId="0" borderId="8" xfId="0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right" indent="1"/>
    </xf>
    <xf numFmtId="164" fontId="4" fillId="0" borderId="0" xfId="1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4" fontId="4" fillId="0" borderId="9" xfId="1" applyNumberFormat="1" applyFont="1" applyBorder="1" applyAlignment="1">
      <alignment horizontal="right" indent="1"/>
    </xf>
    <xf numFmtId="1" fontId="0" fillId="0" borderId="0" xfId="0" applyNumberFormat="1"/>
    <xf numFmtId="164" fontId="2" fillId="0" borderId="0" xfId="1" applyNumberFormat="1" applyFont="1" applyBorder="1" applyAlignment="1">
      <alignment horizontal="right" indent="1"/>
    </xf>
    <xf numFmtId="165" fontId="2" fillId="0" borderId="0" xfId="1" applyNumberFormat="1" applyFont="1" applyBorder="1" applyAlignment="1">
      <alignment horizontal="right" indent="1"/>
    </xf>
    <xf numFmtId="164" fontId="2" fillId="0" borderId="9" xfId="1" applyNumberFormat="1" applyFont="1" applyBorder="1" applyAlignment="1">
      <alignment horizontal="right" indent="1"/>
    </xf>
    <xf numFmtId="0" fontId="6" fillId="0" borderId="8" xfId="0" applyFont="1" applyBorder="1" applyAlignment="1">
      <alignment horizontal="left" vertical="center" indent="1"/>
    </xf>
    <xf numFmtId="164" fontId="0" fillId="0" borderId="0" xfId="1" applyNumberFormat="1" applyFont="1" applyBorder="1"/>
    <xf numFmtId="165" fontId="0" fillId="0" borderId="0" xfId="1" applyNumberFormat="1" applyFont="1" applyBorder="1"/>
    <xf numFmtId="164" fontId="0" fillId="0" borderId="9" xfId="1" applyNumberFormat="1" applyFont="1" applyBorder="1"/>
    <xf numFmtId="0" fontId="6" fillId="0" borderId="8" xfId="0" applyFont="1" applyBorder="1" applyAlignment="1">
      <alignment horizontal="left" indent="1"/>
    </xf>
    <xf numFmtId="0" fontId="6" fillId="0" borderId="10" xfId="0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indent="1"/>
    </xf>
    <xf numFmtId="166" fontId="2" fillId="0" borderId="1" xfId="2" applyNumberFormat="1" applyBorder="1" applyAlignment="1">
      <alignment horizontal="right" indent="1"/>
    </xf>
    <xf numFmtId="166" fontId="2" fillId="0" borderId="11" xfId="2" applyNumberFormat="1" applyBorder="1" applyAlignment="1">
      <alignment horizontal="right" indent="1"/>
    </xf>
    <xf numFmtId="0" fontId="2" fillId="0" borderId="0" xfId="2"/>
    <xf numFmtId="0" fontId="7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7" fillId="0" borderId="0" xfId="2" applyFont="1" applyFill="1" applyBorder="1" applyAlignment="1">
      <alignment horizontal="left" indent="3"/>
    </xf>
    <xf numFmtId="0" fontId="7" fillId="0" borderId="0" xfId="2" applyFont="1" applyFill="1" applyBorder="1" applyAlignment="1">
      <alignment vertical="top"/>
    </xf>
    <xf numFmtId="3" fontId="3" fillId="0" borderId="0" xfId="2" applyNumberFormat="1" applyFont="1" applyAlignment="1">
      <alignment horizontal="center" wrapText="1"/>
    </xf>
    <xf numFmtId="3" fontId="2" fillId="0" borderId="0" xfId="2" applyNumberFormat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56F280A4-615A-42D9-89D2-DC639DCDE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7BAB-09C6-40AE-90A8-8685B53B70CE}">
  <sheetPr>
    <pageSetUpPr fitToPage="1"/>
  </sheetPr>
  <dimension ref="A1:G30"/>
  <sheetViews>
    <sheetView tabSelected="1" view="pageBreakPreview" topLeftCell="A6" zoomScaleNormal="100" zoomScaleSheetLayoutView="100" workbookViewId="0">
      <selection activeCell="D27" sqref="D27"/>
    </sheetView>
  </sheetViews>
  <sheetFormatPr defaultRowHeight="15" x14ac:dyDescent="0.25"/>
  <cols>
    <col min="1" max="1" width="53.7109375" style="25" customWidth="1"/>
    <col min="2" max="6" width="15.7109375" style="25" customWidth="1"/>
  </cols>
  <sheetData>
    <row r="1" spans="1:7" ht="32.1" customHeight="1" x14ac:dyDescent="0.25">
      <c r="A1" s="31" t="s">
        <v>0</v>
      </c>
      <c r="B1" s="31"/>
      <c r="C1" s="31"/>
      <c r="D1" s="31"/>
      <c r="E1" s="31"/>
      <c r="F1" s="31"/>
    </row>
    <row r="2" spans="1:7" x14ac:dyDescent="0.25">
      <c r="A2" s="32" t="s">
        <v>1</v>
      </c>
      <c r="B2" s="32"/>
      <c r="C2" s="32"/>
      <c r="D2" s="32"/>
      <c r="E2" s="32"/>
      <c r="F2" s="32"/>
    </row>
    <row r="3" spans="1:7" x14ac:dyDescent="0.25">
      <c r="A3" s="1"/>
      <c r="B3" s="1"/>
      <c r="C3" s="1"/>
      <c r="D3" s="1"/>
      <c r="E3" s="1"/>
      <c r="F3" s="1"/>
    </row>
    <row r="4" spans="1:7" ht="15" customHeight="1" x14ac:dyDescent="0.25">
      <c r="A4" s="33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/>
    </row>
    <row r="5" spans="1:7" ht="50.1" customHeight="1" x14ac:dyDescent="0.25">
      <c r="A5" s="34"/>
      <c r="B5" s="35"/>
      <c r="C5" s="35"/>
      <c r="D5" s="35"/>
      <c r="E5" s="2" t="s">
        <v>7</v>
      </c>
      <c r="F5" s="2" t="s">
        <v>8</v>
      </c>
    </row>
    <row r="6" spans="1:7" x14ac:dyDescent="0.25">
      <c r="A6" s="3"/>
      <c r="B6" s="4"/>
      <c r="C6" s="5"/>
      <c r="D6" s="5"/>
      <c r="E6" s="5"/>
      <c r="F6" s="6"/>
    </row>
    <row r="7" spans="1:7" x14ac:dyDescent="0.25">
      <c r="A7" s="7" t="s">
        <v>9</v>
      </c>
      <c r="B7" s="8">
        <v>1234.614</v>
      </c>
      <c r="C7" s="9">
        <v>86.467460000000003</v>
      </c>
      <c r="D7" s="10">
        <v>7.0036027454734837</v>
      </c>
      <c r="E7" s="9">
        <v>1092.377</v>
      </c>
      <c r="F7" s="11">
        <v>1376.8520000000001</v>
      </c>
      <c r="G7" s="12"/>
    </row>
    <row r="8" spans="1:7" x14ac:dyDescent="0.25">
      <c r="A8" s="7"/>
      <c r="B8" s="8"/>
      <c r="C8" s="13"/>
      <c r="D8" s="14"/>
      <c r="E8" s="13"/>
      <c r="F8" s="15"/>
    </row>
    <row r="9" spans="1:7" x14ac:dyDescent="0.25">
      <c r="A9" s="16" t="s">
        <v>10</v>
      </c>
      <c r="B9" s="17">
        <v>1991.684</v>
      </c>
      <c r="C9" s="17">
        <v>227.5085</v>
      </c>
      <c r="D9" s="18">
        <f t="shared" ref="D9:D24" si="0">IF(B9&lt;&gt;"",C9/B9*100,"")</f>
        <v>11.42292150762872</v>
      </c>
      <c r="E9" s="17">
        <v>1617.4359999999999</v>
      </c>
      <c r="F9" s="19">
        <v>2365.9319999999998</v>
      </c>
      <c r="G9" s="12"/>
    </row>
    <row r="10" spans="1:7" x14ac:dyDescent="0.25">
      <c r="A10" s="16" t="s">
        <v>11</v>
      </c>
      <c r="B10" s="17">
        <v>884.10789999999997</v>
      </c>
      <c r="C10" s="17">
        <v>78.599159999999998</v>
      </c>
      <c r="D10" s="18">
        <f t="shared" si="0"/>
        <v>8.8902225622008348</v>
      </c>
      <c r="E10" s="17">
        <v>754.81349999999998</v>
      </c>
      <c r="F10" s="19">
        <v>1013.402</v>
      </c>
      <c r="G10" s="12"/>
    </row>
    <row r="11" spans="1:7" x14ac:dyDescent="0.25">
      <c r="A11" s="16" t="s">
        <v>12</v>
      </c>
      <c r="B11" s="17">
        <v>531.96259999999995</v>
      </c>
      <c r="C11" s="17">
        <v>26.02768</v>
      </c>
      <c r="D11" s="18">
        <f t="shared" si="0"/>
        <v>4.8927650176910937</v>
      </c>
      <c r="E11" s="17">
        <v>489.14749999999998</v>
      </c>
      <c r="F11" s="19">
        <v>574.77769999999998</v>
      </c>
      <c r="G11" s="12"/>
    </row>
    <row r="12" spans="1:7" x14ac:dyDescent="0.25">
      <c r="A12" s="16" t="s">
        <v>13</v>
      </c>
      <c r="B12" s="17">
        <v>303.66590000000002</v>
      </c>
      <c r="C12" s="17">
        <v>34.526919999999997</v>
      </c>
      <c r="D12" s="18">
        <f t="shared" si="0"/>
        <v>11.370035292075928</v>
      </c>
      <c r="E12" s="17">
        <v>246.86969999999999</v>
      </c>
      <c r="F12" s="19">
        <v>360.46210000000002</v>
      </c>
      <c r="G12" s="12"/>
    </row>
    <row r="13" spans="1:7" x14ac:dyDescent="0.25">
      <c r="A13" s="16" t="s">
        <v>14</v>
      </c>
      <c r="B13" s="17">
        <v>901.84950000000003</v>
      </c>
      <c r="C13" s="17">
        <v>79.625339999999994</v>
      </c>
      <c r="D13" s="18">
        <f t="shared" si="0"/>
        <v>8.8291161662782969</v>
      </c>
      <c r="E13" s="17">
        <v>770.86710000000005</v>
      </c>
      <c r="F13" s="19">
        <v>1032.8320000000001</v>
      </c>
      <c r="G13" s="12"/>
    </row>
    <row r="14" spans="1:7" x14ac:dyDescent="0.25">
      <c r="A14" s="16" t="s">
        <v>15</v>
      </c>
      <c r="B14" s="17">
        <v>957.73320000000001</v>
      </c>
      <c r="C14" s="17">
        <v>72.613770000000002</v>
      </c>
      <c r="D14" s="18">
        <f t="shared" si="0"/>
        <v>7.5818369875869402</v>
      </c>
      <c r="E14" s="17">
        <v>838.28470000000004</v>
      </c>
      <c r="F14" s="19">
        <v>1077.182</v>
      </c>
      <c r="G14" s="12"/>
    </row>
    <row r="15" spans="1:7" x14ac:dyDescent="0.25">
      <c r="A15" s="16" t="s">
        <v>16</v>
      </c>
      <c r="B15" s="17">
        <v>819.85299999999995</v>
      </c>
      <c r="C15" s="17">
        <v>60.295630000000003</v>
      </c>
      <c r="D15" s="18">
        <f t="shared" si="0"/>
        <v>7.3544440283806978</v>
      </c>
      <c r="E15" s="17">
        <v>720.66769999999997</v>
      </c>
      <c r="F15" s="19">
        <v>919.03830000000005</v>
      </c>
      <c r="G15" s="12"/>
    </row>
    <row r="16" spans="1:7" x14ac:dyDescent="0.25">
      <c r="A16" s="16" t="s">
        <v>17</v>
      </c>
      <c r="B16" s="17">
        <v>706.40899999999999</v>
      </c>
      <c r="C16" s="17">
        <v>51.1419</v>
      </c>
      <c r="D16" s="18">
        <f t="shared" si="0"/>
        <v>7.2397010796861307</v>
      </c>
      <c r="E16" s="17">
        <v>622.28139999999996</v>
      </c>
      <c r="F16" s="19">
        <v>790.53660000000002</v>
      </c>
      <c r="G16" s="12"/>
    </row>
    <row r="17" spans="1:7" x14ac:dyDescent="0.25">
      <c r="A17" s="16" t="s">
        <v>18</v>
      </c>
      <c r="B17" s="17">
        <v>777.47090000000003</v>
      </c>
      <c r="C17" s="17">
        <v>103.7713</v>
      </c>
      <c r="D17" s="18">
        <f t="shared" si="0"/>
        <v>13.34729055454037</v>
      </c>
      <c r="E17" s="17">
        <v>606.76869999999997</v>
      </c>
      <c r="F17" s="19">
        <v>948.17309999999998</v>
      </c>
      <c r="G17" s="12"/>
    </row>
    <row r="18" spans="1:7" x14ac:dyDescent="0.25">
      <c r="A18" s="16" t="s">
        <v>19</v>
      </c>
      <c r="B18" s="17">
        <v>1028.5160000000001</v>
      </c>
      <c r="C18" s="17">
        <v>105.7354</v>
      </c>
      <c r="D18" s="18">
        <f t="shared" si="0"/>
        <v>10.280384554056523</v>
      </c>
      <c r="E18" s="17">
        <v>854.58339999999998</v>
      </c>
      <c r="F18" s="19">
        <v>1202.4490000000001</v>
      </c>
      <c r="G18" s="12"/>
    </row>
    <row r="19" spans="1:7" x14ac:dyDescent="0.25">
      <c r="A19" s="16" t="s">
        <v>20</v>
      </c>
      <c r="B19" s="17">
        <v>638.96180000000004</v>
      </c>
      <c r="C19" s="17">
        <v>44.683660000000003</v>
      </c>
      <c r="D19" s="18">
        <f t="shared" si="0"/>
        <v>6.9931661016354969</v>
      </c>
      <c r="E19" s="17">
        <v>565.4579</v>
      </c>
      <c r="F19" s="19">
        <v>712.46569999999997</v>
      </c>
      <c r="G19" s="12"/>
    </row>
    <row r="20" spans="1:7" x14ac:dyDescent="0.25">
      <c r="A20" s="16" t="s">
        <v>21</v>
      </c>
      <c r="B20" s="17">
        <v>358.423</v>
      </c>
      <c r="C20" s="17">
        <v>33.157040000000002</v>
      </c>
      <c r="D20" s="18">
        <f t="shared" si="0"/>
        <v>9.2508125873618603</v>
      </c>
      <c r="E20" s="17">
        <v>303.8802</v>
      </c>
      <c r="F20" s="19">
        <v>412.9658</v>
      </c>
      <c r="G20" s="12"/>
    </row>
    <row r="21" spans="1:7" x14ac:dyDescent="0.25">
      <c r="A21" s="20" t="s">
        <v>22</v>
      </c>
      <c r="B21" s="17">
        <v>446.62860000000001</v>
      </c>
      <c r="C21" s="17">
        <v>51.800579999999997</v>
      </c>
      <c r="D21" s="18">
        <f t="shared" si="0"/>
        <v>11.598133214039583</v>
      </c>
      <c r="E21" s="17">
        <v>361.41750000000002</v>
      </c>
      <c r="F21" s="19">
        <v>531.83979999999997</v>
      </c>
      <c r="G21" s="12"/>
    </row>
    <row r="22" spans="1:7" x14ac:dyDescent="0.25">
      <c r="A22" s="16" t="s">
        <v>23</v>
      </c>
      <c r="B22" s="17">
        <v>789.82749999999999</v>
      </c>
      <c r="C22" s="17">
        <v>88.729889999999997</v>
      </c>
      <c r="D22" s="18">
        <f t="shared" si="0"/>
        <v>11.234084657725896</v>
      </c>
      <c r="E22" s="17">
        <v>643.8682</v>
      </c>
      <c r="F22" s="19">
        <v>935.7867</v>
      </c>
      <c r="G22" s="12"/>
    </row>
    <row r="23" spans="1:7" x14ac:dyDescent="0.25">
      <c r="A23" s="16" t="s">
        <v>24</v>
      </c>
      <c r="B23" s="17">
        <v>516.29420000000005</v>
      </c>
      <c r="C23" s="17">
        <v>44.437989999999999</v>
      </c>
      <c r="D23" s="18">
        <f t="shared" si="0"/>
        <v>8.6071061809332736</v>
      </c>
      <c r="E23" s="17">
        <v>443.19450000000001</v>
      </c>
      <c r="F23" s="19">
        <v>589.39400000000001</v>
      </c>
      <c r="G23" s="12"/>
    </row>
    <row r="24" spans="1:7" x14ac:dyDescent="0.25">
      <c r="A24" s="16" t="s">
        <v>25</v>
      </c>
      <c r="B24" s="17">
        <v>759.84289999999999</v>
      </c>
      <c r="C24" s="17">
        <v>63.21951</v>
      </c>
      <c r="D24" s="18">
        <f t="shared" si="0"/>
        <v>8.3200764263244427</v>
      </c>
      <c r="E24" s="17">
        <v>655.84780000000001</v>
      </c>
      <c r="F24" s="19">
        <v>863.83799999999997</v>
      </c>
      <c r="G24" s="12"/>
    </row>
    <row r="25" spans="1:7" x14ac:dyDescent="0.25">
      <c r="A25" s="16" t="s">
        <v>26</v>
      </c>
      <c r="B25" s="17">
        <v>326.33</v>
      </c>
      <c r="C25" s="17" t="s">
        <v>27</v>
      </c>
      <c r="D25" s="18"/>
      <c r="E25" s="17" t="s">
        <v>27</v>
      </c>
      <c r="F25" s="19" t="s">
        <v>27</v>
      </c>
      <c r="G25" s="12"/>
    </row>
    <row r="26" spans="1:7" s="25" customFormat="1" ht="12.75" x14ac:dyDescent="0.2">
      <c r="A26" s="21"/>
      <c r="B26" s="22"/>
      <c r="C26" s="23"/>
      <c r="D26" s="23"/>
      <c r="E26" s="23"/>
      <c r="F26" s="24"/>
    </row>
    <row r="27" spans="1:7" s="28" customFormat="1" ht="13.5" customHeight="1" x14ac:dyDescent="0.2">
      <c r="A27" s="26" t="s">
        <v>28</v>
      </c>
      <c r="B27" s="27"/>
    </row>
    <row r="28" spans="1:7" s="28" customFormat="1" ht="12" customHeight="1" x14ac:dyDescent="0.2">
      <c r="A28" s="26" t="s">
        <v>29</v>
      </c>
      <c r="B28" s="27"/>
    </row>
    <row r="29" spans="1:7" s="28" customFormat="1" ht="11.25" customHeight="1" x14ac:dyDescent="0.2">
      <c r="A29" s="29" t="s">
        <v>30</v>
      </c>
      <c r="B29" s="27"/>
    </row>
    <row r="30" spans="1:7" s="28" customFormat="1" ht="12.75" x14ac:dyDescent="0.2">
      <c r="A30" s="30" t="s">
        <v>31</v>
      </c>
      <c r="B30" s="27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98" fitToHeight="0" orientation="landscape" useFirstPageNumber="1" r:id="rId1"/>
  <headerFooter>
    <oddFooter>&amp;C&amp;"Arial,Regular"&amp;10&amp;P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</vt:lpstr>
      <vt:lpstr>'Table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cp:lastPrinted>2025-11-24T10:32:53Z</cp:lastPrinted>
  <dcterms:created xsi:type="dcterms:W3CDTF">2025-11-24T10:16:05Z</dcterms:created>
  <dcterms:modified xsi:type="dcterms:W3CDTF">2025-11-24T10:32:58Z</dcterms:modified>
</cp:coreProperties>
</file>