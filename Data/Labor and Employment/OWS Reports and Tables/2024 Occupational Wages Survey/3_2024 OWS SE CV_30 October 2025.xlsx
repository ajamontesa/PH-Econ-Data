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EARIOLA\Downloads\"/>
    </mc:Choice>
  </mc:AlternateContent>
  <xr:revisionPtr revIDLastSave="0" documentId="13_ncr:1_{BB8D43C3-6675-48DA-BE7E-C4C5003D42D2}" xr6:coauthVersionLast="47" xr6:coauthVersionMax="47" xr10:uidLastSave="{00000000-0000-0000-0000-000000000000}"/>
  <bookViews>
    <workbookView xWindow="-110" yWindow="-110" windowWidth="19420" windowHeight="11500" tabRatio="825" xr2:uid="{1452EBFB-7191-45F0-8890-5FB18A7556B7}"/>
  </bookViews>
  <sheets>
    <sheet name="Table 1" sheetId="1" r:id="rId1"/>
    <sheet name="Table 2" sheetId="23" r:id="rId2"/>
    <sheet name="Table 3" sheetId="24" r:id="rId3"/>
    <sheet name="Table 4" sheetId="27" r:id="rId4"/>
    <sheet name="Table 5" sheetId="28" r:id="rId5"/>
    <sheet name="Table 5.1" sheetId="29" r:id="rId6"/>
    <sheet name="Table 5.2" sheetId="30" r:id="rId7"/>
    <sheet name="Table 6" sheetId="31" r:id="rId8"/>
    <sheet name="Table 6.1" sheetId="32" r:id="rId9"/>
    <sheet name="Table 6.2" sheetId="33" r:id="rId10"/>
    <sheet name="Table 7" sheetId="34" r:id="rId11"/>
    <sheet name="Table 7.1" sheetId="35" r:id="rId12"/>
    <sheet name="Table 7.2" sheetId="36" r:id="rId13"/>
    <sheet name="Table 8" sheetId="37" r:id="rId14"/>
    <sheet name="Table 8.1" sheetId="38" r:id="rId15"/>
    <sheet name="Table 8.2" sheetId="39" r:id="rId16"/>
  </sheets>
  <definedNames>
    <definedName name="_xlnm._FilterDatabase" localSheetId="0" hidden="1">'Table 1'!$A$1:$S$1124</definedName>
    <definedName name="_xlnm._FilterDatabase" localSheetId="1" hidden="1">'Table 2'!$J$1:$J$118</definedName>
    <definedName name="_xlnm._FilterDatabase" localSheetId="2" hidden="1">'Table 3'!$J$1:$J$118</definedName>
    <definedName name="_xlnm.Print_Area" localSheetId="0">'Table 1'!$A$1:$H$981</definedName>
    <definedName name="_xlnm.Print_Area" localSheetId="1">'Table 2'!$A$1:$G$108</definedName>
    <definedName name="_xlnm.Print_Area" localSheetId="2">'Table 3'!$A$1:$G$108</definedName>
    <definedName name="_xlnm.Print_Area" localSheetId="3">'Table 4'!$A$1:$F$29</definedName>
    <definedName name="_xlnm.Print_Area" localSheetId="4">'Table 5'!$A$1:$G$149</definedName>
    <definedName name="_xlnm.Print_Area" localSheetId="5">'Table 5.1'!$A$1:$G$151</definedName>
    <definedName name="_xlnm.Print_Area" localSheetId="6">'Table 5.2'!$A$1:$G$150</definedName>
    <definedName name="_xlnm.Print_Area" localSheetId="7">'Table 6'!$A$1:$G$151</definedName>
    <definedName name="_xlnm.Print_Area" localSheetId="8">'Table 6.1'!$A$1:$G$153</definedName>
    <definedName name="_xlnm.Print_Area" localSheetId="9">'Table 6.2'!$A$1:$G$153</definedName>
    <definedName name="_xlnm.Print_Area" localSheetId="10">'Table 7'!$A$1:$F$30</definedName>
    <definedName name="_xlnm.Print_Area" localSheetId="11">'Table 7.1'!$A$1:$F$30</definedName>
    <definedName name="_xlnm.Print_Area" localSheetId="12">'Table 7.2'!$A$1:$F$30</definedName>
    <definedName name="_xlnm.Print_Area" localSheetId="13">'Table 8'!$A$1:$F$30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3" l="1"/>
  <c r="E92" i="23"/>
  <c r="E91" i="23"/>
  <c r="D24" i="37" l="1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E147" i="33"/>
  <c r="E146" i="33"/>
  <c r="E145" i="33"/>
  <c r="E143" i="33"/>
  <c r="E142" i="33"/>
  <c r="E141" i="33"/>
  <c r="E140" i="33"/>
  <c r="E139" i="33"/>
  <c r="E137" i="33"/>
  <c r="E136" i="33"/>
  <c r="E135" i="33"/>
  <c r="E133" i="33"/>
  <c r="E124" i="33"/>
  <c r="E123" i="33"/>
  <c r="E122" i="33"/>
  <c r="E121" i="33"/>
  <c r="E120" i="33"/>
  <c r="E119" i="33"/>
  <c r="E118" i="33"/>
  <c r="E117" i="33"/>
  <c r="E116" i="33"/>
  <c r="E114" i="33"/>
  <c r="E113" i="33"/>
  <c r="E112" i="33"/>
  <c r="E111" i="33"/>
  <c r="E110" i="33"/>
  <c r="E109" i="33"/>
  <c r="E108" i="33"/>
  <c r="E107" i="33"/>
  <c r="E100" i="33"/>
  <c r="E83" i="33"/>
  <c r="E73" i="33"/>
  <c r="E68" i="33"/>
  <c r="E55" i="33"/>
  <c r="E51" i="33"/>
  <c r="E50" i="33"/>
  <c r="E49" i="33"/>
  <c r="E48" i="33"/>
  <c r="E47" i="33"/>
  <c r="E46" i="33"/>
  <c r="E45" i="33"/>
  <c r="E44" i="33"/>
  <c r="E43" i="33"/>
  <c r="E42" i="33"/>
  <c r="E41" i="33"/>
  <c r="E40" i="33"/>
  <c r="E39" i="33"/>
  <c r="E38" i="33"/>
  <c r="E29" i="33"/>
  <c r="E28" i="33"/>
  <c r="E27" i="33"/>
  <c r="E26" i="33"/>
  <c r="E25" i="33"/>
  <c r="E24" i="33"/>
  <c r="E23" i="33"/>
  <c r="E22" i="33"/>
  <c r="E21" i="33"/>
  <c r="E20" i="33"/>
  <c r="E19" i="33"/>
  <c r="E18" i="33"/>
  <c r="E16" i="33"/>
  <c r="E15" i="33"/>
  <c r="E14" i="33"/>
  <c r="E13" i="33"/>
  <c r="E11" i="33"/>
  <c r="E147" i="32"/>
  <c r="E146" i="32"/>
  <c r="E145" i="32"/>
  <c r="E143" i="32"/>
  <c r="E142" i="32"/>
  <c r="E141" i="32"/>
  <c r="E140" i="32"/>
  <c r="E139" i="32"/>
  <c r="E137" i="32"/>
  <c r="E136" i="32"/>
  <c r="E135" i="32"/>
  <c r="E124" i="32"/>
  <c r="E123" i="32"/>
  <c r="E122" i="32"/>
  <c r="E121" i="32"/>
  <c r="E120" i="32"/>
  <c r="E119" i="32"/>
  <c r="E118" i="32"/>
  <c r="E117" i="32"/>
  <c r="E116" i="32"/>
  <c r="E113" i="32"/>
  <c r="E112" i="32"/>
  <c r="E111" i="32"/>
  <c r="E110" i="32"/>
  <c r="E109" i="32"/>
  <c r="E108" i="32"/>
  <c r="E107" i="32"/>
  <c r="E103" i="32"/>
  <c r="E102" i="32"/>
  <c r="E101" i="32"/>
  <c r="E100" i="32"/>
  <c r="E90" i="32"/>
  <c r="E89" i="32"/>
  <c r="E88" i="32"/>
  <c r="E87" i="32"/>
  <c r="E86" i="32"/>
  <c r="E85" i="32"/>
  <c r="E84" i="32"/>
  <c r="E80" i="32"/>
  <c r="E79" i="32"/>
  <c r="E78" i="32"/>
  <c r="E77" i="32"/>
  <c r="E76" i="32"/>
  <c r="E75" i="32"/>
  <c r="E74" i="32"/>
  <c r="E72" i="32"/>
  <c r="E71" i="32"/>
  <c r="E70" i="32"/>
  <c r="E69" i="32"/>
  <c r="E67" i="32"/>
  <c r="E58" i="32"/>
  <c r="E57" i="32"/>
  <c r="E56" i="32"/>
  <c r="E54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29" i="32"/>
  <c r="E28" i="32"/>
  <c r="E27" i="32"/>
  <c r="E26" i="32"/>
  <c r="E25" i="32"/>
  <c r="E24" i="32"/>
  <c r="E23" i="32"/>
  <c r="E22" i="32"/>
  <c r="E21" i="32"/>
  <c r="E20" i="32"/>
  <c r="E19" i="32"/>
  <c r="E18" i="32"/>
  <c r="E16" i="32"/>
  <c r="E15" i="32"/>
  <c r="E14" i="32"/>
  <c r="E13" i="32"/>
  <c r="E9" i="32"/>
  <c r="E7" i="32"/>
  <c r="E145" i="31"/>
  <c r="E144" i="31"/>
  <c r="E143" i="31"/>
  <c r="E141" i="31"/>
  <c r="E140" i="31"/>
  <c r="E139" i="31"/>
  <c r="E138" i="31"/>
  <c r="E137" i="31"/>
  <c r="E135" i="31"/>
  <c r="E134" i="31"/>
  <c r="E133" i="31"/>
  <c r="E131" i="31"/>
  <c r="E123" i="31"/>
  <c r="E122" i="31"/>
  <c r="E121" i="31"/>
  <c r="E120" i="31"/>
  <c r="E119" i="31"/>
  <c r="E118" i="31"/>
  <c r="E117" i="31"/>
  <c r="E116" i="31"/>
  <c r="E115" i="31"/>
  <c r="E113" i="31"/>
  <c r="E112" i="31"/>
  <c r="E111" i="31"/>
  <c r="E110" i="31"/>
  <c r="E109" i="31"/>
  <c r="E108" i="31"/>
  <c r="E107" i="31"/>
  <c r="E106" i="31"/>
  <c r="E104" i="31"/>
  <c r="E102" i="31"/>
  <c r="E101" i="31"/>
  <c r="E100" i="31"/>
  <c r="E99" i="31"/>
  <c r="E90" i="31"/>
  <c r="E89" i="31"/>
  <c r="E88" i="31"/>
  <c r="E87" i="31"/>
  <c r="E86" i="31"/>
  <c r="E85" i="31"/>
  <c r="E84" i="31"/>
  <c r="E82" i="31"/>
  <c r="E80" i="31"/>
  <c r="E79" i="31"/>
  <c r="E78" i="31"/>
  <c r="E77" i="31"/>
  <c r="E76" i="31"/>
  <c r="E75" i="31"/>
  <c r="E74" i="31"/>
  <c r="E71" i="31"/>
  <c r="E70" i="31"/>
  <c r="E69" i="31"/>
  <c r="E68" i="31"/>
  <c r="E66" i="31"/>
  <c r="E57" i="31"/>
  <c r="E56" i="31"/>
  <c r="E55" i="31"/>
  <c r="E53" i="31"/>
  <c r="E51" i="31"/>
  <c r="E50" i="31"/>
  <c r="E49" i="31"/>
  <c r="E48" i="31"/>
  <c r="E47" i="31"/>
  <c r="E46" i="31"/>
  <c r="E45" i="31"/>
  <c r="E44" i="31"/>
  <c r="E43" i="31"/>
  <c r="E42" i="31"/>
  <c r="E41" i="31"/>
  <c r="E40" i="31"/>
  <c r="E39" i="31"/>
  <c r="E38" i="31"/>
  <c r="E29" i="31"/>
  <c r="E28" i="31"/>
  <c r="E27" i="31"/>
  <c r="E26" i="31"/>
  <c r="E25" i="31"/>
  <c r="E24" i="31"/>
  <c r="E23" i="31"/>
  <c r="E22" i="31"/>
  <c r="E21" i="31"/>
  <c r="E20" i="31"/>
  <c r="E19" i="31"/>
  <c r="E16" i="31"/>
  <c r="E15" i="31"/>
  <c r="E14" i="31"/>
  <c r="E145" i="30"/>
  <c r="E144" i="30"/>
  <c r="E143" i="30"/>
  <c r="E141" i="30"/>
  <c r="E140" i="30"/>
  <c r="E139" i="30"/>
  <c r="E138" i="30"/>
  <c r="E137" i="30"/>
  <c r="E135" i="30"/>
  <c r="E134" i="30"/>
  <c r="E133" i="30"/>
  <c r="E131" i="30"/>
  <c r="E123" i="30"/>
  <c r="E122" i="30"/>
  <c r="E121" i="30"/>
  <c r="E120" i="30"/>
  <c r="E119" i="30"/>
  <c r="E118" i="30"/>
  <c r="E117" i="30"/>
  <c r="E116" i="30"/>
  <c r="E115" i="30"/>
  <c r="E113" i="30"/>
  <c r="E112" i="30"/>
  <c r="E111" i="30"/>
  <c r="E110" i="30"/>
  <c r="E109" i="30"/>
  <c r="E108" i="30"/>
  <c r="E107" i="30"/>
  <c r="E106" i="30"/>
  <c r="E104" i="30"/>
  <c r="E102" i="30"/>
  <c r="E101" i="30"/>
  <c r="E100" i="30"/>
  <c r="E99" i="30"/>
  <c r="E90" i="30"/>
  <c r="E89" i="30"/>
  <c r="E88" i="30"/>
  <c r="E87" i="30"/>
  <c r="E86" i="30"/>
  <c r="E85" i="30"/>
  <c r="E84" i="30"/>
  <c r="E82" i="30"/>
  <c r="E80" i="30"/>
  <c r="E79" i="30"/>
  <c r="E78" i="30"/>
  <c r="E77" i="30"/>
  <c r="E76" i="30"/>
  <c r="E75" i="30"/>
  <c r="E74" i="30"/>
  <c r="E72" i="30"/>
  <c r="E71" i="30"/>
  <c r="E70" i="30"/>
  <c r="E69" i="30"/>
  <c r="E58" i="30"/>
  <c r="E57" i="30"/>
  <c r="E56" i="30"/>
  <c r="E54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6" i="30"/>
  <c r="E15" i="30"/>
  <c r="E14" i="30"/>
  <c r="E13" i="30"/>
  <c r="E11" i="30"/>
  <c r="E10" i="30"/>
  <c r="E9" i="30"/>
  <c r="E7" i="30"/>
  <c r="E146" i="29"/>
  <c r="E145" i="29"/>
  <c r="E144" i="29"/>
  <c r="E142" i="29"/>
  <c r="E141" i="29"/>
  <c r="E140" i="29"/>
  <c r="E139" i="29"/>
  <c r="E138" i="29"/>
  <c r="E136" i="29"/>
  <c r="E135" i="29"/>
  <c r="E134" i="29"/>
  <c r="E132" i="29"/>
  <c r="E124" i="29"/>
  <c r="E123" i="29"/>
  <c r="E122" i="29"/>
  <c r="E121" i="29"/>
  <c r="E120" i="29"/>
  <c r="E119" i="29"/>
  <c r="E118" i="29"/>
  <c r="E117" i="29"/>
  <c r="E116" i="29"/>
  <c r="E114" i="29"/>
  <c r="E113" i="29"/>
  <c r="E112" i="29"/>
  <c r="E111" i="29"/>
  <c r="E110" i="29"/>
  <c r="E109" i="29"/>
  <c r="E108" i="29"/>
  <c r="E107" i="29"/>
  <c r="E105" i="29"/>
  <c r="E103" i="29"/>
  <c r="E102" i="29"/>
  <c r="E101" i="29"/>
  <c r="E100" i="29"/>
  <c r="E91" i="29"/>
  <c r="E90" i="29"/>
  <c r="E89" i="29"/>
  <c r="E88" i="29"/>
  <c r="E87" i="29"/>
  <c r="E86" i="29"/>
  <c r="E85" i="29"/>
  <c r="E83" i="29"/>
  <c r="E81" i="29"/>
  <c r="E80" i="29"/>
  <c r="E79" i="29"/>
  <c r="E78" i="29"/>
  <c r="E77" i="29"/>
  <c r="E76" i="29"/>
  <c r="E75" i="29"/>
  <c r="E73" i="29"/>
  <c r="E72" i="29"/>
  <c r="E71" i="29"/>
  <c r="E70" i="29"/>
  <c r="E68" i="29"/>
  <c r="E59" i="29"/>
  <c r="E58" i="29"/>
  <c r="E57" i="29"/>
  <c r="E55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6" i="29"/>
  <c r="E15" i="29"/>
  <c r="E14" i="29"/>
  <c r="E13" i="29"/>
  <c r="E11" i="29"/>
  <c r="E10" i="29"/>
  <c r="E9" i="29"/>
  <c r="E7" i="29"/>
  <c r="E144" i="28"/>
  <c r="E143" i="28"/>
  <c r="E142" i="28"/>
  <c r="E140" i="28"/>
  <c r="E139" i="28"/>
  <c r="E138" i="28"/>
  <c r="E137" i="28"/>
  <c r="E136" i="28"/>
  <c r="E134" i="28"/>
  <c r="E133" i="28"/>
  <c r="E132" i="28"/>
  <c r="E130" i="28"/>
  <c r="E122" i="28"/>
  <c r="E121" i="28"/>
  <c r="E120" i="28"/>
  <c r="E119" i="28"/>
  <c r="E118" i="28"/>
  <c r="E117" i="28"/>
  <c r="E116" i="28"/>
  <c r="E115" i="28"/>
  <c r="E114" i="28"/>
  <c r="E112" i="28"/>
  <c r="E111" i="28"/>
  <c r="E110" i="28"/>
  <c r="E109" i="28"/>
  <c r="E108" i="28"/>
  <c r="E107" i="28"/>
  <c r="E106" i="28"/>
  <c r="E105" i="28"/>
  <c r="E103" i="28"/>
  <c r="E101" i="28"/>
  <c r="E100" i="28"/>
  <c r="E99" i="28"/>
  <c r="E98" i="28"/>
  <c r="E89" i="28"/>
  <c r="E88" i="28"/>
  <c r="E87" i="28"/>
  <c r="E86" i="28"/>
  <c r="E85" i="28"/>
  <c r="E84" i="28"/>
  <c r="E83" i="28"/>
  <c r="E81" i="28"/>
  <c r="E79" i="28"/>
  <c r="E78" i="28"/>
  <c r="E77" i="28"/>
  <c r="E76" i="28"/>
  <c r="E75" i="28"/>
  <c r="E74" i="28"/>
  <c r="E73" i="28"/>
  <c r="E71" i="28"/>
  <c r="E70" i="28"/>
  <c r="E69" i="28"/>
  <c r="E68" i="28"/>
  <c r="E66" i="28"/>
  <c r="E57" i="28"/>
  <c r="E56" i="28"/>
  <c r="E55" i="28"/>
  <c r="E53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6" i="28"/>
  <c r="E15" i="28"/>
  <c r="E14" i="28"/>
  <c r="E13" i="28"/>
  <c r="E11" i="28"/>
  <c r="E10" i="28"/>
  <c r="E9" i="28"/>
  <c r="E7" i="28"/>
  <c r="D24" i="27" l="1"/>
  <c r="D23" i="27"/>
  <c r="D22" i="27"/>
  <c r="D21" i="27"/>
  <c r="D20" i="27"/>
  <c r="D19" i="27"/>
  <c r="D18" i="27"/>
  <c r="D17" i="27"/>
  <c r="D16" i="27"/>
  <c r="D15" i="27"/>
  <c r="D14" i="27"/>
  <c r="D13" i="27"/>
  <c r="D12" i="27"/>
  <c r="D11" i="27"/>
  <c r="D10" i="27"/>
  <c r="D9" i="27"/>
  <c r="D7" i="27"/>
  <c r="E105" i="24" l="1"/>
  <c r="E104" i="24"/>
  <c r="E103" i="24"/>
  <c r="E102" i="24"/>
  <c r="E101" i="24"/>
  <c r="E100" i="24"/>
  <c r="E98" i="24"/>
  <c r="E97" i="24"/>
  <c r="E96" i="24"/>
  <c r="E95" i="24"/>
  <c r="E94" i="24"/>
  <c r="E93" i="24"/>
  <c r="E91" i="24"/>
  <c r="E90" i="24"/>
  <c r="E89" i="24"/>
  <c r="E88" i="24"/>
  <c r="E87" i="24"/>
  <c r="E86" i="24"/>
  <c r="E85" i="24"/>
  <c r="E84" i="24"/>
  <c r="E83" i="24"/>
  <c r="E82" i="24"/>
  <c r="E81" i="24"/>
  <c r="E80" i="24"/>
  <c r="E79" i="24"/>
  <c r="E78" i="24"/>
  <c r="E77" i="24"/>
  <c r="E76" i="24"/>
  <c r="E73" i="24"/>
  <c r="E72" i="24"/>
  <c r="E70" i="24"/>
  <c r="E69" i="24"/>
  <c r="E68" i="24"/>
  <c r="E65" i="24"/>
  <c r="E64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7" i="24"/>
  <c r="E105" i="23"/>
  <c r="E104" i="23"/>
  <c r="E103" i="23"/>
  <c r="E102" i="23"/>
  <c r="E101" i="23"/>
  <c r="E100" i="23"/>
  <c r="E99" i="23"/>
  <c r="E98" i="23"/>
  <c r="E97" i="23"/>
  <c r="E96" i="23"/>
  <c r="E95" i="23"/>
  <c r="E94" i="23"/>
  <c r="E93" i="23"/>
  <c r="E90" i="23"/>
  <c r="E89" i="23"/>
  <c r="E88" i="23"/>
  <c r="E87" i="23"/>
  <c r="E86" i="23"/>
  <c r="E85" i="23"/>
  <c r="E84" i="23"/>
  <c r="E83" i="23"/>
  <c r="E82" i="23"/>
  <c r="E81" i="23"/>
  <c r="E80" i="23"/>
  <c r="E79" i="23"/>
  <c r="E78" i="23"/>
  <c r="E77" i="23"/>
  <c r="E76" i="23"/>
  <c r="E75" i="23"/>
  <c r="E74" i="23"/>
  <c r="E73" i="23"/>
  <c r="E72" i="23"/>
  <c r="E71" i="23"/>
  <c r="E70" i="23"/>
  <c r="E69" i="23"/>
  <c r="E68" i="23"/>
  <c r="E67" i="23"/>
  <c r="E66" i="23"/>
  <c r="E65" i="23"/>
  <c r="E64" i="23"/>
  <c r="E57" i="23"/>
  <c r="E56" i="23"/>
  <c r="E55" i="23"/>
  <c r="E54" i="23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39" i="23"/>
  <c r="E38" i="23"/>
  <c r="E37" i="23"/>
  <c r="E36" i="23"/>
  <c r="E35" i="23"/>
  <c r="E34" i="23"/>
  <c r="E33" i="23"/>
  <c r="E32" i="23"/>
  <c r="E31" i="23"/>
  <c r="E30" i="23"/>
  <c r="E29" i="23"/>
  <c r="E28" i="23"/>
  <c r="E27" i="23"/>
  <c r="E26" i="23"/>
  <c r="E25" i="23"/>
  <c r="E24" i="23"/>
  <c r="E23" i="23"/>
  <c r="E22" i="23"/>
  <c r="E21" i="23"/>
  <c r="E20" i="23"/>
  <c r="E19" i="23"/>
  <c r="E18" i="23"/>
  <c r="E17" i="23"/>
  <c r="E16" i="23"/>
  <c r="E15" i="23"/>
  <c r="E14" i="23"/>
  <c r="E13" i="23"/>
  <c r="E12" i="23"/>
  <c r="E11" i="23"/>
  <c r="E10" i="23"/>
  <c r="E9" i="23"/>
  <c r="E7" i="23"/>
  <c r="F969" i="1"/>
  <c r="F970" i="1"/>
  <c r="F971" i="1"/>
  <c r="F972" i="1"/>
  <c r="F973" i="1"/>
  <c r="F974" i="1"/>
  <c r="F975" i="1"/>
  <c r="F968" i="1"/>
  <c r="F959" i="1"/>
  <c r="F960" i="1"/>
  <c r="F961" i="1"/>
  <c r="F962" i="1"/>
  <c r="F963" i="1"/>
  <c r="F964" i="1"/>
  <c r="F965" i="1"/>
  <c r="F958" i="1"/>
  <c r="F949" i="1"/>
  <c r="F950" i="1"/>
  <c r="F951" i="1"/>
  <c r="F952" i="1"/>
  <c r="F953" i="1"/>
  <c r="F954" i="1"/>
  <c r="F955" i="1"/>
  <c r="F948" i="1"/>
  <c r="F942" i="1"/>
  <c r="F943" i="1"/>
  <c r="F944" i="1"/>
  <c r="F945" i="1"/>
  <c r="F941" i="1"/>
  <c r="F938" i="1"/>
  <c r="F937" i="1"/>
  <c r="F911" i="1"/>
  <c r="F914" i="1"/>
  <c r="F915" i="1"/>
  <c r="F930" i="1"/>
  <c r="F933" i="1"/>
  <c r="F934" i="1"/>
  <c r="F910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893" i="1"/>
  <c r="F880" i="1"/>
  <c r="F881" i="1"/>
  <c r="F882" i="1"/>
  <c r="F883" i="1"/>
  <c r="F884" i="1"/>
  <c r="F885" i="1"/>
  <c r="F886" i="1"/>
  <c r="F887" i="1"/>
  <c r="F888" i="1"/>
  <c r="F889" i="1"/>
  <c r="F890" i="1"/>
  <c r="F879" i="1"/>
  <c r="F871" i="1"/>
  <c r="F872" i="1"/>
  <c r="F873" i="1"/>
  <c r="F874" i="1"/>
  <c r="F875" i="1"/>
  <c r="F876" i="1"/>
  <c r="F866" i="1"/>
  <c r="F867" i="1"/>
  <c r="F868" i="1"/>
  <c r="F869" i="1"/>
  <c r="F870" i="1"/>
  <c r="F858" i="1"/>
  <c r="F859" i="1"/>
  <c r="F860" i="1"/>
  <c r="F861" i="1"/>
  <c r="F862" i="1"/>
  <c r="F841" i="1"/>
  <c r="F840" i="1"/>
  <c r="F837" i="1"/>
  <c r="F836" i="1"/>
  <c r="F831" i="1"/>
  <c r="F832" i="1"/>
  <c r="F833" i="1"/>
  <c r="F820" i="1"/>
  <c r="F821" i="1"/>
  <c r="F822" i="1"/>
  <c r="F823" i="1"/>
  <c r="F824" i="1"/>
  <c r="F826" i="1"/>
  <c r="F827" i="1"/>
  <c r="F828" i="1"/>
  <c r="F816" i="1"/>
  <c r="F815" i="1"/>
  <c r="F812" i="1"/>
  <c r="F811" i="1"/>
  <c r="F805" i="1"/>
  <c r="F806" i="1"/>
  <c r="F807" i="1"/>
  <c r="F808" i="1"/>
  <c r="F804" i="1"/>
  <c r="F801" i="1"/>
  <c r="F800" i="1"/>
  <c r="F787" i="1"/>
  <c r="F788" i="1"/>
  <c r="F789" i="1"/>
  <c r="F790" i="1"/>
  <c r="F791" i="1"/>
  <c r="F793" i="1"/>
  <c r="F794" i="1"/>
  <c r="F795" i="1"/>
  <c r="F796" i="1"/>
  <c r="F797" i="1"/>
  <c r="F786" i="1"/>
  <c r="F782" i="1"/>
  <c r="F783" i="1"/>
  <c r="F761" i="1"/>
  <c r="F762" i="1"/>
  <c r="F763" i="1"/>
  <c r="F775" i="1"/>
  <c r="F776" i="1"/>
  <c r="F777" i="1"/>
  <c r="F778" i="1"/>
  <c r="F779" i="1"/>
  <c r="F758" i="1"/>
  <c r="F759" i="1"/>
  <c r="F760" i="1"/>
  <c r="F749" i="1"/>
  <c r="F750" i="1"/>
  <c r="F751" i="1"/>
  <c r="F752" i="1"/>
  <c r="F753" i="1"/>
  <c r="F754" i="1"/>
  <c r="F855" i="1"/>
  <c r="F856" i="1"/>
  <c r="F857" i="1"/>
  <c r="F865" i="1"/>
  <c r="F854" i="1"/>
  <c r="F757" i="1"/>
  <c r="F819" i="1"/>
  <c r="F739" i="1"/>
  <c r="F740" i="1"/>
  <c r="F741" i="1"/>
  <c r="F742" i="1"/>
  <c r="F743" i="1"/>
  <c r="F744" i="1"/>
  <c r="F745" i="1"/>
  <c r="F746" i="1"/>
  <c r="F738" i="1"/>
  <c r="F727" i="1"/>
  <c r="F728" i="1"/>
  <c r="F729" i="1"/>
  <c r="F730" i="1"/>
  <c r="F731" i="1"/>
  <c r="F732" i="1"/>
  <c r="F733" i="1"/>
  <c r="F734" i="1"/>
  <c r="F735" i="1"/>
  <c r="F726" i="1"/>
  <c r="F715" i="1"/>
  <c r="F716" i="1"/>
  <c r="F717" i="1"/>
  <c r="F718" i="1"/>
  <c r="F719" i="1"/>
  <c r="F720" i="1"/>
  <c r="F721" i="1"/>
  <c r="F722" i="1"/>
  <c r="F723" i="1"/>
  <c r="F714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699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74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58" i="1"/>
  <c r="F646" i="1"/>
  <c r="F647" i="1"/>
  <c r="F648" i="1"/>
  <c r="F649" i="1"/>
  <c r="F650" i="1"/>
  <c r="F651" i="1"/>
  <c r="F652" i="1"/>
  <c r="F653" i="1"/>
  <c r="F654" i="1"/>
  <c r="F655" i="1"/>
  <c r="F645" i="1"/>
  <c r="F632" i="1"/>
  <c r="F633" i="1"/>
  <c r="F634" i="1"/>
  <c r="F635" i="1"/>
  <c r="F636" i="1"/>
  <c r="F637" i="1"/>
  <c r="F638" i="1"/>
  <c r="F639" i="1"/>
  <c r="F640" i="1"/>
  <c r="F641" i="1"/>
  <c r="F642" i="1"/>
  <c r="F631" i="1"/>
  <c r="F600" i="1"/>
  <c r="F601" i="1"/>
  <c r="F602" i="1"/>
  <c r="F603" i="1"/>
  <c r="F604" i="1"/>
  <c r="F605" i="1"/>
  <c r="F607" i="1"/>
  <c r="F608" i="1"/>
  <c r="F609" i="1"/>
  <c r="F599" i="1"/>
  <c r="F577" i="1"/>
  <c r="F578" i="1"/>
  <c r="F579" i="1"/>
  <c r="F580" i="1"/>
  <c r="F566" i="1"/>
  <c r="F567" i="1"/>
  <c r="F568" i="1"/>
  <c r="F569" i="1"/>
  <c r="F570" i="1"/>
  <c r="F571" i="1"/>
  <c r="F556" i="1"/>
  <c r="F557" i="1"/>
  <c r="F558" i="1"/>
  <c r="F559" i="1"/>
  <c r="F560" i="1"/>
  <c r="F561" i="1"/>
  <c r="F564" i="1"/>
  <c r="F565" i="1"/>
  <c r="F574" i="1"/>
  <c r="F575" i="1"/>
  <c r="F576" i="1"/>
  <c r="F581" i="1"/>
  <c r="F582" i="1"/>
  <c r="F583" i="1"/>
  <c r="F584" i="1"/>
  <c r="F587" i="1"/>
  <c r="F588" i="1"/>
  <c r="F589" i="1"/>
  <c r="F590" i="1"/>
  <c r="F591" i="1"/>
  <c r="F592" i="1"/>
  <c r="F593" i="1"/>
  <c r="F594" i="1"/>
  <c r="F595" i="1"/>
  <c r="F596" i="1"/>
  <c r="F621" i="1"/>
  <c r="F622" i="1"/>
  <c r="F623" i="1"/>
  <c r="F624" i="1"/>
  <c r="F625" i="1"/>
  <c r="F626" i="1"/>
  <c r="F627" i="1"/>
  <c r="F628" i="1"/>
  <c r="F555" i="1"/>
  <c r="F554" i="1"/>
  <c r="F545" i="1"/>
  <c r="F546" i="1"/>
  <c r="F547" i="1"/>
  <c r="F548" i="1"/>
  <c r="F549" i="1"/>
  <c r="F550" i="1"/>
  <c r="F551" i="1"/>
  <c r="F543" i="1"/>
  <c r="F522" i="1"/>
  <c r="F523" i="1"/>
  <c r="F524" i="1"/>
  <c r="F525" i="1"/>
  <c r="F526" i="1"/>
  <c r="F527" i="1"/>
  <c r="F528" i="1"/>
  <c r="F529" i="1"/>
  <c r="F530" i="1"/>
  <c r="F521" i="1"/>
  <c r="F512" i="1"/>
  <c r="F513" i="1"/>
  <c r="F514" i="1"/>
  <c r="F515" i="1"/>
  <c r="F516" i="1"/>
  <c r="F517" i="1"/>
  <c r="F518" i="1"/>
  <c r="F511" i="1"/>
  <c r="F502" i="1"/>
  <c r="F503" i="1"/>
  <c r="F504" i="1"/>
  <c r="F505" i="1"/>
  <c r="F506" i="1"/>
  <c r="F507" i="1"/>
  <c r="F508" i="1"/>
  <c r="F501" i="1"/>
  <c r="F489" i="1"/>
  <c r="F490" i="1"/>
  <c r="F491" i="1"/>
  <c r="F492" i="1"/>
  <c r="F493" i="1"/>
  <c r="F494" i="1"/>
  <c r="F495" i="1"/>
  <c r="F496" i="1"/>
  <c r="F497" i="1"/>
  <c r="F498" i="1"/>
  <c r="F488" i="1"/>
  <c r="F476" i="1"/>
  <c r="F477" i="1"/>
  <c r="F478" i="1"/>
  <c r="F479" i="1"/>
  <c r="F480" i="1"/>
  <c r="F481" i="1"/>
  <c r="F482" i="1"/>
  <c r="F483" i="1"/>
  <c r="F484" i="1"/>
  <c r="F485" i="1"/>
  <c r="F475" i="1"/>
  <c r="F462" i="1"/>
  <c r="F463" i="1"/>
  <c r="F464" i="1"/>
  <c r="F465" i="1"/>
  <c r="F466" i="1"/>
  <c r="F467" i="1"/>
  <c r="F468" i="1"/>
  <c r="F469" i="1"/>
  <c r="F470" i="1"/>
  <c r="F471" i="1"/>
  <c r="F472" i="1"/>
  <c r="F461" i="1"/>
  <c r="F438" i="1"/>
  <c r="F439" i="1"/>
  <c r="F440" i="1"/>
  <c r="F441" i="1"/>
  <c r="F442" i="1"/>
  <c r="F443" i="1"/>
  <c r="F444" i="1"/>
  <c r="F445" i="1"/>
  <c r="F446" i="1"/>
  <c r="F447" i="1"/>
  <c r="F448" i="1"/>
  <c r="F437" i="1"/>
  <c r="F434" i="1"/>
  <c r="F433" i="1"/>
  <c r="F420" i="1"/>
  <c r="F421" i="1"/>
  <c r="F422" i="1"/>
  <c r="F423" i="1"/>
  <c r="F424" i="1"/>
  <c r="F425" i="1"/>
  <c r="F426" i="1"/>
  <c r="F427" i="1"/>
  <c r="F428" i="1"/>
  <c r="F429" i="1"/>
  <c r="F430" i="1"/>
  <c r="F419" i="1"/>
  <c r="F407" i="1" l="1"/>
  <c r="F408" i="1"/>
  <c r="F409" i="1"/>
  <c r="F410" i="1"/>
  <c r="F411" i="1"/>
  <c r="F412" i="1"/>
  <c r="F413" i="1"/>
  <c r="F414" i="1"/>
  <c r="F415" i="1"/>
  <c r="F416" i="1"/>
  <c r="F406" i="1"/>
  <c r="F398" i="1"/>
  <c r="F399" i="1"/>
  <c r="F400" i="1"/>
  <c r="F401" i="1"/>
  <c r="F402" i="1"/>
  <c r="F403" i="1"/>
  <c r="F397" i="1"/>
  <c r="F390" i="1"/>
  <c r="F391" i="1"/>
  <c r="F392" i="1"/>
  <c r="F393" i="1"/>
  <c r="F394" i="1"/>
  <c r="F389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63" i="1"/>
  <c r="F350" i="1"/>
  <c r="F351" i="1"/>
  <c r="F352" i="1"/>
  <c r="F353" i="1"/>
  <c r="F354" i="1"/>
  <c r="F355" i="1"/>
  <c r="F356" i="1"/>
  <c r="F357" i="1"/>
  <c r="F358" i="1"/>
  <c r="F359" i="1"/>
  <c r="F360" i="1"/>
  <c r="F349" i="1"/>
  <c r="F346" i="1"/>
  <c r="F345" i="1"/>
  <c r="F334" i="1"/>
  <c r="F335" i="1"/>
  <c r="F336" i="1"/>
  <c r="F337" i="1"/>
  <c r="F338" i="1"/>
  <c r="F339" i="1"/>
  <c r="F340" i="1"/>
  <c r="F341" i="1"/>
  <c r="F342" i="1"/>
  <c r="F333" i="1"/>
  <c r="F322" i="1"/>
  <c r="F323" i="1"/>
  <c r="F324" i="1"/>
  <c r="F325" i="1"/>
  <c r="F326" i="1"/>
  <c r="F327" i="1"/>
  <c r="F328" i="1"/>
  <c r="F329" i="1"/>
  <c r="F330" i="1"/>
  <c r="F321" i="1"/>
  <c r="F311" i="1"/>
  <c r="F312" i="1"/>
  <c r="F313" i="1"/>
  <c r="F314" i="1"/>
  <c r="F315" i="1"/>
  <c r="F316" i="1"/>
  <c r="F317" i="1"/>
  <c r="F318" i="1"/>
  <c r="F310" i="1"/>
  <c r="F290" i="1"/>
  <c r="F291" i="1"/>
  <c r="F292" i="1"/>
  <c r="F293" i="1"/>
  <c r="F294" i="1"/>
  <c r="F295" i="1"/>
  <c r="F296" i="1"/>
  <c r="F297" i="1"/>
  <c r="F289" i="1"/>
  <c r="F278" i="1"/>
  <c r="F279" i="1"/>
  <c r="F280" i="1"/>
  <c r="F281" i="1"/>
  <c r="F282" i="1"/>
  <c r="F283" i="1"/>
  <c r="F284" i="1"/>
  <c r="F285" i="1"/>
  <c r="F286" i="1"/>
  <c r="F277" i="1"/>
  <c r="F266" i="1"/>
  <c r="F267" i="1"/>
  <c r="F268" i="1"/>
  <c r="F269" i="1"/>
  <c r="F270" i="1"/>
  <c r="F271" i="1"/>
  <c r="F272" i="1"/>
  <c r="F273" i="1"/>
  <c r="F274" i="1"/>
  <c r="F265" i="1"/>
  <c r="F252" i="1"/>
  <c r="F253" i="1"/>
  <c r="F254" i="1"/>
  <c r="F255" i="1"/>
  <c r="F256" i="1"/>
  <c r="F257" i="1"/>
  <c r="F258" i="1"/>
  <c r="F259" i="1"/>
  <c r="F260" i="1"/>
  <c r="F261" i="1"/>
  <c r="F262" i="1"/>
  <c r="F2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tc={AA793F84-82B8-409F-A878-1AE5BF4774B1}</author>
  </authors>
  <commentList>
    <comment ref="A138" authorId="0" shapeId="0" xr:uid="{AA793F84-82B8-409F-A878-1AE5BF4774B1}">
      <text>
        <t>[Threaded comment]
Your version of Excel allows you to read this threaded comment; however, any edits to it will get removed if the file is opened in a newer version of Excel. Learn more: https://go.microsoft.com/fwlink/?linkid=870924
Comment:
    C162 or c16</t>
      </text>
    </comment>
  </commentList>
</comments>
</file>

<file path=xl/sharedStrings.xml><?xml version="1.0" encoding="utf-8"?>
<sst xmlns="http://schemas.openxmlformats.org/spreadsheetml/2006/main" count="6359" uniqueCount="1399">
  <si>
    <t>b  OWS' code.</t>
  </si>
  <si>
    <t xml:space="preserve"> 2. Wage rates refer to the sum of the basic pay and regular/guaranteed cash allowances.</t>
  </si>
  <si>
    <t xml:space="preserve">             thus, it is less reliable or precise.</t>
  </si>
  <si>
    <t xml:space="preserve">Notes: 1. An estimate with coefficient of variation greater than 10%  should be used with caution since the estimate is located in a very wide spread or wage range, </t>
  </si>
  <si>
    <t>S969000</t>
  </si>
  <si>
    <t>9000</t>
  </si>
  <si>
    <t>S96</t>
  </si>
  <si>
    <t>b</t>
  </si>
  <si>
    <t>S965142</t>
  </si>
  <si>
    <t>5142</t>
  </si>
  <si>
    <t>S965141</t>
  </si>
  <si>
    <t>5141</t>
  </si>
  <si>
    <t xml:space="preserve">Hairdressers </t>
  </si>
  <si>
    <t>S964311</t>
  </si>
  <si>
    <t>4311</t>
  </si>
  <si>
    <t>S963423</t>
  </si>
  <si>
    <t>3423</t>
  </si>
  <si>
    <t>Fitness and Recreation Instructors and Program Leaders</t>
  </si>
  <si>
    <t>S963255</t>
  </si>
  <si>
    <t>3255</t>
  </si>
  <si>
    <t>Physiotherapy Technicians and Assistants</t>
  </si>
  <si>
    <t>Q869000</t>
  </si>
  <si>
    <t>Q86</t>
  </si>
  <si>
    <t>Q865321</t>
  </si>
  <si>
    <t>5321</t>
  </si>
  <si>
    <t>Health Care Assistants</t>
  </si>
  <si>
    <t>Q864311</t>
  </si>
  <si>
    <t>Q863212</t>
  </si>
  <si>
    <t>3212</t>
  </si>
  <si>
    <t>Q863211</t>
  </si>
  <si>
    <t>3211</t>
  </si>
  <si>
    <t>Medical Imaging and Therapeutic Equipment Technicians</t>
  </si>
  <si>
    <t>Q862265</t>
  </si>
  <si>
    <t>2265</t>
  </si>
  <si>
    <t>Dieticians and Nutritionist</t>
  </si>
  <si>
    <t>Q862264</t>
  </si>
  <si>
    <t>2264</t>
  </si>
  <si>
    <t>Q862262</t>
  </si>
  <si>
    <t>2262</t>
  </si>
  <si>
    <t>Pharmacist</t>
  </si>
  <si>
    <t>Q862261</t>
  </si>
  <si>
    <t>2261</t>
  </si>
  <si>
    <t>Dentists</t>
  </si>
  <si>
    <t>Q862222</t>
  </si>
  <si>
    <t>2222</t>
  </si>
  <si>
    <t>Midwifery Professionals</t>
  </si>
  <si>
    <t>Q862221</t>
  </si>
  <si>
    <t>2221</t>
  </si>
  <si>
    <t>Q862212</t>
  </si>
  <si>
    <t>2212</t>
  </si>
  <si>
    <t>Q862211</t>
  </si>
  <si>
    <t>2211</t>
  </si>
  <si>
    <t>Human Health Activities except Public Health Activities</t>
  </si>
  <si>
    <t>P859000</t>
  </si>
  <si>
    <t>P85</t>
  </si>
  <si>
    <t>P854311</t>
  </si>
  <si>
    <t>P852423</t>
  </si>
  <si>
    <t>2423</t>
  </si>
  <si>
    <t>P852352</t>
  </si>
  <si>
    <t>2352</t>
  </si>
  <si>
    <t>P852342</t>
  </si>
  <si>
    <t>2342</t>
  </si>
  <si>
    <t>Early Childhood Educators</t>
  </si>
  <si>
    <t>P852341</t>
  </si>
  <si>
    <t>2341</t>
  </si>
  <si>
    <t>Primary School Teachers</t>
  </si>
  <si>
    <t>P852339</t>
  </si>
  <si>
    <t>2339</t>
  </si>
  <si>
    <t>Science and Mathematics Teaching Professionals</t>
  </si>
  <si>
    <t>P852330</t>
  </si>
  <si>
    <t>2330</t>
  </si>
  <si>
    <t>Secondary Education Teachers</t>
  </si>
  <si>
    <t>P852320</t>
  </si>
  <si>
    <t>2320</t>
  </si>
  <si>
    <t>Vocational Education Teachers</t>
  </si>
  <si>
    <t>P852310</t>
  </si>
  <si>
    <t>2310</t>
  </si>
  <si>
    <t>University and Higher Education Teachers</t>
  </si>
  <si>
    <t xml:space="preserve">Education except Public Education </t>
  </si>
  <si>
    <t>N822269000</t>
  </si>
  <si>
    <t>N82226</t>
  </si>
  <si>
    <t>N822264311</t>
  </si>
  <si>
    <t>N822263512</t>
  </si>
  <si>
    <t>3512</t>
  </si>
  <si>
    <t>N822263344</t>
  </si>
  <si>
    <t>3344</t>
  </si>
  <si>
    <t>Medical Transcriptionists</t>
  </si>
  <si>
    <t>Upper</t>
  </si>
  <si>
    <t>Lower</t>
  </si>
  <si>
    <t>Coefficient of Variation (%)</t>
  </si>
  <si>
    <t>Standard Error</t>
  </si>
  <si>
    <t>Wage Rate Estimate</t>
  </si>
  <si>
    <t>Industry/Occupation</t>
  </si>
  <si>
    <t xml:space="preserve">           thus, it is less reliable or precise.</t>
  </si>
  <si>
    <t xml:space="preserve">Note: An estimate with coefficient of variation greater than 10%  should be used with caution since the estimate is located in a very wide spread or wage range, </t>
  </si>
  <si>
    <t>N82229000</t>
  </si>
  <si>
    <t>N8222</t>
  </si>
  <si>
    <t>N82224311</t>
  </si>
  <si>
    <t>N82224225</t>
  </si>
  <si>
    <t>4225</t>
  </si>
  <si>
    <t>N82224222</t>
  </si>
  <si>
    <t>4222</t>
  </si>
  <si>
    <t>Contact Center Information Clerks</t>
  </si>
  <si>
    <t>N82223512</t>
  </si>
  <si>
    <t>N82223333</t>
  </si>
  <si>
    <t>3333</t>
  </si>
  <si>
    <t>N82223313</t>
  </si>
  <si>
    <t>3313</t>
  </si>
  <si>
    <t>Accounting Associate Professionals</t>
  </si>
  <si>
    <t>N82222523</t>
  </si>
  <si>
    <t>2523</t>
  </si>
  <si>
    <t>N82222512</t>
  </si>
  <si>
    <t>2512</t>
  </si>
  <si>
    <t>Software Developers</t>
  </si>
  <si>
    <t>N82222122</t>
  </si>
  <si>
    <t>2122</t>
  </si>
  <si>
    <t xml:space="preserve">Statisticians </t>
  </si>
  <si>
    <t>N82222121</t>
  </si>
  <si>
    <t>2121</t>
  </si>
  <si>
    <t>N82219000</t>
  </si>
  <si>
    <t>N8221</t>
  </si>
  <si>
    <t>N82215244</t>
  </si>
  <si>
    <t>5244</t>
  </si>
  <si>
    <t>Contact Center Salesperson</t>
  </si>
  <si>
    <t>N82214311</t>
  </si>
  <si>
    <t>N82214222</t>
  </si>
  <si>
    <t>N82213512</t>
  </si>
  <si>
    <t>N82212514</t>
  </si>
  <si>
    <t>2514</t>
  </si>
  <si>
    <t>Applications Programmers</t>
  </si>
  <si>
    <t>N82212512</t>
  </si>
  <si>
    <t>Computer Engineers</t>
  </si>
  <si>
    <t>N82212121</t>
  </si>
  <si>
    <t>Mathematicians and Actuaries</t>
  </si>
  <si>
    <t>N799000</t>
  </si>
  <si>
    <t>N79</t>
  </si>
  <si>
    <t>N795230</t>
  </si>
  <si>
    <t>5230</t>
  </si>
  <si>
    <t>Cashiers and Ticket Clerks</t>
  </si>
  <si>
    <t>N795113</t>
  </si>
  <si>
    <t>5113</t>
  </si>
  <si>
    <t>Travel Guides</t>
  </si>
  <si>
    <t>N794311</t>
  </si>
  <si>
    <t>N794221</t>
  </si>
  <si>
    <t>4221</t>
  </si>
  <si>
    <t>Travel Consultants and Clerks</t>
  </si>
  <si>
    <t>N793322</t>
  </si>
  <si>
    <t>3322</t>
  </si>
  <si>
    <t>Commercial Sales Representatives</t>
  </si>
  <si>
    <t>M7119000</t>
  </si>
  <si>
    <t>M711</t>
  </si>
  <si>
    <t>M7114311</t>
  </si>
  <si>
    <t>M7113118</t>
  </si>
  <si>
    <t>3118</t>
  </si>
  <si>
    <t>Draftsmen</t>
  </si>
  <si>
    <t>M7113113</t>
  </si>
  <si>
    <t>3113</t>
  </si>
  <si>
    <t>Electrical Engineering Technicians</t>
  </si>
  <si>
    <t>M7113112</t>
  </si>
  <si>
    <t>3112</t>
  </si>
  <si>
    <t>Civil Engineering Technicians</t>
  </si>
  <si>
    <t>M7112162</t>
  </si>
  <si>
    <t>2162</t>
  </si>
  <si>
    <t>Landscape Architects</t>
  </si>
  <si>
    <t>M7112161</t>
  </si>
  <si>
    <t>2161</t>
  </si>
  <si>
    <t>Building Architects</t>
  </si>
  <si>
    <t>M7112151</t>
  </si>
  <si>
    <t>2151</t>
  </si>
  <si>
    <t>Electrical Engineers</t>
  </si>
  <si>
    <t>M7112142</t>
  </si>
  <si>
    <t>2142</t>
  </si>
  <si>
    <t xml:space="preserve">Civil Engineers including Geodetic Engineers  </t>
  </si>
  <si>
    <t>M7112114</t>
  </si>
  <si>
    <t>2114</t>
  </si>
  <si>
    <t>Geologists and Geophysicists</t>
  </si>
  <si>
    <t>M6929000</t>
  </si>
  <si>
    <t>M692</t>
  </si>
  <si>
    <t>M6924312</t>
  </si>
  <si>
    <t>4312</t>
  </si>
  <si>
    <t>Statistical, Finance and Insurance Clerks</t>
  </si>
  <si>
    <t>M6924311</t>
  </si>
  <si>
    <t>M6923352</t>
  </si>
  <si>
    <t>3352</t>
  </si>
  <si>
    <t>Government Tax and Excise Officials</t>
  </si>
  <si>
    <t>M6923313</t>
  </si>
  <si>
    <t>M6922413</t>
  </si>
  <si>
    <t>2413</t>
  </si>
  <si>
    <t>Financial Analyst</t>
  </si>
  <si>
    <t>M6922411</t>
  </si>
  <si>
    <t>2411</t>
  </si>
  <si>
    <t>L689000</t>
  </si>
  <si>
    <t>L68</t>
  </si>
  <si>
    <t>L684311</t>
  </si>
  <si>
    <t>L684222</t>
  </si>
  <si>
    <t>L684214</t>
  </si>
  <si>
    <t>4214</t>
  </si>
  <si>
    <t>L683334</t>
  </si>
  <si>
    <t>3334</t>
  </si>
  <si>
    <t>L683315</t>
  </si>
  <si>
    <t>3315</t>
  </si>
  <si>
    <t>L682431</t>
  </si>
  <si>
    <t>2431</t>
  </si>
  <si>
    <t>Advertising and Marketing Professionals</t>
  </si>
  <si>
    <t>L682411</t>
  </si>
  <si>
    <t>L682142</t>
  </si>
  <si>
    <t>Civil Engineers</t>
  </si>
  <si>
    <t>Real Estate Activities</t>
  </si>
  <si>
    <t>K659000</t>
  </si>
  <si>
    <t>K65</t>
  </si>
  <si>
    <t>K654312</t>
  </si>
  <si>
    <t>K654311</t>
  </si>
  <si>
    <t>K654222</t>
  </si>
  <si>
    <t>K654214</t>
  </si>
  <si>
    <t xml:space="preserve">Debt Collectors and Related Workers </t>
  </si>
  <si>
    <t>K653321</t>
  </si>
  <si>
    <t>3321</t>
  </si>
  <si>
    <t>Insurance Representatives</t>
  </si>
  <si>
    <t>K653315</t>
  </si>
  <si>
    <t>K653313</t>
  </si>
  <si>
    <t>K652514</t>
  </si>
  <si>
    <t>K652412</t>
  </si>
  <si>
    <t>2412</t>
  </si>
  <si>
    <t>Financial and Investment Advisers</t>
  </si>
  <si>
    <t>K652411</t>
  </si>
  <si>
    <t>K652122</t>
  </si>
  <si>
    <t>K652121</t>
  </si>
  <si>
    <t xml:space="preserve">Insurance, Reinsurance and Pension Funding 
except Compulsory Social Security </t>
  </si>
  <si>
    <t>K649000</t>
  </si>
  <si>
    <t>K64</t>
  </si>
  <si>
    <t>K644312</t>
  </si>
  <si>
    <t>K644311</t>
  </si>
  <si>
    <t>K644222</t>
  </si>
  <si>
    <t>K644214</t>
  </si>
  <si>
    <t>K644211</t>
  </si>
  <si>
    <t>4211</t>
  </si>
  <si>
    <t xml:space="preserve">Bank Tellers and Related Clerks </t>
  </si>
  <si>
    <t>K643313</t>
  </si>
  <si>
    <t>K643312</t>
  </si>
  <si>
    <t>3312</t>
  </si>
  <si>
    <t>Credit and Loans Officers</t>
  </si>
  <si>
    <t>K643311</t>
  </si>
  <si>
    <t>3311</t>
  </si>
  <si>
    <t>Securities and Finance Dealers and Brokers</t>
  </si>
  <si>
    <t>K642631</t>
  </si>
  <si>
    <t>2631</t>
  </si>
  <si>
    <t>Economists</t>
  </si>
  <si>
    <t>K642411</t>
  </si>
  <si>
    <t>K642122</t>
  </si>
  <si>
    <t>K642121</t>
  </si>
  <si>
    <t>K64 excl. K6411</t>
  </si>
  <si>
    <t>J639000</t>
  </si>
  <si>
    <t>J63</t>
  </si>
  <si>
    <t>J634311</t>
  </si>
  <si>
    <t>J634132</t>
  </si>
  <si>
    <t>4132</t>
  </si>
  <si>
    <t>Data Entry Clerks</t>
  </si>
  <si>
    <t>J633514</t>
  </si>
  <si>
    <t>3514</t>
  </si>
  <si>
    <t>Web Technician</t>
  </si>
  <si>
    <t>J633512</t>
  </si>
  <si>
    <t>3511</t>
  </si>
  <si>
    <t>J632523</t>
  </si>
  <si>
    <t>J632522</t>
  </si>
  <si>
    <t>2522</t>
  </si>
  <si>
    <t>Systems Administrators</t>
  </si>
  <si>
    <t>J632521</t>
  </si>
  <si>
    <t>2521</t>
  </si>
  <si>
    <t>Database Designers and Administrators</t>
  </si>
  <si>
    <t>J632514</t>
  </si>
  <si>
    <t>J632513</t>
  </si>
  <si>
    <t>2513</t>
  </si>
  <si>
    <t>Web and Multimedia Developers</t>
  </si>
  <si>
    <t>J632512</t>
  </si>
  <si>
    <t>J632511</t>
  </si>
  <si>
    <t>2511</t>
  </si>
  <si>
    <t>Systems Analysts</t>
  </si>
  <si>
    <t>Information Service Activities</t>
  </si>
  <si>
    <t>J629000</t>
  </si>
  <si>
    <t>J62</t>
  </si>
  <si>
    <t>J624311</t>
  </si>
  <si>
    <t>J624132</t>
  </si>
  <si>
    <t>J623512</t>
  </si>
  <si>
    <t>J623511</t>
  </si>
  <si>
    <t>J622523</t>
  </si>
  <si>
    <t>J622514</t>
  </si>
  <si>
    <t>J622512</t>
  </si>
  <si>
    <t>J622511</t>
  </si>
  <si>
    <t>J622122</t>
  </si>
  <si>
    <t>.</t>
  </si>
  <si>
    <t>J5909000</t>
  </si>
  <si>
    <t>J590</t>
  </si>
  <si>
    <t>J5902654</t>
  </si>
  <si>
    <t>2654</t>
  </si>
  <si>
    <t>J619000</t>
  </si>
  <si>
    <t>J61</t>
  </si>
  <si>
    <t>J5902513</t>
  </si>
  <si>
    <t>J617422</t>
  </si>
  <si>
    <t>7422</t>
  </si>
  <si>
    <t>J587316</t>
  </si>
  <si>
    <t>7316</t>
  </si>
  <si>
    <t>J58</t>
  </si>
  <si>
    <t>J614311</t>
  </si>
  <si>
    <t>C194322</t>
  </si>
  <si>
    <t>4322</t>
  </si>
  <si>
    <t>C19</t>
  </si>
  <si>
    <t>J614222</t>
  </si>
  <si>
    <t>J613522</t>
  </si>
  <si>
    <t>3522</t>
  </si>
  <si>
    <t>Telecommunications Engineering Technicians</t>
  </si>
  <si>
    <t>G472122</t>
  </si>
  <si>
    <t>G47</t>
  </si>
  <si>
    <t>J612153</t>
  </si>
  <si>
    <t>2153</t>
  </si>
  <si>
    <t>Telecommunications Engineers</t>
  </si>
  <si>
    <t>C193134</t>
  </si>
  <si>
    <t>3134</t>
  </si>
  <si>
    <t>J612122</t>
  </si>
  <si>
    <t>J612121</t>
  </si>
  <si>
    <t>C193257</t>
  </si>
  <si>
    <t>3257</t>
  </si>
  <si>
    <t>J611330</t>
  </si>
  <si>
    <t>1330</t>
  </si>
  <si>
    <t>Telecommunications</t>
  </si>
  <si>
    <t>H534222</t>
  </si>
  <si>
    <t>H53</t>
  </si>
  <si>
    <t>B052114</t>
  </si>
  <si>
    <t>B05</t>
  </si>
  <si>
    <t>C103116</t>
  </si>
  <si>
    <t>3116</t>
  </si>
  <si>
    <t>C10</t>
  </si>
  <si>
    <t>J5904311</t>
  </si>
  <si>
    <t>C297231</t>
  </si>
  <si>
    <t>7231</t>
  </si>
  <si>
    <t>C29</t>
  </si>
  <si>
    <t>J5902651</t>
  </si>
  <si>
    <t>2651</t>
  </si>
  <si>
    <t>Visual Artist</t>
  </si>
  <si>
    <t xml:space="preserve">Web and Multimedia Developers </t>
  </si>
  <si>
    <t>J5902166</t>
  </si>
  <si>
    <t>2166</t>
  </si>
  <si>
    <t>Graphic and Multimedia Designers</t>
  </si>
  <si>
    <t>Animated Films and Cartoons Production</t>
  </si>
  <si>
    <t>J589000</t>
  </si>
  <si>
    <t>J587323</t>
  </si>
  <si>
    <t>7323</t>
  </si>
  <si>
    <t>Print Finishing and Binding Workers</t>
  </si>
  <si>
    <t>C203133</t>
  </si>
  <si>
    <t>3133</t>
  </si>
  <si>
    <t>C20</t>
  </si>
  <si>
    <t>J587322</t>
  </si>
  <si>
    <t>7322</t>
  </si>
  <si>
    <t xml:space="preserve">Printers </t>
  </si>
  <si>
    <t>J587321</t>
  </si>
  <si>
    <t>7321</t>
  </si>
  <si>
    <t>Pre-Press Technicians</t>
  </si>
  <si>
    <t>Sign Writers, Decorative Painters, Engravers and Etchers</t>
  </si>
  <si>
    <t>C102145</t>
  </si>
  <si>
    <t>2145</t>
  </si>
  <si>
    <t>J584413</t>
  </si>
  <si>
    <t>4413</t>
  </si>
  <si>
    <t>Coding, Proof-Reading and Related Clerks</t>
  </si>
  <si>
    <t>J584311</t>
  </si>
  <si>
    <t>J582642</t>
  </si>
  <si>
    <t>2642</t>
  </si>
  <si>
    <t>J582513</t>
  </si>
  <si>
    <t>J582166</t>
  </si>
  <si>
    <t xml:space="preserve">Graphic and Multimedia Designers </t>
  </si>
  <si>
    <t>J581449</t>
  </si>
  <si>
    <t>1449</t>
  </si>
  <si>
    <t>Publishing Activities</t>
  </si>
  <si>
    <t>C193133</t>
  </si>
  <si>
    <t>I559000</t>
  </si>
  <si>
    <t>I55</t>
  </si>
  <si>
    <t>C2212145</t>
  </si>
  <si>
    <t>C221</t>
  </si>
  <si>
    <t>I555151</t>
  </si>
  <si>
    <t>5151</t>
  </si>
  <si>
    <t>I555139</t>
  </si>
  <si>
    <t>5139</t>
  </si>
  <si>
    <t>C202145</t>
  </si>
  <si>
    <t>I555131</t>
  </si>
  <si>
    <t>5131</t>
  </si>
  <si>
    <t>C3017214</t>
  </si>
  <si>
    <t>7214</t>
  </si>
  <si>
    <t>C301</t>
  </si>
  <si>
    <t>I555120</t>
  </si>
  <si>
    <t>5120</t>
  </si>
  <si>
    <t>Cooks</t>
  </si>
  <si>
    <t>I554311</t>
  </si>
  <si>
    <t>D359000</t>
  </si>
  <si>
    <t>D35</t>
  </si>
  <si>
    <t>I554226</t>
  </si>
  <si>
    <t>4226</t>
  </si>
  <si>
    <t>I554222</t>
  </si>
  <si>
    <t>C284311</t>
  </si>
  <si>
    <t>C28</t>
  </si>
  <si>
    <t>I552411</t>
  </si>
  <si>
    <t>H534311</t>
  </si>
  <si>
    <t>Accommodation and Food Service Activities</t>
  </si>
  <si>
    <t>I55/I56</t>
  </si>
  <si>
    <t>E363257</t>
  </si>
  <si>
    <t>E36</t>
  </si>
  <si>
    <t>C172144</t>
  </si>
  <si>
    <t>2144</t>
  </si>
  <si>
    <t>C17</t>
  </si>
  <si>
    <t>H539000</t>
  </si>
  <si>
    <t>C297213</t>
  </si>
  <si>
    <t>7213</t>
  </si>
  <si>
    <t>H538332</t>
  </si>
  <si>
    <t>8332</t>
  </si>
  <si>
    <t>Heavy Truck and Lorry Drivers</t>
  </si>
  <si>
    <t>H538322</t>
  </si>
  <si>
    <t>8322</t>
  </si>
  <si>
    <t>C174322</t>
  </si>
  <si>
    <t>H538321</t>
  </si>
  <si>
    <t>8321</t>
  </si>
  <si>
    <t>Motorcycle Drivers</t>
  </si>
  <si>
    <t>H534323</t>
  </si>
  <si>
    <t>4323</t>
  </si>
  <si>
    <t>Transport Clerks</t>
  </si>
  <si>
    <t xml:space="preserve">Postal and Courier Activities </t>
  </si>
  <si>
    <t>H529000</t>
  </si>
  <si>
    <t>H52</t>
  </si>
  <si>
    <t>G475244</t>
  </si>
  <si>
    <t>H528332</t>
  </si>
  <si>
    <t>H528322</t>
  </si>
  <si>
    <t>G462121</t>
  </si>
  <si>
    <t>G46</t>
  </si>
  <si>
    <t>H524321</t>
  </si>
  <si>
    <t>4321</t>
  </si>
  <si>
    <t>Stock Clerk</t>
  </si>
  <si>
    <t>H524311</t>
  </si>
  <si>
    <t>H523331</t>
  </si>
  <si>
    <t>3331</t>
  </si>
  <si>
    <t>Clearing and Forwarding Agents/Logistics and Warehouse Officer</t>
  </si>
  <si>
    <t xml:space="preserve">Warehousing and Support Activities for Transportation </t>
  </si>
  <si>
    <t>H519000</t>
  </si>
  <si>
    <t>H51</t>
  </si>
  <si>
    <t>C243122</t>
  </si>
  <si>
    <t>3122</t>
  </si>
  <si>
    <t>C24</t>
  </si>
  <si>
    <t>C112145</t>
  </si>
  <si>
    <t>C11</t>
  </si>
  <si>
    <t>H491459</t>
  </si>
  <si>
    <t>1459</t>
  </si>
  <si>
    <t>H49</t>
  </si>
  <si>
    <t>H517232</t>
  </si>
  <si>
    <t>7232</t>
  </si>
  <si>
    <t>Aircraft Engine Mechanics and Repairers</t>
  </si>
  <si>
    <t>C2213122</t>
  </si>
  <si>
    <t>H515111</t>
  </si>
  <si>
    <t>5111</t>
  </si>
  <si>
    <t>Travel Attendants and Travel Stewards</t>
  </si>
  <si>
    <t>C194311</t>
  </si>
  <si>
    <t>H514323</t>
  </si>
  <si>
    <t>C3019000</t>
  </si>
  <si>
    <t>H514311</t>
  </si>
  <si>
    <t>C293115</t>
  </si>
  <si>
    <t>3115</t>
  </si>
  <si>
    <t>H514221</t>
  </si>
  <si>
    <t>C3017233</t>
  </si>
  <si>
    <t>7233</t>
  </si>
  <si>
    <t>H513153</t>
  </si>
  <si>
    <t>3153</t>
  </si>
  <si>
    <t>Aircraft Pilots and Related Associate Professionals</t>
  </si>
  <si>
    <t>G472121</t>
  </si>
  <si>
    <t>H511479</t>
  </si>
  <si>
    <t>1479</t>
  </si>
  <si>
    <t>Air Transport</t>
  </si>
  <si>
    <t>H509000</t>
  </si>
  <si>
    <t>H50</t>
  </si>
  <si>
    <t>C237314</t>
  </si>
  <si>
    <t>7314</t>
  </si>
  <si>
    <t>C23</t>
  </si>
  <si>
    <t>H508350</t>
  </si>
  <si>
    <t>8350</t>
  </si>
  <si>
    <t>Ships' Deck Crews and Related Workers</t>
  </si>
  <si>
    <t>H507233</t>
  </si>
  <si>
    <t>H505111</t>
  </si>
  <si>
    <t>H504323</t>
  </si>
  <si>
    <t>H504311</t>
  </si>
  <si>
    <t>H504221</t>
  </si>
  <si>
    <t>Ticket Issuing/Travel Clerk</t>
  </si>
  <si>
    <t>H503152</t>
  </si>
  <si>
    <t>3152</t>
  </si>
  <si>
    <t>C314322</t>
  </si>
  <si>
    <t>C31</t>
  </si>
  <si>
    <t>H503151</t>
  </si>
  <si>
    <t>3151</t>
  </si>
  <si>
    <t>Ship's Engineer</t>
  </si>
  <si>
    <t>D357412</t>
  </si>
  <si>
    <t>7412</t>
  </si>
  <si>
    <t>Water Transport</t>
  </si>
  <si>
    <t>C119000</t>
  </si>
  <si>
    <t>H4929000</t>
  </si>
  <si>
    <t>H492</t>
  </si>
  <si>
    <t>C237315</t>
  </si>
  <si>
    <t>7315</t>
  </si>
  <si>
    <t>H4928331</t>
  </si>
  <si>
    <t>8331</t>
  </si>
  <si>
    <t>Bus Drivers</t>
  </si>
  <si>
    <t>D351449</t>
  </si>
  <si>
    <t>H4927231</t>
  </si>
  <si>
    <t>Motor Vehicle Mechanics and Repairers</t>
  </si>
  <si>
    <t>B079000</t>
  </si>
  <si>
    <t>B07</t>
  </si>
  <si>
    <t>H4925112</t>
  </si>
  <si>
    <t>5112</t>
  </si>
  <si>
    <t>Transport Conductors</t>
  </si>
  <si>
    <t>E362149</t>
  </si>
  <si>
    <t>2149</t>
  </si>
  <si>
    <t>H4925110</t>
  </si>
  <si>
    <t>5110</t>
  </si>
  <si>
    <t>Bus Inspectors</t>
  </si>
  <si>
    <t>B052146</t>
  </si>
  <si>
    <t>2146</t>
  </si>
  <si>
    <t>H4924323</t>
  </si>
  <si>
    <t>B073121</t>
  </si>
  <si>
    <t>3121</t>
  </si>
  <si>
    <t>H4924311</t>
  </si>
  <si>
    <t>H4924221</t>
  </si>
  <si>
    <t>C118160</t>
  </si>
  <si>
    <t>8160</t>
  </si>
  <si>
    <t>H4921459</t>
  </si>
  <si>
    <t xml:space="preserve">Transport via Buses </t>
  </si>
  <si>
    <t>H499000</t>
  </si>
  <si>
    <t>C203111</t>
  </si>
  <si>
    <t>3111</t>
  </si>
  <si>
    <t>H498332</t>
  </si>
  <si>
    <t>H498322</t>
  </si>
  <si>
    <t>Car, Taxi and Van Drivers</t>
  </si>
  <si>
    <t>H498321</t>
  </si>
  <si>
    <t>H497231</t>
  </si>
  <si>
    <t>H494323</t>
  </si>
  <si>
    <t>H494311</t>
  </si>
  <si>
    <t>H49 excl. H492</t>
  </si>
  <si>
    <t>C293257</t>
  </si>
  <si>
    <t>G462122</t>
  </si>
  <si>
    <t>G479000</t>
  </si>
  <si>
    <t>G475299</t>
  </si>
  <si>
    <t>5299</t>
  </si>
  <si>
    <t>C233122</t>
  </si>
  <si>
    <t>C292144</t>
  </si>
  <si>
    <t>G475230</t>
  </si>
  <si>
    <t>Cashiers</t>
  </si>
  <si>
    <t>G474321</t>
  </si>
  <si>
    <t>Stock Clerks</t>
  </si>
  <si>
    <t>C232144</t>
  </si>
  <si>
    <t>G474311</t>
  </si>
  <si>
    <t>G473322</t>
  </si>
  <si>
    <t>Sales Supervisors</t>
  </si>
  <si>
    <t>C262152</t>
  </si>
  <si>
    <t>2152</t>
  </si>
  <si>
    <t>C26</t>
  </si>
  <si>
    <t>G472431</t>
  </si>
  <si>
    <t>C2214322</t>
  </si>
  <si>
    <t>G472411</t>
  </si>
  <si>
    <t>C2218141</t>
  </si>
  <si>
    <t>8141</t>
  </si>
  <si>
    <t>C248121</t>
  </si>
  <si>
    <t>8121</t>
  </si>
  <si>
    <t>C283257</t>
  </si>
  <si>
    <t xml:space="preserve">Retail Trade except of Motor Vehicles and Motorcycles </t>
  </si>
  <si>
    <t>C173257</t>
  </si>
  <si>
    <t>G469000</t>
  </si>
  <si>
    <t>G465299</t>
  </si>
  <si>
    <t>C187321</t>
  </si>
  <si>
    <t>C18</t>
  </si>
  <si>
    <t>G465244</t>
  </si>
  <si>
    <t>C133257</t>
  </si>
  <si>
    <t>C13</t>
  </si>
  <si>
    <t>G465230</t>
  </si>
  <si>
    <t>C212145</t>
  </si>
  <si>
    <t>C21</t>
  </si>
  <si>
    <t>G464321</t>
  </si>
  <si>
    <t>C117510</t>
  </si>
  <si>
    <t>7510</t>
  </si>
  <si>
    <t>G464311</t>
  </si>
  <si>
    <t>C257212</t>
  </si>
  <si>
    <t>7212</t>
  </si>
  <si>
    <t>C25</t>
  </si>
  <si>
    <t>G463322</t>
  </si>
  <si>
    <t>Sales Supervisors/Commercial Sales Representatives</t>
  </si>
  <si>
    <t>C213133</t>
  </si>
  <si>
    <t>G462431</t>
  </si>
  <si>
    <t>G462411</t>
  </si>
  <si>
    <t>C212113</t>
  </si>
  <si>
    <t>2113</t>
  </si>
  <si>
    <t>C104322</t>
  </si>
  <si>
    <t>C193122</t>
  </si>
  <si>
    <t>G459000</t>
  </si>
  <si>
    <t>G45</t>
  </si>
  <si>
    <t>C212122</t>
  </si>
  <si>
    <t>G457231</t>
  </si>
  <si>
    <t>G455244</t>
  </si>
  <si>
    <t>G455230</t>
  </si>
  <si>
    <t>C273113</t>
  </si>
  <si>
    <t>C27</t>
  </si>
  <si>
    <t>G454321</t>
  </si>
  <si>
    <t>G454311</t>
  </si>
  <si>
    <t>B053117</t>
  </si>
  <si>
    <t>3117</t>
  </si>
  <si>
    <t>G454214</t>
  </si>
  <si>
    <t>F417124</t>
  </si>
  <si>
    <t>7124</t>
  </si>
  <si>
    <t>F41</t>
  </si>
  <si>
    <t>G453322</t>
  </si>
  <si>
    <t>C267422</t>
  </si>
  <si>
    <t>G452433</t>
  </si>
  <si>
    <t>2433</t>
  </si>
  <si>
    <t>Technical Sales Representative</t>
  </si>
  <si>
    <t>G452431</t>
  </si>
  <si>
    <t>C1623122</t>
  </si>
  <si>
    <t>C162</t>
  </si>
  <si>
    <t>G452411</t>
  </si>
  <si>
    <t>C274322</t>
  </si>
  <si>
    <t>B058113</t>
  </si>
  <si>
    <t>8113</t>
  </si>
  <si>
    <t>F419000</t>
  </si>
  <si>
    <t>C287233</t>
  </si>
  <si>
    <t>F417411</t>
  </si>
  <si>
    <t>7411</t>
  </si>
  <si>
    <t>Building and Related Electricians</t>
  </si>
  <si>
    <t>C314311</t>
  </si>
  <si>
    <t>F417233</t>
  </si>
  <si>
    <t>F417214</t>
  </si>
  <si>
    <t>Structural Metal Preparers and Erectors</t>
  </si>
  <si>
    <t>C113122</t>
  </si>
  <si>
    <t>F417126</t>
  </si>
  <si>
    <t>7126</t>
  </si>
  <si>
    <t>Plumbers and Pipe Fitters</t>
  </si>
  <si>
    <t>C293122</t>
  </si>
  <si>
    <t>F417115</t>
  </si>
  <si>
    <t>7115</t>
  </si>
  <si>
    <t>Carpenters and Joiners</t>
  </si>
  <si>
    <t>F417114</t>
  </si>
  <si>
    <t>7114</t>
  </si>
  <si>
    <t>C183122</t>
  </si>
  <si>
    <t>F417113</t>
  </si>
  <si>
    <t>7113</t>
  </si>
  <si>
    <t>C238181</t>
  </si>
  <si>
    <t>8181</t>
  </si>
  <si>
    <t>F414311</t>
  </si>
  <si>
    <t>C178171</t>
  </si>
  <si>
    <t>8171</t>
  </si>
  <si>
    <t>F413123</t>
  </si>
  <si>
    <t>3123</t>
  </si>
  <si>
    <t>Construction Supervisors</t>
  </si>
  <si>
    <t>C2223116</t>
  </si>
  <si>
    <t>C222</t>
  </si>
  <si>
    <t>F412161</t>
  </si>
  <si>
    <t>F412142</t>
  </si>
  <si>
    <t>Construction</t>
  </si>
  <si>
    <t>F41/F42/F43</t>
  </si>
  <si>
    <t>C317212</t>
  </si>
  <si>
    <t>E369000</t>
  </si>
  <si>
    <t>E367126</t>
  </si>
  <si>
    <t>C299000</t>
  </si>
  <si>
    <t>E364311</t>
  </si>
  <si>
    <t>C203116</t>
  </si>
  <si>
    <t>E364222</t>
  </si>
  <si>
    <t>A016110</t>
  </si>
  <si>
    <t>6110</t>
  </si>
  <si>
    <t>A01</t>
  </si>
  <si>
    <t>E364214</t>
  </si>
  <si>
    <t>C153122</t>
  </si>
  <si>
    <t>C15</t>
  </si>
  <si>
    <t>E363132</t>
  </si>
  <si>
    <t>3132</t>
  </si>
  <si>
    <t>Incinerator and Water Treatment Plant Operators</t>
  </si>
  <si>
    <t>E363112</t>
  </si>
  <si>
    <t>B058112</t>
  </si>
  <si>
    <t>8112</t>
  </si>
  <si>
    <t>Sanitary Engineer/Waste Water Engineer</t>
  </si>
  <si>
    <t>E362142</t>
  </si>
  <si>
    <t>E361449</t>
  </si>
  <si>
    <t>Water Collection, Treatment and Supply</t>
  </si>
  <si>
    <t>C283122</t>
  </si>
  <si>
    <t>C173115</t>
  </si>
  <si>
    <t>D357413</t>
  </si>
  <si>
    <t>7413</t>
  </si>
  <si>
    <t>Electrical Line Installers and Repairers</t>
  </si>
  <si>
    <t>Electrical Mechanics and Fitters</t>
  </si>
  <si>
    <t>D354311</t>
  </si>
  <si>
    <t>D354222</t>
  </si>
  <si>
    <t>C238114</t>
  </si>
  <si>
    <t>8114</t>
  </si>
  <si>
    <t>D354214</t>
  </si>
  <si>
    <t>D353131</t>
  </si>
  <si>
    <t>3131</t>
  </si>
  <si>
    <t>Power Production Plant Operators</t>
  </si>
  <si>
    <t>D353113</t>
  </si>
  <si>
    <t>D352151</t>
  </si>
  <si>
    <t>C3014311</t>
  </si>
  <si>
    <t>Electricity, Gas, Steam and Air Conditioning Supply</t>
  </si>
  <si>
    <t>C174311</t>
  </si>
  <si>
    <t>C319000</t>
  </si>
  <si>
    <t>C202113</t>
  </si>
  <si>
    <t>C318142</t>
  </si>
  <si>
    <t>8142</t>
  </si>
  <si>
    <t>Plastic Products Machine Operators</t>
  </si>
  <si>
    <t>A036226</t>
  </si>
  <si>
    <t>6226</t>
  </si>
  <si>
    <t>A03</t>
  </si>
  <si>
    <t>C317534</t>
  </si>
  <si>
    <t>7534</t>
  </si>
  <si>
    <t>Upholsterers and Related Workers</t>
  </si>
  <si>
    <t>C317523</t>
  </si>
  <si>
    <t>7523</t>
  </si>
  <si>
    <t>Woodworking Machine Tool Setters and Operators</t>
  </si>
  <si>
    <t>C317522</t>
  </si>
  <si>
    <t>7522</t>
  </si>
  <si>
    <t>Cabinet-Makers and Related Workers</t>
  </si>
  <si>
    <t>C1629000</t>
  </si>
  <si>
    <t>C317317</t>
  </si>
  <si>
    <t>7317</t>
  </si>
  <si>
    <t>C244311</t>
  </si>
  <si>
    <t>Welders and Flame Cutters</t>
  </si>
  <si>
    <t>C187316</t>
  </si>
  <si>
    <t>Processing, Material Handling/Control Clerk</t>
  </si>
  <si>
    <t>C282144</t>
  </si>
  <si>
    <t>C313432</t>
  </si>
  <si>
    <t>3432</t>
  </si>
  <si>
    <t>C268212</t>
  </si>
  <si>
    <t>8212</t>
  </si>
  <si>
    <t>C313257</t>
  </si>
  <si>
    <t>Quality Assurance/Control/Inspectors</t>
  </si>
  <si>
    <t>C313122</t>
  </si>
  <si>
    <t>Manufacturing Supervisors</t>
  </si>
  <si>
    <t>Manufacture of Furniture</t>
  </si>
  <si>
    <t>C178219</t>
  </si>
  <si>
    <t>8219</t>
  </si>
  <si>
    <t>C3017215</t>
  </si>
  <si>
    <t>7215</t>
  </si>
  <si>
    <t>C257221</t>
  </si>
  <si>
    <t>7221</t>
  </si>
  <si>
    <t>A016210</t>
  </si>
  <si>
    <t>6210</t>
  </si>
  <si>
    <t>C234311</t>
  </si>
  <si>
    <t>Riggers and Cable Splicers</t>
  </si>
  <si>
    <t>C233257</t>
  </si>
  <si>
    <t>C3017212</t>
  </si>
  <si>
    <t>C3017126</t>
  </si>
  <si>
    <t>C3014322</t>
  </si>
  <si>
    <t>C264311</t>
  </si>
  <si>
    <t>C272151</t>
  </si>
  <si>
    <t>C3013257</t>
  </si>
  <si>
    <t>C3013122</t>
  </si>
  <si>
    <t>C3012144</t>
  </si>
  <si>
    <t>C277412</t>
  </si>
  <si>
    <t>Building of Ships and Boats</t>
  </si>
  <si>
    <t>C204322</t>
  </si>
  <si>
    <t>C263122</t>
  </si>
  <si>
    <t>C298211</t>
  </si>
  <si>
    <t>8211</t>
  </si>
  <si>
    <t>Mechanical Machinery Assemblers</t>
  </si>
  <si>
    <t>C244322</t>
  </si>
  <si>
    <t>C103122</t>
  </si>
  <si>
    <t>Sheet Metal Workers</t>
  </si>
  <si>
    <t>C294311</t>
  </si>
  <si>
    <t>A016212</t>
  </si>
  <si>
    <t>6212</t>
  </si>
  <si>
    <t>C1627521</t>
  </si>
  <si>
    <t>7521</t>
  </si>
  <si>
    <t>Mechanical Engineering Technicians</t>
  </si>
  <si>
    <t>C243257</t>
  </si>
  <si>
    <t>Mechanical Engineers</t>
  </si>
  <si>
    <t>C114322</t>
  </si>
  <si>
    <t>Manufacture of Motor Vehicles, Trailers and Semi-Trailers</t>
  </si>
  <si>
    <t>C113257</t>
  </si>
  <si>
    <t>C214311</t>
  </si>
  <si>
    <t>C289000</t>
  </si>
  <si>
    <t>C288211</t>
  </si>
  <si>
    <t>C2222145</t>
  </si>
  <si>
    <t>Industrial Machinery Mechanics and Repairers</t>
  </si>
  <si>
    <t>C287222</t>
  </si>
  <si>
    <t>7222</t>
  </si>
  <si>
    <t>Toolmakers and Related Workers</t>
  </si>
  <si>
    <t>C287212</t>
  </si>
  <si>
    <t>C284322</t>
  </si>
  <si>
    <t>C203122</t>
  </si>
  <si>
    <t>C2213257</t>
  </si>
  <si>
    <t>C149000</t>
  </si>
  <si>
    <t>C14</t>
  </si>
  <si>
    <t>C177322</t>
  </si>
  <si>
    <t>Manufacture of Machinery and Equipment, n.e.c.</t>
  </si>
  <si>
    <t>C213257</t>
  </si>
  <si>
    <t>C279000</t>
  </si>
  <si>
    <t>C173122</t>
  </si>
  <si>
    <t>C278212</t>
  </si>
  <si>
    <t>Electrical and Electronic Equipment Assemblers</t>
  </si>
  <si>
    <t>C234322</t>
  </si>
  <si>
    <t>C184413</t>
  </si>
  <si>
    <t>C274311</t>
  </si>
  <si>
    <t>C154311</t>
  </si>
  <si>
    <t>C273257</t>
  </si>
  <si>
    <t>C263114</t>
  </si>
  <si>
    <t>3114</t>
  </si>
  <si>
    <t>C273122</t>
  </si>
  <si>
    <t>Manufacture of Electrical Equipment</t>
  </si>
  <si>
    <t>C247211</t>
  </si>
  <si>
    <t>7211</t>
  </si>
  <si>
    <t>C269000</t>
  </si>
  <si>
    <t>C137318</t>
  </si>
  <si>
    <t>7318</t>
  </si>
  <si>
    <t>Electronics/Computer Equipment Fitters</t>
  </si>
  <si>
    <t>C264322</t>
  </si>
  <si>
    <t>C134311</t>
  </si>
  <si>
    <t>C263257</t>
  </si>
  <si>
    <t>C113116</t>
  </si>
  <si>
    <t>Electronics Engineering Technicians</t>
  </si>
  <si>
    <t>C138152</t>
  </si>
  <si>
    <t>8152</t>
  </si>
  <si>
    <t>Electronics Engineers</t>
  </si>
  <si>
    <t>A011311</t>
  </si>
  <si>
    <t>1311</t>
  </si>
  <si>
    <t>Manufacture of Computer, Electronic and Optical Products</t>
  </si>
  <si>
    <t>B078111</t>
  </si>
  <si>
    <t>8111</t>
  </si>
  <si>
    <t>C259000</t>
  </si>
  <si>
    <t>C258122</t>
  </si>
  <si>
    <t>8122</t>
  </si>
  <si>
    <t>C213116</t>
  </si>
  <si>
    <t>C257223</t>
  </si>
  <si>
    <t>7223</t>
  </si>
  <si>
    <t>Metal Working Machine Tool Setters and Operators</t>
  </si>
  <si>
    <t>Blacksmiths, Hammersmiths and Forging Press Workers</t>
  </si>
  <si>
    <t>C257214</t>
  </si>
  <si>
    <t>A014311</t>
  </si>
  <si>
    <t>C254311</t>
  </si>
  <si>
    <t>C2222144</t>
  </si>
  <si>
    <t>C253257</t>
  </si>
  <si>
    <t>C253122</t>
  </si>
  <si>
    <t>Manufacture of Fabricated Metal Products 
   except Machinery and Equipment</t>
  </si>
  <si>
    <t>C108160</t>
  </si>
  <si>
    <t>C179000</t>
  </si>
  <si>
    <t>B078112</t>
  </si>
  <si>
    <t>C103257</t>
  </si>
  <si>
    <t>C249000</t>
  </si>
  <si>
    <t>C248122</t>
  </si>
  <si>
    <t>Metal Processing Plant Operators</t>
  </si>
  <si>
    <t>C247213</t>
  </si>
  <si>
    <t>Metal Molders and Core Makers</t>
  </si>
  <si>
    <t>B053121</t>
  </si>
  <si>
    <t>B072114</t>
  </si>
  <si>
    <t>Manufacture of Basic Metals</t>
  </si>
  <si>
    <t>C239000</t>
  </si>
  <si>
    <t>Cement, Stone and Other Mineral Products Machine Operators</t>
  </si>
  <si>
    <t>Glass Makers, Cutters, Grinders and Finishers</t>
  </si>
  <si>
    <t>Potters and Related Workers</t>
  </si>
  <si>
    <t>C178143</t>
  </si>
  <si>
    <t>8143</t>
  </si>
  <si>
    <t>Manufacture of Other Non-Metallic Mineral Products</t>
  </si>
  <si>
    <t>C114311</t>
  </si>
  <si>
    <t>C2229000</t>
  </si>
  <si>
    <t>C107510</t>
  </si>
  <si>
    <t>C2228142</t>
  </si>
  <si>
    <t>C2224322</t>
  </si>
  <si>
    <t>C2224311</t>
  </si>
  <si>
    <t>C2223257</t>
  </si>
  <si>
    <t>C2223122</t>
  </si>
  <si>
    <t>C133122</t>
  </si>
  <si>
    <t>Chemical Engineering Technicians</t>
  </si>
  <si>
    <t>Chemical Engineers</t>
  </si>
  <si>
    <t>A036220</t>
  </si>
  <si>
    <t>6220</t>
  </si>
  <si>
    <t>Manufacture of Plastic Products</t>
  </si>
  <si>
    <t>C2219000</t>
  </si>
  <si>
    <t>Rubber Products Machine Operators</t>
  </si>
  <si>
    <t>C138151</t>
  </si>
  <si>
    <t>8151</t>
  </si>
  <si>
    <t>C2214311</t>
  </si>
  <si>
    <t>C183257</t>
  </si>
  <si>
    <t>C2212144</t>
  </si>
  <si>
    <t>C1624311</t>
  </si>
  <si>
    <t>Manufacture of Rubber Products</t>
  </si>
  <si>
    <t>C219000</t>
  </si>
  <si>
    <t>C218131</t>
  </si>
  <si>
    <t>8131</t>
  </si>
  <si>
    <t>Chemical Products Plant and Machine Operators</t>
  </si>
  <si>
    <t>C214322</t>
  </si>
  <si>
    <t>Chemical Processing Plant Controllers</t>
  </si>
  <si>
    <t>C203257</t>
  </si>
  <si>
    <t>C213122</t>
  </si>
  <si>
    <t>Biostatistician</t>
  </si>
  <si>
    <t>A036227</t>
  </si>
  <si>
    <t>6227</t>
  </si>
  <si>
    <t>Chemists</t>
  </si>
  <si>
    <t>B058111</t>
  </si>
  <si>
    <t>Manufacture of Basic Pharmaceutical Products 
   and Pharmaceutical Preparation</t>
  </si>
  <si>
    <t>C209000</t>
  </si>
  <si>
    <t>C208131</t>
  </si>
  <si>
    <t>C204311</t>
  </si>
  <si>
    <t>Chemistry Technician</t>
  </si>
  <si>
    <t>C197233</t>
  </si>
  <si>
    <t>B054311</t>
  </si>
  <si>
    <t>Manufacture of Chemicals and Chemical Products</t>
  </si>
  <si>
    <t>A039000</t>
  </si>
  <si>
    <t>C144311</t>
  </si>
  <si>
    <t>C199000</t>
  </si>
  <si>
    <t>A019000</t>
  </si>
  <si>
    <t>Petroleum and Natural Gas Refining Plant Operators</t>
  </si>
  <si>
    <t>C1624322</t>
  </si>
  <si>
    <t>C193116</t>
  </si>
  <si>
    <t>C192145</t>
  </si>
  <si>
    <t>Manufacture of Coke and Refined Petroleum Products</t>
  </si>
  <si>
    <t>C189000</t>
  </si>
  <si>
    <t>C187323</t>
  </si>
  <si>
    <t>C187322</t>
  </si>
  <si>
    <t>C184311</t>
  </si>
  <si>
    <t>A034311</t>
  </si>
  <si>
    <t>C182144</t>
  </si>
  <si>
    <t>Printing and Reproduction of Recorded Media</t>
  </si>
  <si>
    <t>C138154</t>
  </si>
  <si>
    <t>8154</t>
  </si>
  <si>
    <t>Paperboard Products Assemblers</t>
  </si>
  <si>
    <t>Pulp and Papermaking Plant Operators</t>
  </si>
  <si>
    <t>Paper Products Machine Operators</t>
  </si>
  <si>
    <t>C1628172</t>
  </si>
  <si>
    <t>8172</t>
  </si>
  <si>
    <t>Manufacture of Paper and Paper Products</t>
  </si>
  <si>
    <t>B059000</t>
  </si>
  <si>
    <t>C1628219</t>
  </si>
  <si>
    <t>Wood Products Assemblers</t>
  </si>
  <si>
    <t>Wood Processing Plant Operators</t>
  </si>
  <si>
    <t>C154322</t>
  </si>
  <si>
    <t>C1627523</t>
  </si>
  <si>
    <t>C144322</t>
  </si>
  <si>
    <t>Wood Treaters</t>
  </si>
  <si>
    <t>B073117</t>
  </si>
  <si>
    <t>Manufacture of Products of Wood, Cork, Straw 
   and Plaiting Materials</t>
  </si>
  <si>
    <t>C159000</t>
  </si>
  <si>
    <t>C158156</t>
  </si>
  <si>
    <t>8156</t>
  </si>
  <si>
    <t>Shoe and Bag Making and Related Machine Operators</t>
  </si>
  <si>
    <t>B072146</t>
  </si>
  <si>
    <t>C158155</t>
  </si>
  <si>
    <t>8155</t>
  </si>
  <si>
    <t>Fur and Leather Preparing Machine Operators</t>
  </si>
  <si>
    <t>C157536</t>
  </si>
  <si>
    <t>7536</t>
  </si>
  <si>
    <t>Shoemakers and Related Workers</t>
  </si>
  <si>
    <t>C157535</t>
  </si>
  <si>
    <t>7535</t>
  </si>
  <si>
    <t>Pelt Dressers, Tanners and Fellmongers</t>
  </si>
  <si>
    <t>C153257</t>
  </si>
  <si>
    <t xml:space="preserve">Manufacture of Leather and Related Products </t>
  </si>
  <si>
    <t>C148154</t>
  </si>
  <si>
    <t>Bleaching, Dyeing and Fabric Cleaning Machine Operators</t>
  </si>
  <si>
    <t>C148153</t>
  </si>
  <si>
    <t>8153</t>
  </si>
  <si>
    <t>Sewing Machine Operators</t>
  </si>
  <si>
    <t>C147533</t>
  </si>
  <si>
    <t>7533</t>
  </si>
  <si>
    <t>Sewing, Embroidery and Related Workers</t>
  </si>
  <si>
    <t>C147532</t>
  </si>
  <si>
    <t>7532</t>
  </si>
  <si>
    <t>Garment and Related Patternmakers and Cutters</t>
  </si>
  <si>
    <t>C147531</t>
  </si>
  <si>
    <t>7531</t>
  </si>
  <si>
    <t>Tailors, Dressmakers, Furriers and Hatters</t>
  </si>
  <si>
    <t>C143257</t>
  </si>
  <si>
    <t>C143122</t>
  </si>
  <si>
    <t>Manufacture of Wearing Apparel</t>
  </si>
  <si>
    <t>a  The data refers to the average monthly wage rate across the selected occupations in the selected industries.</t>
  </si>
  <si>
    <t>C139000</t>
  </si>
  <si>
    <t>Weaving and Knitting Machine Operators</t>
  </si>
  <si>
    <t>Fibre Preparing, Spinning and Winding Machine Operators</t>
  </si>
  <si>
    <t>Handicraft Workers in Textile, Leather and Related Materials</t>
  </si>
  <si>
    <t>Manufacture of Textiles</t>
  </si>
  <si>
    <t>C109000</t>
  </si>
  <si>
    <t>Food and Related Products Machine Operators</t>
  </si>
  <si>
    <t>Manufacture of Beverages</t>
  </si>
  <si>
    <t>C104311</t>
  </si>
  <si>
    <t>B077542</t>
  </si>
  <si>
    <t>7542</t>
  </si>
  <si>
    <t>Manufacture of Food Products</t>
  </si>
  <si>
    <t>Mineral and Stone Processing Plant Operators</t>
  </si>
  <si>
    <t>Miners and Quarriers</t>
  </si>
  <si>
    <t>Shotfirers and Blasters</t>
  </si>
  <si>
    <t>B074311</t>
  </si>
  <si>
    <t>Mining Supervisors</t>
  </si>
  <si>
    <t>Mining and Metallurgical Technicians</t>
  </si>
  <si>
    <t>Mining Engineers, Metallurgists and Related Professionals</t>
  </si>
  <si>
    <t>Geologists</t>
  </si>
  <si>
    <t xml:space="preserve">Mining of Metal Ores </t>
  </si>
  <si>
    <t>B05/B06/B08</t>
  </si>
  <si>
    <t>Inland and Coastal Waters Fishery Workers</t>
  </si>
  <si>
    <t>Aqua Farm Operator/Harvester/Operator</t>
  </si>
  <si>
    <t>Fishing and Aquaculture</t>
  </si>
  <si>
    <t>_ratio_1</t>
  </si>
  <si>
    <t>A01/A02</t>
  </si>
  <si>
    <t>PSIC/PSOC</t>
  </si>
  <si>
    <t>Medical and Pathology Laboratory Technicians (Medical Technologists)</t>
  </si>
  <si>
    <t>Information and Communications Technology User Support Technicians</t>
  </si>
  <si>
    <t>-</t>
  </si>
  <si>
    <t>Medical Doctor/Generalist Medical Practitioners </t>
  </si>
  <si>
    <t>Information and Communications Technology Operations Technicians</t>
  </si>
  <si>
    <t>Information and Communications Technology Installers and Servicers</t>
  </si>
  <si>
    <t>Authors and Related Writers</t>
  </si>
  <si>
    <t>Wholesale and Retail Trade and Repair of Motor Vehicles 
   and Motorcycles</t>
  </si>
  <si>
    <t>Industrial Machinery Mechanics and Repairers (Marine Craft Mechanics)</t>
  </si>
  <si>
    <t>Manufacture of Basic Pharmaceutical Products and
   Pharmaceutical Preparation</t>
  </si>
  <si>
    <t>S95</t>
  </si>
  <si>
    <t>Repair of Computers and Personal and Household Goods</t>
  </si>
  <si>
    <t>S</t>
  </si>
  <si>
    <t>OTHER SERVICE ACTIVITIES</t>
  </si>
  <si>
    <t>R</t>
  </si>
  <si>
    <t>ARTS, ENTERTAINMENT AND RECREATION</t>
  </si>
  <si>
    <t>Q87</t>
  </si>
  <si>
    <t>Residential Care Activities; Social Work Activities without 
   Accommodation</t>
  </si>
  <si>
    <t>Q87/Q88</t>
  </si>
  <si>
    <t>Q</t>
  </si>
  <si>
    <t xml:space="preserve">HUMAN HEALTH AND SOCIAL WORK ACTIVITIES </t>
  </si>
  <si>
    <t xml:space="preserve">EDUCATION EXCEPT PUBLIC EDUCATION </t>
  </si>
  <si>
    <t>N82</t>
  </si>
  <si>
    <t>N78</t>
  </si>
  <si>
    <t>Employment Activities</t>
  </si>
  <si>
    <t>N77</t>
  </si>
  <si>
    <t>N</t>
  </si>
  <si>
    <t xml:space="preserve">ADMINISTRATIVE AND SUPPORT SERVICE ACTIVITIES </t>
  </si>
  <si>
    <t>M69</t>
  </si>
  <si>
    <t>M</t>
  </si>
  <si>
    <t>PROFESSIONAL, SCIENTIFIC AND TECHNICAL ACTIVITIES</t>
  </si>
  <si>
    <t>REAL ESTATE ACTIVITIES</t>
  </si>
  <si>
    <t>K66</t>
  </si>
  <si>
    <t>K</t>
  </si>
  <si>
    <t xml:space="preserve">FINANCIAL AND INSURANCE ACTIVITIES </t>
  </si>
  <si>
    <t>Computer Programming, Consultancy and Related Activities</t>
  </si>
  <si>
    <r>
      <t>J590</t>
    </r>
    <r>
      <rPr>
        <vertAlign val="superscript"/>
        <sz val="10"/>
        <rFont val="Arial"/>
        <family val="2"/>
      </rPr>
      <t>a</t>
    </r>
  </si>
  <si>
    <t>J59</t>
  </si>
  <si>
    <t>J59/J60</t>
  </si>
  <si>
    <t>J</t>
  </si>
  <si>
    <t>INFORMATION AND COMMUNICATIONS</t>
  </si>
  <si>
    <t>I</t>
  </si>
  <si>
    <t>ACCOMMODATION AND FOOD SERVICE ACTIVITIES</t>
  </si>
  <si>
    <t>Industry</t>
  </si>
  <si>
    <t>2009 PSIC</t>
  </si>
  <si>
    <t>H</t>
  </si>
  <si>
    <t xml:space="preserve">TRANSPORTATION AND STORAGE </t>
  </si>
  <si>
    <t>Wholesale Trade except of Motor Vehicles and Motorcycles</t>
  </si>
  <si>
    <t>G</t>
  </si>
  <si>
    <t xml:space="preserve">WHOLESALE AND RETAIL TRADE; REPAIR OF 
   MOTOR VEHICLES AND MOTORCYCLES </t>
  </si>
  <si>
    <t>F</t>
  </si>
  <si>
    <t>CONSTRUCTION</t>
  </si>
  <si>
    <t>E37</t>
  </si>
  <si>
    <t>Sewerage; Waste Collection, Treatment and Disposal
   Activities; Materials Recovery; Remediation Activities 
   and Other Waste Management Services</t>
  </si>
  <si>
    <t>E37/E38/
E39</t>
  </si>
  <si>
    <t>E</t>
  </si>
  <si>
    <t>WATER SUPPLY; SEWERAGE, WASTE MANAGEMENT 
   AND REMEDIATION ACTIVITIES</t>
  </si>
  <si>
    <t>ELECTRICITY, GAS, STEAM 
   AND AIRCONDITIONING SUPPLY</t>
  </si>
  <si>
    <t>C32</t>
  </si>
  <si>
    <t>C32/C33</t>
  </si>
  <si>
    <t>C30</t>
  </si>
  <si>
    <t>C30 excl. C301</t>
  </si>
  <si>
    <t xml:space="preserve">Manufacture of Motor Vehicles, Trailers and Semi-Trailers </t>
  </si>
  <si>
    <t xml:space="preserve">Manufacture of Other Non-Metallic Mineral Products </t>
  </si>
  <si>
    <t>C161</t>
  </si>
  <si>
    <t>C12</t>
  </si>
  <si>
    <t>Manufacture of Tobacco Products</t>
  </si>
  <si>
    <t xml:space="preserve">Manufacture of Food Products </t>
  </si>
  <si>
    <t>C</t>
  </si>
  <si>
    <t>MANUFACTURING</t>
  </si>
  <si>
    <t>B09</t>
  </si>
  <si>
    <t>Mining Support Service</t>
  </si>
  <si>
    <t>Mining of Metal Ores</t>
  </si>
  <si>
    <t>Mining of Coal and Lignite; Extraction of Crude Petroleum
   and Natural Gas; and Other Mining and Quarrying</t>
  </si>
  <si>
    <t>B</t>
  </si>
  <si>
    <t>MINING AND QUARRYING</t>
  </si>
  <si>
    <t>Crop and Animal Production, Hunting and Related Service
   Activities; Forestry and Logging</t>
  </si>
  <si>
    <t>A</t>
  </si>
  <si>
    <t>AGRICULTURE, FORESTRY AND FISHING</t>
  </si>
  <si>
    <t>ALL INDUSTRIES</t>
  </si>
  <si>
    <t>OTHER SERVICE ACTIVITIES EXCEPT ACTIVITIES OF
   MEMBERSHIP ORGANIZATIONS</t>
  </si>
  <si>
    <t>Manufacture of Fabricated Metal Products except 
   Machinery and Equipment</t>
  </si>
  <si>
    <t>Bangsamoro Autonomous Region in Muslim Mindanao</t>
  </si>
  <si>
    <t>Cordillera Administrative Region</t>
  </si>
  <si>
    <t>Region XIII - Caraga</t>
  </si>
  <si>
    <t xml:space="preserve">Region XII - SOCCSKSARGEN </t>
  </si>
  <si>
    <t>Region XI - Davao Region</t>
  </si>
  <si>
    <t>Region X - Northern Mindanao</t>
  </si>
  <si>
    <t>Region IX - Zamboanga Peninsula</t>
  </si>
  <si>
    <t>Region VIII - Eastern Visayas</t>
  </si>
  <si>
    <t>Region VII - Central Visayas</t>
  </si>
  <si>
    <t>Region VI - Western Visayas</t>
  </si>
  <si>
    <t>Region V - Bicol Region</t>
  </si>
  <si>
    <t>MIMAROPA Region</t>
  </si>
  <si>
    <t>Region IV-A - CALABARZON</t>
  </si>
  <si>
    <t>Region III - Central Luzon</t>
  </si>
  <si>
    <t>Region II - Cagayan Valley</t>
  </si>
  <si>
    <t>Region I - Ilocos Region</t>
  </si>
  <si>
    <t>National Capital Region</t>
  </si>
  <si>
    <t>PHILIPPINES</t>
  </si>
  <si>
    <t>Region</t>
  </si>
  <si>
    <t xml:space="preserve">            or wage range, thus, it is less reliable or precise.</t>
  </si>
  <si>
    <t xml:space="preserve">Note: An estimate with coefficient of variation greater than 10%  should be used with caution since the estimate is located in a very wide spread </t>
  </si>
  <si>
    <t>Other Personal Service Activities</t>
  </si>
  <si>
    <t>Repair of Computers and Personal Household Goods</t>
  </si>
  <si>
    <t>Activities Auxiliary to Financial Service and Insurance Activities</t>
  </si>
  <si>
    <t>Computer Programming, Consultancy and Related
   Activities</t>
  </si>
  <si>
    <t>*</t>
  </si>
  <si>
    <t>Wholesale Trade except of Motor Vehicles and 
   Motorcycles</t>
  </si>
  <si>
    <t>ELECTRICITY, GAS, STEAM AND AIR CONDITIONING
   SUPPLY</t>
  </si>
  <si>
    <t xml:space="preserve">Manufacture of Other Transport Equipment except 
   Building of Ships and Boats </t>
  </si>
  <si>
    <t>Manufacture of Fabricated Metal Products except Machinery and Equipment</t>
  </si>
  <si>
    <t>B05/B06/ B08</t>
  </si>
  <si>
    <t xml:space="preserve"> </t>
  </si>
  <si>
    <t>Manufacture of Products of Wood, Cork, Straw and Plaiting
   Materials</t>
  </si>
  <si>
    <t>Other Manufacturing; Repair and Installation of 
   Machinery and Equipment</t>
  </si>
  <si>
    <t>E37/E38/E39</t>
  </si>
  <si>
    <t xml:space="preserve">WHOLESALE AND RETAIL TRADE; REPAIR OF MOTOR
   VEHICLES AND MOTORCYCLES </t>
  </si>
  <si>
    <t>Wholesale and Retail Trade and Repair of Motor Vehicles
   and Motorcycles</t>
  </si>
  <si>
    <t xml:space="preserve">Land Transport and Transport via Pipelines except  Transport via Buses </t>
  </si>
  <si>
    <t>Warehousing and Support Activities for Transportation</t>
  </si>
  <si>
    <t>Postal and Courier Activities</t>
  </si>
  <si>
    <t>Motion Picture, Video and Television Programme
   Production, Sound Recording and Music Publishing
   Activities except Animated Films and Cartoons
   Production; Programming and Broadcasting Activities</t>
  </si>
  <si>
    <t>a  Less than 500.</t>
  </si>
  <si>
    <t>Financial Service Activities except Insurance, Pension
   Funding and Central Banking</t>
  </si>
  <si>
    <t xml:space="preserve">Insurance, Reinsurance and Pension Funding except
   Compulsory Social Security </t>
  </si>
  <si>
    <t>Activities Auxiliary to Financial Service and Insurance
   Activities</t>
  </si>
  <si>
    <t>PROFESSIONAL, SCIENTIFIC AND TECHNICAL
   ACTIVITIES</t>
  </si>
  <si>
    <t>Residential Care Activities; Social Work Activities without
   Accommodation</t>
  </si>
  <si>
    <t xml:space="preserve">Notes:  1. Basic pay refers to pay for normal/regular working time before deductions for employees' social security contributions and  withholding taxes. It excludes overtime, night shift differential  </t>
  </si>
  <si>
    <t xml:space="preserve">                and other premium pay; commissions, tips and share of employees in service charge; and payment in kind.</t>
  </si>
  <si>
    <t xml:space="preserve">   2. Details may not add up to totals due to rounding.</t>
  </si>
  <si>
    <t xml:space="preserve">                of the employer, cost of uniform/working clothes; bonuses and gratuities; family allowances.</t>
  </si>
  <si>
    <t>Notes:  1. Allowances refer to regular/guaranteed cash payments.  These include living allowance but exclude  reimbursements for travel, entertainment, meals and other expenses, etc. incurred in conducting the business</t>
  </si>
  <si>
    <t>Repair of Computers and Personal Household
   Goods</t>
  </si>
  <si>
    <t>Residential Care Activities; Social Work Activities
   without Accommodation</t>
  </si>
  <si>
    <t>Human Health Activities except Public Health
   Activities</t>
  </si>
  <si>
    <t xml:space="preserve">ADMINISTRATIVE AND SUPPORT SERVICE
    ACTIVITIES </t>
  </si>
  <si>
    <t>Activities Auxiliary to Financial Service and
   Insurance Activities</t>
  </si>
  <si>
    <t xml:space="preserve">Insurance, Reinsurance and Pension Funding
   except Compulsory Social Security </t>
  </si>
  <si>
    <t>Financial Service Activities except Insurance, Pension Funding and Central Banking</t>
  </si>
  <si>
    <t xml:space="preserve">K64 excl. </t>
  </si>
  <si>
    <t>Motion Picture, Video and Television Programme
   Production, Sound Recording and Music
   Publishing Activities except Animated Films 
   and Cartoons Production; Programming and
   Broadcasting Activities</t>
  </si>
  <si>
    <t>ACCOMMODATION AND FOOD SERVICE
   ACTIVITIES</t>
  </si>
  <si>
    <t>Warehousing and Support Activities for
   Transportation</t>
  </si>
  <si>
    <t xml:space="preserve">Land Transport and Transport via Pipelines except
   Transport via Buses </t>
  </si>
  <si>
    <t xml:space="preserve">Retail Trade except of Motor Vehicles and
   Motorcycles </t>
  </si>
  <si>
    <t>Wholesale and Retail Trade and Repair of Motor
   Vehicles and Motorcycles</t>
  </si>
  <si>
    <t xml:space="preserve">WHOLESALE AND RETAIL TRADE; REPAIR OF
   MOTOR VEHICLES AND MOTORCYCLES </t>
  </si>
  <si>
    <t>Sewerage; Waste Collection, Treatment and
   Disposal Activities; Materials Recovery;
   Remediation Activities and Other Waste Management Services</t>
  </si>
  <si>
    <t>WATER SUPPLY; SEWERAGE, WASTE MANAGEMENT
   AND REMEDIATION ACTIVITIES</t>
  </si>
  <si>
    <t>Mining of Coal and Lignite; Extraction of Crude
   Petroleum and Natural Gas; and Other Mining
   and Quarrying</t>
  </si>
  <si>
    <t>Crop and Animal Production, Hunting and Related
   Service Activities; Forestry and Logging</t>
  </si>
  <si>
    <t>OTHER SERVICE ACTIVITIES EXCEPT
   ACTIVITIES OF MEMBERSHIP ORGANIZATIONS</t>
  </si>
  <si>
    <t xml:space="preserve">ADMINISTRATIVE AND SUPPORT SERVICE
   ACTIVITIES </t>
  </si>
  <si>
    <t>*  Less than 0.05</t>
  </si>
  <si>
    <t>WATER SUPPLY; SEWERAGE, WASTE
   MANAGEMENT AND REMEDIATION ACTIVITIES</t>
  </si>
  <si>
    <t>ELECTRICITY, GAS, STEAM AND AIR
   CONDITIONING SUPPLY</t>
  </si>
  <si>
    <t>OTHER SERVICE ACTIVITIES EXCEPT ACTIVITIES
   OF MEMBERSHIP ORGANIZATIONS</t>
  </si>
  <si>
    <t>* Less than 0.05</t>
  </si>
  <si>
    <t>Agricutural Technicians</t>
  </si>
  <si>
    <t>Forestry Technicians</t>
  </si>
  <si>
    <t>General Office Clerks</t>
  </si>
  <si>
    <t>Market Gardeners and Crop Growers</t>
  </si>
  <si>
    <t>Chicken, Duck, Poultry, and Egg Producers</t>
  </si>
  <si>
    <t>Livestock Farmer</t>
  </si>
  <si>
    <t>Dairy Farmer</t>
  </si>
  <si>
    <t>Hog Raising Producers</t>
  </si>
  <si>
    <t>Loggers and Concessionaires</t>
  </si>
  <si>
    <t>Agricultural and Industrial Machinery Mechanics and Repairers</t>
  </si>
  <si>
    <t>Aquacultural technician</t>
  </si>
  <si>
    <t xml:space="preserve">Deep-Sea Fishery Workers </t>
  </si>
  <si>
    <t>Well Drillers and Borers and Related Workers</t>
  </si>
  <si>
    <t>Earthmoving and Related Plant Operators</t>
  </si>
  <si>
    <t>Butchers, Fishmongers and Related Food Preparers</t>
  </si>
  <si>
    <t>Bakers, Pastry-Cooks and Confectionery Makers</t>
  </si>
  <si>
    <t>Dairy Products Makers</t>
  </si>
  <si>
    <t>Fruit, Vegetable and Related Preservers</t>
  </si>
  <si>
    <t>Mining Support Service Activities</t>
  </si>
  <si>
    <t>Food and Beverage Tasters and Graders</t>
  </si>
  <si>
    <t>Tobacco Preparers and Tobacco Products Makers</t>
  </si>
  <si>
    <t>Tobacco and Cigarette, Processing Machine Operator</t>
  </si>
  <si>
    <t>Product Graders and Testers</t>
  </si>
  <si>
    <t>Product and Garment Designers</t>
  </si>
  <si>
    <t>Sewing Embroidery and Related Workers</t>
  </si>
  <si>
    <t>Processing, Material Handling/ Control Clerk</t>
  </si>
  <si>
    <t>Quality Inspector and Testers</t>
  </si>
  <si>
    <t>C22</t>
  </si>
  <si>
    <t>C30 only</t>
  </si>
  <si>
    <t>Other Manufacturing</t>
  </si>
  <si>
    <t>C33</t>
  </si>
  <si>
    <t>Repair and Installation of Machinery and Equipment</t>
  </si>
  <si>
    <t>90% Confidence Interval</t>
  </si>
  <si>
    <t>H49 only</t>
  </si>
  <si>
    <t>J60</t>
  </si>
  <si>
    <t>K64 only</t>
  </si>
  <si>
    <t>M70</t>
  </si>
  <si>
    <t>M71</t>
  </si>
  <si>
    <t>M72</t>
  </si>
  <si>
    <t>M73</t>
  </si>
  <si>
    <t>M74</t>
  </si>
  <si>
    <t>M75</t>
  </si>
  <si>
    <t>N80</t>
  </si>
  <si>
    <t>N81</t>
  </si>
  <si>
    <t>N82 only</t>
  </si>
  <si>
    <t xml:space="preserve">Q87/Q88 </t>
  </si>
  <si>
    <t>R90</t>
  </si>
  <si>
    <t>R91</t>
  </si>
  <si>
    <t>R92</t>
  </si>
  <si>
    <t>R93</t>
  </si>
  <si>
    <t>Pharmacists</t>
  </si>
  <si>
    <t>Pharmaceutical technicians and assistants</t>
  </si>
  <si>
    <t>Industrial Engineers</t>
  </si>
  <si>
    <t>Elementary Occupations</t>
  </si>
  <si>
    <t>Industrial Engineer</t>
  </si>
  <si>
    <t>Glass and Ceramics Plant Operators</t>
  </si>
  <si>
    <t>Toolmakers and related workers</t>
  </si>
  <si>
    <t>Metal Finishing, Plating and Coating Machine Operators</t>
  </si>
  <si>
    <t>Metal moulders and coremakers</t>
  </si>
  <si>
    <t>Auto service technician</t>
  </si>
  <si>
    <t>Mechanical Engineer/ Marine Engineers</t>
  </si>
  <si>
    <t>Marine Engineering technician</t>
  </si>
  <si>
    <t>Metal Shipwright</t>
  </si>
  <si>
    <t>Interior Designers and Decorators</t>
  </si>
  <si>
    <t>Spray Painters and Varnishers</t>
  </si>
  <si>
    <t>Handicraft Workers In Wood, Basketry and Related Materials</t>
  </si>
  <si>
    <t>Production clerks</t>
  </si>
  <si>
    <t>Plant Machine Operators and Assemblers</t>
  </si>
  <si>
    <t>Mechanical Machinery Assembler</t>
  </si>
  <si>
    <t>Industrial and Production Engineer</t>
  </si>
  <si>
    <t>Mechanical Engineer</t>
  </si>
  <si>
    <t>Environmental and Occupational Health Inspectors and Associates </t>
  </si>
  <si>
    <t>Sewerage; Waste Collection, Treatment and Disposal Activities; Materials Recovery;  Remediation Activities and Other Waste Management Services</t>
  </si>
  <si>
    <t>Building Frame and Related Trades Workers</t>
  </si>
  <si>
    <t>Building Finishers and Related Trades Workers</t>
  </si>
  <si>
    <t>Painters, Building Structure Cleaners and Related Trades Workers</t>
  </si>
  <si>
    <t>Sheet and Structural Metal Workers, Moulders and Welders, and Related Workers</t>
  </si>
  <si>
    <t>Industrial Machinery Mechanics and Repairers (Heavy Equipment Mechanic)</t>
  </si>
  <si>
    <t>Accountants</t>
  </si>
  <si>
    <t>Shop Salespersons</t>
  </si>
  <si>
    <t xml:space="preserve">Cashiers </t>
  </si>
  <si>
    <t xml:space="preserve">Accountants </t>
  </si>
  <si>
    <t>Lifting Truck Operators/Fork Lift Operator</t>
  </si>
  <si>
    <t>Ships's Deck Officers  and Pilots/Ship Captain</t>
  </si>
  <si>
    <t>Marine/Industrial Machinery Mechanics and Repairers </t>
  </si>
  <si>
    <t>Steam Engine and Boiler Operators</t>
  </si>
  <si>
    <t>Air Traffic Controllers</t>
  </si>
  <si>
    <t>Air Traffic Safety Electronics Technicians</t>
  </si>
  <si>
    <t>Building caretakers</t>
  </si>
  <si>
    <t>Mail Carriers and Sorting Clerks</t>
  </si>
  <si>
    <t>Receptionists</t>
  </si>
  <si>
    <t>Service Crew (including Food Attendant, Food Servers, Waiters)</t>
  </si>
  <si>
    <t>Bartenders</t>
  </si>
  <si>
    <t>Cleaning and Housekeeping Supervisors in Offices, Hotels, and Other Establishments</t>
  </si>
  <si>
    <t>Food service counter attendants</t>
  </si>
  <si>
    <t>Authors, Journalists and Linguists including Copywriters</t>
  </si>
  <si>
    <t>Motion Picture, Video and Television Programme Production, 
Sound Recording and Music Publishing Activties</t>
  </si>
  <si>
    <t>Musicians singers and composers</t>
  </si>
  <si>
    <t>Film, Stage and Related Directors and Producers</t>
  </si>
  <si>
    <t>Photographers</t>
  </si>
  <si>
    <t>Broadcasting and Audio-Visual Technicians</t>
  </si>
  <si>
    <t>Announcers on Radio, Television and Other Media</t>
  </si>
  <si>
    <t>Programming and Broadcasting Activities</t>
  </si>
  <si>
    <t>Network administrator</t>
  </si>
  <si>
    <t>Network Analyst</t>
  </si>
  <si>
    <t>Network technician</t>
  </si>
  <si>
    <t>Electrical line installers and repairers</t>
  </si>
  <si>
    <t xml:space="preserve">Software Developers </t>
  </si>
  <si>
    <t>Computer Network Professionals/IT Engineers</t>
  </si>
  <si>
    <t>Computer network and systems technicians</t>
  </si>
  <si>
    <t>Contact center information clerks</t>
  </si>
  <si>
    <t>Valuers and Loss Assessors</t>
  </si>
  <si>
    <t>Real Estate Agents and Property Managers</t>
  </si>
  <si>
    <t>Legal and Accounting Activities</t>
  </si>
  <si>
    <t>Legal secretaries</t>
  </si>
  <si>
    <t>Legal and related associate professionals</t>
  </si>
  <si>
    <t>Activities of Head Offices; Management and Consultancy Activities</t>
  </si>
  <si>
    <t>Management and organization analyst</t>
  </si>
  <si>
    <t>Architecture and Engineering Activities; Technical Testing and Analysis</t>
  </si>
  <si>
    <t>Town and Traffic Planners</t>
  </si>
  <si>
    <t>Cartographer and surveyors</t>
  </si>
  <si>
    <t>Scientific Research and Development</t>
  </si>
  <si>
    <t>Advertising and Market Research</t>
  </si>
  <si>
    <t>Statistician</t>
  </si>
  <si>
    <t>Advertising and marketing professionals</t>
  </si>
  <si>
    <t>Survey and market research interviewers</t>
  </si>
  <si>
    <t>Other Professional, Scientific, and Technical Activities</t>
  </si>
  <si>
    <t>Veterinary Activities</t>
  </si>
  <si>
    <t>Veterinarians</t>
  </si>
  <si>
    <t>Veterinary technicians and assistants</t>
  </si>
  <si>
    <t>Pet groomers and animal care workers</t>
  </si>
  <si>
    <t>Rental and Leasing Activities</t>
  </si>
  <si>
    <t>Transport conductors</t>
  </si>
  <si>
    <t>Motorcycle drivers</t>
  </si>
  <si>
    <t>Car, taxi and van drivers</t>
  </si>
  <si>
    <t>Bus drivers</t>
  </si>
  <si>
    <t>Security and Investigation Activities</t>
  </si>
  <si>
    <t>Security Guard</t>
  </si>
  <si>
    <t>Services to Buildings and Landscape Activities</t>
  </si>
  <si>
    <t>Office Administrative, Office Support and Other Business Support Activities 
except Call Center Activities and Back-Office Operations Activities</t>
  </si>
  <si>
    <t>Call centers activities (Voice)</t>
  </si>
  <si>
    <t>Data Entry Clerk</t>
  </si>
  <si>
    <t xml:space="preserve">Contact Center Information Clerks </t>
  </si>
  <si>
    <t>Back-office operations activities (Non-voice)</t>
  </si>
  <si>
    <t>Medical Records and Health Information Technicians</t>
  </si>
  <si>
    <t>Education Methods Specialists</t>
  </si>
  <si>
    <t>Special Need Teachers including gifted and mentally and physically handicapped</t>
  </si>
  <si>
    <t>Practical Language Teacher</t>
  </si>
  <si>
    <t xml:space="preserve">Personnel and Careers Professionals </t>
  </si>
  <si>
    <t>Specialist Medical Practitioners </t>
  </si>
  <si>
    <t>Nursing Professionals  </t>
  </si>
  <si>
    <t>Physiotherapist</t>
  </si>
  <si>
    <t>Optometrists and Opthalmic Opticians</t>
  </si>
  <si>
    <t>Personal Care Workers in Health Services not elsewhere classified 
(Dental Aide, Hospital Orderly, Pharmacy Aide, Phlebotomist)</t>
  </si>
  <si>
    <t>Residential Care Activities; Social Work Activities without Accommodation</t>
  </si>
  <si>
    <t>Creative, Arts, and Entertainment Activities</t>
  </si>
  <si>
    <t>Dancers and choreographers</t>
  </si>
  <si>
    <t>Libraries, Archives, Museums, and Other Cultural Activities</t>
  </si>
  <si>
    <t>Gambling and Betting Activities</t>
  </si>
  <si>
    <t>Bookmakers Croupiers/Dealers and Related Gaming Workers</t>
  </si>
  <si>
    <t>Enquiry Clerks</t>
  </si>
  <si>
    <t>Sports Activities and Amusement and Recreation Activities</t>
  </si>
  <si>
    <t>Sports Coaches Instructors and Officials</t>
  </si>
  <si>
    <t>Protective Services Workers not elsewhere classified (Lifeguards)</t>
  </si>
  <si>
    <t>Electrical Engineering Technicians (Airconditioning Technician, Refrigeration Technician)</t>
  </si>
  <si>
    <t>Computer Network and Systems Technicians</t>
  </si>
  <si>
    <t>Air Conditioning and Refrigeration Mechanics</t>
  </si>
  <si>
    <t>Electronics Mechanics and Servicers</t>
  </si>
  <si>
    <t>Other Personal Services Activities except Activities of Membership Organizations</t>
  </si>
  <si>
    <t>Beauticians and Related Workers  
(Attendant, Beautician, Cosmetologist, Manicurist, Make-up Artist, Pedicurist)</t>
  </si>
  <si>
    <t>Laundry machine operators</t>
  </si>
  <si>
    <t>C16</t>
  </si>
  <si>
    <t>Manufacture of Other Transport Equipment except Building of Ships and Boats</t>
  </si>
  <si>
    <t>Wholesale and Retail Trade and Repair of Motor Vehicles and Motorcycles</t>
  </si>
  <si>
    <t xml:space="preserve">Land Transport and Transport via Pipelines except Transport via Buses </t>
  </si>
  <si>
    <t xml:space="preserve">Land Transport and Transport via Pipelines 
except Transport via Buses </t>
  </si>
  <si>
    <t>Financial Service Activities except Insurance, Pension 
Funding and Central Banking</t>
  </si>
  <si>
    <t>Travel Agency, Tour Operator, Reservation Service 
and Related Activities</t>
  </si>
  <si>
    <t>Office Administrative, Office Support and Other Business Support Activities except Call Center Activities and 
Back-Office Operations Activities</t>
  </si>
  <si>
    <t>Crop and Animal Production, Hunting and Related Service 
Activities; Forestry and Logging</t>
  </si>
  <si>
    <t>Mining of Coal and Lignite; Extraction of Crude Petroleum 
and Natural Gas; and Other Mining and Quarrying</t>
  </si>
  <si>
    <t>TABLE 1 - Standard Errors and Coefficient of Variations of  Average Monthly Wage Rates of Time-Rate Workers 
on Full-Time Basis in Selected Industries and Occupations by Type of Job Position, Philippines:  August 2024</t>
  </si>
  <si>
    <t>(In Establishments Employing 10 and More Workers.)</t>
  </si>
  <si>
    <t>(In Establishments Employing 10 and More Workers)</t>
  </si>
  <si>
    <t>Manufacture of wood and of products of wood and cork, except furniture; 
manufacture of articles of bamboo, cane, rattan and the like; 
manufacture of articles of straw and plaiting materials</t>
  </si>
  <si>
    <t>Manufacture of Basic Pharmaceutical Products and Pharmaceutical Preparation</t>
  </si>
  <si>
    <t>Manufacture of Rubber Products and Plastic Products</t>
  </si>
  <si>
    <t xml:space="preserve">J59
</t>
  </si>
  <si>
    <t>Financial Service Activities 
except Insurance, Pension Funding and Central Banking</t>
  </si>
  <si>
    <t xml:space="preserve">Insurance, Reinsurance and Pension Funding except Compulsory Social Security </t>
  </si>
  <si>
    <t>Travel Agency, Tour Operator, Reservation Service and Related Activities</t>
  </si>
  <si>
    <t xml:space="preserve">(In Establishments Employing 10 and More Workers) </t>
  </si>
  <si>
    <t>Regio XIII - Caraga</t>
  </si>
  <si>
    <t xml:space="preserve">N82 only
</t>
  </si>
  <si>
    <t xml:space="preserve">C16
</t>
  </si>
  <si>
    <t>TABLE 1 - Standard Errors and Coefficient of Variations of  Average Monthly Wage Rates of Time-Rate Workers 
on Full-Time Basis in Selected Industries and Occupations by Type of Job Position, Philippines:  August 2024 (Cont'd)</t>
  </si>
  <si>
    <t>a</t>
  </si>
  <si>
    <t>TABLE 2 - Standard Errors and Coefficient of Variations of Average Monthly Wage Rates 
of General Office Clerks by Industry, Philippines:  August 2024</t>
  </si>
  <si>
    <t>TABLE 3 - Standard Errors and Coefficient of Variations of Average Monthly Wage Rates 
of Elementary Occupations  by Industry, Philippines:  August 2024</t>
  </si>
  <si>
    <t>TABLE 3 - Standard Errors and Coefficient of Variations of Average Monthly Wage Rates 
of Elementary Occupations by Industry, Philippines:  August 2024 (Cont'd)</t>
  </si>
  <si>
    <t>Table 5.  Standard Errors and Coefficient of Variations of Average Monthly Basic Pay of Time-Rated Workers on Full-Time Basis by Industry, Philippines:  August 2024</t>
  </si>
  <si>
    <t>Table 5.  Standard Errors and Coefficient of Variations of Average Monthly Basic Pay of Time-Rated Workers on Full-Time Basis by Industry, Philippines:  August 2024 (Cont'd.)</t>
  </si>
  <si>
    <t>Source:  Philippine Statistics Authority, 2024 Occupational Wages Survey</t>
  </si>
  <si>
    <t>Source:   Philippine Statistics Authority, 2024 Occupational Wages Survey</t>
  </si>
  <si>
    <r>
      <t>J590</t>
    </r>
    <r>
      <rPr>
        <vertAlign val="superscript"/>
        <sz val="11"/>
        <rFont val="Arial"/>
        <family val="2"/>
      </rPr>
      <t>a</t>
    </r>
  </si>
  <si>
    <t>Table 5.1.  Standard Errors and Coefficient of Variations of Average Monthly Basic Pay of Male Time-Rated Workers on Full-Time Basis by Industry, Philippines:  August 2024</t>
  </si>
  <si>
    <t>Table 5.1.  Standard Errors and Coefficient of Variations of Average Monthly Basic Pay of Male Time-Rated Workers on Full-Time Basis by Industry, Philippines:  August 2024 (Cont'd.)</t>
  </si>
  <si>
    <t>Mining of Coal and Lignite; Extraction of Crude Petroleum and Natural Gas; and Other Mining and Quarrying</t>
  </si>
  <si>
    <t>Manufacture of wood and of products of wood and cork, except furniture; manufacture of articles of bamboo, cane, rattan and the like; manufacture of articles of straw and plaiting materials</t>
  </si>
  <si>
    <t>WATER SUPPLY; SEWERAGE, WASTE MANAGEMENT AND REMEDIATION ACTIVITIES</t>
  </si>
  <si>
    <t>OTHER SERVICE ACTIVITIES EXCEPT ACTIVITIES OF MEMBERSHIP ORGANIZATIONS</t>
  </si>
  <si>
    <t>Motion Picture, Video and Television Programme
   Production, Sound Recording and Music Publishing
   Activities except Animated Films and Cartoons
   Production; Programming and Broadcasting 
   Activities</t>
  </si>
  <si>
    <t>Table 5.2.  Standard Errors and Coefficient of Variations of Average Monthly Basic Pay of Female Time-Rated Workers on Full-Time Basis by Industry, Philippines:  August 2024</t>
  </si>
  <si>
    <t>Table 5.2.  Standard Errors and Coefficient of Variations of Average Monthly Basic Pay of Female Time-Rated Workers on Full-Time Basis by Industry, Philippines:  August 2024 (Cont'd.)</t>
  </si>
  <si>
    <t>Sewerage; Waste Collection, Treatment and Disposal Activities; Materials Recovery; Remediation Activities and Other Waste Management Services</t>
  </si>
  <si>
    <t>Table 6. Standard Errors and Coefficient of Variations of Average Monthly Allowances of Time-Rated Workers on Full-Time Basis by Industry, Philippines:  August 2024</t>
  </si>
  <si>
    <t>Table 6. Standard Errors and Coefficient of Variations of Average Monthly Allowances of Time-Rated Workers on Full-Time Basis by Industry, Philippines:  August 2024 (Cont'd.)</t>
  </si>
  <si>
    <t>Basic Pay Estimate</t>
  </si>
  <si>
    <t>Allowance Estimate</t>
  </si>
  <si>
    <t>Office Administrative, Office Support and Other Business Support Activities except Call Center Activities and Back-Office Operations Activities</t>
  </si>
  <si>
    <t xml:space="preserve">Insurance, Reinsurance and Pension Funding except
Compulsory Social Security </t>
  </si>
  <si>
    <t>Activities Auxiliary to Financial Service and Insurance
Activities</t>
  </si>
  <si>
    <t>Manufacture of Fabricated Metal Products except 
Machinery and Equipment</t>
  </si>
  <si>
    <t xml:space="preserve">Manufacture of Other Transport Equipment except 
Building of Ships and Boats </t>
  </si>
  <si>
    <t>Other Manufacturing; Repair and Installation of 
Machinery and Equipment</t>
  </si>
  <si>
    <t>ELECTRICITY, GAS, STEAM AND AIR CONDITIONING SUPPLY</t>
  </si>
  <si>
    <t>Motion Picture, Video and Television Programme Production, Sound Recording and Music Publishing 
Activities except Animated Films and Cartoons Production; Programming and Broadcasting Activities</t>
  </si>
  <si>
    <t>Computer Programming, Consultancy and Related
Activities</t>
  </si>
  <si>
    <t>PROFESSIONAL, SCIENTIFIC AND TECHNICAL
ACTIVITIES</t>
  </si>
  <si>
    <t>Table 6.1. Standard Errors and Coefficient of Variations of  Average Monthly Allowances of Male Time-Rated Workers on Full-Time Basis by Industry, Philippines:  August 2024</t>
  </si>
  <si>
    <t>Table 6.1. Standard Errors and Coefficient of Variations of  Average Monthly Allowances of Male Time-Rated Workers on Full-Time Basis by Industry, Philippines:  August 2024 (Cont'd.)</t>
  </si>
  <si>
    <t xml:space="preserve">            2. Details may not add up to totals due to rounding.</t>
  </si>
  <si>
    <t>Table 6.2. Standard Errors and Coefficient of Variations of Average Monthly Allowances of Female Time-Rated Workers on Full-Time Basis by Industry, Philippines:  August 2024</t>
  </si>
  <si>
    <t>Table 6.2. Standard Errors and Coefficient of Variations of Average Monthly Allowances of Female Time-Rated Workers on Full-Time Basis by Industry, Philippines:  August 2024 (Cont'd.)</t>
  </si>
  <si>
    <t>Manufacture of wood and of products of wood and cork, except furniture; manufacture of articles of bamboo, cane, rattan and the like; 
manufacture of articles of straw and plaiting materials</t>
  </si>
  <si>
    <t xml:space="preserve">PHILIPPINES </t>
  </si>
  <si>
    <t>PHILIPPINES \</t>
  </si>
  <si>
    <t>TABLE 2 - Standard Errors and Coefficient of Variations of Average Monthly Wage Rates 
of General Office Clerks by Industry, Philippines:  August 2024 (Cont'd)</t>
  </si>
  <si>
    <t>TABLE 4 - Standard Errors and Coefficient of Variations of Average Monthly Wage Rates 
of General Office Clerks by Region, Philippines:  August 2024</t>
  </si>
  <si>
    <t>Table 7. Standard Errors and Coefficient of Variations of Average Monthly Basic Pay of Time-Rated Workers on Full-Time Basis by Region, Philippines:  August 2024</t>
  </si>
  <si>
    <t>Table 8. Standard Errors and Coefficient of Variations of Average Monthly Allowances of Time-Rated Workers on Full-Time Basis by Region, Philippines:  August 2024</t>
  </si>
  <si>
    <t>Table 8.1. Standard Errors and Coefficient of Variations of  Average Monthly Allowances of Male Time-Rated Workers on Full-Time Basis by Region, Philippines: August 2024</t>
  </si>
  <si>
    <t>Table 7.2. Standard Errors and Coefficient of Variations of Average Monthly Basic Pay of Female Time-Rated Workers on Full-Time Basis by Region, Philippines: August 2024</t>
  </si>
  <si>
    <t>Table 7.1. Standard Errors and Coefficient of Variations of Average Monthly Basic Pay of Male Time-Rated Workers on Full-Time Basis by Region, Philippines: August 2024</t>
  </si>
  <si>
    <t>Table 8.2. Standard Errors and Coefficient of Variations of Average Monthly Allowances of Female Time-Rated Workers on Full-Time Basis by Region, Philippines:  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</si>
</sst>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_-;\-* #,##0.0_-;_-* &quot;-&quot;??_-;_-@_-"/>
    <numFmt numFmtId="165" formatCode="#,##0.0"/>
    <numFmt numFmtId="166" formatCode="_-* #,##0_-;\-* #,##0_-;_-* &quot;-&quot;??_-;_-@_-"/>
    <numFmt numFmtId="167" formatCode="0.0"/>
    <numFmt numFmtId="168" formatCode="_(* #,##0.00_);_(* \(#,##0.0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9"/>
      <name val="Arial"/>
      <family val="2"/>
    </font>
    <font>
      <i/>
      <sz val="9"/>
      <color theme="1"/>
      <name val="Arial"/>
      <family val="2"/>
    </font>
    <font>
      <sz val="11"/>
      <name val="Arial"/>
      <family val="2"/>
    </font>
    <font>
      <sz val="11"/>
      <color theme="1"/>
      <name val="Calibri Light"/>
      <family val="2"/>
      <scheme val="major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Verdana"/>
      <family val="2"/>
    </font>
    <font>
      <vertAlign val="superscript"/>
      <sz val="1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7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</cellStyleXfs>
  <cellXfs count="626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8" fillId="0" borderId="0" xfId="0" applyFont="1" applyAlignment="1">
      <alignment horizontal="center"/>
    </xf>
    <xf numFmtId="0" fontId="10" fillId="0" borderId="5" xfId="0" applyFont="1" applyBorder="1" applyAlignment="1">
      <alignment horizontal="left" vertical="top" indent="1"/>
    </xf>
    <xf numFmtId="2" fontId="10" fillId="0" borderId="6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indent="1"/>
    </xf>
    <xf numFmtId="0" fontId="14" fillId="0" borderId="0" xfId="0" applyFont="1"/>
    <xf numFmtId="0" fontId="15" fillId="0" borderId="0" xfId="0" applyFont="1"/>
    <xf numFmtId="0" fontId="0" fillId="0" borderId="9" xfId="0" applyBorder="1"/>
    <xf numFmtId="0" fontId="17" fillId="0" borderId="0" xfId="0" applyFont="1"/>
    <xf numFmtId="0" fontId="6" fillId="0" borderId="0" xfId="0" applyFont="1"/>
    <xf numFmtId="3" fontId="0" fillId="0" borderId="0" xfId="0" applyNumberFormat="1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1" xfId="0" applyFont="1" applyBorder="1"/>
    <xf numFmtId="0" fontId="19" fillId="0" borderId="11" xfId="0" applyFont="1" applyBorder="1" applyAlignment="1">
      <alignment horizontal="center"/>
    </xf>
    <xf numFmtId="0" fontId="17" fillId="0" borderId="5" xfId="0" applyFont="1" applyBorder="1"/>
    <xf numFmtId="3" fontId="8" fillId="0" borderId="7" xfId="0" applyNumberFormat="1" applyFont="1" applyBorder="1" applyAlignment="1">
      <alignment horizontal="right" wrapText="1" indent="2"/>
    </xf>
    <xf numFmtId="3" fontId="8" fillId="0" borderId="2" xfId="0" applyNumberFormat="1" applyFont="1" applyBorder="1" applyAlignment="1">
      <alignment horizontal="right" wrapText="1" indent="2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indent="1"/>
    </xf>
    <xf numFmtId="3" fontId="8" fillId="0" borderId="12" xfId="0" applyNumberFormat="1" applyFont="1" applyBorder="1" applyAlignment="1">
      <alignment horizontal="right" wrapText="1" indent="2"/>
    </xf>
    <xf numFmtId="3" fontId="8" fillId="0" borderId="0" xfId="0" applyNumberFormat="1" applyFont="1" applyAlignment="1">
      <alignment horizontal="right" wrapText="1" indent="2"/>
    </xf>
    <xf numFmtId="165" fontId="8" fillId="0" borderId="0" xfId="0" applyNumberFormat="1" applyFont="1" applyAlignment="1">
      <alignment horizontal="right" wrapText="1" indent="2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indent="1"/>
    </xf>
    <xf numFmtId="3" fontId="10" fillId="0" borderId="12" xfId="0" applyNumberFormat="1" applyFont="1" applyBorder="1" applyAlignment="1">
      <alignment horizontal="right" wrapText="1" indent="2"/>
    </xf>
    <xf numFmtId="3" fontId="10" fillId="0" borderId="0" xfId="0" applyNumberFormat="1" applyFont="1" applyAlignment="1">
      <alignment horizontal="right" wrapText="1" indent="2"/>
    </xf>
    <xf numFmtId="165" fontId="10" fillId="0" borderId="0" xfId="0" applyNumberFormat="1" applyFont="1" applyAlignment="1">
      <alignment horizontal="right" wrapText="1" indent="2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5" xfId="0" applyFont="1" applyBorder="1" applyAlignment="1">
      <alignment horizontal="left" vertical="top" indent="1"/>
    </xf>
    <xf numFmtId="0" fontId="6" fillId="0" borderId="5" xfId="0" applyFont="1" applyBorder="1" applyAlignment="1">
      <alignment horizontal="left" vertical="top" wrapText="1" indent="1"/>
    </xf>
    <xf numFmtId="3" fontId="8" fillId="0" borderId="9" xfId="0" applyNumberFormat="1" applyFont="1" applyBorder="1" applyAlignment="1">
      <alignment horizontal="right" wrapText="1" indent="2"/>
    </xf>
    <xf numFmtId="3" fontId="8" fillId="0" borderId="11" xfId="0" applyNumberFormat="1" applyFont="1" applyBorder="1" applyAlignment="1">
      <alignment horizontal="right" wrapText="1" indent="2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indent="1"/>
    </xf>
    <xf numFmtId="0" fontId="8" fillId="0" borderId="0" xfId="0" applyFont="1" applyAlignment="1">
      <alignment wrapText="1"/>
    </xf>
    <xf numFmtId="3" fontId="6" fillId="0" borderId="5" xfId="0" applyNumberFormat="1" applyFont="1" applyBorder="1" applyAlignment="1">
      <alignment horizontal="left" vertical="top" wrapText="1" indent="1"/>
    </xf>
    <xf numFmtId="3" fontId="10" fillId="0" borderId="12" xfId="0" applyNumberFormat="1" applyFont="1" applyBorder="1" applyAlignment="1">
      <alignment horizontal="right" vertical="center" wrapText="1" indent="2"/>
    </xf>
    <xf numFmtId="3" fontId="10" fillId="0" borderId="0" xfId="0" applyNumberFormat="1" applyFont="1" applyAlignment="1">
      <alignment horizontal="right" vertical="center" wrapText="1" indent="2"/>
    </xf>
    <xf numFmtId="165" fontId="10" fillId="0" borderId="0" xfId="0" applyNumberFormat="1" applyFont="1" applyAlignment="1">
      <alignment horizontal="right" vertical="center" wrapText="1" indent="2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7" fillId="0" borderId="9" xfId="0" applyFont="1" applyBorder="1"/>
    <xf numFmtId="0" fontId="17" fillId="0" borderId="11" xfId="0" applyFont="1" applyBorder="1"/>
    <xf numFmtId="3" fontId="10" fillId="0" borderId="11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right" wrapText="1" indent="3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66" fontId="6" fillId="0" borderId="2" xfId="1" applyNumberFormat="1" applyFont="1" applyBorder="1" applyAlignment="1">
      <alignment horizontal="right" wrapText="1" indent="2"/>
    </xf>
    <xf numFmtId="166" fontId="6" fillId="0" borderId="0" xfId="1" applyNumberFormat="1" applyFont="1" applyBorder="1" applyAlignment="1">
      <alignment horizontal="right" wrapText="1" indent="2"/>
    </xf>
    <xf numFmtId="166" fontId="6" fillId="0" borderId="0" xfId="1" applyNumberFormat="1" applyFont="1" applyBorder="1"/>
    <xf numFmtId="166" fontId="9" fillId="0" borderId="0" xfId="1" applyNumberFormat="1" applyFont="1" applyBorder="1" applyAlignment="1">
      <alignment horizontal="right" wrapText="1" indent="2"/>
    </xf>
    <xf numFmtId="0" fontId="0" fillId="0" borderId="11" xfId="0" applyBorder="1"/>
    <xf numFmtId="3" fontId="10" fillId="0" borderId="11" xfId="0" applyNumberFormat="1" applyFont="1" applyBorder="1" applyAlignment="1">
      <alignment horizontal="right" wrapText="1" indent="3"/>
    </xf>
    <xf numFmtId="0" fontId="8" fillId="0" borderId="0" xfId="0" applyFont="1" applyAlignment="1">
      <alignment vertical="center"/>
    </xf>
    <xf numFmtId="0" fontId="6" fillId="0" borderId="0" xfId="2" applyFill="1"/>
    <xf numFmtId="0" fontId="6" fillId="0" borderId="0" xfId="2" applyFill="1" applyAlignment="1">
      <alignment wrapText="1"/>
    </xf>
    <xf numFmtId="0" fontId="2" fillId="0" borderId="0" xfId="2" applyFont="1" applyFill="1" applyBorder="1" applyAlignment="1">
      <alignment vertical="top"/>
    </xf>
    <xf numFmtId="0" fontId="2" fillId="0" borderId="0" xfId="2" applyFont="1" applyFill="1" applyBorder="1" applyAlignment="1">
      <alignment horizontal="left" indent="3"/>
    </xf>
    <xf numFmtId="0" fontId="2" fillId="0" borderId="0" xfId="2" applyFont="1" applyFill="1" applyBorder="1" applyAlignment="1"/>
    <xf numFmtId="0" fontId="11" fillId="0" borderId="0" xfId="2" applyFont="1"/>
    <xf numFmtId="3" fontId="6" fillId="0" borderId="2" xfId="1" applyNumberFormat="1" applyFont="1" applyFill="1" applyBorder="1" applyAlignment="1">
      <alignment horizontal="right" indent="1"/>
    </xf>
    <xf numFmtId="0" fontId="8" fillId="0" borderId="5" xfId="0" applyFont="1" applyBorder="1" applyAlignment="1">
      <alignment horizontal="left" indent="1"/>
    </xf>
    <xf numFmtId="3" fontId="9" fillId="0" borderId="0" xfId="1" applyNumberFormat="1" applyFont="1" applyFill="1" applyBorder="1" applyAlignment="1">
      <alignment horizontal="right" indent="1"/>
    </xf>
    <xf numFmtId="0" fontId="6" fillId="0" borderId="0" xfId="2" applyAlignment="1"/>
    <xf numFmtId="0" fontId="6" fillId="0" borderId="0" xfId="2"/>
    <xf numFmtId="3" fontId="6" fillId="0" borderId="2" xfId="2" applyNumberFormat="1" applyBorder="1" applyAlignment="1">
      <alignment horizontal="center" vertical="center"/>
    </xf>
    <xf numFmtId="4" fontId="6" fillId="0" borderId="10" xfId="2" applyNumberFormat="1" applyBorder="1" applyAlignment="1">
      <alignment horizontal="left" wrapText="1"/>
    </xf>
    <xf numFmtId="4" fontId="6" fillId="0" borderId="11" xfId="2" applyNumberFormat="1" applyBorder="1" applyAlignment="1">
      <alignment horizontal="left" wrapText="1"/>
    </xf>
    <xf numFmtId="0" fontId="6" fillId="0" borderId="11" xfId="2" applyBorder="1"/>
    <xf numFmtId="3" fontId="6" fillId="0" borderId="5" xfId="2" applyNumberFormat="1" applyBorder="1" applyAlignment="1">
      <alignment horizontal="left" vertical="top" wrapText="1"/>
    </xf>
    <xf numFmtId="1" fontId="9" fillId="0" borderId="0" xfId="2" applyNumberFormat="1" applyFont="1"/>
    <xf numFmtId="0" fontId="9" fillId="0" borderId="0" xfId="2" applyFont="1"/>
    <xf numFmtId="0" fontId="9" fillId="0" borderId="5" xfId="2" applyFont="1" applyBorder="1" applyAlignment="1">
      <alignment horizontal="left" vertical="top" indent="1"/>
    </xf>
    <xf numFmtId="0" fontId="6" fillId="0" borderId="5" xfId="2" applyBorder="1" applyAlignment="1">
      <alignment horizontal="left" vertical="top" wrapText="1" indent="1"/>
    </xf>
    <xf numFmtId="0" fontId="6" fillId="0" borderId="0" xfId="2" applyAlignment="1">
      <alignment wrapText="1"/>
    </xf>
    <xf numFmtId="0" fontId="6" fillId="0" borderId="5" xfId="2" applyBorder="1" applyAlignment="1">
      <alignment horizontal="left" vertical="top" indent="1"/>
    </xf>
    <xf numFmtId="0" fontId="9" fillId="0" borderId="5" xfId="2" applyFont="1" applyBorder="1" applyAlignment="1">
      <alignment horizontal="left" vertical="top" wrapText="1" indent="1"/>
    </xf>
    <xf numFmtId="3" fontId="6" fillId="0" borderId="5" xfId="2" applyNumberFormat="1" applyBorder="1" applyAlignment="1">
      <alignment horizontal="left" vertical="top" wrapText="1" indent="1"/>
    </xf>
    <xf numFmtId="0" fontId="6" fillId="0" borderId="0" xfId="2" applyBorder="1" applyAlignment="1">
      <alignment wrapText="1"/>
    </xf>
    <xf numFmtId="167" fontId="6" fillId="0" borderId="0" xfId="2" applyNumberFormat="1" applyBorder="1" applyAlignment="1">
      <alignment horizontal="right" indent="1"/>
    </xf>
    <xf numFmtId="0" fontId="6" fillId="0" borderId="3" xfId="2" applyBorder="1" applyAlignment="1">
      <alignment horizontal="left" vertical="top" wrapText="1" indent="1"/>
    </xf>
    <xf numFmtId="1" fontId="6" fillId="0" borderId="2" xfId="2" applyNumberFormat="1" applyBorder="1" applyAlignment="1">
      <alignment horizontal="right" indent="1"/>
    </xf>
    <xf numFmtId="167" fontId="6" fillId="0" borderId="2" xfId="2" applyNumberFormat="1" applyBorder="1" applyAlignment="1">
      <alignment horizontal="right" indent="1"/>
    </xf>
    <xf numFmtId="0" fontId="6" fillId="0" borderId="0" xfId="2" applyBorder="1" applyAlignment="1">
      <alignment horizontal="justify" wrapText="1"/>
    </xf>
    <xf numFmtId="1" fontId="6" fillId="0" borderId="0" xfId="2" applyNumberFormat="1" applyBorder="1" applyAlignment="1">
      <alignment horizontal="right" indent="1"/>
    </xf>
    <xf numFmtId="0" fontId="6" fillId="0" borderId="0" xfId="2" applyBorder="1" applyAlignment="1">
      <alignment horizontal="left" vertical="top" wrapText="1"/>
    </xf>
    <xf numFmtId="0" fontId="6" fillId="0" borderId="0" xfId="2" applyBorder="1" applyAlignment="1">
      <alignment vertical="top" wrapText="1"/>
    </xf>
    <xf numFmtId="4" fontId="9" fillId="0" borderId="5" xfId="2" applyNumberFormat="1" applyFont="1" applyBorder="1" applyAlignment="1">
      <alignment horizontal="left" vertical="top" indent="1"/>
    </xf>
    <xf numFmtId="0" fontId="24" fillId="0" borderId="5" xfId="2" applyFont="1" applyBorder="1" applyAlignment="1">
      <alignment horizontal="left" indent="1"/>
    </xf>
    <xf numFmtId="3" fontId="9" fillId="0" borderId="5" xfId="2" applyNumberFormat="1" applyFont="1" applyBorder="1" applyAlignment="1">
      <alignment horizontal="left" vertical="top" wrapText="1" indent="1"/>
    </xf>
    <xf numFmtId="167" fontId="11" fillId="0" borderId="0" xfId="2" applyNumberFormat="1" applyFont="1"/>
    <xf numFmtId="0" fontId="23" fillId="0" borderId="0" xfId="2" applyFont="1"/>
    <xf numFmtId="3" fontId="6" fillId="0" borderId="0" xfId="2" applyNumberFormat="1" applyFill="1" applyBorder="1" applyAlignment="1">
      <alignment vertical="center" wrapText="1"/>
    </xf>
    <xf numFmtId="167" fontId="9" fillId="0" borderId="0" xfId="2" applyNumberFormat="1" applyFont="1" applyBorder="1" applyAlignment="1">
      <alignment horizontal="right" indent="1"/>
    </xf>
    <xf numFmtId="0" fontId="6" fillId="0" borderId="0" xfId="2" applyBorder="1"/>
    <xf numFmtId="0" fontId="9" fillId="0" borderId="0" xfId="2" applyFont="1" applyBorder="1" applyAlignment="1">
      <alignment horizontal="left" vertical="top" wrapText="1"/>
    </xf>
    <xf numFmtId="0" fontId="9" fillId="0" borderId="0" xfId="2" applyFont="1" applyBorder="1" applyAlignment="1">
      <alignment vertical="top" wrapText="1"/>
    </xf>
    <xf numFmtId="0" fontId="9" fillId="0" borderId="0" xfId="2" applyFont="1" applyBorder="1"/>
    <xf numFmtId="3" fontId="6" fillId="0" borderId="0" xfId="2" applyNumberFormat="1" applyBorder="1" applyAlignment="1">
      <alignment horizontal="left" vertical="top" wrapText="1"/>
    </xf>
    <xf numFmtId="0" fontId="9" fillId="0" borderId="0" xfId="2" applyFont="1" applyBorder="1" applyAlignment="1">
      <alignment wrapText="1"/>
    </xf>
    <xf numFmtId="1" fontId="6" fillId="0" borderId="0" xfId="2" applyNumberFormat="1" applyAlignment="1"/>
    <xf numFmtId="1" fontId="6" fillId="0" borderId="0" xfId="2" applyNumberFormat="1"/>
    <xf numFmtId="1" fontId="0" fillId="0" borderId="0" xfId="0" applyNumberFormat="1"/>
    <xf numFmtId="2" fontId="10" fillId="0" borderId="10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/>
    </xf>
    <xf numFmtId="3" fontId="6" fillId="0" borderId="12" xfId="0" applyNumberFormat="1" applyFont="1" applyBorder="1" applyAlignment="1">
      <alignment horizontal="left" vertical="top" wrapText="1"/>
    </xf>
    <xf numFmtId="3" fontId="6" fillId="0" borderId="4" xfId="0" applyNumberFormat="1" applyFont="1" applyBorder="1" applyAlignment="1">
      <alignment horizontal="right" wrapText="1" indent="2"/>
    </xf>
    <xf numFmtId="164" fontId="6" fillId="0" borderId="4" xfId="1" applyNumberFormat="1" applyFont="1" applyFill="1" applyBorder="1" applyAlignment="1">
      <alignment horizontal="right" wrapText="1" indent="2"/>
    </xf>
    <xf numFmtId="164" fontId="0" fillId="0" borderId="0" xfId="1" applyNumberFormat="1" applyFont="1" applyFill="1"/>
    <xf numFmtId="3" fontId="9" fillId="0" borderId="0" xfId="0" applyNumberFormat="1" applyFont="1" applyAlignment="1">
      <alignment vertical="center"/>
    </xf>
    <xf numFmtId="43" fontId="0" fillId="0" borderId="0" xfId="0" applyNumberFormat="1"/>
    <xf numFmtId="0" fontId="10" fillId="0" borderId="0" xfId="0" applyFont="1" applyAlignment="1">
      <alignment vertical="top"/>
    </xf>
    <xf numFmtId="3" fontId="9" fillId="0" borderId="0" xfId="0" applyNumberFormat="1" applyFont="1" applyAlignment="1">
      <alignment horizontal="left" vertical="top" wrapText="1"/>
    </xf>
    <xf numFmtId="43" fontId="9" fillId="0" borderId="12" xfId="0" applyNumberFormat="1" applyFont="1" applyBorder="1" applyAlignment="1">
      <alignment horizontal="center"/>
    </xf>
    <xf numFmtId="3" fontId="9" fillId="0" borderId="12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/>
    </xf>
    <xf numFmtId="3" fontId="6" fillId="0" borderId="0" xfId="0" applyNumberFormat="1" applyFont="1" applyAlignment="1">
      <alignment horizontal="left" vertical="top" wrapText="1"/>
    </xf>
    <xf numFmtId="0" fontId="8" fillId="0" borderId="5" xfId="0" applyFont="1" applyBorder="1" applyAlignment="1">
      <alignment horizontal="center" vertical="top"/>
    </xf>
    <xf numFmtId="3" fontId="6" fillId="0" borderId="4" xfId="0" applyNumberFormat="1" applyFont="1" applyBorder="1" applyAlignment="1">
      <alignment horizontal="right" wrapText="1" indent="3"/>
    </xf>
    <xf numFmtId="164" fontId="6" fillId="0" borderId="4" xfId="0" applyNumberFormat="1" applyFont="1" applyBorder="1" applyAlignment="1">
      <alignment horizontal="right" wrapText="1" indent="3"/>
    </xf>
    <xf numFmtId="0" fontId="10" fillId="0" borderId="5" xfId="0" applyFont="1" applyBorder="1" applyAlignment="1">
      <alignment horizontal="left" indent="1"/>
    </xf>
    <xf numFmtId="0" fontId="10" fillId="0" borderId="0" xfId="0" applyFont="1"/>
    <xf numFmtId="3" fontId="9" fillId="0" borderId="4" xfId="0" applyNumberFormat="1" applyFont="1" applyBorder="1" applyAlignment="1">
      <alignment horizontal="right" wrapText="1" indent="3"/>
    </xf>
    <xf numFmtId="164" fontId="9" fillId="0" borderId="4" xfId="0" applyNumberFormat="1" applyFont="1" applyBorder="1" applyAlignment="1">
      <alignment horizontal="right" wrapText="1" indent="3"/>
    </xf>
    <xf numFmtId="0" fontId="8" fillId="0" borderId="5" xfId="0" applyFont="1" applyBorder="1" applyAlignment="1">
      <alignment horizontal="right"/>
    </xf>
    <xf numFmtId="3" fontId="6" fillId="0" borderId="0" xfId="0" applyNumberFormat="1" applyFont="1" applyAlignment="1">
      <alignment horizontal="left" wrapText="1"/>
    </xf>
    <xf numFmtId="3" fontId="6" fillId="0" borderId="0" xfId="0" applyNumberFormat="1" applyFont="1" applyAlignment="1">
      <alignment horizontal="left" vertical="top"/>
    </xf>
    <xf numFmtId="0" fontId="10" fillId="0" borderId="0" xfId="0" applyFont="1" applyAlignment="1">
      <alignment vertical="center"/>
    </xf>
    <xf numFmtId="3" fontId="9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indent="1"/>
    </xf>
    <xf numFmtId="0" fontId="10" fillId="0" borderId="0" xfId="0" applyFont="1" applyAlignment="1">
      <alignment horizontal="left" vertical="top"/>
    </xf>
    <xf numFmtId="2" fontId="10" fillId="0" borderId="5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left" wrapText="1"/>
    </xf>
    <xf numFmtId="3" fontId="6" fillId="0" borderId="1" xfId="0" applyNumberFormat="1" applyFont="1" applyBorder="1" applyAlignment="1">
      <alignment horizontal="right" wrapText="1" indent="2"/>
    </xf>
    <xf numFmtId="164" fontId="6" fillId="0" borderId="1" xfId="1" applyNumberFormat="1" applyFont="1" applyFill="1" applyBorder="1" applyAlignment="1">
      <alignment horizontal="right" wrapText="1" indent="2"/>
    </xf>
    <xf numFmtId="0" fontId="8" fillId="0" borderId="11" xfId="0" applyFont="1" applyBorder="1" applyAlignment="1">
      <alignment horizontal="right" vertical="top"/>
    </xf>
    <xf numFmtId="0" fontId="7" fillId="0" borderId="11" xfId="0" applyFont="1" applyBorder="1" applyAlignment="1">
      <alignment horizontal="left"/>
    </xf>
    <xf numFmtId="3" fontId="6" fillId="0" borderId="11" xfId="0" applyNumberFormat="1" applyFont="1" applyBorder="1" applyAlignment="1">
      <alignment horizontal="left" vertical="top" wrapText="1"/>
    </xf>
    <xf numFmtId="3" fontId="6" fillId="0" borderId="11" xfId="0" applyNumberFormat="1" applyFont="1" applyBorder="1" applyAlignment="1">
      <alignment horizontal="right" wrapText="1" indent="2"/>
    </xf>
    <xf numFmtId="3" fontId="5" fillId="0" borderId="0" xfId="0" applyNumberFormat="1" applyFont="1" applyAlignment="1">
      <alignment horizontal="right" wrapText="1"/>
    </xf>
    <xf numFmtId="43" fontId="5" fillId="0" borderId="0" xfId="1" applyFont="1" applyFill="1" applyBorder="1" applyAlignment="1">
      <alignment horizontal="right" wrapText="1"/>
    </xf>
    <xf numFmtId="0" fontId="4" fillId="0" borderId="0" xfId="0" applyFont="1"/>
    <xf numFmtId="164" fontId="4" fillId="0" borderId="0" xfId="1" applyNumberFormat="1" applyFont="1" applyFill="1" applyAlignment="1"/>
    <xf numFmtId="0" fontId="3" fillId="0" borderId="0" xfId="0" applyFont="1"/>
    <xf numFmtId="3" fontId="9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right" wrapText="1" indent="2"/>
    </xf>
    <xf numFmtId="43" fontId="6" fillId="0" borderId="0" xfId="1" applyFont="1" applyFill="1" applyBorder="1" applyAlignment="1">
      <alignment horizontal="right" wrapText="1" indent="2"/>
    </xf>
    <xf numFmtId="43" fontId="6" fillId="0" borderId="4" xfId="1" applyFont="1" applyFill="1" applyBorder="1" applyAlignment="1">
      <alignment horizontal="right" wrapText="1" indent="2"/>
    </xf>
    <xf numFmtId="0" fontId="10" fillId="0" borderId="0" xfId="0" applyFont="1" applyAlignment="1">
      <alignment horizontal="left"/>
    </xf>
    <xf numFmtId="2" fontId="10" fillId="0" borderId="1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right" vertical="top"/>
    </xf>
    <xf numFmtId="0" fontId="7" fillId="0" borderId="2" xfId="0" applyFont="1" applyBorder="1" applyAlignment="1">
      <alignment horizontal="left"/>
    </xf>
    <xf numFmtId="3" fontId="6" fillId="0" borderId="2" xfId="0" applyNumberFormat="1" applyFont="1" applyBorder="1" applyAlignment="1">
      <alignment horizontal="left" vertical="top" wrapText="1"/>
    </xf>
    <xf numFmtId="0" fontId="8" fillId="0" borderId="11" xfId="0" applyFont="1" applyBorder="1" applyAlignment="1">
      <alignment horizontal="center" vertical="top"/>
    </xf>
    <xf numFmtId="2" fontId="12" fillId="0" borderId="5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wrapText="1"/>
    </xf>
    <xf numFmtId="3" fontId="9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3" fontId="6" fillId="0" borderId="12" xfId="0" applyNumberFormat="1" applyFont="1" applyBorder="1" applyAlignment="1">
      <alignment horizontal="left" wrapText="1"/>
    </xf>
    <xf numFmtId="3" fontId="9" fillId="0" borderId="12" xfId="0" applyNumberFormat="1" applyFont="1" applyBorder="1" applyAlignment="1">
      <alignment horizontal="left" vertical="top" wrapText="1"/>
    </xf>
    <xf numFmtId="3" fontId="6" fillId="0" borderId="12" xfId="0" applyNumberFormat="1" applyFont="1" applyBorder="1" applyAlignment="1">
      <alignment horizontal="left"/>
    </xf>
    <xf numFmtId="0" fontId="10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2" fontId="12" fillId="0" borderId="12" xfId="0" applyNumberFormat="1" applyFont="1" applyBorder="1" applyAlignment="1">
      <alignment horizontal="center" vertical="center" wrapText="1"/>
    </xf>
    <xf numFmtId="2" fontId="12" fillId="0" borderId="12" xfId="0" applyNumberFormat="1" applyFont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10" fillId="0" borderId="4" xfId="0" applyFont="1" applyBorder="1" applyAlignment="1">
      <alignment vertical="top"/>
    </xf>
    <xf numFmtId="3" fontId="9" fillId="0" borderId="12" xfId="0" applyNumberFormat="1" applyFont="1" applyBorder="1" applyAlignment="1">
      <alignment horizontal="left" wrapText="1"/>
    </xf>
    <xf numFmtId="0" fontId="8" fillId="0" borderId="5" xfId="0" applyFont="1" applyBorder="1" applyAlignment="1">
      <alignment horizontal="right" vertical="center"/>
    </xf>
    <xf numFmtId="3" fontId="6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center" wrapText="1"/>
    </xf>
    <xf numFmtId="0" fontId="0" fillId="0" borderId="0" xfId="0" applyAlignment="1">
      <alignment wrapText="1"/>
    </xf>
    <xf numFmtId="164" fontId="0" fillId="0" borderId="0" xfId="1" applyNumberFormat="1" applyFont="1" applyFill="1" applyAlignment="1">
      <alignment wrapText="1"/>
    </xf>
    <xf numFmtId="43" fontId="0" fillId="0" borderId="0" xfId="0" applyNumberFormat="1" applyAlignment="1">
      <alignment wrapText="1"/>
    </xf>
    <xf numFmtId="0" fontId="8" fillId="0" borderId="5" xfId="0" applyFont="1" applyBorder="1" applyAlignment="1">
      <alignment horizontal="right" vertical="top" wrapText="1"/>
    </xf>
    <xf numFmtId="2" fontId="26" fillId="0" borderId="0" xfId="0" applyNumberFormat="1" applyFont="1" applyAlignment="1">
      <alignment horizontal="center" wrapText="1"/>
    </xf>
    <xf numFmtId="0" fontId="27" fillId="0" borderId="0" xfId="0" applyFont="1"/>
    <xf numFmtId="0" fontId="27" fillId="0" borderId="0" xfId="0" applyFont="1" applyAlignment="1">
      <alignment horizontal="center"/>
    </xf>
    <xf numFmtId="43" fontId="27" fillId="0" borderId="0" xfId="0" applyNumberFormat="1" applyFont="1" applyAlignment="1">
      <alignment horizontal="center"/>
    </xf>
    <xf numFmtId="164" fontId="1" fillId="0" borderId="0" xfId="1" applyNumberFormat="1" applyFont="1" applyFill="1" applyAlignment="1"/>
    <xf numFmtId="0" fontId="8" fillId="0" borderId="3" xfId="0" applyFont="1" applyBorder="1" applyAlignment="1">
      <alignment horizontal="right"/>
    </xf>
    <xf numFmtId="4" fontId="10" fillId="0" borderId="0" xfId="0" applyNumberFormat="1" applyFont="1" applyAlignment="1">
      <alignment horizontal="right" wrapText="1" indent="2"/>
    </xf>
    <xf numFmtId="4" fontId="8" fillId="0" borderId="0" xfId="0" applyNumberFormat="1" applyFont="1" applyAlignment="1">
      <alignment horizontal="right" wrapText="1" indent="2"/>
    </xf>
    <xf numFmtId="0" fontId="21" fillId="0" borderId="0" xfId="0" applyFont="1" applyAlignment="1">
      <alignment horizontal="left" vertical="center" wrapText="1"/>
    </xf>
    <xf numFmtId="164" fontId="9" fillId="0" borderId="0" xfId="1" applyNumberFormat="1" applyFont="1" applyBorder="1" applyAlignment="1">
      <alignment horizontal="right" indent="1"/>
    </xf>
    <xf numFmtId="164" fontId="6" fillId="0" borderId="0" xfId="1" applyNumberFormat="1" applyFont="1" applyFill="1" applyBorder="1" applyAlignment="1">
      <alignment horizontal="right" indent="1"/>
    </xf>
    <xf numFmtId="164" fontId="6" fillId="0" borderId="0" xfId="1" applyNumberFormat="1" applyFont="1" applyBorder="1" applyAlignment="1">
      <alignment horizontal="right" indent="1"/>
    </xf>
    <xf numFmtId="0" fontId="0" fillId="0" borderId="10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3" fontId="0" fillId="0" borderId="9" xfId="0" applyNumberFormat="1" applyBorder="1" applyAlignment="1">
      <alignment horizontal="center"/>
    </xf>
    <xf numFmtId="0" fontId="8" fillId="0" borderId="2" xfId="0" applyFont="1" applyBorder="1"/>
    <xf numFmtId="164" fontId="6" fillId="0" borderId="11" xfId="1" applyNumberFormat="1" applyFont="1" applyFill="1" applyBorder="1" applyAlignment="1">
      <alignment horizontal="right" wrapText="1" indent="2"/>
    </xf>
    <xf numFmtId="164" fontId="6" fillId="0" borderId="0" xfId="1" applyNumberFormat="1" applyFont="1" applyFill="1" applyBorder="1" applyAlignment="1">
      <alignment horizontal="right" wrapText="1" indent="2"/>
    </xf>
    <xf numFmtId="3" fontId="6" fillId="0" borderId="8" xfId="0" applyNumberFormat="1" applyFont="1" applyBorder="1" applyAlignment="1">
      <alignment horizontal="right" wrapText="1" indent="2"/>
    </xf>
    <xf numFmtId="164" fontId="6" fillId="0" borderId="8" xfId="1" applyNumberFormat="1" applyFont="1" applyFill="1" applyBorder="1" applyAlignment="1">
      <alignment horizontal="right" wrapText="1" indent="2"/>
    </xf>
    <xf numFmtId="0" fontId="8" fillId="0" borderId="11" xfId="0" applyFont="1" applyBorder="1"/>
    <xf numFmtId="0" fontId="8" fillId="0" borderId="10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left" wrapText="1"/>
    </xf>
    <xf numFmtId="3" fontId="6" fillId="0" borderId="7" xfId="0" applyNumberFormat="1" applyFont="1" applyBorder="1" applyAlignment="1">
      <alignment horizontal="left" vertical="top" wrapText="1"/>
    </xf>
    <xf numFmtId="3" fontId="6" fillId="0" borderId="4" xfId="0" applyNumberFormat="1" applyFont="1" applyBorder="1" applyAlignment="1">
      <alignment horizontal="right" vertical="center" wrapText="1" indent="2"/>
    </xf>
    <xf numFmtId="164" fontId="6" fillId="0" borderId="4" xfId="1" applyNumberFormat="1" applyFont="1" applyFill="1" applyBorder="1" applyAlignment="1">
      <alignment horizontal="right" vertical="center" wrapText="1" indent="2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/>
    </xf>
    <xf numFmtId="3" fontId="6" fillId="0" borderId="7" xfId="0" applyNumberFormat="1" applyFont="1" applyBorder="1" applyAlignment="1">
      <alignment horizontal="left"/>
    </xf>
    <xf numFmtId="0" fontId="2" fillId="0" borderId="11" xfId="0" applyFont="1" applyBorder="1"/>
    <xf numFmtId="0" fontId="14" fillId="0" borderId="11" xfId="0" applyFont="1" applyBorder="1"/>
    <xf numFmtId="0" fontId="15" fillId="0" borderId="0" xfId="0" applyFont="1" applyAlignment="1">
      <alignment horizontal="left" indent="2"/>
    </xf>
    <xf numFmtId="164" fontId="22" fillId="0" borderId="0" xfId="1" applyNumberFormat="1" applyFont="1"/>
    <xf numFmtId="166" fontId="22" fillId="0" borderId="0" xfId="1" applyNumberFormat="1" applyFont="1"/>
    <xf numFmtId="0" fontId="6" fillId="0" borderId="2" xfId="2" applyBorder="1" applyAlignment="1">
      <alignment horizontal="justify" wrapText="1"/>
    </xf>
    <xf numFmtId="0" fontId="6" fillId="0" borderId="0" xfId="2" applyBorder="1" applyAlignment="1">
      <alignment horizontal="left" vertical="top" wrapText="1" indent="1"/>
    </xf>
    <xf numFmtId="3" fontId="6" fillId="0" borderId="10" xfId="2" applyNumberFormat="1" applyBorder="1" applyAlignment="1">
      <alignment vertical="top" wrapText="1"/>
    </xf>
    <xf numFmtId="0" fontId="6" fillId="0" borderId="11" xfId="2" applyBorder="1" applyAlignment="1">
      <alignment vertical="top" wrapText="1"/>
    </xf>
    <xf numFmtId="167" fontId="6" fillId="0" borderId="11" xfId="2" applyNumberFormat="1" applyBorder="1"/>
    <xf numFmtId="3" fontId="6" fillId="0" borderId="11" xfId="2" applyNumberFormat="1" applyBorder="1" applyAlignment="1">
      <alignment vertical="top" wrapText="1"/>
    </xf>
    <xf numFmtId="0" fontId="6" fillId="0" borderId="0" xfId="2" applyBorder="1" applyAlignment="1">
      <alignment horizontal="left" wrapText="1"/>
    </xf>
    <xf numFmtId="3" fontId="6" fillId="0" borderId="2" xfId="2" applyNumberFormat="1" applyBorder="1" applyAlignment="1">
      <alignment horizontal="center" vertical="center" wrapText="1"/>
    </xf>
    <xf numFmtId="0" fontId="25" fillId="0" borderId="0" xfId="2" applyFont="1" applyAlignment="1">
      <alignment wrapText="1"/>
    </xf>
    <xf numFmtId="0" fontId="21" fillId="0" borderId="2" xfId="0" applyFont="1" applyBorder="1" applyAlignment="1">
      <alignment horizontal="left" vertical="center" wrapText="1"/>
    </xf>
    <xf numFmtId="166" fontId="22" fillId="0" borderId="2" xfId="1" applyNumberFormat="1" applyFont="1" applyBorder="1"/>
    <xf numFmtId="164" fontId="22" fillId="0" borderId="2" xfId="1" applyNumberFormat="1" applyFont="1" applyBorder="1"/>
    <xf numFmtId="0" fontId="14" fillId="0" borderId="0" xfId="2" applyFont="1" applyFill="1" applyBorder="1" applyAlignment="1"/>
    <xf numFmtId="0" fontId="14" fillId="0" borderId="0" xfId="2" applyFont="1" applyFill="1" applyBorder="1" applyAlignment="1">
      <alignment horizontal="left" indent="3"/>
    </xf>
    <xf numFmtId="0" fontId="14" fillId="0" borderId="0" xfId="2" applyFont="1" applyFill="1" applyBorder="1" applyAlignment="1">
      <alignment vertical="top"/>
    </xf>
    <xf numFmtId="0" fontId="6" fillId="0" borderId="9" xfId="2" applyBorder="1"/>
    <xf numFmtId="0" fontId="9" fillId="0" borderId="0" xfId="2" applyFont="1" applyBorder="1" applyAlignment="1">
      <alignment horizontal="center" vertical="top" wrapText="1"/>
    </xf>
    <xf numFmtId="166" fontId="28" fillId="0" borderId="0" xfId="1" applyNumberFormat="1" applyFont="1" applyBorder="1"/>
    <xf numFmtId="164" fontId="28" fillId="0" borderId="0" xfId="1" applyNumberFormat="1" applyFont="1" applyBorder="1"/>
    <xf numFmtId="166" fontId="28" fillId="0" borderId="12" xfId="1" applyNumberFormat="1" applyFont="1" applyBorder="1"/>
    <xf numFmtId="0" fontId="6" fillId="0" borderId="0" xfId="2" applyBorder="1" applyAlignment="1">
      <alignment horizontal="center" vertical="top" wrapText="1"/>
    </xf>
    <xf numFmtId="0" fontId="6" fillId="0" borderId="0" xfId="2" applyBorder="1" applyAlignment="1">
      <alignment horizontal="center" vertical="top"/>
    </xf>
    <xf numFmtId="167" fontId="6" fillId="0" borderId="12" xfId="2" applyNumberFormat="1" applyBorder="1" applyAlignment="1">
      <alignment horizontal="right" indent="1"/>
    </xf>
    <xf numFmtId="166" fontId="22" fillId="0" borderId="0" xfId="1" applyNumberFormat="1" applyFont="1" applyBorder="1"/>
    <xf numFmtId="164" fontId="22" fillId="0" borderId="0" xfId="1" applyNumberFormat="1" applyFont="1" applyBorder="1"/>
    <xf numFmtId="166" fontId="22" fillId="0" borderId="12" xfId="1" applyNumberFormat="1" applyFont="1" applyBorder="1"/>
    <xf numFmtId="167" fontId="6" fillId="0" borderId="7" xfId="2" applyNumberFormat="1" applyBorder="1" applyAlignment="1">
      <alignment horizontal="right" indent="1"/>
    </xf>
    <xf numFmtId="0" fontId="6" fillId="0" borderId="0" xfId="2" applyBorder="1" applyAlignment="1">
      <alignment horizontal="right" indent="1"/>
    </xf>
    <xf numFmtId="0" fontId="6" fillId="0" borderId="12" xfId="2" applyBorder="1"/>
    <xf numFmtId="167" fontId="6" fillId="0" borderId="9" xfId="2" applyNumberFormat="1" applyBorder="1"/>
    <xf numFmtId="0" fontId="9" fillId="0" borderId="12" xfId="2" applyFont="1" applyBorder="1"/>
    <xf numFmtId="3" fontId="9" fillId="0" borderId="0" xfId="2" applyNumberFormat="1" applyFont="1" applyBorder="1" applyAlignment="1">
      <alignment horizontal="left" wrapText="1"/>
    </xf>
    <xf numFmtId="3" fontId="6" fillId="0" borderId="0" xfId="2" applyNumberFormat="1" applyBorder="1" applyAlignment="1">
      <alignment wrapText="1"/>
    </xf>
    <xf numFmtId="167" fontId="9" fillId="0" borderId="12" xfId="2" applyNumberFormat="1" applyFont="1" applyBorder="1" applyAlignment="1">
      <alignment horizontal="right" indent="1"/>
    </xf>
    <xf numFmtId="0" fontId="24" fillId="0" borderId="0" xfId="2" applyFont="1" applyBorder="1" applyAlignment="1">
      <alignment wrapText="1"/>
    </xf>
    <xf numFmtId="0" fontId="24" fillId="0" borderId="0" xfId="2" applyFont="1" applyBorder="1"/>
    <xf numFmtId="3" fontId="9" fillId="0" borderId="0" xfId="2" applyNumberFormat="1" applyFont="1" applyBorder="1" applyAlignment="1">
      <alignment wrapText="1"/>
    </xf>
    <xf numFmtId="166" fontId="22" fillId="0" borderId="7" xfId="1" applyNumberFormat="1" applyFont="1" applyBorder="1"/>
    <xf numFmtId="3" fontId="6" fillId="0" borderId="0" xfId="2" applyNumberFormat="1" applyBorder="1" applyAlignment="1">
      <alignment horizontal="left" wrapText="1"/>
    </xf>
    <xf numFmtId="0" fontId="16" fillId="0" borderId="0" xfId="2" applyFont="1" applyAlignment="1"/>
    <xf numFmtId="0" fontId="16" fillId="0" borderId="0" xfId="2" applyFont="1"/>
    <xf numFmtId="3" fontId="16" fillId="0" borderId="2" xfId="2" applyNumberFormat="1" applyFont="1" applyBorder="1" applyAlignment="1">
      <alignment horizontal="center" vertical="center"/>
    </xf>
    <xf numFmtId="2" fontId="28" fillId="0" borderId="6" xfId="0" applyNumberFormat="1" applyFont="1" applyBorder="1" applyAlignment="1">
      <alignment horizontal="center" vertical="center" wrapText="1"/>
    </xf>
    <xf numFmtId="4" fontId="16" fillId="0" borderId="10" xfId="2" applyNumberFormat="1" applyFont="1" applyBorder="1" applyAlignment="1">
      <alignment horizontal="left" wrapText="1"/>
    </xf>
    <xf numFmtId="4" fontId="16" fillId="0" borderId="11" xfId="2" applyNumberFormat="1" applyFont="1" applyBorder="1" applyAlignment="1">
      <alignment horizontal="left" wrapText="1"/>
    </xf>
    <xf numFmtId="0" fontId="16" fillId="0" borderId="11" xfId="2" applyFont="1" applyBorder="1"/>
    <xf numFmtId="3" fontId="16" fillId="0" borderId="5" xfId="2" applyNumberFormat="1" applyFont="1" applyBorder="1" applyAlignment="1">
      <alignment horizontal="left" vertical="top" wrapText="1"/>
    </xf>
    <xf numFmtId="1" fontId="29" fillId="0" borderId="0" xfId="2" applyNumberFormat="1" applyFont="1"/>
    <xf numFmtId="0" fontId="29" fillId="0" borderId="0" xfId="2" applyFont="1"/>
    <xf numFmtId="0" fontId="29" fillId="0" borderId="5" xfId="2" applyFont="1" applyBorder="1" applyAlignment="1">
      <alignment horizontal="left" vertical="top" indent="1"/>
    </xf>
    <xf numFmtId="0" fontId="16" fillId="0" borderId="5" xfId="2" applyFont="1" applyBorder="1" applyAlignment="1">
      <alignment horizontal="left" vertical="top" wrapText="1" indent="1"/>
    </xf>
    <xf numFmtId="0" fontId="16" fillId="0" borderId="0" xfId="2" applyFont="1" applyAlignment="1">
      <alignment wrapText="1"/>
    </xf>
    <xf numFmtId="0" fontId="16" fillId="0" borderId="5" xfId="2" applyFont="1" applyBorder="1" applyAlignment="1">
      <alignment horizontal="left" vertical="top" indent="1"/>
    </xf>
    <xf numFmtId="0" fontId="29" fillId="0" borderId="5" xfId="2" applyFont="1" applyBorder="1" applyAlignment="1">
      <alignment horizontal="left" vertical="top" wrapText="1" indent="1"/>
    </xf>
    <xf numFmtId="3" fontId="16" fillId="0" borderId="5" xfId="2" applyNumberFormat="1" applyFont="1" applyBorder="1" applyAlignment="1">
      <alignment horizontal="left" vertical="top" wrapText="1" indent="1"/>
    </xf>
    <xf numFmtId="0" fontId="22" fillId="0" borderId="0" xfId="0" applyFont="1" applyAlignment="1">
      <alignment horizontal="left" vertical="center" wrapText="1"/>
    </xf>
    <xf numFmtId="167" fontId="16" fillId="0" borderId="0" xfId="2" applyNumberFormat="1" applyFont="1" applyBorder="1" applyAlignment="1">
      <alignment horizontal="right" indent="1"/>
    </xf>
    <xf numFmtId="0" fontId="16" fillId="0" borderId="3" xfId="2" applyFont="1" applyBorder="1" applyAlignment="1">
      <alignment horizontal="left" vertical="top" wrapText="1" indent="1"/>
    </xf>
    <xf numFmtId="0" fontId="16" fillId="0" borderId="2" xfId="2" applyFont="1" applyBorder="1" applyAlignment="1">
      <alignment horizontal="justify" wrapText="1"/>
    </xf>
    <xf numFmtId="1" fontId="16" fillId="0" borderId="2" xfId="2" applyNumberFormat="1" applyFont="1" applyBorder="1" applyAlignment="1">
      <alignment horizontal="right" indent="1"/>
    </xf>
    <xf numFmtId="167" fontId="16" fillId="0" borderId="2" xfId="2" applyNumberFormat="1" applyFont="1" applyBorder="1" applyAlignment="1">
      <alignment horizontal="right" indent="1"/>
    </xf>
    <xf numFmtId="0" fontId="16" fillId="0" borderId="0" xfId="2" applyFont="1" applyBorder="1" applyAlignment="1">
      <alignment horizontal="left" vertical="top" wrapText="1" indent="1"/>
    </xf>
    <xf numFmtId="0" fontId="16" fillId="0" borderId="0" xfId="2" applyFont="1" applyBorder="1" applyAlignment="1">
      <alignment horizontal="justify" wrapText="1"/>
    </xf>
    <xf numFmtId="1" fontId="16" fillId="0" borderId="0" xfId="2" applyNumberFormat="1" applyFont="1" applyBorder="1" applyAlignment="1">
      <alignment horizontal="right" indent="1"/>
    </xf>
    <xf numFmtId="0" fontId="16" fillId="0" borderId="0" xfId="2" applyFont="1" applyBorder="1" applyAlignment="1">
      <alignment horizontal="left" vertical="top" wrapText="1"/>
    </xf>
    <xf numFmtId="0" fontId="16" fillId="0" borderId="0" xfId="2" applyFont="1" applyBorder="1" applyAlignment="1">
      <alignment wrapText="1"/>
    </xf>
    <xf numFmtId="0" fontId="29" fillId="0" borderId="0" xfId="2" applyFont="1" applyAlignment="1">
      <alignment vertical="top" wrapText="1"/>
    </xf>
    <xf numFmtId="0" fontId="16" fillId="0" borderId="0" xfId="2" applyFont="1" applyBorder="1" applyAlignment="1">
      <alignment vertical="top" wrapText="1"/>
    </xf>
    <xf numFmtId="3" fontId="16" fillId="0" borderId="10" xfId="2" applyNumberFormat="1" applyFont="1" applyBorder="1" applyAlignment="1">
      <alignment vertical="top" wrapText="1"/>
    </xf>
    <xf numFmtId="0" fontId="16" fillId="0" borderId="11" xfId="2" applyFont="1" applyBorder="1" applyAlignment="1">
      <alignment vertical="top" wrapText="1"/>
    </xf>
    <xf numFmtId="167" fontId="16" fillId="0" borderId="11" xfId="2" applyNumberFormat="1" applyFont="1" applyBorder="1"/>
    <xf numFmtId="0" fontId="29" fillId="0" borderId="0" xfId="2" applyFont="1" applyAlignment="1">
      <alignment horizontal="left" vertical="top" wrapText="1"/>
    </xf>
    <xf numFmtId="4" fontId="29" fillId="0" borderId="5" xfId="2" applyNumberFormat="1" applyFont="1" applyBorder="1" applyAlignment="1">
      <alignment horizontal="left" vertical="top" indent="1"/>
    </xf>
    <xf numFmtId="0" fontId="16" fillId="0" borderId="0" xfId="2" applyFont="1" applyAlignment="1">
      <alignment vertical="top" wrapText="1"/>
    </xf>
    <xf numFmtId="0" fontId="31" fillId="0" borderId="0" xfId="2" applyFont="1" applyFill="1"/>
    <xf numFmtId="3" fontId="16" fillId="0" borderId="11" xfId="2" applyNumberFormat="1" applyFont="1" applyBorder="1" applyAlignment="1">
      <alignment vertical="top" wrapText="1"/>
    </xf>
    <xf numFmtId="0" fontId="31" fillId="0" borderId="5" xfId="2" applyFont="1" applyBorder="1" applyAlignment="1">
      <alignment horizontal="left" indent="1"/>
    </xf>
    <xf numFmtId="0" fontId="31" fillId="0" borderId="0" xfId="2" applyFont="1"/>
    <xf numFmtId="3" fontId="29" fillId="0" borderId="5" xfId="2" applyNumberFormat="1" applyFont="1" applyBorder="1" applyAlignment="1">
      <alignment horizontal="left" vertical="top" wrapText="1" indent="1"/>
    </xf>
    <xf numFmtId="0" fontId="16" fillId="0" borderId="0" xfId="2" applyFont="1" applyBorder="1" applyAlignment="1">
      <alignment horizontal="left" wrapText="1"/>
    </xf>
    <xf numFmtId="0" fontId="32" fillId="0" borderId="0" xfId="2" applyFont="1" applyFill="1" applyBorder="1" applyAlignment="1"/>
    <xf numFmtId="0" fontId="16" fillId="0" borderId="0" xfId="2" applyFont="1" applyFill="1" applyAlignment="1">
      <alignment wrapText="1"/>
    </xf>
    <xf numFmtId="0" fontId="16" fillId="0" borderId="0" xfId="2" applyFont="1" applyFill="1"/>
    <xf numFmtId="0" fontId="32" fillId="0" borderId="0" xfId="2" applyFont="1" applyFill="1" applyBorder="1" applyAlignment="1">
      <alignment horizontal="left" indent="3"/>
    </xf>
    <xf numFmtId="0" fontId="16" fillId="0" borderId="0" xfId="2" applyFont="1" applyAlignment="1">
      <alignment vertical="top"/>
    </xf>
    <xf numFmtId="1" fontId="16" fillId="0" borderId="2" xfId="2" applyNumberFormat="1" applyFont="1" applyBorder="1" applyAlignment="1">
      <alignment horizontal="right" vertical="top"/>
    </xf>
    <xf numFmtId="167" fontId="16" fillId="0" borderId="2" xfId="2" applyNumberFormat="1" applyFont="1" applyBorder="1" applyAlignment="1">
      <alignment horizontal="right" vertical="top"/>
    </xf>
    <xf numFmtId="1" fontId="16" fillId="0" borderId="0" xfId="2" applyNumberFormat="1" applyFont="1" applyBorder="1" applyAlignment="1">
      <alignment horizontal="right" vertical="top"/>
    </xf>
    <xf numFmtId="167" fontId="16" fillId="0" borderId="0" xfId="2" applyNumberFormat="1" applyFont="1" applyBorder="1" applyAlignment="1">
      <alignment horizontal="right" vertical="top"/>
    </xf>
    <xf numFmtId="3" fontId="16" fillId="0" borderId="11" xfId="2" applyNumberFormat="1" applyFont="1" applyBorder="1" applyAlignment="1">
      <alignment wrapText="1"/>
    </xf>
    <xf numFmtId="167" fontId="16" fillId="0" borderId="11" xfId="2" applyNumberFormat="1" applyFont="1" applyBorder="1" applyAlignment="1"/>
    <xf numFmtId="0" fontId="29" fillId="0" borderId="0" xfId="2" applyFont="1" applyAlignment="1">
      <alignment vertical="top"/>
    </xf>
    <xf numFmtId="0" fontId="16" fillId="0" borderId="0" xfId="2" applyFont="1" applyBorder="1" applyAlignment="1">
      <alignment vertical="top"/>
    </xf>
    <xf numFmtId="167" fontId="16" fillId="0" borderId="9" xfId="2" applyNumberFormat="1" applyFont="1" applyBorder="1"/>
    <xf numFmtId="0" fontId="29" fillId="0" borderId="0" xfId="2" applyFont="1" applyBorder="1" applyAlignment="1">
      <alignment wrapText="1"/>
    </xf>
    <xf numFmtId="166" fontId="28" fillId="0" borderId="0" xfId="1" applyNumberFormat="1" applyFont="1" applyBorder="1" applyAlignment="1">
      <alignment vertical="top"/>
    </xf>
    <xf numFmtId="164" fontId="28" fillId="0" borderId="0" xfId="1" applyNumberFormat="1" applyFont="1" applyBorder="1" applyAlignment="1">
      <alignment vertical="top"/>
    </xf>
    <xf numFmtId="166" fontId="28" fillId="0" borderId="12" xfId="1" applyNumberFormat="1" applyFont="1" applyBorder="1" applyAlignment="1">
      <alignment vertical="top"/>
    </xf>
    <xf numFmtId="3" fontId="16" fillId="0" borderId="0" xfId="2" applyNumberFormat="1" applyFont="1" applyBorder="1" applyAlignment="1">
      <alignment horizontal="left" wrapText="1"/>
    </xf>
    <xf numFmtId="3" fontId="16" fillId="0" borderId="0" xfId="2" applyNumberFormat="1" applyFont="1" applyBorder="1" applyAlignment="1">
      <alignment horizontal="left" vertical="top" wrapText="1"/>
    </xf>
    <xf numFmtId="167" fontId="16" fillId="0" borderId="12" xfId="2" applyNumberFormat="1" applyFont="1" applyBorder="1" applyAlignment="1">
      <alignment horizontal="right" vertical="top"/>
    </xf>
    <xf numFmtId="166" fontId="22" fillId="0" borderId="0" xfId="1" applyNumberFormat="1" applyFont="1" applyBorder="1" applyAlignment="1">
      <alignment vertical="top"/>
    </xf>
    <xf numFmtId="164" fontId="22" fillId="0" borderId="0" xfId="1" applyNumberFormat="1" applyFont="1" applyBorder="1" applyAlignment="1">
      <alignment vertical="top"/>
    </xf>
    <xf numFmtId="166" fontId="22" fillId="0" borderId="12" xfId="1" applyNumberFormat="1" applyFont="1" applyBorder="1" applyAlignment="1">
      <alignment vertical="top"/>
    </xf>
    <xf numFmtId="0" fontId="29" fillId="0" borderId="0" xfId="2" applyFont="1" applyBorder="1" applyAlignment="1">
      <alignment horizontal="left" vertical="top" wrapText="1"/>
    </xf>
    <xf numFmtId="166" fontId="22" fillId="0" borderId="2" xfId="1" applyNumberFormat="1" applyFont="1" applyBorder="1" applyAlignment="1">
      <alignment vertical="top"/>
    </xf>
    <xf numFmtId="164" fontId="22" fillId="0" borderId="2" xfId="1" applyNumberFormat="1" applyFont="1" applyBorder="1" applyAlignment="1">
      <alignment vertical="top"/>
    </xf>
    <xf numFmtId="166" fontId="22" fillId="0" borderId="7" xfId="1" applyNumberFormat="1" applyFont="1" applyBorder="1" applyAlignment="1">
      <alignment vertical="top"/>
    </xf>
    <xf numFmtId="167" fontId="16" fillId="0" borderId="7" xfId="2" applyNumberFormat="1" applyFont="1" applyBorder="1" applyAlignment="1">
      <alignment horizontal="right" indent="1"/>
    </xf>
    <xf numFmtId="167" fontId="16" fillId="0" borderId="9" xfId="2" applyNumberFormat="1" applyFont="1" applyBorder="1" applyAlignment="1"/>
    <xf numFmtId="166" fontId="28" fillId="0" borderId="0" xfId="1" applyNumberFormat="1" applyFont="1" applyBorder="1" applyAlignment="1"/>
    <xf numFmtId="164" fontId="28" fillId="0" borderId="0" xfId="1" applyNumberFormat="1" applyFont="1" applyBorder="1" applyAlignment="1"/>
    <xf numFmtId="166" fontId="28" fillId="0" borderId="12" xfId="1" applyNumberFormat="1" applyFont="1" applyBorder="1" applyAlignment="1"/>
    <xf numFmtId="166" fontId="22" fillId="0" borderId="0" xfId="1" applyNumberFormat="1" applyFont="1" applyBorder="1" applyAlignment="1"/>
    <xf numFmtId="164" fontId="22" fillId="0" borderId="0" xfId="1" applyNumberFormat="1" applyFont="1" applyBorder="1" applyAlignment="1"/>
    <xf numFmtId="166" fontId="22" fillId="0" borderId="12" xfId="1" applyNumberFormat="1" applyFont="1" applyBorder="1" applyAlignment="1"/>
    <xf numFmtId="0" fontId="31" fillId="0" borderId="0" xfId="2" applyFont="1" applyBorder="1" applyAlignment="1"/>
    <xf numFmtId="167" fontId="16" fillId="0" borderId="0" xfId="2" applyNumberFormat="1" applyFont="1" applyBorder="1" applyAlignment="1">
      <alignment horizontal="right"/>
    </xf>
    <xf numFmtId="167" fontId="16" fillId="0" borderId="12" xfId="2" applyNumberFormat="1" applyFont="1" applyBorder="1" applyAlignment="1">
      <alignment horizontal="right"/>
    </xf>
    <xf numFmtId="3" fontId="29" fillId="0" borderId="0" xfId="2" applyNumberFormat="1" applyFont="1" applyBorder="1" applyAlignment="1">
      <alignment wrapText="1"/>
    </xf>
    <xf numFmtId="1" fontId="16" fillId="0" borderId="0" xfId="2" applyNumberFormat="1" applyFont="1" applyBorder="1" applyAlignment="1">
      <alignment horizontal="right"/>
    </xf>
    <xf numFmtId="3" fontId="16" fillId="0" borderId="2" xfId="2" applyNumberFormat="1" applyFont="1" applyBorder="1" applyAlignment="1">
      <alignment horizontal="center" vertical="center" wrapText="1"/>
    </xf>
    <xf numFmtId="0" fontId="31" fillId="0" borderId="0" xfId="2" applyFont="1" applyBorder="1" applyAlignment="1">
      <alignment wrapText="1"/>
    </xf>
    <xf numFmtId="0" fontId="29" fillId="0" borderId="0" xfId="2" applyFont="1" applyBorder="1" applyAlignment="1">
      <alignment vertical="top" wrapText="1"/>
    </xf>
    <xf numFmtId="0" fontId="29" fillId="0" borderId="0" xfId="2" applyFont="1" applyBorder="1" applyAlignment="1">
      <alignment vertical="top"/>
    </xf>
    <xf numFmtId="0" fontId="29" fillId="0" borderId="12" xfId="2" applyFont="1" applyBorder="1" applyAlignment="1">
      <alignment vertical="top"/>
    </xf>
    <xf numFmtId="3" fontId="29" fillId="0" borderId="0" xfId="2" applyNumberFormat="1" applyFont="1" applyBorder="1" applyAlignment="1">
      <alignment horizontal="left" wrapText="1"/>
    </xf>
    <xf numFmtId="3" fontId="29" fillId="0" borderId="0" xfId="2" applyNumberFormat="1" applyFont="1" applyBorder="1" applyAlignment="1">
      <alignment horizontal="left" vertical="top" wrapText="1"/>
    </xf>
    <xf numFmtId="3" fontId="16" fillId="0" borderId="0" xfId="2" applyNumberFormat="1" applyFont="1" applyBorder="1" applyAlignment="1">
      <alignment wrapText="1"/>
    </xf>
    <xf numFmtId="3" fontId="16" fillId="0" borderId="0" xfId="2" applyNumberFormat="1" applyFont="1" applyBorder="1" applyAlignment="1">
      <alignment vertical="top" wrapText="1"/>
    </xf>
    <xf numFmtId="0" fontId="16" fillId="0" borderId="12" xfId="2" applyFont="1" applyBorder="1" applyAlignment="1">
      <alignment vertical="top"/>
    </xf>
    <xf numFmtId="1" fontId="29" fillId="0" borderId="0" xfId="2" applyNumberFormat="1" applyFont="1" applyBorder="1" applyAlignment="1">
      <alignment horizontal="right" vertical="top"/>
    </xf>
    <xf numFmtId="167" fontId="29" fillId="0" borderId="0" xfId="2" applyNumberFormat="1" applyFont="1" applyBorder="1" applyAlignment="1">
      <alignment horizontal="right" vertical="top"/>
    </xf>
    <xf numFmtId="167" fontId="29" fillId="0" borderId="12" xfId="2" applyNumberFormat="1" applyFont="1" applyBorder="1" applyAlignment="1">
      <alignment horizontal="right" vertical="top"/>
    </xf>
    <xf numFmtId="0" fontId="16" fillId="0" borderId="9" xfId="2" applyFont="1" applyBorder="1"/>
    <xf numFmtId="0" fontId="16" fillId="0" borderId="0" xfId="2" applyFont="1" applyBorder="1" applyAlignment="1">
      <alignment horizontal="right" vertical="top"/>
    </xf>
    <xf numFmtId="0" fontId="16" fillId="0" borderId="2" xfId="2" applyFont="1" applyBorder="1" applyAlignment="1">
      <alignment vertical="top" wrapText="1"/>
    </xf>
    <xf numFmtId="0" fontId="29" fillId="0" borderId="0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top" wrapText="1"/>
    </xf>
    <xf numFmtId="0" fontId="16" fillId="0" borderId="0" xfId="2" applyFont="1" applyBorder="1" applyAlignment="1">
      <alignment horizontal="center" vertical="top"/>
    </xf>
    <xf numFmtId="167" fontId="16" fillId="0" borderId="12" xfId="2" applyNumberFormat="1" applyFont="1" applyBorder="1" applyAlignment="1">
      <alignment horizontal="right" indent="1"/>
    </xf>
    <xf numFmtId="0" fontId="16" fillId="0" borderId="0" xfId="2" applyFont="1" applyBorder="1"/>
    <xf numFmtId="0" fontId="16" fillId="0" borderId="5" xfId="2" applyFont="1" applyBorder="1"/>
    <xf numFmtId="0" fontId="16" fillId="0" borderId="12" xfId="2" applyFont="1" applyBorder="1"/>
    <xf numFmtId="0" fontId="22" fillId="0" borderId="0" xfId="0" applyFont="1"/>
    <xf numFmtId="167" fontId="29" fillId="0" borderId="0" xfId="2" applyNumberFormat="1" applyFont="1" applyBorder="1" applyAlignment="1">
      <alignment horizontal="right" indent="1"/>
    </xf>
    <xf numFmtId="0" fontId="16" fillId="0" borderId="5" xfId="2" applyFont="1" applyBorder="1" applyAlignment="1">
      <alignment horizontal="left" vertical="top" wrapText="1"/>
    </xf>
    <xf numFmtId="4" fontId="16" fillId="0" borderId="2" xfId="2" applyNumberFormat="1" applyFont="1" applyBorder="1" applyAlignment="1">
      <alignment horizontal="center" vertical="center" wrapText="1"/>
    </xf>
    <xf numFmtId="167" fontId="29" fillId="0" borderId="0" xfId="5" quotePrefix="1" applyNumberFormat="1" applyFont="1" applyFill="1" applyAlignment="1">
      <alignment horizontal="right" indent="1"/>
    </xf>
    <xf numFmtId="1" fontId="16" fillId="0" borderId="0" xfId="2" applyNumberFormat="1" applyFont="1"/>
    <xf numFmtId="2" fontId="16" fillId="0" borderId="11" xfId="2" applyNumberFormat="1" applyFont="1" applyBorder="1"/>
    <xf numFmtId="0" fontId="16" fillId="0" borderId="2" xfId="2" applyFont="1" applyBorder="1" applyAlignment="1">
      <alignment horizontal="center" vertical="top"/>
    </xf>
    <xf numFmtId="4" fontId="16" fillId="0" borderId="0" xfId="2" applyNumberFormat="1" applyFont="1" applyBorder="1" applyAlignment="1">
      <alignment horizontal="center" vertical="center" wrapText="1"/>
    </xf>
    <xf numFmtId="1" fontId="16" fillId="0" borderId="2" xfId="2" applyNumberFormat="1" applyFont="1" applyFill="1" applyBorder="1" applyAlignment="1">
      <alignment horizontal="right" indent="1"/>
    </xf>
    <xf numFmtId="1" fontId="16" fillId="0" borderId="0" xfId="2" applyNumberFormat="1" applyFont="1" applyFill="1"/>
    <xf numFmtId="167" fontId="29" fillId="0" borderId="0" xfId="2" applyNumberFormat="1" applyFont="1" applyAlignment="1">
      <alignment horizontal="center"/>
    </xf>
    <xf numFmtId="0" fontId="32" fillId="0" borderId="0" xfId="2" applyFont="1" applyFill="1" applyBorder="1" applyAlignment="1">
      <alignment vertical="top"/>
    </xf>
    <xf numFmtId="0" fontId="16" fillId="0" borderId="7" xfId="2" applyFont="1" applyBorder="1" applyAlignment="1">
      <alignment horizontal="center" vertical="top"/>
    </xf>
    <xf numFmtId="0" fontId="31" fillId="0" borderId="5" xfId="2" applyFont="1" applyFill="1" applyBorder="1"/>
    <xf numFmtId="4" fontId="16" fillId="0" borderId="3" xfId="2" applyNumberFormat="1" applyFont="1" applyBorder="1" applyAlignment="1">
      <alignment horizontal="center" vertical="center" wrapText="1"/>
    </xf>
    <xf numFmtId="4" fontId="16" fillId="0" borderId="7" xfId="2" applyNumberFormat="1" applyFont="1" applyBorder="1" applyAlignment="1">
      <alignment horizontal="center" vertical="center" wrapText="1"/>
    </xf>
    <xf numFmtId="3" fontId="29" fillId="0" borderId="0" xfId="2" applyNumberFormat="1" applyFont="1" applyBorder="1" applyAlignment="1">
      <alignment vertical="top" wrapText="1"/>
    </xf>
    <xf numFmtId="0" fontId="16" fillId="0" borderId="3" xfId="2" applyFont="1" applyBorder="1"/>
    <xf numFmtId="0" fontId="16" fillId="0" borderId="2" xfId="2" applyFont="1" applyBorder="1"/>
    <xf numFmtId="0" fontId="16" fillId="0" borderId="7" xfId="2" applyFont="1" applyBorder="1"/>
    <xf numFmtId="0" fontId="16" fillId="0" borderId="11" xfId="2" applyFont="1" applyBorder="1" applyAlignment="1">
      <alignment horizontal="left" vertical="top" wrapText="1"/>
    </xf>
    <xf numFmtId="0" fontId="16" fillId="0" borderId="0" xfId="2" applyFont="1" applyBorder="1" applyAlignment="1">
      <alignment horizontal="justify" vertical="top" wrapText="1"/>
    </xf>
    <xf numFmtId="166" fontId="16" fillId="0" borderId="11" xfId="2" applyNumberFormat="1" applyFont="1" applyBorder="1"/>
    <xf numFmtId="166" fontId="16" fillId="0" borderId="0" xfId="2" applyNumberFormat="1" applyFont="1" applyBorder="1" applyAlignment="1">
      <alignment horizontal="left" vertical="top" wrapText="1"/>
    </xf>
    <xf numFmtId="166" fontId="16" fillId="0" borderId="0" xfId="2" applyNumberFormat="1" applyFont="1" applyBorder="1" applyAlignment="1">
      <alignment horizontal="center" vertical="top"/>
    </xf>
    <xf numFmtId="3" fontId="29" fillId="0" borderId="0" xfId="4" applyNumberFormat="1" applyFont="1" applyAlignment="1">
      <alignment horizontal="right" indent="1"/>
    </xf>
    <xf numFmtId="0" fontId="32" fillId="0" borderId="0" xfId="2" applyFont="1"/>
    <xf numFmtId="4" fontId="6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 wrapText="1"/>
    </xf>
    <xf numFmtId="2" fontId="10" fillId="0" borderId="9" xfId="0" applyNumberFormat="1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2" fontId="10" fillId="0" borderId="7" xfId="0" applyNumberFormat="1" applyFont="1" applyBorder="1" applyAlignment="1">
      <alignment horizontal="center"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3" fontId="10" fillId="0" borderId="8" xfId="0" applyNumberFormat="1" applyFont="1" applyBorder="1" applyAlignment="1">
      <alignment horizontal="center" vertical="center" wrapText="1"/>
    </xf>
    <xf numFmtId="43" fontId="10" fillId="0" borderId="1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43" fontId="10" fillId="0" borderId="6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top" wrapText="1" indent="1"/>
    </xf>
    <xf numFmtId="0" fontId="10" fillId="0" borderId="0" xfId="0" applyFont="1" applyAlignment="1">
      <alignment horizontal="left" vertical="top" wrapText="1" indent="1"/>
    </xf>
    <xf numFmtId="0" fontId="9" fillId="0" borderId="5" xfId="0" applyFont="1" applyBorder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6" fillId="0" borderId="0" xfId="2" applyNumberFormat="1" applyFont="1" applyAlignment="1">
      <alignment horizontal="center" wrapText="1"/>
    </xf>
    <xf numFmtId="3" fontId="6" fillId="0" borderId="0" xfId="2" applyNumberFormat="1" applyFill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3" fontId="16" fillId="0" borderId="0" xfId="2" applyNumberFormat="1" applyFont="1" applyFill="1" applyBorder="1" applyAlignment="1">
      <alignment horizontal="center" vertical="center" wrapText="1"/>
    </xf>
    <xf numFmtId="0" fontId="29" fillId="0" borderId="6" xfId="2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9" fillId="0" borderId="6" xfId="2" applyFont="1" applyBorder="1" applyAlignment="1">
      <alignment horizontal="center" vertical="center"/>
    </xf>
    <xf numFmtId="3" fontId="16" fillId="0" borderId="5" xfId="2" applyNumberFormat="1" applyFont="1" applyBorder="1" applyAlignment="1">
      <alignment horizontal="center" wrapText="1"/>
    </xf>
    <xf numFmtId="3" fontId="16" fillId="0" borderId="0" xfId="2" applyNumberFormat="1" applyFont="1" applyBorder="1" applyAlignment="1">
      <alignment horizontal="center" wrapText="1"/>
    </xf>
    <xf numFmtId="3" fontId="16" fillId="0" borderId="12" xfId="2" applyNumberFormat="1" applyFont="1" applyBorder="1" applyAlignment="1">
      <alignment horizontal="center" wrapText="1"/>
    </xf>
    <xf numFmtId="3" fontId="16" fillId="0" borderId="5" xfId="2" applyNumberFormat="1" applyFont="1" applyFill="1" applyBorder="1" applyAlignment="1">
      <alignment horizontal="center" vertical="center" wrapText="1"/>
    </xf>
    <xf numFmtId="3" fontId="16" fillId="0" borderId="12" xfId="2" applyNumberFormat="1" applyFont="1" applyFill="1" applyBorder="1" applyAlignment="1">
      <alignment horizontal="center" vertical="center" wrapText="1"/>
    </xf>
    <xf numFmtId="0" fontId="29" fillId="0" borderId="8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3" fontId="6" fillId="0" borderId="0" xfId="2" applyNumberFormat="1" applyAlignment="1">
      <alignment horizontal="center" vertical="center"/>
    </xf>
    <xf numFmtId="0" fontId="29" fillId="0" borderId="5" xfId="2" applyFont="1" applyBorder="1" applyAlignment="1">
      <alignment horizontal="left" vertical="top" wrapText="1"/>
    </xf>
    <xf numFmtId="0" fontId="16" fillId="0" borderId="5" xfId="2" applyFont="1" applyBorder="1" applyAlignment="1">
      <alignment horizontal="left" vertical="top"/>
    </xf>
    <xf numFmtId="4" fontId="29" fillId="0" borderId="5" xfId="2" applyNumberFormat="1" applyFont="1" applyBorder="1" applyAlignment="1">
      <alignment horizontal="left" vertical="top"/>
    </xf>
    <xf numFmtId="0" fontId="16" fillId="0" borderId="3" xfId="2" applyFont="1" applyBorder="1" applyAlignment="1">
      <alignment horizontal="left" vertical="top" wrapText="1"/>
    </xf>
    <xf numFmtId="0" fontId="16" fillId="0" borderId="2" xfId="2" applyFont="1" applyBorder="1" applyAlignment="1">
      <alignment horizontal="justify" vertical="top" wrapText="1"/>
    </xf>
    <xf numFmtId="167" fontId="16" fillId="0" borderId="7" xfId="2" applyNumberFormat="1" applyFont="1" applyBorder="1" applyAlignment="1">
      <alignment horizontal="right" vertical="top"/>
    </xf>
    <xf numFmtId="0" fontId="31" fillId="0" borderId="0" xfId="2" applyFont="1" applyFill="1" applyAlignment="1">
      <alignment vertical="top"/>
    </xf>
    <xf numFmtId="3" fontId="16" fillId="0" borderId="0" xfId="2" applyNumberFormat="1" applyFont="1" applyAlignment="1">
      <alignment horizontal="center" vertical="top" wrapText="1"/>
    </xf>
    <xf numFmtId="3" fontId="16" fillId="0" borderId="0" xfId="2" applyNumberFormat="1" applyFont="1" applyFill="1" applyBorder="1" applyAlignment="1">
      <alignment horizontal="center" vertical="top" wrapText="1"/>
    </xf>
    <xf numFmtId="3" fontId="16" fillId="0" borderId="2" xfId="2" applyNumberFormat="1" applyFont="1" applyBorder="1" applyAlignment="1">
      <alignment horizontal="center" vertical="top"/>
    </xf>
    <xf numFmtId="167" fontId="16" fillId="0" borderId="11" xfId="2" applyNumberFormat="1" applyFont="1" applyBorder="1" applyAlignment="1">
      <alignment vertical="top"/>
    </xf>
    <xf numFmtId="167" fontId="16" fillId="0" borderId="9" xfId="2" applyNumberFormat="1" applyFont="1" applyBorder="1" applyAlignment="1">
      <alignment vertical="top"/>
    </xf>
    <xf numFmtId="0" fontId="31" fillId="0" borderId="5" xfId="2" applyFont="1" applyBorder="1" applyAlignment="1">
      <alignment horizontal="left" vertical="top"/>
    </xf>
    <xf numFmtId="0" fontId="31" fillId="0" borderId="0" xfId="2" applyFont="1" applyBorder="1" applyAlignment="1">
      <alignment vertical="top"/>
    </xf>
    <xf numFmtId="3" fontId="29" fillId="0" borderId="5" xfId="2" applyNumberFormat="1" applyFont="1" applyBorder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4" fontId="16" fillId="0" borderId="10" xfId="2" applyNumberFormat="1" applyFont="1" applyBorder="1" applyAlignment="1">
      <alignment horizontal="left" vertical="top" wrapText="1"/>
    </xf>
    <xf numFmtId="4" fontId="16" fillId="0" borderId="11" xfId="2" applyNumberFormat="1" applyFont="1" applyBorder="1" applyAlignment="1">
      <alignment horizontal="left" vertical="top" wrapText="1"/>
    </xf>
    <xf numFmtId="0" fontId="16" fillId="0" borderId="11" xfId="2" applyFont="1" applyBorder="1" applyAlignment="1">
      <alignment vertical="top"/>
    </xf>
    <xf numFmtId="0" fontId="16" fillId="0" borderId="9" xfId="2" applyFont="1" applyBorder="1" applyAlignment="1">
      <alignment vertical="top"/>
    </xf>
    <xf numFmtId="0" fontId="29" fillId="0" borderId="5" xfId="2" applyFont="1" applyBorder="1" applyAlignment="1">
      <alignment horizontal="left" vertical="top"/>
    </xf>
    <xf numFmtId="0" fontId="29" fillId="0" borderId="0" xfId="2" applyFont="1" applyBorder="1" applyAlignment="1">
      <alignment horizontal="center" vertical="top" wrapText="1"/>
    </xf>
    <xf numFmtId="3" fontId="16" fillId="0" borderId="2" xfId="2" applyNumberFormat="1" applyFont="1" applyBorder="1" applyAlignment="1">
      <alignment horizontal="center" vertical="top" wrapText="1"/>
    </xf>
    <xf numFmtId="0" fontId="31" fillId="0" borderId="0" xfId="2" applyFont="1" applyBorder="1" applyAlignment="1">
      <alignment vertical="top" wrapText="1"/>
    </xf>
    <xf numFmtId="0" fontId="22" fillId="0" borderId="2" xfId="0" applyFont="1" applyBorder="1" applyAlignment="1">
      <alignment horizontal="left" vertical="top" wrapText="1"/>
    </xf>
    <xf numFmtId="0" fontId="16" fillId="0" borderId="11" xfId="2" applyFont="1" applyBorder="1" applyAlignment="1">
      <alignment wrapText="1"/>
    </xf>
    <xf numFmtId="1" fontId="16" fillId="0" borderId="11" xfId="2" applyNumberFormat="1" applyFont="1" applyBorder="1" applyAlignment="1">
      <alignment horizontal="right" indent="1"/>
    </xf>
    <xf numFmtId="167" fontId="16" fillId="0" borderId="11" xfId="2" applyNumberFormat="1" applyFont="1" applyBorder="1" applyAlignment="1">
      <alignment horizontal="right" indent="1"/>
    </xf>
    <xf numFmtId="0" fontId="10" fillId="0" borderId="5" xfId="0" applyFont="1" applyBorder="1" applyAlignment="1">
      <alignment vertical="top"/>
    </xf>
    <xf numFmtId="0" fontId="10" fillId="0" borderId="0" xfId="0" applyFont="1" applyAlignment="1">
      <alignment horizontal="center" vertical="top"/>
    </xf>
    <xf numFmtId="0" fontId="10" fillId="0" borderId="5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5" xfId="0" applyFont="1" applyBorder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6" fillId="0" borderId="3" xfId="0" applyFont="1" applyBorder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17" fillId="0" borderId="0" xfId="0" applyFont="1" applyAlignment="1">
      <alignment vertical="top"/>
    </xf>
    <xf numFmtId="0" fontId="10" fillId="0" borderId="10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3" fontId="8" fillId="0" borderId="11" xfId="0" applyNumberFormat="1" applyFont="1" applyBorder="1" applyAlignment="1">
      <alignment horizontal="right" vertical="top" wrapText="1"/>
    </xf>
    <xf numFmtId="3" fontId="8" fillId="0" borderId="9" xfId="0" applyNumberFormat="1" applyFont="1" applyBorder="1" applyAlignment="1">
      <alignment horizontal="right" vertical="top" wrapText="1"/>
    </xf>
    <xf numFmtId="0" fontId="8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14" fillId="0" borderId="11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9" fillId="0" borderId="11" xfId="0" applyFont="1" applyBorder="1" applyAlignment="1">
      <alignment horizontal="center" vertical="top"/>
    </xf>
    <xf numFmtId="0" fontId="14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164" fontId="16" fillId="0" borderId="0" xfId="1" applyNumberFormat="1" applyFont="1" applyBorder="1" applyAlignment="1">
      <alignment horizontal="right" vertical="top"/>
    </xf>
    <xf numFmtId="166" fontId="16" fillId="0" borderId="0" xfId="1" applyNumberFormat="1" applyFont="1" applyBorder="1" applyAlignment="1">
      <alignment horizontal="right" vertical="top"/>
    </xf>
    <xf numFmtId="166" fontId="16" fillId="0" borderId="12" xfId="1" applyNumberFormat="1" applyFont="1" applyBorder="1" applyAlignment="1">
      <alignment horizontal="right" vertical="top"/>
    </xf>
    <xf numFmtId="166" fontId="16" fillId="0" borderId="12" xfId="1" applyNumberFormat="1" applyFont="1" applyBorder="1" applyAlignment="1">
      <alignment horizontal="center" vertical="top"/>
    </xf>
    <xf numFmtId="0" fontId="16" fillId="0" borderId="2" xfId="2" applyFont="1" applyBorder="1" applyAlignment="1">
      <alignment wrapText="1"/>
    </xf>
    <xf numFmtId="0" fontId="16" fillId="0" borderId="10" xfId="2" applyFont="1" applyBorder="1" applyAlignment="1">
      <alignment horizontal="left" vertical="top" wrapText="1"/>
    </xf>
    <xf numFmtId="167" fontId="29" fillId="0" borderId="11" xfId="2" applyNumberFormat="1" applyFont="1" applyBorder="1" applyAlignment="1">
      <alignment horizontal="center" vertical="top"/>
    </xf>
    <xf numFmtId="0" fontId="16" fillId="0" borderId="11" xfId="2" applyFont="1" applyBorder="1" applyAlignment="1">
      <alignment horizontal="right" vertical="top"/>
    </xf>
    <xf numFmtId="0" fontId="16" fillId="0" borderId="9" xfId="2" applyFont="1" applyBorder="1" applyAlignment="1">
      <alignment horizontal="right" vertical="top"/>
    </xf>
    <xf numFmtId="166" fontId="16" fillId="0" borderId="0" xfId="1" applyNumberFormat="1" applyFont="1" applyBorder="1" applyAlignment="1">
      <alignment horizontal="left" vertical="top" wrapText="1"/>
    </xf>
    <xf numFmtId="166" fontId="29" fillId="0" borderId="0" xfId="1" applyNumberFormat="1" applyFont="1" applyBorder="1" applyAlignment="1">
      <alignment horizontal="right" vertical="top"/>
    </xf>
    <xf numFmtId="164" fontId="29" fillId="0" borderId="0" xfId="1" applyNumberFormat="1" applyFont="1" applyBorder="1" applyAlignment="1">
      <alignment horizontal="right" vertical="top"/>
    </xf>
    <xf numFmtId="166" fontId="29" fillId="0" borderId="12" xfId="1" applyNumberFormat="1" applyFont="1" applyBorder="1" applyAlignment="1">
      <alignment horizontal="right" vertical="top"/>
    </xf>
    <xf numFmtId="166" fontId="22" fillId="0" borderId="0" xfId="1" applyNumberFormat="1" applyFont="1" applyAlignment="1">
      <alignment vertical="top"/>
    </xf>
    <xf numFmtId="166" fontId="16" fillId="0" borderId="0" xfId="1" quotePrefix="1" applyNumberFormat="1" applyFont="1" applyFill="1" applyBorder="1" applyAlignment="1">
      <alignment horizontal="right" vertical="top"/>
    </xf>
    <xf numFmtId="166" fontId="16" fillId="0" borderId="12" xfId="1" quotePrefix="1" applyNumberFormat="1" applyFont="1" applyFill="1" applyBorder="1" applyAlignment="1">
      <alignment horizontal="right" vertical="top"/>
    </xf>
    <xf numFmtId="4" fontId="16" fillId="0" borderId="5" xfId="2" applyNumberFormat="1" applyFont="1" applyBorder="1" applyAlignment="1">
      <alignment horizontal="left" vertical="top" wrapText="1"/>
    </xf>
    <xf numFmtId="4" fontId="16" fillId="0" borderId="0" xfId="2" applyNumberFormat="1" applyFont="1" applyBorder="1" applyAlignment="1">
      <alignment horizontal="left" vertical="top" wrapText="1"/>
    </xf>
    <xf numFmtId="166" fontId="16" fillId="0" borderId="0" xfId="1" applyNumberFormat="1" applyFont="1" applyBorder="1" applyAlignment="1">
      <alignment vertical="top" wrapText="1"/>
    </xf>
    <xf numFmtId="166" fontId="31" fillId="0" borderId="0" xfId="2" applyNumberFormat="1" applyFont="1" applyBorder="1" applyAlignment="1">
      <alignment vertical="top"/>
    </xf>
    <xf numFmtId="166" fontId="29" fillId="0" borderId="0" xfId="2" applyNumberFormat="1" applyFont="1" applyBorder="1" applyAlignment="1">
      <alignment vertical="top" wrapText="1"/>
    </xf>
    <xf numFmtId="166" fontId="16" fillId="0" borderId="0" xfId="2" applyNumberFormat="1" applyFont="1" applyBorder="1" applyAlignment="1">
      <alignment horizontal="right" vertical="top"/>
    </xf>
    <xf numFmtId="166" fontId="16" fillId="0" borderId="0" xfId="2" applyNumberFormat="1" applyFont="1" applyBorder="1" applyAlignment="1">
      <alignment vertical="top" wrapText="1"/>
    </xf>
    <xf numFmtId="166" fontId="29" fillId="0" borderId="0" xfId="2" applyNumberFormat="1" applyFont="1" applyBorder="1" applyAlignment="1">
      <alignment horizontal="right" vertical="top"/>
    </xf>
    <xf numFmtId="4" fontId="29" fillId="0" borderId="5" xfId="2" applyNumberFormat="1" applyFont="1" applyBorder="1" applyAlignment="1">
      <alignment horizontal="left" vertical="top" wrapText="1"/>
    </xf>
    <xf numFmtId="166" fontId="29" fillId="0" borderId="0" xfId="2" quotePrefix="1" applyNumberFormat="1" applyFont="1" applyBorder="1" applyAlignment="1">
      <alignment horizontal="right" vertical="top"/>
    </xf>
    <xf numFmtId="166" fontId="29" fillId="0" borderId="0" xfId="1" quotePrefix="1" applyNumberFormat="1" applyFont="1" applyFill="1" applyBorder="1" applyAlignment="1">
      <alignment horizontal="right" vertical="top"/>
    </xf>
    <xf numFmtId="164" fontId="29" fillId="0" borderId="0" xfId="1" quotePrefix="1" applyNumberFormat="1" applyFont="1" applyFill="1" applyBorder="1" applyAlignment="1">
      <alignment horizontal="right" vertical="top"/>
    </xf>
    <xf numFmtId="166" fontId="29" fillId="0" borderId="12" xfId="1" quotePrefix="1" applyNumberFormat="1" applyFont="1" applyFill="1" applyBorder="1" applyAlignment="1">
      <alignment horizontal="right" vertical="top"/>
    </xf>
    <xf numFmtId="166" fontId="16" fillId="0" borderId="0" xfId="2" applyNumberFormat="1" applyFont="1" applyBorder="1" applyAlignment="1">
      <alignment vertical="top"/>
    </xf>
    <xf numFmtId="166" fontId="22" fillId="0" borderId="0" xfId="1" applyNumberFormat="1" applyFont="1" applyBorder="1" applyAlignment="1">
      <alignment horizontal="right" vertical="top"/>
    </xf>
    <xf numFmtId="164" fontId="22" fillId="0" borderId="0" xfId="1" applyNumberFormat="1" applyFont="1" applyBorder="1" applyAlignment="1">
      <alignment horizontal="right" vertical="top"/>
    </xf>
    <xf numFmtId="166" fontId="22" fillId="0" borderId="12" xfId="1" applyNumberFormat="1" applyFont="1" applyBorder="1" applyAlignment="1">
      <alignment horizontal="right" vertical="top"/>
    </xf>
    <xf numFmtId="166" fontId="16" fillId="0" borderId="0" xfId="1" applyNumberFormat="1" applyFont="1" applyBorder="1" applyAlignment="1">
      <alignment horizontal="right" vertical="top" wrapText="1"/>
    </xf>
    <xf numFmtId="164" fontId="16" fillId="0" borderId="0" xfId="1" applyNumberFormat="1" applyFont="1" applyBorder="1" applyAlignment="1">
      <alignment horizontal="right" vertical="top" wrapText="1"/>
    </xf>
    <xf numFmtId="166" fontId="16" fillId="0" borderId="12" xfId="1" applyNumberFormat="1" applyFont="1" applyBorder="1" applyAlignment="1">
      <alignment horizontal="right" vertical="top" wrapText="1"/>
    </xf>
    <xf numFmtId="0" fontId="29" fillId="0" borderId="0" xfId="2" applyFont="1" applyAlignment="1">
      <alignment horizontal="center" vertical="top"/>
    </xf>
    <xf numFmtId="4" fontId="16" fillId="0" borderId="0" xfId="2" applyNumberFormat="1" applyFont="1" applyBorder="1" applyAlignment="1">
      <alignment horizontal="center" vertical="top" wrapText="1"/>
    </xf>
    <xf numFmtId="4" fontId="16" fillId="0" borderId="2" xfId="2" applyNumberFormat="1" applyFont="1" applyBorder="1" applyAlignment="1">
      <alignment horizontal="center" vertical="top" wrapText="1"/>
    </xf>
    <xf numFmtId="164" fontId="28" fillId="0" borderId="0" xfId="1" applyNumberFormat="1" applyFont="1" applyAlignment="1">
      <alignment vertical="top"/>
    </xf>
    <xf numFmtId="1" fontId="16" fillId="0" borderId="0" xfId="2" applyNumberFormat="1" applyFont="1" applyAlignment="1">
      <alignment vertical="top"/>
    </xf>
    <xf numFmtId="164" fontId="22" fillId="0" borderId="0" xfId="1" applyNumberFormat="1" applyFont="1" applyAlignment="1">
      <alignment vertical="top"/>
    </xf>
    <xf numFmtId="0" fontId="22" fillId="0" borderId="0" xfId="0" applyFont="1" applyAlignment="1">
      <alignment vertical="top"/>
    </xf>
    <xf numFmtId="0" fontId="31" fillId="0" borderId="0" xfId="2" applyFont="1" applyFill="1" applyBorder="1" applyAlignment="1">
      <alignment vertical="top"/>
    </xf>
    <xf numFmtId="2" fontId="16" fillId="0" borderId="11" xfId="2" applyNumberFormat="1" applyFont="1" applyBorder="1" applyAlignment="1">
      <alignment vertical="top"/>
    </xf>
    <xf numFmtId="0" fontId="32" fillId="0" borderId="0" xfId="2" applyFont="1" applyBorder="1" applyAlignment="1">
      <alignment vertical="top"/>
    </xf>
    <xf numFmtId="0" fontId="16" fillId="0" borderId="2" xfId="2" applyFont="1" applyBorder="1" applyAlignment="1">
      <alignment horizontal="left" vertical="top" wrapText="1"/>
    </xf>
    <xf numFmtId="167" fontId="29" fillId="0" borderId="0" xfId="2" applyNumberFormat="1" applyFont="1" applyBorder="1" applyAlignment="1">
      <alignment horizontal="center" vertical="top"/>
    </xf>
    <xf numFmtId="0" fontId="16" fillId="0" borderId="0" xfId="2" applyFont="1" applyAlignment="1">
      <alignment horizontal="right" vertical="top"/>
    </xf>
    <xf numFmtId="0" fontId="16" fillId="0" borderId="0" xfId="2" applyFont="1" applyFill="1" applyAlignment="1">
      <alignment vertical="top" wrapText="1"/>
    </xf>
    <xf numFmtId="0" fontId="16" fillId="0" borderId="0" xfId="2" applyFont="1" applyFill="1" applyAlignment="1">
      <alignment vertical="top"/>
    </xf>
    <xf numFmtId="0" fontId="14" fillId="0" borderId="0" xfId="2" applyFont="1" applyFill="1" applyBorder="1" applyAlignment="1">
      <alignment horizontal="left" vertical="top"/>
    </xf>
    <xf numFmtId="164" fontId="16" fillId="0" borderId="0" xfId="1" applyNumberFormat="1" applyFont="1" applyAlignment="1">
      <alignment horizontal="center" vertical="top"/>
    </xf>
    <xf numFmtId="164" fontId="16" fillId="0" borderId="0" xfId="1" applyNumberFormat="1" applyFont="1" applyAlignment="1">
      <alignment horizontal="right" vertical="top"/>
    </xf>
    <xf numFmtId="164" fontId="16" fillId="0" borderId="0" xfId="1" applyNumberFormat="1" applyFont="1" applyAlignment="1">
      <alignment vertical="top" wrapText="1"/>
    </xf>
    <xf numFmtId="166" fontId="28" fillId="0" borderId="0" xfId="1" applyNumberFormat="1" applyFont="1" applyAlignment="1">
      <alignment vertical="top"/>
    </xf>
    <xf numFmtId="166" fontId="16" fillId="0" borderId="0" xfId="1" applyNumberFormat="1" applyFont="1" applyAlignment="1">
      <alignment horizontal="center" vertical="top"/>
    </xf>
    <xf numFmtId="166" fontId="16" fillId="0" borderId="0" xfId="1" applyNumberFormat="1" applyFont="1" applyAlignment="1">
      <alignment horizontal="right" vertical="top"/>
    </xf>
    <xf numFmtId="166" fontId="16" fillId="0" borderId="0" xfId="1" applyNumberFormat="1" applyFont="1" applyAlignment="1">
      <alignment vertical="top" wrapText="1"/>
    </xf>
    <xf numFmtId="166" fontId="16" fillId="0" borderId="2" xfId="1" applyNumberFormat="1" applyFont="1" applyBorder="1" applyAlignment="1">
      <alignment horizontal="right" vertical="top"/>
    </xf>
    <xf numFmtId="166" fontId="29" fillId="0" borderId="0" xfId="1" applyNumberFormat="1" applyFont="1" applyAlignment="1">
      <alignment vertical="top" wrapText="1"/>
    </xf>
    <xf numFmtId="166" fontId="29" fillId="0" borderId="0" xfId="1" applyNumberFormat="1" applyFont="1" applyAlignment="1">
      <alignment horizontal="right" vertical="top"/>
    </xf>
    <xf numFmtId="166" fontId="16" fillId="0" borderId="0" xfId="1" applyNumberFormat="1" applyFont="1" applyAlignment="1">
      <alignment horizontal="left" vertical="top" wrapText="1"/>
    </xf>
    <xf numFmtId="166" fontId="29" fillId="0" borderId="0" xfId="1" applyNumberFormat="1" applyFont="1" applyAlignment="1">
      <alignment horizontal="left" vertical="top" wrapText="1"/>
    </xf>
    <xf numFmtId="166" fontId="29" fillId="0" borderId="0" xfId="1" applyNumberFormat="1" applyFont="1" applyAlignment="1">
      <alignment vertical="top"/>
    </xf>
    <xf numFmtId="166" fontId="31" fillId="0" borderId="0" xfId="1" applyNumberFormat="1" applyFont="1" applyAlignment="1">
      <alignment vertical="top"/>
    </xf>
    <xf numFmtId="4" fontId="16" fillId="0" borderId="0" xfId="2" applyNumberFormat="1" applyFont="1" applyBorder="1" applyAlignment="1">
      <alignment horizontal="center" vertical="top" wrapText="1"/>
    </xf>
    <xf numFmtId="1" fontId="16" fillId="0" borderId="2" xfId="2" applyNumberFormat="1" applyFont="1" applyBorder="1" applyAlignment="1">
      <alignment horizontal="right" vertical="top" wrapText="1"/>
    </xf>
    <xf numFmtId="167" fontId="16" fillId="0" borderId="2" xfId="2" applyNumberFormat="1" applyFont="1" applyBorder="1" applyAlignment="1">
      <alignment horizontal="right" vertical="top" wrapText="1"/>
    </xf>
    <xf numFmtId="0" fontId="31" fillId="0" borderId="0" xfId="2" applyFont="1" applyAlignment="1">
      <alignment vertical="top" wrapText="1"/>
    </xf>
    <xf numFmtId="167" fontId="16" fillId="0" borderId="0" xfId="2" applyNumberFormat="1" applyFont="1" applyBorder="1" applyAlignment="1">
      <alignment horizontal="right" vertical="top" wrapText="1"/>
    </xf>
    <xf numFmtId="2" fontId="16" fillId="0" borderId="11" xfId="2" applyNumberFormat="1" applyFont="1" applyBorder="1" applyAlignment="1">
      <alignment vertical="top" wrapText="1"/>
    </xf>
    <xf numFmtId="166" fontId="16" fillId="0" borderId="2" xfId="1" applyNumberFormat="1" applyFont="1" applyBorder="1" applyAlignment="1">
      <alignment horizontal="right" vertical="top" wrapText="1"/>
    </xf>
    <xf numFmtId="0" fontId="16" fillId="0" borderId="9" xfId="2" applyFont="1" applyBorder="1" applyAlignment="1">
      <alignment vertical="top" wrapText="1"/>
    </xf>
    <xf numFmtId="166" fontId="29" fillId="0" borderId="0" xfId="1" applyNumberFormat="1" applyFont="1" applyBorder="1" applyAlignment="1">
      <alignment horizontal="left" vertical="top" wrapText="1" indent="1"/>
    </xf>
    <xf numFmtId="166" fontId="29" fillId="0" borderId="0" xfId="1" quotePrefix="1" applyNumberFormat="1" applyFont="1" applyFill="1" applyBorder="1" applyAlignment="1">
      <alignment horizontal="left" vertical="top" wrapText="1" indent="1"/>
    </xf>
    <xf numFmtId="164" fontId="29" fillId="0" borderId="0" xfId="1" quotePrefix="1" applyNumberFormat="1" applyFont="1" applyFill="1" applyBorder="1" applyAlignment="1">
      <alignment horizontal="left" vertical="top" wrapText="1" indent="1"/>
    </xf>
    <xf numFmtId="166" fontId="29" fillId="0" borderId="12" xfId="1" quotePrefix="1" applyNumberFormat="1" applyFont="1" applyFill="1" applyBorder="1" applyAlignment="1">
      <alignment horizontal="left" vertical="top" wrapText="1" indent="1"/>
    </xf>
    <xf numFmtId="166" fontId="16" fillId="0" borderId="0" xfId="1" applyNumberFormat="1" applyFont="1" applyBorder="1" applyAlignment="1">
      <alignment horizontal="left" vertical="top" wrapText="1" indent="1"/>
    </xf>
    <xf numFmtId="164" fontId="16" fillId="0" borderId="0" xfId="1" applyNumberFormat="1" applyFont="1" applyBorder="1" applyAlignment="1">
      <alignment horizontal="left" vertical="top" wrapText="1" indent="1"/>
    </xf>
    <xf numFmtId="166" fontId="16" fillId="0" borderId="12" xfId="1" applyNumberFormat="1" applyFont="1" applyBorder="1" applyAlignment="1">
      <alignment horizontal="left" vertical="top" wrapText="1" indent="1"/>
    </xf>
    <xf numFmtId="164" fontId="29" fillId="0" borderId="0" xfId="1" applyNumberFormat="1" applyFont="1" applyBorder="1" applyAlignment="1">
      <alignment horizontal="left" vertical="top" wrapText="1" indent="1"/>
    </xf>
    <xf numFmtId="166" fontId="29" fillId="0" borderId="12" xfId="1" applyNumberFormat="1" applyFont="1" applyBorder="1" applyAlignment="1">
      <alignment horizontal="left" vertical="top" wrapText="1" indent="1"/>
    </xf>
    <xf numFmtId="166" fontId="22" fillId="0" borderId="0" xfId="1" applyNumberFormat="1" applyFont="1" applyBorder="1" applyAlignment="1">
      <alignment horizontal="left" vertical="top" wrapText="1" indent="1"/>
    </xf>
    <xf numFmtId="164" fontId="22" fillId="0" borderId="0" xfId="1" applyNumberFormat="1" applyFont="1" applyBorder="1" applyAlignment="1">
      <alignment horizontal="left" vertical="top" wrapText="1" indent="1"/>
    </xf>
    <xf numFmtId="166" fontId="16" fillId="0" borderId="0" xfId="1" quotePrefix="1" applyNumberFormat="1" applyFont="1" applyFill="1" applyBorder="1" applyAlignment="1">
      <alignment horizontal="left" vertical="top" wrapText="1" indent="1"/>
    </xf>
    <xf numFmtId="166" fontId="16" fillId="0" borderId="12" xfId="1" quotePrefix="1" applyNumberFormat="1" applyFont="1" applyFill="1" applyBorder="1" applyAlignment="1">
      <alignment horizontal="left" vertical="top" wrapText="1" indent="1"/>
    </xf>
    <xf numFmtId="0" fontId="22" fillId="0" borderId="0" xfId="0" applyFont="1" applyBorder="1" applyAlignment="1">
      <alignment horizontal="left" vertical="top" wrapText="1"/>
    </xf>
    <xf numFmtId="166" fontId="16" fillId="0" borderId="7" xfId="1" applyNumberFormat="1" applyFont="1" applyBorder="1" applyAlignment="1">
      <alignment horizontal="right" vertical="top" wrapText="1"/>
    </xf>
    <xf numFmtId="0" fontId="16" fillId="0" borderId="7" xfId="2" applyFont="1" applyBorder="1" applyAlignment="1">
      <alignment horizontal="center" vertical="top" wrapText="1"/>
    </xf>
    <xf numFmtId="164" fontId="16" fillId="0" borderId="11" xfId="2" applyNumberFormat="1" applyFont="1" applyBorder="1"/>
    <xf numFmtId="166" fontId="29" fillId="0" borderId="0" xfId="1" applyNumberFormat="1" applyFont="1" applyFill="1" applyBorder="1" applyAlignment="1">
      <alignment horizontal="left" vertical="top" wrapText="1" indent="1"/>
    </xf>
    <xf numFmtId="166" fontId="16" fillId="0" borderId="0" xfId="1" applyNumberFormat="1" applyFont="1" applyFill="1" applyBorder="1" applyAlignment="1">
      <alignment horizontal="left" vertical="top" wrapText="1" indent="1"/>
    </xf>
    <xf numFmtId="167" fontId="16" fillId="0" borderId="7" xfId="2" applyNumberFormat="1" applyFont="1" applyBorder="1" applyAlignment="1">
      <alignment horizontal="right" vertical="top" wrapText="1"/>
    </xf>
    <xf numFmtId="3" fontId="16" fillId="0" borderId="7" xfId="2" applyNumberFormat="1" applyFont="1" applyBorder="1" applyAlignment="1">
      <alignment horizontal="right" vertical="top" wrapText="1"/>
    </xf>
    <xf numFmtId="166" fontId="31" fillId="0" borderId="0" xfId="1" applyNumberFormat="1" applyFont="1" applyBorder="1" applyAlignment="1">
      <alignment horizontal="left" vertical="top" wrapText="1" indent="1"/>
    </xf>
    <xf numFmtId="166" fontId="28" fillId="0" borderId="0" xfId="1" applyNumberFormat="1" applyFont="1" applyBorder="1" applyAlignment="1">
      <alignment horizontal="left" vertical="top" wrapText="1" indent="1"/>
    </xf>
    <xf numFmtId="164" fontId="28" fillId="0" borderId="0" xfId="1" applyNumberFormat="1" applyFont="1" applyBorder="1" applyAlignment="1">
      <alignment horizontal="left" vertical="top" wrapText="1" indent="1"/>
    </xf>
    <xf numFmtId="166" fontId="28" fillId="0" borderId="12" xfId="1" applyNumberFormat="1" applyFont="1" applyBorder="1" applyAlignment="1">
      <alignment horizontal="left" vertical="top" wrapText="1" indent="1"/>
    </xf>
    <xf numFmtId="166" fontId="22" fillId="0" borderId="12" xfId="1" applyNumberFormat="1" applyFont="1" applyBorder="1" applyAlignment="1">
      <alignment horizontal="left" vertical="top" wrapText="1" indent="1"/>
    </xf>
    <xf numFmtId="166" fontId="9" fillId="0" borderId="0" xfId="1" applyNumberFormat="1" applyFont="1" applyFill="1" applyBorder="1" applyAlignment="1">
      <alignment horizontal="right" indent="1"/>
    </xf>
    <xf numFmtId="166" fontId="9" fillId="0" borderId="0" xfId="1" applyNumberFormat="1" applyFont="1" applyBorder="1" applyAlignment="1">
      <alignment horizontal="right" indent="1"/>
    </xf>
    <xf numFmtId="166" fontId="6" fillId="0" borderId="0" xfId="1" applyNumberFormat="1" applyFont="1" applyBorder="1" applyAlignment="1">
      <alignment horizontal="right" indent="1"/>
    </xf>
    <xf numFmtId="166" fontId="6" fillId="0" borderId="0" xfId="1" applyNumberFormat="1" applyFont="1" applyFill="1" applyBorder="1" applyAlignment="1">
      <alignment horizontal="right" indent="1"/>
    </xf>
    <xf numFmtId="3" fontId="6" fillId="0" borderId="0" xfId="1" applyNumberFormat="1" applyFont="1" applyFill="1" applyBorder="1" applyAlignment="1">
      <alignment horizontal="right" indent="1"/>
    </xf>
    <xf numFmtId="166" fontId="6" fillId="0" borderId="0" xfId="2" applyNumberFormat="1" applyBorder="1" applyAlignment="1">
      <alignment horizontal="right" indent="1"/>
    </xf>
    <xf numFmtId="164" fontId="6" fillId="0" borderId="2" xfId="2" applyNumberFormat="1" applyBorder="1" applyAlignment="1">
      <alignment horizontal="right" indent="1"/>
    </xf>
    <xf numFmtId="166" fontId="9" fillId="0" borderId="12" xfId="1" applyNumberFormat="1" applyFont="1" applyBorder="1" applyAlignment="1">
      <alignment horizontal="right" indent="1"/>
    </xf>
    <xf numFmtId="166" fontId="6" fillId="0" borderId="12" xfId="1" applyNumberFormat="1" applyFont="1" applyBorder="1" applyAlignment="1">
      <alignment horizontal="right" indent="1"/>
    </xf>
    <xf numFmtId="164" fontId="9" fillId="0" borderId="12" xfId="1" applyNumberFormat="1" applyFont="1" applyBorder="1" applyAlignment="1">
      <alignment horizontal="right" indent="1"/>
    </xf>
    <xf numFmtId="164" fontId="6" fillId="0" borderId="12" xfId="1" applyNumberFormat="1" applyFont="1" applyBorder="1" applyAlignment="1">
      <alignment horizontal="right" indent="1"/>
    </xf>
    <xf numFmtId="166" fontId="0" fillId="0" borderId="0" xfId="1" applyNumberFormat="1" applyFont="1" applyBorder="1"/>
    <xf numFmtId="164" fontId="0" fillId="0" borderId="0" xfId="1" applyNumberFormat="1" applyFont="1" applyBorder="1"/>
    <xf numFmtId="166" fontId="0" fillId="0" borderId="12" xfId="1" applyNumberFormat="1" applyFont="1" applyBorder="1"/>
    <xf numFmtId="166" fontId="6" fillId="0" borderId="12" xfId="2" applyNumberFormat="1" applyBorder="1" applyAlignment="1">
      <alignment horizontal="right" indent="1"/>
    </xf>
    <xf numFmtId="3" fontId="10" fillId="0" borderId="0" xfId="0" applyNumberFormat="1" applyFont="1" applyAlignment="1">
      <alignment horizontal="right" vertical="top" wrapText="1" indent="1"/>
    </xf>
    <xf numFmtId="4" fontId="10" fillId="0" borderId="0" xfId="0" applyNumberFormat="1" applyFont="1" applyAlignment="1">
      <alignment horizontal="right" vertical="top" wrapText="1" indent="1"/>
    </xf>
    <xf numFmtId="3" fontId="10" fillId="0" borderId="12" xfId="0" applyNumberFormat="1" applyFont="1" applyBorder="1" applyAlignment="1">
      <alignment horizontal="right" vertical="top" wrapText="1" indent="1"/>
    </xf>
    <xf numFmtId="165" fontId="10" fillId="0" borderId="0" xfId="0" applyNumberFormat="1" applyFont="1" applyAlignment="1">
      <alignment horizontal="right" vertical="top" wrapText="1" indent="1"/>
    </xf>
    <xf numFmtId="3" fontId="8" fillId="0" borderId="0" xfId="0" applyNumberFormat="1" applyFont="1" applyAlignment="1">
      <alignment horizontal="right" vertical="top" wrapText="1" indent="1"/>
    </xf>
    <xf numFmtId="4" fontId="8" fillId="0" borderId="0" xfId="0" applyNumberFormat="1" applyFont="1" applyAlignment="1">
      <alignment horizontal="right" vertical="top" wrapText="1" indent="1"/>
    </xf>
    <xf numFmtId="3" fontId="8" fillId="0" borderId="12" xfId="0" applyNumberFormat="1" applyFont="1" applyBorder="1" applyAlignment="1">
      <alignment horizontal="right" vertical="top" wrapText="1" indent="1"/>
    </xf>
    <xf numFmtId="3" fontId="8" fillId="0" borderId="2" xfId="0" applyNumberFormat="1" applyFont="1" applyBorder="1" applyAlignment="1">
      <alignment horizontal="right" vertical="top" wrapText="1" indent="1"/>
    </xf>
    <xf numFmtId="4" fontId="8" fillId="0" borderId="2" xfId="0" applyNumberFormat="1" applyFont="1" applyBorder="1" applyAlignment="1">
      <alignment horizontal="right" vertical="top" wrapText="1" indent="1"/>
    </xf>
    <xf numFmtId="3" fontId="8" fillId="0" borderId="7" xfId="0" applyNumberFormat="1" applyFont="1" applyBorder="1" applyAlignment="1">
      <alignment horizontal="right" vertical="top" wrapText="1" indent="1"/>
    </xf>
  </cellXfs>
  <cellStyles count="6">
    <cellStyle name="Comma" xfId="1" builtinId="3"/>
    <cellStyle name="Comma 2" xfId="3" xr:uid="{2FBC59FC-7CA4-4A72-8F0C-EB15E89282A1}"/>
    <cellStyle name="Comma 3" xfId="5" xr:uid="{68A5CE14-B587-495F-A34A-3137E54E9D07}"/>
    <cellStyle name="Comma 4" xfId="4" xr:uid="{E3DC8740-EF1C-4707-B52A-12A3B3C294B1}"/>
    <cellStyle name="Normal" xfId="0" builtinId="0"/>
    <cellStyle name="Normal 2" xfId="2" xr:uid="{E1BAF1E8-2841-4E95-AF96-9E808DCED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nelyn Casipit" id="{96E57DA9-AEA9-4D49-83A3-9F61BBCB1322}" userId="S::r.casipit@psa.gov.ph::237d20ba-7742-44ce-9fab-4783cd05bdf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8" dT="2025-10-29T12:53:05.07" personId="{96E57DA9-AEA9-4D49-83A3-9F61BBCB1322}" id="{AA793F84-82B8-409F-A878-1AE5BF4774B1}">
    <text>C162 or c16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5CE2-B302-4037-98F3-4A977D006086}">
  <dimension ref="A1:Z981"/>
  <sheetViews>
    <sheetView tabSelected="1" view="pageBreakPreview" zoomScale="130" zoomScaleNormal="100" zoomScaleSheetLayoutView="130" workbookViewId="0">
      <selection sqref="A1:H1"/>
    </sheetView>
  </sheetViews>
  <sheetFormatPr defaultRowHeight="15" customHeight="1" x14ac:dyDescent="0.35"/>
  <cols>
    <col min="1" max="1" width="11.7265625" customWidth="1"/>
    <col min="2" max="2" width="2.7265625" customWidth="1"/>
    <col min="3" max="3" width="56.7265625" customWidth="1"/>
    <col min="4" max="5" width="13.54296875" customWidth="1"/>
    <col min="6" max="6" width="13.54296875" style="124" customWidth="1"/>
    <col min="7" max="8" width="13.54296875" customWidth="1"/>
    <col min="10" max="17" width="9.1796875" hidden="1" customWidth="1"/>
    <col min="18" max="21" width="0" hidden="1" customWidth="1"/>
    <col min="22" max="22" width="11.54296875" style="122" hidden="1" customWidth="1"/>
    <col min="23" max="23" width="10.7265625" style="122" hidden="1" customWidth="1"/>
    <col min="24" max="24" width="9.26953125" style="122" hidden="1" customWidth="1"/>
    <col min="25" max="26" width="11.54296875" style="122" hidden="1" customWidth="1"/>
  </cols>
  <sheetData>
    <row r="1" spans="1:26" ht="30" customHeight="1" x14ac:dyDescent="0.35">
      <c r="A1" s="403" t="s">
        <v>1335</v>
      </c>
      <c r="B1" s="403"/>
      <c r="C1" s="403"/>
      <c r="D1" s="403"/>
      <c r="E1" s="403"/>
      <c r="F1" s="403"/>
      <c r="G1" s="403"/>
      <c r="H1" s="403"/>
      <c r="S1" t="s">
        <v>291</v>
      </c>
      <c r="T1" t="s">
        <v>336</v>
      </c>
      <c r="U1" t="s">
        <v>335</v>
      </c>
      <c r="V1" s="122">
        <v>23214.29</v>
      </c>
      <c r="W1" s="122">
        <v>2.8400000000000001E-14</v>
      </c>
      <c r="X1" s="122">
        <v>1.2233843895290357E-16</v>
      </c>
      <c r="Y1" s="122">
        <v>23214.29</v>
      </c>
      <c r="Z1" s="122">
        <v>23214.29</v>
      </c>
    </row>
    <row r="2" spans="1:26" ht="15" customHeight="1" x14ac:dyDescent="0.35">
      <c r="A2" s="404" t="s">
        <v>1336</v>
      </c>
      <c r="B2" s="404"/>
      <c r="C2" s="404"/>
      <c r="D2" s="404"/>
      <c r="E2" s="404"/>
      <c r="F2" s="404"/>
      <c r="G2" s="404"/>
      <c r="H2" s="404"/>
      <c r="S2" t="s">
        <v>291</v>
      </c>
      <c r="T2" t="s">
        <v>340</v>
      </c>
      <c r="U2" t="s">
        <v>339</v>
      </c>
      <c r="V2" s="122">
        <v>30662.07</v>
      </c>
      <c r="W2" s="122">
        <v>1.71E-13</v>
      </c>
      <c r="X2" s="122">
        <v>5.5769228887677841E-16</v>
      </c>
      <c r="Y2" s="122">
        <v>30662.07</v>
      </c>
      <c r="Z2" s="122">
        <v>30662.07</v>
      </c>
    </row>
    <row r="3" spans="1:26" ht="15" customHeight="1" x14ac:dyDescent="0.35">
      <c r="A3" s="123"/>
      <c r="B3" s="123"/>
      <c r="C3" s="123"/>
      <c r="D3" s="123"/>
      <c r="S3" t="s">
        <v>438</v>
      </c>
      <c r="T3" t="s">
        <v>419</v>
      </c>
      <c r="U3" t="s">
        <v>455</v>
      </c>
      <c r="V3" s="122">
        <v>21160.33</v>
      </c>
      <c r="W3" s="122">
        <v>11.884449999999999</v>
      </c>
      <c r="X3" s="122">
        <v>5.6163821641722969E-2</v>
      </c>
      <c r="Y3" s="122">
        <v>21136.98</v>
      </c>
      <c r="Z3" s="122">
        <v>21183.67</v>
      </c>
    </row>
    <row r="4" spans="1:26" ht="25" customHeight="1" x14ac:dyDescent="0.35">
      <c r="A4" s="405" t="s">
        <v>993</v>
      </c>
      <c r="B4" s="406"/>
      <c r="C4" s="409" t="s">
        <v>92</v>
      </c>
      <c r="D4" s="419" t="s">
        <v>91</v>
      </c>
      <c r="E4" s="419" t="s">
        <v>90</v>
      </c>
      <c r="F4" s="420" t="s">
        <v>89</v>
      </c>
      <c r="G4" s="419" t="s">
        <v>1186</v>
      </c>
      <c r="H4" s="419"/>
      <c r="S4" t="s">
        <v>667</v>
      </c>
      <c r="T4" t="s">
        <v>944</v>
      </c>
      <c r="U4" t="s">
        <v>943</v>
      </c>
      <c r="V4" s="122">
        <v>11784.36</v>
      </c>
      <c r="W4" s="122">
        <v>45.434989999999999</v>
      </c>
      <c r="X4" s="122">
        <v>0.38555330964091383</v>
      </c>
      <c r="Y4" s="122">
        <v>11692.53</v>
      </c>
      <c r="Z4" s="122">
        <v>11876.18</v>
      </c>
    </row>
    <row r="5" spans="1:26" ht="25" customHeight="1" x14ac:dyDescent="0.35">
      <c r="A5" s="407"/>
      <c r="B5" s="408"/>
      <c r="C5" s="410"/>
      <c r="D5" s="419"/>
      <c r="E5" s="419"/>
      <c r="F5" s="420"/>
      <c r="G5" s="5" t="s">
        <v>88</v>
      </c>
      <c r="H5" s="5" t="s">
        <v>87</v>
      </c>
      <c r="S5" t="s">
        <v>305</v>
      </c>
      <c r="T5" t="s">
        <v>329</v>
      </c>
      <c r="U5" t="s">
        <v>904</v>
      </c>
      <c r="V5" s="122">
        <v>37750</v>
      </c>
      <c r="W5" s="122">
        <v>188.98220000000001</v>
      </c>
      <c r="X5" s="122">
        <v>0.50061509933774839</v>
      </c>
      <c r="Y5" s="122">
        <v>37314.21</v>
      </c>
      <c r="Z5" s="122">
        <v>38185.79</v>
      </c>
    </row>
    <row r="6" spans="1:26" ht="15" customHeight="1" x14ac:dyDescent="0.35">
      <c r="A6" s="208"/>
      <c r="B6" s="63"/>
      <c r="C6" s="63"/>
      <c r="D6" s="209"/>
      <c r="E6" s="210"/>
      <c r="F6" s="211"/>
      <c r="G6" s="210"/>
      <c r="H6" s="210"/>
      <c r="S6" t="s">
        <v>438</v>
      </c>
      <c r="T6" t="s">
        <v>452</v>
      </c>
      <c r="U6" t="s">
        <v>451</v>
      </c>
      <c r="V6" s="122">
        <v>20449.330000000002</v>
      </c>
      <c r="W6" s="122">
        <v>138.32589999999999</v>
      </c>
      <c r="X6" s="122">
        <v>0.67643243079357596</v>
      </c>
      <c r="Y6" s="122">
        <v>20177.580000000002</v>
      </c>
      <c r="Z6" s="122">
        <v>20721.080000000002</v>
      </c>
    </row>
    <row r="7" spans="1:26" ht="30" customHeight="1" x14ac:dyDescent="0.35">
      <c r="A7" s="4" t="s">
        <v>992</v>
      </c>
      <c r="B7" s="125"/>
      <c r="C7" s="126" t="s">
        <v>1333</v>
      </c>
      <c r="D7" s="120"/>
      <c r="E7" s="120"/>
      <c r="F7" s="127"/>
      <c r="G7" s="128"/>
      <c r="H7" s="128"/>
      <c r="S7" t="s">
        <v>325</v>
      </c>
      <c r="T7" t="s">
        <v>5</v>
      </c>
      <c r="U7" t="s">
        <v>406</v>
      </c>
      <c r="V7" s="122">
        <v>17519.8</v>
      </c>
      <c r="W7" s="122">
        <v>230.22139999999999</v>
      </c>
      <c r="X7" s="122">
        <v>1.3140640874895833</v>
      </c>
      <c r="Y7" s="122">
        <v>17067.509999999998</v>
      </c>
      <c r="Z7" s="122">
        <v>17972.080000000002</v>
      </c>
    </row>
    <row r="8" spans="1:26" ht="15" customHeight="1" x14ac:dyDescent="0.35">
      <c r="A8" s="117">
        <v>3142</v>
      </c>
      <c r="B8" s="125"/>
      <c r="C8" s="129" t="s">
        <v>1154</v>
      </c>
      <c r="D8" s="120">
        <v>19390.23</v>
      </c>
      <c r="E8" s="120">
        <v>688.25049999999999</v>
      </c>
      <c r="F8" s="121">
        <v>3.5494705323247842</v>
      </c>
      <c r="G8" s="120">
        <v>18258.07</v>
      </c>
      <c r="H8" s="120">
        <v>20522.400000000001</v>
      </c>
    </row>
    <row r="9" spans="1:26" ht="15" customHeight="1" x14ac:dyDescent="0.35">
      <c r="A9" s="117">
        <v>3143</v>
      </c>
      <c r="B9" s="125"/>
      <c r="C9" s="129" t="s">
        <v>1155</v>
      </c>
      <c r="D9" s="120">
        <v>11267.73</v>
      </c>
      <c r="E9" s="120">
        <v>843.78539999999998</v>
      </c>
      <c r="F9" s="121">
        <v>7.4885127705402956</v>
      </c>
      <c r="G9" s="120">
        <v>9879.7139999999999</v>
      </c>
      <c r="H9" s="120">
        <v>12655.74</v>
      </c>
    </row>
    <row r="10" spans="1:26" ht="15" customHeight="1" x14ac:dyDescent="0.35">
      <c r="A10" s="117">
        <v>4110</v>
      </c>
      <c r="B10" s="125"/>
      <c r="C10" s="129" t="s">
        <v>1156</v>
      </c>
      <c r="D10" s="120">
        <v>17257.98</v>
      </c>
      <c r="E10" s="120">
        <v>344.77980000000002</v>
      </c>
      <c r="F10" s="121">
        <v>1.9977992789422634</v>
      </c>
      <c r="G10" s="120">
        <v>16690.82</v>
      </c>
      <c r="H10" s="120">
        <v>17825.14</v>
      </c>
    </row>
    <row r="11" spans="1:26" ht="15" customHeight="1" x14ac:dyDescent="0.35">
      <c r="A11" s="117">
        <v>6110</v>
      </c>
      <c r="B11" s="125"/>
      <c r="C11" s="129" t="s">
        <v>1157</v>
      </c>
      <c r="D11" s="120">
        <v>11138.76</v>
      </c>
      <c r="E11" s="120">
        <v>180.63120000000001</v>
      </c>
      <c r="F11" s="121">
        <v>1.6216454973444081</v>
      </c>
      <c r="G11" s="120">
        <v>10841.63</v>
      </c>
      <c r="H11" s="120">
        <v>11435.9</v>
      </c>
    </row>
    <row r="12" spans="1:26" ht="15" customHeight="1" x14ac:dyDescent="0.35">
      <c r="A12" s="117">
        <v>6120</v>
      </c>
      <c r="B12" s="125"/>
      <c r="C12" s="129" t="s">
        <v>1158</v>
      </c>
      <c r="D12" s="120">
        <v>11983.05</v>
      </c>
      <c r="E12" s="120">
        <v>135.3723</v>
      </c>
      <c r="F12" s="121">
        <v>1.1296981987056718</v>
      </c>
      <c r="G12" s="120">
        <v>11760.37</v>
      </c>
      <c r="H12" s="120">
        <v>12205.74</v>
      </c>
    </row>
    <row r="13" spans="1:26" ht="15" customHeight="1" x14ac:dyDescent="0.35">
      <c r="A13" s="117">
        <v>6121</v>
      </c>
      <c r="B13" s="118"/>
      <c r="C13" s="129" t="s">
        <v>1159</v>
      </c>
      <c r="D13" s="120">
        <v>11285.82</v>
      </c>
      <c r="E13" s="120">
        <v>143.38460000000001</v>
      </c>
      <c r="F13" s="121">
        <v>1.2704845549548018</v>
      </c>
      <c r="G13" s="120">
        <v>11049.96</v>
      </c>
      <c r="H13" s="120">
        <v>11521.69</v>
      </c>
      <c r="J13" t="s">
        <v>664</v>
      </c>
      <c r="K13" t="s">
        <v>816</v>
      </c>
      <c r="L13" t="s">
        <v>815</v>
      </c>
      <c r="M13">
        <v>18174.310000000001</v>
      </c>
      <c r="N13">
        <v>1224.93</v>
      </c>
      <c r="O13" s="122">
        <v>6.7398982409786115</v>
      </c>
      <c r="P13">
        <v>15766.23</v>
      </c>
      <c r="Q13">
        <v>20582.400000000001</v>
      </c>
      <c r="R13" s="124"/>
      <c r="S13" t="s">
        <v>311</v>
      </c>
      <c r="T13" t="s">
        <v>541</v>
      </c>
      <c r="U13" t="s">
        <v>540</v>
      </c>
      <c r="V13" s="122">
        <v>12196.84</v>
      </c>
      <c r="W13" s="122">
        <v>164.73580000000001</v>
      </c>
      <c r="X13" s="122">
        <v>1.3506432813745199</v>
      </c>
      <c r="Y13" s="122">
        <v>11873.82</v>
      </c>
      <c r="Z13" s="122">
        <v>12519.87</v>
      </c>
    </row>
    <row r="14" spans="1:26" ht="15" customHeight="1" x14ac:dyDescent="0.35">
      <c r="A14" s="117">
        <v>6122</v>
      </c>
      <c r="B14" s="3"/>
      <c r="C14" s="129" t="s">
        <v>1160</v>
      </c>
      <c r="D14" s="120">
        <v>12576.33</v>
      </c>
      <c r="E14" s="120">
        <v>436.96050000000002</v>
      </c>
      <c r="F14" s="121">
        <v>3.4744675115872439</v>
      </c>
      <c r="G14" s="120">
        <v>11857.54</v>
      </c>
      <c r="H14" s="120">
        <v>13295.13</v>
      </c>
      <c r="J14" t="s">
        <v>664</v>
      </c>
      <c r="K14" t="s">
        <v>14</v>
      </c>
      <c r="L14" t="s">
        <v>829</v>
      </c>
      <c r="M14">
        <v>16717.8</v>
      </c>
      <c r="N14">
        <v>1105.1479999999999</v>
      </c>
      <c r="O14" s="122">
        <v>6.61060665877089</v>
      </c>
      <c r="P14">
        <v>14545.19</v>
      </c>
      <c r="Q14">
        <v>18890.400000000001</v>
      </c>
      <c r="R14" s="124"/>
      <c r="S14" t="s">
        <v>784</v>
      </c>
      <c r="T14" t="s">
        <v>951</v>
      </c>
      <c r="U14" t="s">
        <v>950</v>
      </c>
      <c r="V14" s="122">
        <v>11528.71</v>
      </c>
      <c r="W14" s="122">
        <v>157.2681</v>
      </c>
      <c r="X14" s="122">
        <v>1.3641430827907026</v>
      </c>
      <c r="Y14" s="122">
        <v>11217.91</v>
      </c>
      <c r="Z14" s="122">
        <v>11839.51</v>
      </c>
    </row>
    <row r="15" spans="1:26" ht="15" customHeight="1" x14ac:dyDescent="0.35">
      <c r="A15" s="117">
        <v>6127</v>
      </c>
      <c r="B15" s="3"/>
      <c r="C15" s="129" t="s">
        <v>1161</v>
      </c>
      <c r="D15" s="120">
        <v>11868.12</v>
      </c>
      <c r="E15" s="120">
        <v>375.05549999999999</v>
      </c>
      <c r="F15" s="121">
        <v>3.1601930213041323</v>
      </c>
      <c r="G15" s="120">
        <v>11251.16</v>
      </c>
      <c r="H15" s="120">
        <v>12485.08</v>
      </c>
      <c r="J15" t="s">
        <v>664</v>
      </c>
      <c r="K15" t="s">
        <v>663</v>
      </c>
      <c r="L15" t="s">
        <v>662</v>
      </c>
      <c r="M15">
        <v>11254.4</v>
      </c>
      <c r="N15">
        <v>1047.742</v>
      </c>
      <c r="O15" s="122">
        <v>9.3096211259596249</v>
      </c>
      <c r="P15">
        <v>9194.6450000000004</v>
      </c>
      <c r="Q15">
        <v>13314.15</v>
      </c>
      <c r="R15" s="124"/>
      <c r="U15" t="s">
        <v>991</v>
      </c>
      <c r="V15" s="122">
        <v>18422.86</v>
      </c>
      <c r="W15" s="122">
        <v>271.6087</v>
      </c>
      <c r="X15" s="122">
        <v>1.4743025784270194</v>
      </c>
      <c r="Y15" s="122">
        <v>17890.46</v>
      </c>
      <c r="Z15" s="122">
        <v>18955.259999999998</v>
      </c>
    </row>
    <row r="16" spans="1:26" ht="15" customHeight="1" x14ac:dyDescent="0.35">
      <c r="A16" s="117">
        <v>6212</v>
      </c>
      <c r="B16" s="3"/>
      <c r="C16" s="129" t="s">
        <v>1162</v>
      </c>
      <c r="D16" s="120">
        <v>12298.08</v>
      </c>
      <c r="E16" s="120">
        <v>446.08850000000001</v>
      </c>
      <c r="F16" s="121">
        <v>3.627301985350559</v>
      </c>
      <c r="G16" s="120">
        <v>11564.28</v>
      </c>
      <c r="H16" s="120">
        <v>13031.89</v>
      </c>
      <c r="J16" t="s">
        <v>664</v>
      </c>
      <c r="K16" t="s">
        <v>738</v>
      </c>
      <c r="L16" t="s">
        <v>737</v>
      </c>
      <c r="M16">
        <v>12657.99</v>
      </c>
      <c r="N16">
        <v>998.69529999999997</v>
      </c>
      <c r="O16" s="122">
        <v>7.8898411201146459</v>
      </c>
      <c r="P16">
        <v>10694.66</v>
      </c>
      <c r="Q16">
        <v>14621.33</v>
      </c>
      <c r="R16" s="124"/>
      <c r="S16" t="s">
        <v>784</v>
      </c>
      <c r="T16" t="s">
        <v>954</v>
      </c>
      <c r="U16" t="s">
        <v>953</v>
      </c>
      <c r="V16" s="122">
        <v>11228.67</v>
      </c>
      <c r="W16" s="122">
        <v>166.6917</v>
      </c>
      <c r="X16" s="122">
        <v>1.4845186473553857</v>
      </c>
      <c r="Y16" s="122">
        <v>10899.25</v>
      </c>
      <c r="Z16" s="122">
        <v>11558.09</v>
      </c>
    </row>
    <row r="17" spans="1:26" ht="15" customHeight="1" x14ac:dyDescent="0.35">
      <c r="A17" s="117">
        <v>7233</v>
      </c>
      <c r="B17" s="130"/>
      <c r="C17" s="131" t="s">
        <v>1163</v>
      </c>
      <c r="D17" s="120">
        <v>14580.39</v>
      </c>
      <c r="E17" s="120">
        <v>547.90170000000001</v>
      </c>
      <c r="F17" s="121">
        <v>3.7577986597066335</v>
      </c>
      <c r="G17" s="120">
        <v>13679.1</v>
      </c>
      <c r="H17" s="120">
        <v>15481.68</v>
      </c>
      <c r="J17" t="s">
        <v>664</v>
      </c>
      <c r="K17" t="s">
        <v>762</v>
      </c>
      <c r="L17" t="s">
        <v>761</v>
      </c>
      <c r="M17">
        <v>9551.3439999999991</v>
      </c>
      <c r="N17">
        <v>720.00890000000004</v>
      </c>
      <c r="O17" s="122">
        <v>7.5382993220639962</v>
      </c>
      <c r="P17">
        <v>8135.88</v>
      </c>
      <c r="Q17">
        <v>10966.81</v>
      </c>
      <c r="R17" s="124"/>
      <c r="S17" t="s">
        <v>291</v>
      </c>
      <c r="T17" t="s">
        <v>14</v>
      </c>
      <c r="U17" t="s">
        <v>331</v>
      </c>
      <c r="V17" s="122">
        <v>25527.27</v>
      </c>
      <c r="W17" s="122">
        <v>386.77690000000001</v>
      </c>
      <c r="X17" s="122">
        <v>1.5151518356643701</v>
      </c>
      <c r="Y17" s="122">
        <v>24766.55</v>
      </c>
      <c r="Z17" s="122">
        <v>26287.99</v>
      </c>
    </row>
    <row r="18" spans="1:26" ht="15" customHeight="1" x14ac:dyDescent="0.35">
      <c r="A18" s="117">
        <v>9000</v>
      </c>
      <c r="B18" s="118" t="s">
        <v>1350</v>
      </c>
      <c r="C18" s="116" t="s">
        <v>1207</v>
      </c>
      <c r="D18" s="120">
        <v>12124.72</v>
      </c>
      <c r="E18" s="120">
        <v>145.95240000000001</v>
      </c>
      <c r="F18" s="121">
        <v>1.2037589321650315</v>
      </c>
      <c r="G18" s="120">
        <v>11884.63</v>
      </c>
      <c r="H18" s="120">
        <v>12364.81</v>
      </c>
      <c r="J18" t="s">
        <v>664</v>
      </c>
      <c r="K18" t="s">
        <v>5</v>
      </c>
      <c r="L18" t="s">
        <v>901</v>
      </c>
      <c r="M18">
        <v>10861.79</v>
      </c>
      <c r="N18">
        <v>511.90460000000002</v>
      </c>
      <c r="O18" s="122">
        <v>4.7128935470120483</v>
      </c>
      <c r="P18">
        <v>9855.4429999999993</v>
      </c>
      <c r="Q18">
        <v>11868.15</v>
      </c>
      <c r="R18" s="124"/>
      <c r="S18" t="s">
        <v>311</v>
      </c>
      <c r="T18" t="s">
        <v>5</v>
      </c>
      <c r="U18" t="s">
        <v>539</v>
      </c>
      <c r="V18" s="122">
        <v>11072.43</v>
      </c>
      <c r="W18" s="122">
        <v>171.91730000000001</v>
      </c>
      <c r="X18" s="122">
        <v>1.5526609786650265</v>
      </c>
      <c r="Y18" s="122">
        <v>10735.33</v>
      </c>
      <c r="Z18" s="122">
        <v>11409.54</v>
      </c>
    </row>
    <row r="19" spans="1:26" ht="15" customHeight="1" x14ac:dyDescent="0.35">
      <c r="A19" s="132"/>
      <c r="B19" s="130"/>
      <c r="C19" s="131"/>
      <c r="D19" s="133"/>
      <c r="E19" s="133"/>
      <c r="F19" s="134"/>
      <c r="G19" s="133"/>
      <c r="H19" s="133"/>
    </row>
    <row r="20" spans="1:26" ht="15" customHeight="1" x14ac:dyDescent="0.35">
      <c r="A20" s="135" t="s">
        <v>704</v>
      </c>
      <c r="B20" s="136"/>
      <c r="C20" s="126" t="s">
        <v>990</v>
      </c>
      <c r="D20" s="137"/>
      <c r="E20" s="137"/>
      <c r="F20" s="138"/>
      <c r="G20" s="137"/>
      <c r="H20" s="137"/>
      <c r="S20" t="s">
        <v>396</v>
      </c>
      <c r="T20" t="s">
        <v>5</v>
      </c>
      <c r="U20" t="s">
        <v>772</v>
      </c>
      <c r="V20" s="122">
        <v>12078.37</v>
      </c>
      <c r="W20" s="122">
        <v>195.83269999999999</v>
      </c>
      <c r="X20" s="122">
        <v>1.6213503974460128</v>
      </c>
      <c r="Y20" s="122">
        <v>11688.65</v>
      </c>
      <c r="Z20" s="122">
        <v>12468.09</v>
      </c>
    </row>
    <row r="21" spans="1:26" ht="15" customHeight="1" x14ac:dyDescent="0.35">
      <c r="A21" s="139">
        <v>3142</v>
      </c>
      <c r="B21" s="3"/>
      <c r="C21" s="129" t="s">
        <v>1164</v>
      </c>
      <c r="D21" s="120">
        <v>14571.13</v>
      </c>
      <c r="E21" s="120">
        <v>1059.3869999999999</v>
      </c>
      <c r="F21" s="121">
        <v>7.2704519141617698</v>
      </c>
      <c r="G21" s="120">
        <v>12828.45</v>
      </c>
      <c r="H21" s="120">
        <v>16313.81</v>
      </c>
      <c r="J21" t="s">
        <v>704</v>
      </c>
      <c r="K21" t="s">
        <v>14</v>
      </c>
      <c r="L21" t="s">
        <v>911</v>
      </c>
      <c r="M21">
        <v>17134.810000000001</v>
      </c>
      <c r="N21">
        <v>744.08090000000004</v>
      </c>
      <c r="O21" s="122">
        <v>4.3425103634064222</v>
      </c>
      <c r="P21">
        <v>15672.03</v>
      </c>
      <c r="Q21">
        <v>18597.599999999999</v>
      </c>
      <c r="R21" s="124"/>
      <c r="S21" t="s">
        <v>667</v>
      </c>
      <c r="T21" t="s">
        <v>934</v>
      </c>
      <c r="U21" t="s">
        <v>933</v>
      </c>
      <c r="V21" s="122">
        <v>11711.8</v>
      </c>
      <c r="W21" s="122">
        <v>190.5675</v>
      </c>
      <c r="X21" s="122">
        <v>1.6271410030908997</v>
      </c>
      <c r="Y21" s="122">
        <v>11326.65</v>
      </c>
      <c r="Z21" s="122">
        <v>12096.95</v>
      </c>
    </row>
    <row r="22" spans="1:26" ht="15" customHeight="1" x14ac:dyDescent="0.35">
      <c r="A22" s="139">
        <v>4110</v>
      </c>
      <c r="B22" s="118"/>
      <c r="C22" s="140" t="s">
        <v>1156</v>
      </c>
      <c r="D22" s="120">
        <v>14509.12</v>
      </c>
      <c r="E22" s="120">
        <v>657.49220000000003</v>
      </c>
      <c r="F22" s="121">
        <v>4.5315787587393315</v>
      </c>
      <c r="G22" s="120">
        <v>13427.55</v>
      </c>
      <c r="H22" s="120">
        <v>15590.68</v>
      </c>
      <c r="J22" t="s">
        <v>704</v>
      </c>
      <c r="K22" t="s">
        <v>866</v>
      </c>
      <c r="L22" t="s">
        <v>865</v>
      </c>
      <c r="M22">
        <v>10057.56</v>
      </c>
      <c r="N22">
        <v>585.20420000000001</v>
      </c>
      <c r="O22" s="122">
        <v>5.8185504237608328</v>
      </c>
      <c r="P22">
        <v>8907.107</v>
      </c>
      <c r="Q22">
        <v>11208.01</v>
      </c>
      <c r="R22" s="124"/>
      <c r="S22" t="s">
        <v>301</v>
      </c>
      <c r="T22" t="s">
        <v>354</v>
      </c>
      <c r="U22" t="s">
        <v>353</v>
      </c>
      <c r="V22" s="122">
        <v>22367.25</v>
      </c>
      <c r="W22" s="122">
        <v>369.947</v>
      </c>
      <c r="X22" s="122">
        <v>1.653967295934905</v>
      </c>
      <c r="Y22" s="122">
        <v>21639.63</v>
      </c>
      <c r="Z22" s="122">
        <v>23094.87</v>
      </c>
    </row>
    <row r="23" spans="1:26" ht="15" customHeight="1" x14ac:dyDescent="0.35">
      <c r="A23" s="139">
        <v>6220</v>
      </c>
      <c r="B23" s="3"/>
      <c r="C23" s="129" t="s">
        <v>989</v>
      </c>
      <c r="D23" s="120">
        <v>11686.88</v>
      </c>
      <c r="E23" s="120">
        <v>520.60919999999999</v>
      </c>
      <c r="F23" s="121">
        <v>4.4546465780430706</v>
      </c>
      <c r="G23" s="120">
        <v>10830.48</v>
      </c>
      <c r="H23" s="120">
        <v>12543.27</v>
      </c>
      <c r="J23" t="s">
        <v>704</v>
      </c>
      <c r="K23" t="s">
        <v>703</v>
      </c>
      <c r="L23" t="s">
        <v>702</v>
      </c>
      <c r="M23">
        <v>10176.89</v>
      </c>
      <c r="N23">
        <v>852.34860000000003</v>
      </c>
      <c r="O23" s="122">
        <v>8.3753347044136284</v>
      </c>
      <c r="P23">
        <v>8501.2559999999994</v>
      </c>
      <c r="Q23">
        <v>11852.52</v>
      </c>
      <c r="R23" s="124"/>
      <c r="S23" t="s">
        <v>487</v>
      </c>
      <c r="T23" t="s">
        <v>706</v>
      </c>
      <c r="U23" t="s">
        <v>705</v>
      </c>
      <c r="V23" s="122">
        <v>12825.92</v>
      </c>
      <c r="W23" s="122">
        <v>224.1987</v>
      </c>
      <c r="X23" s="122">
        <v>1.7480126181981488</v>
      </c>
      <c r="Y23" s="122">
        <v>12379.75</v>
      </c>
      <c r="Z23" s="122">
        <v>13272.09</v>
      </c>
    </row>
    <row r="24" spans="1:26" ht="15" customHeight="1" x14ac:dyDescent="0.35">
      <c r="A24" s="139">
        <v>6226</v>
      </c>
      <c r="B24" s="3"/>
      <c r="C24" s="129" t="s">
        <v>988</v>
      </c>
      <c r="D24" s="120">
        <v>11010.28</v>
      </c>
      <c r="E24" s="120">
        <v>310.79360000000003</v>
      </c>
      <c r="F24" s="121">
        <v>2.8227583676346106</v>
      </c>
      <c r="G24" s="120">
        <v>10499.03</v>
      </c>
      <c r="H24" s="120">
        <v>11521.54</v>
      </c>
      <c r="O24" s="122"/>
      <c r="R24" s="124"/>
    </row>
    <row r="25" spans="1:26" ht="15" customHeight="1" x14ac:dyDescent="0.35">
      <c r="A25" s="139">
        <v>6227</v>
      </c>
      <c r="B25" s="3"/>
      <c r="C25" s="129" t="s">
        <v>1165</v>
      </c>
      <c r="D25" s="120">
        <v>13072.36</v>
      </c>
      <c r="E25" s="120">
        <v>580.45809999999994</v>
      </c>
      <c r="F25" s="121">
        <v>4.4403466550798774</v>
      </c>
      <c r="G25" s="120">
        <v>12117.51</v>
      </c>
      <c r="H25" s="120">
        <v>14027.2</v>
      </c>
      <c r="J25" t="s">
        <v>704</v>
      </c>
      <c r="K25" t="s">
        <v>887</v>
      </c>
      <c r="L25" t="s">
        <v>886</v>
      </c>
      <c r="M25">
        <v>12667.36</v>
      </c>
      <c r="N25">
        <v>674.20540000000005</v>
      </c>
      <c r="O25" s="122">
        <v>5.3223828800949846</v>
      </c>
      <c r="P25">
        <v>11341.94</v>
      </c>
      <c r="Q25">
        <v>13992.78</v>
      </c>
      <c r="R25" s="124"/>
      <c r="S25" t="s">
        <v>373</v>
      </c>
      <c r="T25" t="s">
        <v>382</v>
      </c>
      <c r="U25" t="s">
        <v>381</v>
      </c>
      <c r="V25" s="122">
        <v>13467.29</v>
      </c>
      <c r="W25" s="122">
        <v>242.58750000000001</v>
      </c>
      <c r="X25" s="122">
        <v>1.8013089493134848</v>
      </c>
      <c r="Y25" s="122">
        <v>12990.97</v>
      </c>
      <c r="Z25" s="122">
        <v>13943.61</v>
      </c>
    </row>
    <row r="26" spans="1:26" ht="15" customHeight="1" x14ac:dyDescent="0.35">
      <c r="A26" s="117">
        <v>9000</v>
      </c>
      <c r="B26" s="118" t="s">
        <v>1350</v>
      </c>
      <c r="C26" s="116" t="s">
        <v>1207</v>
      </c>
      <c r="D26" s="120">
        <v>11882.42</v>
      </c>
      <c r="E26" s="120">
        <v>294.9862</v>
      </c>
      <c r="F26" s="121">
        <v>2.4825431183210154</v>
      </c>
      <c r="G26" s="120">
        <v>11397.17</v>
      </c>
      <c r="H26" s="120">
        <v>12367.67</v>
      </c>
      <c r="J26" t="s">
        <v>704</v>
      </c>
      <c r="K26" t="s">
        <v>5</v>
      </c>
      <c r="L26" t="s">
        <v>898</v>
      </c>
      <c r="M26">
        <v>10990.68</v>
      </c>
      <c r="N26">
        <v>550.01469999999995</v>
      </c>
      <c r="O26" s="122">
        <v>5.0043737057215747</v>
      </c>
      <c r="P26">
        <v>9909.4030000000002</v>
      </c>
      <c r="Q26">
        <v>12071.95</v>
      </c>
      <c r="R26" s="124"/>
      <c r="S26" t="s">
        <v>373</v>
      </c>
      <c r="T26" t="s">
        <v>387</v>
      </c>
      <c r="U26" t="s">
        <v>386</v>
      </c>
      <c r="V26" s="122">
        <v>14799.38</v>
      </c>
      <c r="W26" s="122">
        <v>277.4341</v>
      </c>
      <c r="X26" s="122">
        <v>1.8746332616636645</v>
      </c>
      <c r="Y26" s="122">
        <v>14254.64</v>
      </c>
      <c r="Z26" s="122">
        <v>15344.12</v>
      </c>
    </row>
    <row r="27" spans="1:26" ht="15" customHeight="1" x14ac:dyDescent="0.35">
      <c r="A27" s="132"/>
      <c r="B27" s="130"/>
      <c r="C27" s="131"/>
      <c r="D27" s="120"/>
      <c r="E27" s="120"/>
      <c r="F27" s="121"/>
      <c r="G27" s="120"/>
      <c r="H27" s="120"/>
      <c r="S27" t="s">
        <v>614</v>
      </c>
      <c r="T27" t="s">
        <v>732</v>
      </c>
      <c r="U27" t="s">
        <v>923</v>
      </c>
      <c r="V27" s="122">
        <v>10414.68</v>
      </c>
      <c r="W27" s="122">
        <v>195.9701</v>
      </c>
      <c r="X27" s="122">
        <v>1.8816718324518853</v>
      </c>
      <c r="Y27" s="122">
        <v>10021.25</v>
      </c>
      <c r="Z27" s="122">
        <v>10808.11</v>
      </c>
    </row>
    <row r="28" spans="1:26" ht="30" customHeight="1" x14ac:dyDescent="0.35">
      <c r="A28" s="421" t="s">
        <v>987</v>
      </c>
      <c r="B28" s="422"/>
      <c r="C28" s="126" t="s">
        <v>1334</v>
      </c>
      <c r="D28" s="120"/>
      <c r="E28" s="120"/>
      <c r="F28" s="121"/>
      <c r="G28" s="120"/>
      <c r="H28" s="120"/>
      <c r="S28" t="s">
        <v>667</v>
      </c>
      <c r="T28" t="s">
        <v>320</v>
      </c>
      <c r="U28" t="s">
        <v>946</v>
      </c>
      <c r="V28" s="122">
        <v>12737.36</v>
      </c>
      <c r="W28" s="122">
        <v>250.64279999999999</v>
      </c>
      <c r="X28" s="122">
        <v>1.9677766821382139</v>
      </c>
      <c r="Y28" s="122">
        <v>12230.79</v>
      </c>
      <c r="Z28" s="122">
        <v>13243.92</v>
      </c>
    </row>
    <row r="29" spans="1:26" ht="15" customHeight="1" x14ac:dyDescent="0.35">
      <c r="A29" s="139">
        <v>2114</v>
      </c>
      <c r="B29" s="3"/>
      <c r="C29" s="141" t="s">
        <v>985</v>
      </c>
      <c r="D29" s="120">
        <v>40781.129999999997</v>
      </c>
      <c r="E29" s="120">
        <v>4883.9430000000002</v>
      </c>
      <c r="F29" s="121">
        <v>11.975987423595178</v>
      </c>
      <c r="G29" s="120">
        <v>32747.11</v>
      </c>
      <c r="H29" s="120">
        <v>48815.14</v>
      </c>
      <c r="J29" t="s">
        <v>327</v>
      </c>
      <c r="K29" t="s">
        <v>174</v>
      </c>
      <c r="L29" t="s">
        <v>326</v>
      </c>
      <c r="M29">
        <v>49058.64</v>
      </c>
      <c r="N29">
        <v>12152.56</v>
      </c>
      <c r="O29" s="122">
        <v>24.771497946131404</v>
      </c>
      <c r="P29">
        <v>24907.98</v>
      </c>
      <c r="Q29">
        <v>73209.3</v>
      </c>
      <c r="R29" s="124"/>
      <c r="S29" t="s">
        <v>311</v>
      </c>
      <c r="T29" t="s">
        <v>430</v>
      </c>
      <c r="U29" t="s">
        <v>546</v>
      </c>
      <c r="V29" s="122">
        <v>12315.36</v>
      </c>
      <c r="W29" s="122">
        <v>245.91290000000001</v>
      </c>
      <c r="X29" s="122">
        <v>1.9967983071546427</v>
      </c>
      <c r="Y29" s="122">
        <v>11833.16</v>
      </c>
      <c r="Z29" s="122">
        <v>12797.56</v>
      </c>
    </row>
    <row r="30" spans="1:26" ht="15" customHeight="1" x14ac:dyDescent="0.35">
      <c r="A30" s="139">
        <v>2146</v>
      </c>
      <c r="B30" s="3"/>
      <c r="C30" s="141" t="s">
        <v>984</v>
      </c>
      <c r="D30" s="120">
        <v>34816.28</v>
      </c>
      <c r="E30" s="120">
        <v>4573.9139999999998</v>
      </c>
      <c r="F30" s="121">
        <v>13.137285201061113</v>
      </c>
      <c r="G30" s="120">
        <v>27292.26</v>
      </c>
      <c r="H30" s="120">
        <v>42340.3</v>
      </c>
      <c r="J30" t="s">
        <v>327</v>
      </c>
      <c r="K30" t="s">
        <v>516</v>
      </c>
      <c r="L30" t="s">
        <v>515</v>
      </c>
      <c r="M30">
        <v>38664.46</v>
      </c>
      <c r="N30">
        <v>4753.38</v>
      </c>
      <c r="O30" s="122">
        <v>12.293925739555137</v>
      </c>
      <c r="P30">
        <v>29218.12</v>
      </c>
      <c r="Q30">
        <v>48110.8</v>
      </c>
      <c r="R30" s="124"/>
      <c r="S30" t="s">
        <v>598</v>
      </c>
      <c r="T30" t="s">
        <v>5</v>
      </c>
      <c r="U30" t="s">
        <v>788</v>
      </c>
      <c r="V30" s="122">
        <v>11426.23</v>
      </c>
      <c r="W30" s="122">
        <v>232.10400000000001</v>
      </c>
      <c r="X30" s="122">
        <v>2.0313261679486589</v>
      </c>
      <c r="Y30" s="122">
        <v>10965.25</v>
      </c>
      <c r="Z30" s="122">
        <v>11887.21</v>
      </c>
    </row>
    <row r="31" spans="1:26" ht="15" customHeight="1" x14ac:dyDescent="0.35">
      <c r="A31" s="139">
        <v>3117</v>
      </c>
      <c r="B31" s="3"/>
      <c r="C31" s="141" t="s">
        <v>983</v>
      </c>
      <c r="D31" s="120">
        <v>21393.57</v>
      </c>
      <c r="E31" s="120">
        <v>2070.4580000000001</v>
      </c>
      <c r="F31" s="121">
        <v>9.6779452891686617</v>
      </c>
      <c r="G31" s="120">
        <v>17987.7</v>
      </c>
      <c r="H31" s="120">
        <v>24799.439999999999</v>
      </c>
      <c r="J31" t="s">
        <v>327</v>
      </c>
      <c r="K31" t="s">
        <v>602</v>
      </c>
      <c r="L31" t="s">
        <v>601</v>
      </c>
      <c r="M31">
        <v>17280.02</v>
      </c>
      <c r="N31">
        <v>1760.0219999999999</v>
      </c>
      <c r="O31" s="122">
        <v>10.18530071145751</v>
      </c>
      <c r="P31">
        <v>13782.35</v>
      </c>
      <c r="Q31">
        <v>20777.7</v>
      </c>
      <c r="R31" s="124"/>
      <c r="S31" t="s">
        <v>614</v>
      </c>
      <c r="T31" t="s">
        <v>709</v>
      </c>
      <c r="U31" t="s">
        <v>927</v>
      </c>
      <c r="V31" s="122">
        <v>12201.45</v>
      </c>
      <c r="W31" s="122">
        <v>252.35560000000001</v>
      </c>
      <c r="X31" s="122">
        <v>2.0682427088583735</v>
      </c>
      <c r="Y31" s="122">
        <v>11694.82</v>
      </c>
      <c r="Z31" s="122">
        <v>12708.07</v>
      </c>
    </row>
    <row r="32" spans="1:26" ht="15" customHeight="1" x14ac:dyDescent="0.35">
      <c r="A32" s="139">
        <v>3121</v>
      </c>
      <c r="B32" s="3"/>
      <c r="C32" s="141" t="s">
        <v>982</v>
      </c>
      <c r="D32" s="120">
        <v>24432.19</v>
      </c>
      <c r="E32" s="120">
        <v>1034.9359999999999</v>
      </c>
      <c r="F32" s="121">
        <v>4.2359526509903533</v>
      </c>
      <c r="G32" s="120">
        <v>22729.74</v>
      </c>
      <c r="H32" s="120">
        <v>26134.65</v>
      </c>
      <c r="J32" t="s">
        <v>327</v>
      </c>
      <c r="K32" t="s">
        <v>519</v>
      </c>
      <c r="L32" t="s">
        <v>844</v>
      </c>
      <c r="M32">
        <v>28251.919999999998</v>
      </c>
      <c r="N32">
        <v>1772.71</v>
      </c>
      <c r="O32" s="122">
        <v>6.2746531917122805</v>
      </c>
      <c r="P32">
        <v>24729.03</v>
      </c>
      <c r="Q32">
        <v>31774.81</v>
      </c>
      <c r="R32" s="124"/>
      <c r="S32" t="s">
        <v>650</v>
      </c>
      <c r="T32" t="s">
        <v>700</v>
      </c>
      <c r="U32" t="s">
        <v>857</v>
      </c>
      <c r="V32" s="122">
        <v>13148.62</v>
      </c>
      <c r="W32" s="122">
        <v>273.91309999999999</v>
      </c>
      <c r="X32" s="122">
        <v>2.083207971635046</v>
      </c>
      <c r="Y32" s="122">
        <v>12608.3</v>
      </c>
      <c r="Z32" s="122">
        <v>13688.94</v>
      </c>
    </row>
    <row r="33" spans="1:26" ht="15" customHeight="1" x14ac:dyDescent="0.35">
      <c r="A33" s="139">
        <v>4110</v>
      </c>
      <c r="B33" s="3"/>
      <c r="C33" s="141" t="s">
        <v>1156</v>
      </c>
      <c r="D33" s="120">
        <v>19212.47</v>
      </c>
      <c r="E33" s="120">
        <v>1226.481</v>
      </c>
      <c r="F33" s="121">
        <v>6.3837757456485287</v>
      </c>
      <c r="G33" s="120">
        <v>17194.93</v>
      </c>
      <c r="H33" s="120">
        <v>21230.02</v>
      </c>
      <c r="J33" t="s">
        <v>327</v>
      </c>
      <c r="K33" t="s">
        <v>14</v>
      </c>
      <c r="L33" t="s">
        <v>896</v>
      </c>
      <c r="M33">
        <v>16035.4</v>
      </c>
      <c r="N33">
        <v>803.48609999999996</v>
      </c>
      <c r="O33" s="122">
        <v>5.0107019469423895</v>
      </c>
      <c r="P33">
        <v>14438.64</v>
      </c>
      <c r="Q33">
        <v>17632.16</v>
      </c>
      <c r="R33" s="124"/>
      <c r="S33" t="s">
        <v>581</v>
      </c>
      <c r="T33" t="s">
        <v>822</v>
      </c>
      <c r="U33" t="s">
        <v>821</v>
      </c>
      <c r="V33" s="122">
        <v>12527.08</v>
      </c>
      <c r="W33" s="122">
        <v>270.1121</v>
      </c>
      <c r="X33" s="122">
        <v>2.1562255529620633</v>
      </c>
      <c r="Y33" s="122">
        <v>11993.61</v>
      </c>
      <c r="Z33" s="122">
        <v>13060.55</v>
      </c>
    </row>
    <row r="34" spans="1:26" ht="15" customHeight="1" x14ac:dyDescent="0.35">
      <c r="A34" s="139">
        <v>8111</v>
      </c>
      <c r="B34" s="3"/>
      <c r="C34" s="141" t="s">
        <v>979</v>
      </c>
      <c r="D34" s="120">
        <v>13926.11</v>
      </c>
      <c r="E34" s="120">
        <v>484.00889999999998</v>
      </c>
      <c r="F34" s="121">
        <v>3.4755498843539221</v>
      </c>
      <c r="G34" s="120">
        <v>13129.93</v>
      </c>
      <c r="H34" s="120">
        <v>14722.3</v>
      </c>
      <c r="O34" s="122"/>
      <c r="R34" s="124"/>
    </row>
    <row r="35" spans="1:26" ht="15" customHeight="1" x14ac:dyDescent="0.35">
      <c r="A35" s="139">
        <v>8112</v>
      </c>
      <c r="B35" s="3"/>
      <c r="C35" s="141" t="s">
        <v>978</v>
      </c>
      <c r="D35" s="120">
        <v>18111.77</v>
      </c>
      <c r="E35" s="120">
        <v>1406.8520000000001</v>
      </c>
      <c r="F35" s="121">
        <v>7.7676118899478075</v>
      </c>
      <c r="G35" s="120">
        <v>15797.51</v>
      </c>
      <c r="H35" s="120">
        <v>20426.02</v>
      </c>
      <c r="O35" s="122"/>
      <c r="R35" s="124"/>
    </row>
    <row r="36" spans="1:26" ht="15" customHeight="1" x14ac:dyDescent="0.35">
      <c r="A36" s="139">
        <v>8113</v>
      </c>
      <c r="B36" s="3"/>
      <c r="C36" s="141" t="s">
        <v>1166</v>
      </c>
      <c r="D36" s="120">
        <v>12114.53</v>
      </c>
      <c r="E36" s="120">
        <v>353.25560000000002</v>
      </c>
      <c r="F36" s="121">
        <v>2.9159661992665007</v>
      </c>
      <c r="G36" s="120">
        <v>11533.43</v>
      </c>
      <c r="H36" s="120">
        <v>12695.63</v>
      </c>
      <c r="J36" t="s">
        <v>327</v>
      </c>
      <c r="K36" t="s">
        <v>819</v>
      </c>
      <c r="L36" t="s">
        <v>889</v>
      </c>
      <c r="M36">
        <v>12982.25</v>
      </c>
      <c r="N36">
        <v>684.45989999999995</v>
      </c>
      <c r="O36" s="122">
        <v>5.2722748367963943</v>
      </c>
      <c r="P36">
        <v>11622.03</v>
      </c>
      <c r="Q36">
        <v>14342.47</v>
      </c>
      <c r="R36" s="124"/>
      <c r="S36" t="s">
        <v>784</v>
      </c>
      <c r="T36" t="s">
        <v>960</v>
      </c>
      <c r="U36" t="s">
        <v>959</v>
      </c>
      <c r="V36" s="122">
        <v>11790.14</v>
      </c>
      <c r="W36" s="122">
        <v>256.27339999999998</v>
      </c>
      <c r="X36" s="122">
        <v>2.173624740673139</v>
      </c>
      <c r="Y36" s="122">
        <v>11283.68</v>
      </c>
      <c r="Z36" s="122">
        <v>12296.59</v>
      </c>
    </row>
    <row r="37" spans="1:26" ht="15" customHeight="1" x14ac:dyDescent="0.35">
      <c r="A37" s="139">
        <v>8332</v>
      </c>
      <c r="B37" s="3"/>
      <c r="C37" s="141" t="s">
        <v>411</v>
      </c>
      <c r="D37" s="120">
        <v>13355.19</v>
      </c>
      <c r="E37" s="120">
        <v>279.1927</v>
      </c>
      <c r="F37" s="121">
        <v>2.09051836776564</v>
      </c>
      <c r="G37" s="120">
        <v>12895.92</v>
      </c>
      <c r="H37" s="120">
        <v>13814.46</v>
      </c>
      <c r="J37" t="s">
        <v>327</v>
      </c>
      <c r="K37" t="s">
        <v>673</v>
      </c>
      <c r="L37" t="s">
        <v>672</v>
      </c>
      <c r="M37">
        <v>15781.58</v>
      </c>
      <c r="N37">
        <v>1452.49</v>
      </c>
      <c r="O37" s="122">
        <v>9.2037045720390473</v>
      </c>
      <c r="P37">
        <v>12895.06</v>
      </c>
      <c r="Q37">
        <v>18668.099999999999</v>
      </c>
      <c r="R37" s="124"/>
      <c r="S37" t="s">
        <v>487</v>
      </c>
      <c r="T37" t="s">
        <v>709</v>
      </c>
      <c r="U37" t="s">
        <v>708</v>
      </c>
      <c r="V37" s="122">
        <v>12166.84</v>
      </c>
      <c r="W37" s="122">
        <v>268.7869</v>
      </c>
      <c r="X37" s="122">
        <v>2.2091759240690267</v>
      </c>
      <c r="Y37" s="122">
        <v>11631.93</v>
      </c>
      <c r="Z37" s="122">
        <v>12701.74</v>
      </c>
    </row>
    <row r="38" spans="1:26" ht="15" customHeight="1" x14ac:dyDescent="0.35">
      <c r="A38" s="139">
        <v>8342</v>
      </c>
      <c r="B38" s="3"/>
      <c r="C38" s="141" t="s">
        <v>1167</v>
      </c>
      <c r="D38" s="120">
        <v>16200.86</v>
      </c>
      <c r="E38" s="120">
        <v>1025.326</v>
      </c>
      <c r="F38" s="121">
        <v>6.3288368642158508</v>
      </c>
      <c r="G38" s="120">
        <v>14514.21</v>
      </c>
      <c r="H38" s="120">
        <v>17887.5</v>
      </c>
      <c r="J38" t="s">
        <v>327</v>
      </c>
      <c r="K38" t="s">
        <v>618</v>
      </c>
      <c r="L38" t="s">
        <v>617</v>
      </c>
      <c r="M38">
        <v>12624.53</v>
      </c>
      <c r="N38">
        <v>1261.7850000000001</v>
      </c>
      <c r="O38" s="122">
        <v>9.9947087139085582</v>
      </c>
      <c r="P38">
        <v>10117</v>
      </c>
      <c r="Q38">
        <v>15132.06</v>
      </c>
      <c r="R38" s="124"/>
      <c r="S38" t="s">
        <v>438</v>
      </c>
      <c r="T38" t="s">
        <v>448</v>
      </c>
      <c r="U38" t="s">
        <v>447</v>
      </c>
      <c r="V38" s="122">
        <v>29099.32</v>
      </c>
      <c r="W38" s="122">
        <v>654.78489999999999</v>
      </c>
      <c r="X38" s="122">
        <v>2.2501725126222878</v>
      </c>
      <c r="Y38" s="122">
        <v>27812.959999999999</v>
      </c>
      <c r="Z38" s="122">
        <v>30385.68</v>
      </c>
    </row>
    <row r="39" spans="1:26" ht="15" customHeight="1" x14ac:dyDescent="0.35">
      <c r="A39" s="117">
        <v>9000</v>
      </c>
      <c r="B39" s="118" t="s">
        <v>1350</v>
      </c>
      <c r="C39" s="116" t="s">
        <v>1207</v>
      </c>
      <c r="D39" s="120">
        <v>11883.65</v>
      </c>
      <c r="E39" s="120">
        <v>184.38730000000001</v>
      </c>
      <c r="F39" s="121">
        <v>1.5516049361938462</v>
      </c>
      <c r="G39" s="120">
        <v>11580.34</v>
      </c>
      <c r="H39" s="120">
        <v>12186.97</v>
      </c>
      <c r="J39" t="s">
        <v>327</v>
      </c>
      <c r="K39" t="s">
        <v>5</v>
      </c>
      <c r="L39" t="s">
        <v>922</v>
      </c>
      <c r="M39">
        <v>10464.290000000001</v>
      </c>
      <c r="N39">
        <v>421.3424</v>
      </c>
      <c r="O39" s="122">
        <v>4.0264786239677992</v>
      </c>
      <c r="P39">
        <v>9626.9570000000003</v>
      </c>
      <c r="Q39">
        <v>11301.62</v>
      </c>
      <c r="R39" s="124"/>
      <c r="S39" t="s">
        <v>606</v>
      </c>
      <c r="T39" t="s">
        <v>637</v>
      </c>
      <c r="U39" t="s">
        <v>636</v>
      </c>
      <c r="V39" s="122">
        <v>13897.69</v>
      </c>
      <c r="W39" s="122">
        <v>313.42860000000002</v>
      </c>
      <c r="X39" s="122">
        <v>2.2552568088653584</v>
      </c>
      <c r="Y39" s="122">
        <v>13282.03</v>
      </c>
      <c r="Z39" s="122">
        <v>14513.36</v>
      </c>
    </row>
    <row r="40" spans="1:26" ht="15" customHeight="1" x14ac:dyDescent="0.35">
      <c r="A40" s="132"/>
      <c r="B40" s="130"/>
      <c r="C40" s="131"/>
      <c r="D40" s="120"/>
      <c r="E40" s="120"/>
      <c r="F40" s="121"/>
      <c r="G40" s="120"/>
      <c r="H40" s="120"/>
      <c r="S40" t="s">
        <v>784</v>
      </c>
      <c r="T40" t="s">
        <v>320</v>
      </c>
      <c r="U40" t="s">
        <v>962</v>
      </c>
      <c r="V40" s="122">
        <v>12458.6</v>
      </c>
      <c r="W40" s="122">
        <v>284.26479999999998</v>
      </c>
      <c r="X40" s="122">
        <v>2.2816753086221562</v>
      </c>
      <c r="Y40" s="122">
        <v>11896.83</v>
      </c>
      <c r="Z40" s="122">
        <v>13020.38</v>
      </c>
    </row>
    <row r="41" spans="1:26" ht="15" customHeight="1" x14ac:dyDescent="0.35">
      <c r="A41" s="6" t="s">
        <v>506</v>
      </c>
      <c r="B41" s="142"/>
      <c r="C41" s="143" t="s">
        <v>986</v>
      </c>
      <c r="D41" s="120"/>
      <c r="E41" s="120"/>
      <c r="F41" s="121"/>
      <c r="G41" s="120"/>
      <c r="H41" s="120"/>
      <c r="S41" t="s">
        <v>487</v>
      </c>
      <c r="T41" t="s">
        <v>5</v>
      </c>
      <c r="U41" t="s">
        <v>697</v>
      </c>
      <c r="V41" s="122">
        <v>12391.34</v>
      </c>
      <c r="W41" s="122">
        <v>285.30369999999999</v>
      </c>
      <c r="X41" s="122">
        <v>2.3024442877041547</v>
      </c>
      <c r="Y41" s="122">
        <v>11823.57</v>
      </c>
      <c r="Z41" s="122">
        <v>12959.11</v>
      </c>
    </row>
    <row r="42" spans="1:26" ht="15" customHeight="1" x14ac:dyDescent="0.35">
      <c r="A42" s="139">
        <v>2114</v>
      </c>
      <c r="B42" s="3"/>
      <c r="C42" s="141" t="s">
        <v>175</v>
      </c>
      <c r="D42" s="120">
        <v>40017.32</v>
      </c>
      <c r="E42" s="120">
        <v>2556.9090000000001</v>
      </c>
      <c r="F42" s="121">
        <v>6.3895058439695616</v>
      </c>
      <c r="G42" s="120">
        <v>35811.25</v>
      </c>
      <c r="H42" s="120">
        <v>44223.4</v>
      </c>
      <c r="J42" t="s">
        <v>506</v>
      </c>
      <c r="K42" t="s">
        <v>174</v>
      </c>
      <c r="L42" t="s">
        <v>845</v>
      </c>
      <c r="M42">
        <v>43815.6</v>
      </c>
      <c r="N42">
        <v>2746.7750000000001</v>
      </c>
      <c r="O42" s="122">
        <v>6.2689430248587268</v>
      </c>
      <c r="P42">
        <v>38356.959999999999</v>
      </c>
      <c r="Q42">
        <v>49274.239999999998</v>
      </c>
      <c r="R42" s="124"/>
      <c r="S42" t="s">
        <v>667</v>
      </c>
      <c r="T42" t="s">
        <v>5</v>
      </c>
      <c r="U42" t="s">
        <v>932</v>
      </c>
      <c r="V42" s="122">
        <v>12174.47</v>
      </c>
      <c r="W42" s="122">
        <v>283.46019999999999</v>
      </c>
      <c r="X42" s="122">
        <v>2.3283165509463655</v>
      </c>
      <c r="Y42" s="122">
        <v>11601.58</v>
      </c>
      <c r="Z42" s="122">
        <v>12747.36</v>
      </c>
    </row>
    <row r="43" spans="1:26" ht="15" customHeight="1" x14ac:dyDescent="0.35">
      <c r="A43" s="139">
        <v>2146</v>
      </c>
      <c r="B43" s="3"/>
      <c r="C43" s="141" t="s">
        <v>984</v>
      </c>
      <c r="D43" s="120">
        <v>39380.1</v>
      </c>
      <c r="E43" s="120">
        <v>2050.3220000000001</v>
      </c>
      <c r="F43" s="121">
        <v>5.2064926193686665</v>
      </c>
      <c r="G43" s="120">
        <v>36007.35</v>
      </c>
      <c r="H43" s="120">
        <v>42752.85</v>
      </c>
      <c r="J43" t="s">
        <v>506</v>
      </c>
      <c r="K43" t="s">
        <v>516</v>
      </c>
      <c r="L43" t="s">
        <v>936</v>
      </c>
      <c r="M43">
        <v>38615.06</v>
      </c>
      <c r="N43">
        <v>1498.153</v>
      </c>
      <c r="O43" s="122">
        <v>3.8797116979748316</v>
      </c>
      <c r="P43">
        <v>35637.800000000003</v>
      </c>
      <c r="Q43">
        <v>41592.32</v>
      </c>
      <c r="R43" s="124"/>
      <c r="S43" t="s">
        <v>22</v>
      </c>
      <c r="T43" t="s">
        <v>14</v>
      </c>
      <c r="U43" t="s">
        <v>26</v>
      </c>
      <c r="V43" s="122">
        <v>16195.03</v>
      </c>
      <c r="W43" s="122">
        <v>378.94029999999998</v>
      </c>
      <c r="X43" s="122">
        <v>2.3398554988783595</v>
      </c>
      <c r="Y43" s="122">
        <v>15450.76</v>
      </c>
      <c r="Z43" s="122">
        <v>16939.29</v>
      </c>
    </row>
    <row r="44" spans="1:26" ht="15" customHeight="1" x14ac:dyDescent="0.35">
      <c r="A44" s="139">
        <v>3117</v>
      </c>
      <c r="B44" s="3"/>
      <c r="C44" s="141" t="s">
        <v>983</v>
      </c>
      <c r="D44" s="120">
        <v>24951.74</v>
      </c>
      <c r="E44" s="120">
        <v>1136.396</v>
      </c>
      <c r="F44" s="121">
        <v>4.5543757669805789</v>
      </c>
      <c r="G44" s="120">
        <v>23082.38</v>
      </c>
      <c r="H44" s="120">
        <v>26821.09</v>
      </c>
      <c r="J44" t="s">
        <v>506</v>
      </c>
      <c r="K44" t="s">
        <v>602</v>
      </c>
      <c r="L44" t="s">
        <v>930</v>
      </c>
      <c r="M44">
        <v>21357.69</v>
      </c>
      <c r="N44">
        <v>848.8646</v>
      </c>
      <c r="O44" s="122">
        <v>3.9745150341633386</v>
      </c>
      <c r="P44">
        <v>19670.75</v>
      </c>
      <c r="Q44">
        <v>23044.63</v>
      </c>
      <c r="R44" s="124"/>
      <c r="S44" t="s">
        <v>592</v>
      </c>
      <c r="T44" t="s">
        <v>333</v>
      </c>
      <c r="U44" t="s">
        <v>594</v>
      </c>
      <c r="V44" s="122">
        <v>13899.21</v>
      </c>
      <c r="W44" s="122">
        <v>329.452</v>
      </c>
      <c r="X44" s="122">
        <v>2.3702929878748504</v>
      </c>
      <c r="Y44" s="122">
        <v>13253.2</v>
      </c>
      <c r="Z44" s="122">
        <v>14545.21</v>
      </c>
    </row>
    <row r="45" spans="1:26" ht="15" customHeight="1" x14ac:dyDescent="0.35">
      <c r="A45" s="139">
        <v>3121</v>
      </c>
      <c r="B45" s="3"/>
      <c r="C45" s="141" t="s">
        <v>982</v>
      </c>
      <c r="D45" s="120">
        <v>33764.660000000003</v>
      </c>
      <c r="E45" s="120">
        <v>1965.605</v>
      </c>
      <c r="F45" s="121">
        <v>5.8214861337268013</v>
      </c>
      <c r="G45" s="120">
        <v>30531.26</v>
      </c>
      <c r="H45" s="120">
        <v>36998.050000000003</v>
      </c>
      <c r="J45" t="s">
        <v>506</v>
      </c>
      <c r="K45" t="s">
        <v>519</v>
      </c>
      <c r="L45" t="s">
        <v>518</v>
      </c>
      <c r="M45">
        <v>34630.199999999997</v>
      </c>
      <c r="N45">
        <v>4252.8990000000003</v>
      </c>
      <c r="O45" s="122">
        <v>12.28089644298907</v>
      </c>
      <c r="P45">
        <v>26178.46</v>
      </c>
      <c r="Q45">
        <v>43081.94</v>
      </c>
      <c r="R45" s="124"/>
      <c r="S45" t="s">
        <v>650</v>
      </c>
      <c r="T45" t="s">
        <v>5</v>
      </c>
      <c r="U45" t="s">
        <v>855</v>
      </c>
      <c r="V45" s="122">
        <v>12846.97</v>
      </c>
      <c r="W45" s="122">
        <v>304.73930000000001</v>
      </c>
      <c r="X45" s="122">
        <v>2.3720713911529336</v>
      </c>
      <c r="Y45" s="122">
        <v>12245.84</v>
      </c>
      <c r="Z45" s="122">
        <v>13448.1</v>
      </c>
    </row>
    <row r="46" spans="1:26" ht="15" customHeight="1" x14ac:dyDescent="0.35">
      <c r="A46" s="139">
        <v>4110</v>
      </c>
      <c r="B46" s="3"/>
      <c r="C46" s="141" t="s">
        <v>1156</v>
      </c>
      <c r="D46" s="120">
        <v>19973.46</v>
      </c>
      <c r="E46" s="120">
        <v>891.71180000000004</v>
      </c>
      <c r="F46" s="121">
        <v>4.4644833694312362</v>
      </c>
      <c r="G46" s="120">
        <v>18506.61</v>
      </c>
      <c r="H46" s="120">
        <v>21440.31</v>
      </c>
      <c r="O46" s="122"/>
      <c r="R46" s="124"/>
    </row>
    <row r="47" spans="1:26" ht="15" customHeight="1" x14ac:dyDescent="0.35">
      <c r="A47" s="139">
        <v>7542</v>
      </c>
      <c r="B47" s="3"/>
      <c r="C47" s="141" t="s">
        <v>980</v>
      </c>
      <c r="D47" s="120">
        <v>20707.580000000002</v>
      </c>
      <c r="E47" s="120">
        <v>723.59429999999998</v>
      </c>
      <c r="F47" s="121">
        <v>3.4943450659130613</v>
      </c>
      <c r="G47" s="120">
        <v>19517.27</v>
      </c>
      <c r="H47" s="120">
        <v>21897.88</v>
      </c>
      <c r="O47" s="122"/>
      <c r="R47" s="124"/>
    </row>
    <row r="48" spans="1:26" ht="15" customHeight="1" x14ac:dyDescent="0.35">
      <c r="A48" s="139">
        <v>8111</v>
      </c>
      <c r="B48" s="3"/>
      <c r="C48" s="141" t="s">
        <v>979</v>
      </c>
      <c r="D48" s="120">
        <v>18971.71</v>
      </c>
      <c r="E48" s="120">
        <v>1073.6289999999999</v>
      </c>
      <c r="F48" s="121">
        <v>5.6591050569505859</v>
      </c>
      <c r="G48" s="120">
        <v>17205.61</v>
      </c>
      <c r="H48" s="120">
        <v>20737.82</v>
      </c>
      <c r="J48" t="s">
        <v>506</v>
      </c>
      <c r="K48" t="s">
        <v>14</v>
      </c>
      <c r="L48" t="s">
        <v>981</v>
      </c>
      <c r="M48">
        <v>22771.91</v>
      </c>
      <c r="N48">
        <v>3104.114</v>
      </c>
      <c r="O48" s="122">
        <v>13.631329124346619</v>
      </c>
      <c r="P48">
        <v>16603.14</v>
      </c>
      <c r="Q48">
        <v>28940.69</v>
      </c>
      <c r="R48" s="124"/>
      <c r="S48" t="s">
        <v>606</v>
      </c>
      <c r="T48" t="s">
        <v>14</v>
      </c>
      <c r="U48" t="s">
        <v>643</v>
      </c>
      <c r="V48" s="122">
        <v>19998.740000000002</v>
      </c>
      <c r="W48" s="122">
        <v>477.45359999999999</v>
      </c>
      <c r="X48" s="122">
        <v>2.3874184073596636</v>
      </c>
      <c r="Y48" s="122">
        <v>19060.89</v>
      </c>
      <c r="Z48" s="122">
        <v>20936.599999999999</v>
      </c>
    </row>
    <row r="49" spans="1:26" ht="15" customHeight="1" x14ac:dyDescent="0.35">
      <c r="A49" s="139">
        <v>8112</v>
      </c>
      <c r="B49" s="3"/>
      <c r="C49" s="141" t="s">
        <v>978</v>
      </c>
      <c r="D49" s="120">
        <v>15647.12</v>
      </c>
      <c r="E49" s="120">
        <v>2245.2669999999998</v>
      </c>
      <c r="F49" s="121">
        <v>14.349394648983324</v>
      </c>
      <c r="G49" s="120">
        <v>11953.69</v>
      </c>
      <c r="H49" s="120">
        <v>19340.55</v>
      </c>
      <c r="J49" t="s">
        <v>506</v>
      </c>
      <c r="K49" t="s">
        <v>976</v>
      </c>
      <c r="L49" t="s">
        <v>975</v>
      </c>
      <c r="M49">
        <v>20384.3</v>
      </c>
      <c r="N49">
        <v>583.37049999999999</v>
      </c>
      <c r="O49" s="122">
        <v>2.86186182503201</v>
      </c>
      <c r="P49">
        <v>19224.97</v>
      </c>
      <c r="Q49">
        <v>21543.62</v>
      </c>
      <c r="R49" s="124"/>
      <c r="S49" t="s">
        <v>574</v>
      </c>
      <c r="T49" t="s">
        <v>5</v>
      </c>
      <c r="U49" t="s">
        <v>877</v>
      </c>
      <c r="V49" s="122">
        <v>11990.56</v>
      </c>
      <c r="W49" s="122">
        <v>289.22919999999999</v>
      </c>
      <c r="X49" s="122">
        <v>2.4121408841622078</v>
      </c>
      <c r="Y49" s="122">
        <v>11403.4</v>
      </c>
      <c r="Z49" s="122">
        <v>12577.73</v>
      </c>
    </row>
    <row r="50" spans="1:26" ht="15" customHeight="1" x14ac:dyDescent="0.35">
      <c r="A50" s="139">
        <v>8332</v>
      </c>
      <c r="B50" s="3"/>
      <c r="C50" s="141" t="s">
        <v>411</v>
      </c>
      <c r="D50" s="120">
        <v>16548.82</v>
      </c>
      <c r="E50" s="120">
        <v>1009.5839999999999</v>
      </c>
      <c r="F50" s="121">
        <v>6.1006404081982879</v>
      </c>
      <c r="G50" s="120">
        <v>14888.07</v>
      </c>
      <c r="H50" s="120">
        <v>18209.57</v>
      </c>
      <c r="J50" t="s">
        <v>506</v>
      </c>
      <c r="K50" t="s">
        <v>819</v>
      </c>
      <c r="L50" t="s">
        <v>818</v>
      </c>
      <c r="M50">
        <v>18843.2</v>
      </c>
      <c r="N50">
        <v>1259.6489999999999</v>
      </c>
      <c r="O50" s="122">
        <v>6.6848995924259134</v>
      </c>
      <c r="P50">
        <v>16339.91</v>
      </c>
      <c r="Q50">
        <v>21346.49</v>
      </c>
      <c r="R50" s="124"/>
      <c r="S50" t="s">
        <v>22</v>
      </c>
      <c r="T50" t="s">
        <v>47</v>
      </c>
      <c r="U50" t="s">
        <v>46</v>
      </c>
      <c r="V50" s="122">
        <v>20715.439999999999</v>
      </c>
      <c r="W50" s="122">
        <v>500.20080000000002</v>
      </c>
      <c r="X50" s="122">
        <v>2.4146279296988142</v>
      </c>
      <c r="Y50" s="122">
        <v>19733.02</v>
      </c>
      <c r="Z50" s="122">
        <v>21697.87</v>
      </c>
    </row>
    <row r="51" spans="1:26" ht="15" customHeight="1" x14ac:dyDescent="0.35">
      <c r="A51" s="139">
        <v>8342</v>
      </c>
      <c r="B51" s="3"/>
      <c r="C51" s="141" t="s">
        <v>1167</v>
      </c>
      <c r="D51" s="120">
        <v>19528.22</v>
      </c>
      <c r="E51" s="120">
        <v>1489.8920000000001</v>
      </c>
      <c r="F51" s="121">
        <v>7.629430639351666</v>
      </c>
      <c r="G51" s="120">
        <v>17077.37</v>
      </c>
      <c r="H51" s="120">
        <v>21979.07</v>
      </c>
      <c r="J51" t="s">
        <v>506</v>
      </c>
      <c r="K51" t="s">
        <v>673</v>
      </c>
      <c r="L51" t="s">
        <v>837</v>
      </c>
      <c r="M51">
        <v>18739.46</v>
      </c>
      <c r="N51">
        <v>1226.001</v>
      </c>
      <c r="O51" s="122">
        <v>6.5423496728294204</v>
      </c>
      <c r="P51">
        <v>16303.04</v>
      </c>
      <c r="Q51">
        <v>21175.88</v>
      </c>
      <c r="R51" s="124"/>
      <c r="S51" t="s">
        <v>592</v>
      </c>
      <c r="T51" t="s">
        <v>202</v>
      </c>
      <c r="U51" t="s">
        <v>612</v>
      </c>
      <c r="V51" s="122">
        <v>15450.73</v>
      </c>
      <c r="W51" s="122">
        <v>374.79509999999999</v>
      </c>
      <c r="X51" s="122">
        <v>2.425743638002865</v>
      </c>
      <c r="Y51" s="122">
        <v>14715.82</v>
      </c>
      <c r="Z51" s="122">
        <v>16185.65</v>
      </c>
    </row>
    <row r="52" spans="1:26" ht="15" customHeight="1" x14ac:dyDescent="0.35">
      <c r="A52" s="117">
        <v>9000</v>
      </c>
      <c r="B52" s="118" t="s">
        <v>1350</v>
      </c>
      <c r="C52" s="116" t="s">
        <v>1207</v>
      </c>
      <c r="D52" s="120">
        <v>12965.4</v>
      </c>
      <c r="E52" s="120">
        <v>233.26480000000001</v>
      </c>
      <c r="F52" s="121">
        <v>1.7991330772671881</v>
      </c>
      <c r="G52" s="120">
        <v>12581.69</v>
      </c>
      <c r="H52" s="120">
        <v>13349.12</v>
      </c>
      <c r="J52" t="s">
        <v>506</v>
      </c>
      <c r="K52" t="s">
        <v>5</v>
      </c>
      <c r="L52" t="s">
        <v>505</v>
      </c>
      <c r="M52">
        <v>15294.69</v>
      </c>
      <c r="N52">
        <v>1901.845</v>
      </c>
      <c r="O52" s="122">
        <v>12.434675040814819</v>
      </c>
      <c r="P52">
        <v>11515.18</v>
      </c>
      <c r="Q52">
        <v>19074.21</v>
      </c>
      <c r="R52" s="124"/>
      <c r="S52" t="s">
        <v>571</v>
      </c>
      <c r="T52" t="s">
        <v>5</v>
      </c>
      <c r="U52" t="s">
        <v>966</v>
      </c>
      <c r="V52" s="122">
        <v>11537.53</v>
      </c>
      <c r="W52" s="122">
        <v>285.8578</v>
      </c>
      <c r="X52" s="122">
        <v>2.4776342943420295</v>
      </c>
      <c r="Y52" s="122">
        <v>10966.64</v>
      </c>
      <c r="Z52" s="122">
        <v>12108.43</v>
      </c>
    </row>
    <row r="53" spans="1:26" ht="15" customHeight="1" x14ac:dyDescent="0.35">
      <c r="A53" s="132"/>
      <c r="B53" s="130"/>
      <c r="C53" s="131"/>
      <c r="D53" s="120"/>
      <c r="E53" s="120"/>
      <c r="F53" s="121"/>
      <c r="G53" s="120"/>
      <c r="H53" s="120"/>
      <c r="S53" t="s">
        <v>667</v>
      </c>
      <c r="T53" t="s">
        <v>938</v>
      </c>
      <c r="U53" t="s">
        <v>937</v>
      </c>
      <c r="V53" s="122">
        <v>11932.64</v>
      </c>
      <c r="W53" s="122">
        <v>299.54410000000001</v>
      </c>
      <c r="X53" s="122">
        <v>2.5102919387495142</v>
      </c>
      <c r="Y53" s="122">
        <v>11327.23</v>
      </c>
      <c r="Z53" s="122">
        <v>12538.04</v>
      </c>
    </row>
    <row r="54" spans="1:26" ht="15" customHeight="1" x14ac:dyDescent="0.35">
      <c r="A54" s="4" t="s">
        <v>1064</v>
      </c>
      <c r="B54" s="130"/>
      <c r="C54" s="144" t="s">
        <v>1172</v>
      </c>
      <c r="D54" s="120"/>
      <c r="E54" s="120"/>
      <c r="F54" s="121"/>
      <c r="G54" s="120"/>
      <c r="H54" s="120"/>
    </row>
    <row r="55" spans="1:26" ht="15" customHeight="1" x14ac:dyDescent="0.35">
      <c r="A55" s="117">
        <v>4110</v>
      </c>
      <c r="B55" s="130"/>
      <c r="C55" s="116" t="s">
        <v>1156</v>
      </c>
      <c r="D55" s="120">
        <v>21870.45</v>
      </c>
      <c r="E55" s="120">
        <v>1624.9280000000001</v>
      </c>
      <c r="F55" s="121">
        <v>7.4297876815520487</v>
      </c>
      <c r="G55" s="120">
        <v>19197.47</v>
      </c>
      <c r="H55" s="120">
        <v>24543.439999999999</v>
      </c>
    </row>
    <row r="56" spans="1:26" ht="15" customHeight="1" x14ac:dyDescent="0.35">
      <c r="A56" s="117">
        <v>9000</v>
      </c>
      <c r="B56" s="118" t="s">
        <v>1350</v>
      </c>
      <c r="C56" s="116" t="s">
        <v>1207</v>
      </c>
      <c r="D56" s="120">
        <v>13655.48</v>
      </c>
      <c r="E56" s="120">
        <v>225.67609999999999</v>
      </c>
      <c r="F56" s="121">
        <v>1.6526412839387556</v>
      </c>
      <c r="G56" s="120">
        <v>13284.25</v>
      </c>
      <c r="H56" s="120">
        <v>14026.71</v>
      </c>
    </row>
    <row r="57" spans="1:26" ht="15" customHeight="1" x14ac:dyDescent="0.35">
      <c r="A57" s="117"/>
      <c r="B57" s="118"/>
      <c r="C57" s="131"/>
      <c r="D57" s="120"/>
      <c r="E57" s="120"/>
      <c r="F57" s="121"/>
      <c r="G57" s="120"/>
      <c r="H57" s="120"/>
    </row>
    <row r="58" spans="1:26" ht="15" customHeight="1" x14ac:dyDescent="0.35">
      <c r="A58" s="4" t="s">
        <v>330</v>
      </c>
      <c r="B58" s="145"/>
      <c r="C58" s="126" t="s">
        <v>977</v>
      </c>
      <c r="D58" s="120"/>
      <c r="E58" s="120"/>
      <c r="F58" s="121"/>
      <c r="G58" s="120"/>
      <c r="H58" s="120"/>
      <c r="S58" t="s">
        <v>54</v>
      </c>
      <c r="T58" t="s">
        <v>14</v>
      </c>
      <c r="U58" t="s">
        <v>55</v>
      </c>
      <c r="V58" s="122">
        <v>18188</v>
      </c>
      <c r="W58" s="122">
        <v>460.85539999999997</v>
      </c>
      <c r="X58" s="122">
        <v>2.5338431933142731</v>
      </c>
      <c r="Y58" s="122">
        <v>17283.54</v>
      </c>
      <c r="Z58" s="122">
        <v>19092.46</v>
      </c>
    </row>
    <row r="59" spans="1:26" ht="15" customHeight="1" x14ac:dyDescent="0.35">
      <c r="A59" s="139">
        <v>2145</v>
      </c>
      <c r="B59" s="3"/>
      <c r="C59" s="141" t="s">
        <v>864</v>
      </c>
      <c r="D59" s="120">
        <v>57044.22</v>
      </c>
      <c r="E59" s="120">
        <v>4797.12</v>
      </c>
      <c r="F59" s="121">
        <v>8.4094760170267904</v>
      </c>
      <c r="G59" s="120">
        <v>49153.02</v>
      </c>
      <c r="H59" s="120">
        <v>64935.41</v>
      </c>
      <c r="J59" t="s">
        <v>330</v>
      </c>
      <c r="K59" t="s">
        <v>358</v>
      </c>
      <c r="L59" t="s">
        <v>357</v>
      </c>
      <c r="M59">
        <v>34953.47</v>
      </c>
      <c r="N59">
        <v>6619.5230000000001</v>
      </c>
      <c r="O59" s="122">
        <v>18.938099707983213</v>
      </c>
      <c r="P59">
        <v>21952.36</v>
      </c>
      <c r="Q59">
        <v>47954.57</v>
      </c>
      <c r="R59" s="124"/>
      <c r="S59" t="s">
        <v>54</v>
      </c>
      <c r="T59" t="s">
        <v>70</v>
      </c>
      <c r="U59" t="s">
        <v>69</v>
      </c>
      <c r="V59" s="122">
        <v>17652.84</v>
      </c>
      <c r="W59" s="122">
        <v>454.47640000000001</v>
      </c>
      <c r="X59" s="122">
        <v>2.5745228529800306</v>
      </c>
      <c r="Y59" s="122">
        <v>16760.89</v>
      </c>
      <c r="Z59" s="122">
        <v>18544.78</v>
      </c>
    </row>
    <row r="60" spans="1:26" ht="15" customHeight="1" x14ac:dyDescent="0.35">
      <c r="A60" s="139">
        <v>3116</v>
      </c>
      <c r="B60" s="3"/>
      <c r="C60" s="141" t="s">
        <v>863</v>
      </c>
      <c r="D60" s="120">
        <v>24805.57</v>
      </c>
      <c r="E60" s="120">
        <v>1254.4390000000001</v>
      </c>
      <c r="F60" s="121">
        <v>5.0570859689980923</v>
      </c>
      <c r="G60" s="120">
        <v>22742.04</v>
      </c>
      <c r="H60" s="120">
        <v>26869.11</v>
      </c>
      <c r="J60" t="s">
        <v>330</v>
      </c>
      <c r="K60" t="s">
        <v>329</v>
      </c>
      <c r="L60" t="s">
        <v>328</v>
      </c>
      <c r="M60">
        <v>34231.22</v>
      </c>
      <c r="N60">
        <v>7815.2349999999997</v>
      </c>
      <c r="O60" s="122">
        <v>22.830722948232633</v>
      </c>
      <c r="P60">
        <v>18881.669999999998</v>
      </c>
      <c r="Q60">
        <v>49580.78</v>
      </c>
      <c r="R60" s="124"/>
      <c r="S60" t="s">
        <v>667</v>
      </c>
      <c r="T60" t="s">
        <v>941</v>
      </c>
      <c r="U60" t="s">
        <v>940</v>
      </c>
      <c r="V60" s="122">
        <v>12054.68</v>
      </c>
      <c r="W60" s="122">
        <v>310.68380000000002</v>
      </c>
      <c r="X60" s="122">
        <v>2.5772878251434301</v>
      </c>
      <c r="Y60" s="122">
        <v>11426.77</v>
      </c>
      <c r="Z60" s="122">
        <v>12682.6</v>
      </c>
    </row>
    <row r="61" spans="1:26" ht="15" customHeight="1" x14ac:dyDescent="0.35">
      <c r="A61" s="139">
        <v>3122</v>
      </c>
      <c r="B61" s="3"/>
      <c r="C61" s="141" t="s">
        <v>729</v>
      </c>
      <c r="D61" s="120">
        <v>27995.86</v>
      </c>
      <c r="E61" s="120">
        <v>1687.472</v>
      </c>
      <c r="F61" s="121">
        <v>6.0275769345896135</v>
      </c>
      <c r="G61" s="120">
        <v>25220</v>
      </c>
      <c r="H61" s="120">
        <v>30771.73</v>
      </c>
      <c r="J61" t="s">
        <v>330</v>
      </c>
      <c r="K61" t="s">
        <v>440</v>
      </c>
      <c r="L61" t="s">
        <v>758</v>
      </c>
      <c r="M61">
        <v>28044.6</v>
      </c>
      <c r="N61">
        <v>2131.5450000000001</v>
      </c>
      <c r="O61" s="122">
        <v>7.6005541173701898</v>
      </c>
      <c r="P61">
        <v>23858.12</v>
      </c>
      <c r="Q61">
        <v>32231.07</v>
      </c>
      <c r="R61" s="124"/>
      <c r="S61" t="s">
        <v>373</v>
      </c>
      <c r="T61" t="s">
        <v>14</v>
      </c>
      <c r="U61" t="s">
        <v>389</v>
      </c>
      <c r="V61" s="122">
        <v>17501.09</v>
      </c>
      <c r="W61" s="122">
        <v>452.87740000000002</v>
      </c>
      <c r="X61" s="122">
        <v>2.5877096797970869</v>
      </c>
      <c r="Y61" s="122">
        <v>16611.86</v>
      </c>
      <c r="Z61" s="122">
        <v>18390.310000000001</v>
      </c>
    </row>
    <row r="62" spans="1:26" ht="15" customHeight="1" x14ac:dyDescent="0.35">
      <c r="A62" s="139">
        <v>3257</v>
      </c>
      <c r="B62" s="3"/>
      <c r="C62" s="141" t="s">
        <v>727</v>
      </c>
      <c r="D62" s="120">
        <v>20633.23</v>
      </c>
      <c r="E62" s="120">
        <v>705.82929999999999</v>
      </c>
      <c r="F62" s="121">
        <v>3.4208376487830554</v>
      </c>
      <c r="G62" s="120">
        <v>19472.16</v>
      </c>
      <c r="H62" s="120">
        <v>21794.31</v>
      </c>
      <c r="O62" s="122"/>
      <c r="R62" s="124"/>
    </row>
    <row r="63" spans="1:26" ht="15" customHeight="1" x14ac:dyDescent="0.35">
      <c r="A63" s="139">
        <v>4110</v>
      </c>
      <c r="B63" s="3"/>
      <c r="C63" s="141" t="s">
        <v>1156</v>
      </c>
      <c r="D63" s="120">
        <v>17169.330000000002</v>
      </c>
      <c r="E63" s="120">
        <v>295.27379999999999</v>
      </c>
      <c r="F63" s="121">
        <v>1.7197747378610579</v>
      </c>
      <c r="G63" s="120">
        <v>16683.61</v>
      </c>
      <c r="H63" s="120">
        <v>17655.05</v>
      </c>
      <c r="O63" s="122"/>
      <c r="R63" s="124"/>
    </row>
    <row r="64" spans="1:26" ht="15" customHeight="1" x14ac:dyDescent="0.35">
      <c r="A64" s="139">
        <v>4322</v>
      </c>
      <c r="B64" s="3"/>
      <c r="C64" s="141" t="s">
        <v>720</v>
      </c>
      <c r="D64" s="120">
        <v>14465.71</v>
      </c>
      <c r="E64" s="120">
        <v>310.99059999999997</v>
      </c>
      <c r="F64" s="121">
        <v>2.149846775581703</v>
      </c>
      <c r="G64" s="120">
        <v>13954.13</v>
      </c>
      <c r="H64" s="120">
        <v>14977.28</v>
      </c>
      <c r="O64" s="122"/>
      <c r="R64" s="124"/>
    </row>
    <row r="65" spans="1:26" ht="15" customHeight="1" x14ac:dyDescent="0.35">
      <c r="A65" s="117">
        <v>7511</v>
      </c>
      <c r="B65" s="130"/>
      <c r="C65" s="131" t="s">
        <v>1168</v>
      </c>
      <c r="D65" s="120">
        <v>12511.37</v>
      </c>
      <c r="E65" s="120">
        <v>481.78820000000002</v>
      </c>
      <c r="F65" s="121">
        <v>3.8508029096733614</v>
      </c>
      <c r="G65" s="120">
        <v>11718.83</v>
      </c>
      <c r="H65" s="120">
        <v>13303.9</v>
      </c>
      <c r="J65" t="s">
        <v>330</v>
      </c>
      <c r="K65" t="s">
        <v>320</v>
      </c>
      <c r="L65" t="s">
        <v>838</v>
      </c>
      <c r="M65">
        <v>17837.71</v>
      </c>
      <c r="N65">
        <v>1163.0840000000001</v>
      </c>
      <c r="O65" s="122">
        <v>6.5203661232299437</v>
      </c>
      <c r="P65">
        <v>15553.35</v>
      </c>
      <c r="Q65">
        <v>20122.07</v>
      </c>
      <c r="R65" s="124"/>
      <c r="S65" t="s">
        <v>428</v>
      </c>
      <c r="T65" t="s">
        <v>430</v>
      </c>
      <c r="U65" t="s">
        <v>575</v>
      </c>
      <c r="V65" s="122">
        <v>14963.84</v>
      </c>
      <c r="W65" s="122">
        <v>399.92270000000002</v>
      </c>
      <c r="X65" s="122">
        <v>2.6725940667636117</v>
      </c>
      <c r="Y65" s="122">
        <v>14179.65</v>
      </c>
      <c r="Z65" s="122">
        <v>15748.03</v>
      </c>
    </row>
    <row r="66" spans="1:26" ht="15" customHeight="1" x14ac:dyDescent="0.35">
      <c r="A66" s="139">
        <v>7512</v>
      </c>
      <c r="B66" s="3"/>
      <c r="C66" s="141" t="s">
        <v>1169</v>
      </c>
      <c r="D66" s="120">
        <v>13042.16</v>
      </c>
      <c r="E66" s="120">
        <v>267.91820000000001</v>
      </c>
      <c r="F66" s="121">
        <v>2.0542471492452172</v>
      </c>
      <c r="G66" s="120">
        <v>12601.44</v>
      </c>
      <c r="H66" s="120">
        <v>13482.89</v>
      </c>
      <c r="J66" t="s">
        <v>330</v>
      </c>
      <c r="K66" t="s">
        <v>14</v>
      </c>
      <c r="L66" t="s">
        <v>974</v>
      </c>
      <c r="M66">
        <v>17792.38</v>
      </c>
      <c r="N66">
        <v>512.73919999999998</v>
      </c>
      <c r="O66" s="122">
        <v>2.8817909689428842</v>
      </c>
      <c r="P66">
        <v>16785.34</v>
      </c>
      <c r="Q66">
        <v>18799.43</v>
      </c>
      <c r="R66" s="124"/>
      <c r="S66" t="s">
        <v>606</v>
      </c>
      <c r="T66" t="s">
        <v>634</v>
      </c>
      <c r="U66" t="s">
        <v>633</v>
      </c>
      <c r="V66" s="122">
        <v>13883.53</v>
      </c>
      <c r="W66" s="122">
        <v>376.47699999999998</v>
      </c>
      <c r="X66" s="122">
        <v>2.7116806748715923</v>
      </c>
      <c r="Y66" s="122">
        <v>13144.02</v>
      </c>
      <c r="Z66" s="122">
        <v>14623.04</v>
      </c>
    </row>
    <row r="67" spans="1:26" ht="15" customHeight="1" x14ac:dyDescent="0.35">
      <c r="A67" s="139">
        <v>7513</v>
      </c>
      <c r="B67" s="3"/>
      <c r="C67" s="141" t="s">
        <v>1170</v>
      </c>
      <c r="D67" s="120">
        <v>17685.47</v>
      </c>
      <c r="E67" s="120">
        <v>2420.3919999999998</v>
      </c>
      <c r="F67" s="121">
        <v>13.685765772693628</v>
      </c>
      <c r="G67" s="120">
        <v>13703.96</v>
      </c>
      <c r="H67" s="120">
        <v>21666.98</v>
      </c>
      <c r="J67" t="s">
        <v>330</v>
      </c>
      <c r="K67" t="s">
        <v>304</v>
      </c>
      <c r="L67" t="s">
        <v>589</v>
      </c>
      <c r="M67">
        <v>16346.8</v>
      </c>
      <c r="N67">
        <v>1731.8520000000001</v>
      </c>
      <c r="O67" s="122">
        <v>10.594440502116623</v>
      </c>
      <c r="P67">
        <v>12945.35</v>
      </c>
      <c r="Q67">
        <v>19748.259999999998</v>
      </c>
      <c r="R67" s="124"/>
      <c r="S67" t="s">
        <v>22</v>
      </c>
      <c r="T67" t="s">
        <v>28</v>
      </c>
      <c r="U67" t="s">
        <v>27</v>
      </c>
      <c r="V67" s="122">
        <v>19055.72</v>
      </c>
      <c r="W67" s="122">
        <v>534.48500000000001</v>
      </c>
      <c r="X67" s="122">
        <v>2.8048533458720009</v>
      </c>
      <c r="Y67" s="122">
        <v>18005.96</v>
      </c>
      <c r="Z67" s="122">
        <v>20105.48</v>
      </c>
    </row>
    <row r="68" spans="1:26" ht="15" customHeight="1" x14ac:dyDescent="0.35">
      <c r="A68" s="139">
        <v>7514</v>
      </c>
      <c r="B68" s="3"/>
      <c r="C68" s="141" t="s">
        <v>1171</v>
      </c>
      <c r="D68" s="120">
        <v>12775.42</v>
      </c>
      <c r="E68" s="120">
        <v>1338.3330000000001</v>
      </c>
      <c r="F68" s="121">
        <v>10.475843455635902</v>
      </c>
      <c r="G68" s="120">
        <v>10573.88</v>
      </c>
      <c r="H68" s="120">
        <v>14976.95</v>
      </c>
      <c r="J68" t="s">
        <v>330</v>
      </c>
      <c r="K68" t="s">
        <v>577</v>
      </c>
      <c r="L68" t="s">
        <v>856</v>
      </c>
      <c r="M68">
        <v>14246.48</v>
      </c>
      <c r="N68">
        <v>844.71839999999997</v>
      </c>
      <c r="O68" s="122">
        <v>5.9293130654028223</v>
      </c>
      <c r="P68">
        <v>12587.4</v>
      </c>
      <c r="Q68">
        <v>15905.55</v>
      </c>
      <c r="R68" s="124"/>
      <c r="S68" t="s">
        <v>606</v>
      </c>
      <c r="T68" t="s">
        <v>5</v>
      </c>
      <c r="U68" t="s">
        <v>619</v>
      </c>
      <c r="V68" s="122">
        <v>12206.47</v>
      </c>
      <c r="W68" s="122">
        <v>343.26350000000002</v>
      </c>
      <c r="X68" s="122">
        <v>2.8121438876268079</v>
      </c>
      <c r="Y68" s="122">
        <v>11532.2</v>
      </c>
      <c r="Z68" s="122">
        <v>12880.73</v>
      </c>
    </row>
    <row r="69" spans="1:26" ht="15" customHeight="1" x14ac:dyDescent="0.35">
      <c r="A69" s="117">
        <v>8160</v>
      </c>
      <c r="B69" s="130"/>
      <c r="C69" s="131" t="s">
        <v>972</v>
      </c>
      <c r="D69" s="120">
        <v>14745.08</v>
      </c>
      <c r="E69" s="120">
        <v>250.5855</v>
      </c>
      <c r="F69" s="121">
        <v>1.6994516136908038</v>
      </c>
      <c r="G69" s="120">
        <v>14332.87</v>
      </c>
      <c r="H69" s="120">
        <v>15157.29</v>
      </c>
      <c r="J69" t="s">
        <v>330</v>
      </c>
      <c r="K69" t="s">
        <v>523</v>
      </c>
      <c r="L69" t="s">
        <v>835</v>
      </c>
      <c r="M69">
        <v>15691.56</v>
      </c>
      <c r="N69">
        <v>1027.278</v>
      </c>
      <c r="O69" s="122">
        <v>6.5466913423521937</v>
      </c>
      <c r="P69">
        <v>13673.93</v>
      </c>
      <c r="Q69">
        <v>17709.189999999999</v>
      </c>
      <c r="R69" s="124"/>
      <c r="S69" t="s">
        <v>568</v>
      </c>
      <c r="T69" t="s">
        <v>345</v>
      </c>
      <c r="U69" t="s">
        <v>908</v>
      </c>
      <c r="V69" s="122">
        <v>13407.66</v>
      </c>
      <c r="W69" s="122">
        <v>383.17899999999997</v>
      </c>
      <c r="X69" s="122">
        <v>2.8579110747140066</v>
      </c>
      <c r="Y69" s="122">
        <v>12646.63</v>
      </c>
      <c r="Z69" s="122">
        <v>14168.69</v>
      </c>
    </row>
    <row r="70" spans="1:26" ht="15" customHeight="1" x14ac:dyDescent="0.35">
      <c r="A70" s="166">
        <v>9000</v>
      </c>
      <c r="B70" s="167" t="s">
        <v>1350</v>
      </c>
      <c r="C70" s="212" t="s">
        <v>1207</v>
      </c>
      <c r="D70" s="149">
        <v>13275.84</v>
      </c>
      <c r="E70" s="149">
        <v>176.64349999999999</v>
      </c>
      <c r="F70" s="150">
        <v>1.3305636404174801</v>
      </c>
      <c r="G70" s="149">
        <v>12985.26</v>
      </c>
      <c r="H70" s="149">
        <v>13566.42</v>
      </c>
      <c r="J70" t="s">
        <v>330</v>
      </c>
      <c r="K70" t="s">
        <v>5</v>
      </c>
      <c r="L70" t="s">
        <v>971</v>
      </c>
      <c r="M70">
        <v>11373.05</v>
      </c>
      <c r="N70">
        <v>366.66079999999999</v>
      </c>
      <c r="O70" s="122">
        <v>3.2239443245215669</v>
      </c>
      <c r="P70">
        <v>10652.9</v>
      </c>
      <c r="Q70">
        <v>12093.19</v>
      </c>
      <c r="R70" s="124"/>
      <c r="S70" t="s">
        <v>506</v>
      </c>
      <c r="T70" t="s">
        <v>976</v>
      </c>
      <c r="U70" t="s">
        <v>975</v>
      </c>
      <c r="V70" s="122">
        <v>20384.3</v>
      </c>
      <c r="W70" s="122">
        <v>583.37049999999999</v>
      </c>
      <c r="X70" s="122">
        <v>2.86186182503201</v>
      </c>
      <c r="Y70" s="122">
        <v>19224.97</v>
      </c>
      <c r="Z70" s="122">
        <v>21543.62</v>
      </c>
    </row>
    <row r="71" spans="1:26" ht="5.15" customHeight="1" x14ac:dyDescent="0.35">
      <c r="A71" s="165"/>
      <c r="B71" s="147"/>
      <c r="C71" s="165"/>
      <c r="D71" s="154"/>
      <c r="E71" s="154"/>
      <c r="F71" s="213"/>
      <c r="G71" s="154"/>
      <c r="H71" s="154"/>
      <c r="S71" t="s">
        <v>330</v>
      </c>
      <c r="T71" t="s">
        <v>14</v>
      </c>
      <c r="U71" t="s">
        <v>974</v>
      </c>
      <c r="V71" s="122">
        <v>17792.38</v>
      </c>
      <c r="W71" s="122">
        <v>512.73919999999998</v>
      </c>
      <c r="X71" s="122">
        <v>2.8817909689428842</v>
      </c>
      <c r="Y71" s="122">
        <v>16785.34</v>
      </c>
      <c r="Z71" s="122">
        <v>18799.43</v>
      </c>
    </row>
    <row r="72" spans="1:26" ht="15" customHeight="1" x14ac:dyDescent="0.35">
      <c r="A72" s="2" t="s">
        <v>94</v>
      </c>
      <c r="B72" s="147"/>
      <c r="C72" s="147"/>
      <c r="D72" s="161"/>
      <c r="E72" s="161"/>
      <c r="F72" s="214"/>
      <c r="G72" s="161"/>
      <c r="H72" s="161"/>
    </row>
    <row r="73" spans="1:26" ht="15" customHeight="1" x14ac:dyDescent="0.35">
      <c r="A73" s="2" t="s">
        <v>93</v>
      </c>
      <c r="B73" s="147"/>
      <c r="C73" s="147"/>
      <c r="D73" s="161"/>
      <c r="E73" s="161"/>
      <c r="F73" s="214"/>
      <c r="G73" s="161"/>
      <c r="H73" s="161"/>
    </row>
    <row r="74" spans="1:26" ht="15" customHeight="1" x14ac:dyDescent="0.35">
      <c r="A74" s="159" t="s">
        <v>965</v>
      </c>
      <c r="B74" s="147"/>
      <c r="C74" s="147"/>
      <c r="D74" s="161"/>
      <c r="E74" s="161"/>
      <c r="F74" s="214"/>
      <c r="G74" s="161"/>
      <c r="H74" s="161"/>
    </row>
    <row r="75" spans="1:26" ht="15" customHeight="1" x14ac:dyDescent="0.35">
      <c r="A75" s="159" t="s">
        <v>0</v>
      </c>
      <c r="B75" s="147"/>
      <c r="C75" s="147"/>
      <c r="D75" s="161"/>
      <c r="E75" s="161"/>
      <c r="F75" s="214"/>
      <c r="G75" s="161"/>
      <c r="H75" s="161"/>
    </row>
    <row r="76" spans="1:26" ht="30" customHeight="1" x14ac:dyDescent="0.35">
      <c r="A76" s="403" t="s">
        <v>1349</v>
      </c>
      <c r="B76" s="403"/>
      <c r="C76" s="403"/>
      <c r="D76" s="403"/>
      <c r="E76" s="403"/>
      <c r="F76" s="403"/>
      <c r="G76" s="403"/>
      <c r="H76" s="403"/>
    </row>
    <row r="77" spans="1:26" ht="15" customHeight="1" x14ac:dyDescent="0.35">
      <c r="A77" s="404" t="s">
        <v>1336</v>
      </c>
      <c r="B77" s="404"/>
      <c r="C77" s="404"/>
      <c r="D77" s="404"/>
      <c r="E77" s="404"/>
      <c r="F77" s="404"/>
      <c r="G77" s="404"/>
      <c r="H77" s="404"/>
    </row>
    <row r="78" spans="1:26" ht="15" customHeight="1" x14ac:dyDescent="0.35">
      <c r="A78" s="123"/>
      <c r="B78" s="123"/>
      <c r="C78" s="123"/>
      <c r="D78" s="123"/>
    </row>
    <row r="79" spans="1:26" ht="25" customHeight="1" x14ac:dyDescent="0.35">
      <c r="A79" s="405" t="s">
        <v>993</v>
      </c>
      <c r="B79" s="406"/>
      <c r="C79" s="409" t="s">
        <v>92</v>
      </c>
      <c r="D79" s="411" t="s">
        <v>91</v>
      </c>
      <c r="E79" s="411" t="s">
        <v>90</v>
      </c>
      <c r="F79" s="413" t="s">
        <v>89</v>
      </c>
      <c r="G79" s="415" t="s">
        <v>1186</v>
      </c>
      <c r="H79" s="416"/>
    </row>
    <row r="80" spans="1:26" ht="25" customHeight="1" x14ac:dyDescent="0.35">
      <c r="A80" s="407"/>
      <c r="B80" s="408"/>
      <c r="C80" s="410"/>
      <c r="D80" s="412"/>
      <c r="E80" s="412"/>
      <c r="F80" s="414"/>
      <c r="G80" s="5" t="s">
        <v>88</v>
      </c>
      <c r="H80" s="5" t="s">
        <v>87</v>
      </c>
    </row>
    <row r="81" spans="1:26" ht="15" customHeight="1" x14ac:dyDescent="0.35">
      <c r="A81" s="115"/>
      <c r="B81" s="165"/>
      <c r="C81" s="165"/>
      <c r="D81" s="215"/>
      <c r="E81" s="215"/>
      <c r="F81" s="216"/>
      <c r="G81" s="215"/>
      <c r="H81" s="215"/>
    </row>
    <row r="82" spans="1:26" ht="15" customHeight="1" x14ac:dyDescent="0.35">
      <c r="A82" s="4" t="s">
        <v>443</v>
      </c>
      <c r="B82" s="145"/>
      <c r="C82" s="126" t="s">
        <v>973</v>
      </c>
      <c r="D82" s="120"/>
      <c r="E82" s="120"/>
      <c r="F82" s="121"/>
      <c r="G82" s="120"/>
      <c r="H82" s="120"/>
      <c r="S82" t="s">
        <v>22</v>
      </c>
      <c r="T82" t="s">
        <v>38</v>
      </c>
      <c r="U82" t="s">
        <v>37</v>
      </c>
      <c r="V82" s="122">
        <v>18734.21</v>
      </c>
      <c r="W82" s="122">
        <v>542.48140000000001</v>
      </c>
      <c r="X82" s="122">
        <v>2.8956726758160607</v>
      </c>
      <c r="Y82" s="122">
        <v>17668.75</v>
      </c>
      <c r="Z82" s="122">
        <v>19799.68</v>
      </c>
    </row>
    <row r="83" spans="1:26" ht="15" customHeight="1" x14ac:dyDescent="0.35">
      <c r="A83" s="139">
        <v>2145</v>
      </c>
      <c r="B83" s="3"/>
      <c r="C83" s="141" t="s">
        <v>864</v>
      </c>
      <c r="D83" s="120">
        <v>22023.18</v>
      </c>
      <c r="E83" s="120">
        <v>3625.07</v>
      </c>
      <c r="F83" s="121">
        <v>16.460247793461253</v>
      </c>
      <c r="G83" s="120">
        <v>16059.99</v>
      </c>
      <c r="H83" s="120">
        <v>27986.37</v>
      </c>
      <c r="J83" t="s">
        <v>443</v>
      </c>
      <c r="K83" t="s">
        <v>358</v>
      </c>
      <c r="L83" t="s">
        <v>442</v>
      </c>
      <c r="M83">
        <v>26080.31</v>
      </c>
      <c r="N83">
        <v>3762.6350000000002</v>
      </c>
      <c r="O83" s="122">
        <v>14.427109953831071</v>
      </c>
      <c r="P83">
        <v>18561.29</v>
      </c>
      <c r="Q83">
        <v>33599.339999999997</v>
      </c>
      <c r="R83" s="124"/>
      <c r="S83" t="s">
        <v>784</v>
      </c>
      <c r="T83" t="s">
        <v>957</v>
      </c>
      <c r="U83" t="s">
        <v>956</v>
      </c>
      <c r="V83" s="122">
        <v>12521.52</v>
      </c>
      <c r="W83" s="122">
        <v>362.82769999999999</v>
      </c>
      <c r="X83" s="122">
        <v>2.8976330349670008</v>
      </c>
      <c r="Y83" s="122">
        <v>11804.49</v>
      </c>
      <c r="Z83" s="122">
        <v>13238.56</v>
      </c>
    </row>
    <row r="84" spans="1:26" ht="15" customHeight="1" x14ac:dyDescent="0.35">
      <c r="A84" s="139">
        <v>3116</v>
      </c>
      <c r="B84" s="3"/>
      <c r="C84" s="141" t="s">
        <v>863</v>
      </c>
      <c r="D84" s="120">
        <v>22470.49</v>
      </c>
      <c r="E84" s="120">
        <v>1219.979</v>
      </c>
      <c r="F84" s="121">
        <v>5.4292496514317223</v>
      </c>
      <c r="G84" s="120">
        <v>20463.64</v>
      </c>
      <c r="H84" s="120">
        <v>24477.33</v>
      </c>
      <c r="J84" t="s">
        <v>443</v>
      </c>
      <c r="K84" t="s">
        <v>329</v>
      </c>
      <c r="L84" t="s">
        <v>810</v>
      </c>
      <c r="M84">
        <v>20792.47</v>
      </c>
      <c r="N84">
        <v>1425.0889999999999</v>
      </c>
      <c r="O84" s="122">
        <v>6.8538706560596214</v>
      </c>
      <c r="P84">
        <v>17944.66</v>
      </c>
      <c r="Q84">
        <v>23640.29</v>
      </c>
      <c r="R84" s="124"/>
      <c r="S84" t="s">
        <v>192</v>
      </c>
      <c r="T84" t="s">
        <v>196</v>
      </c>
      <c r="U84" t="s">
        <v>195</v>
      </c>
      <c r="V84" s="122">
        <v>18331.82</v>
      </c>
      <c r="W84" s="122">
        <v>541.86310000000003</v>
      </c>
      <c r="X84" s="122">
        <v>2.9558609019726361</v>
      </c>
      <c r="Y84" s="122">
        <v>17263.189999999999</v>
      </c>
      <c r="Z84" s="122">
        <v>19400.45</v>
      </c>
    </row>
    <row r="85" spans="1:26" ht="15" customHeight="1" x14ac:dyDescent="0.35">
      <c r="A85" s="139">
        <v>3122</v>
      </c>
      <c r="B85" s="3"/>
      <c r="C85" s="141" t="s">
        <v>729</v>
      </c>
      <c r="D85" s="120">
        <v>37754.79</v>
      </c>
      <c r="E85" s="120">
        <v>3620.683</v>
      </c>
      <c r="F85" s="121">
        <v>9.5899963951593961</v>
      </c>
      <c r="G85" s="120">
        <v>31798.82</v>
      </c>
      <c r="H85" s="120">
        <v>43710.76</v>
      </c>
      <c r="J85" t="s">
        <v>443</v>
      </c>
      <c r="K85" t="s">
        <v>440</v>
      </c>
      <c r="L85" t="s">
        <v>628</v>
      </c>
      <c r="M85">
        <v>36397.82</v>
      </c>
      <c r="N85">
        <v>3559.65</v>
      </c>
      <c r="O85" s="122">
        <v>9.7798439576875751</v>
      </c>
      <c r="P85">
        <v>29284.42</v>
      </c>
      <c r="Q85">
        <v>43511.21</v>
      </c>
      <c r="R85" s="124"/>
      <c r="S85" t="s">
        <v>606</v>
      </c>
      <c r="T85" t="s">
        <v>384</v>
      </c>
      <c r="U85" t="s">
        <v>626</v>
      </c>
      <c r="V85" s="122">
        <v>14270.53</v>
      </c>
      <c r="W85" s="122">
        <v>424.22300000000001</v>
      </c>
      <c r="X85" s="122">
        <v>2.9727207048371715</v>
      </c>
      <c r="Y85" s="122">
        <v>13437.24</v>
      </c>
      <c r="Z85" s="122">
        <v>15103.83</v>
      </c>
    </row>
    <row r="86" spans="1:26" ht="15" customHeight="1" x14ac:dyDescent="0.35">
      <c r="A86" s="117">
        <v>3257</v>
      </c>
      <c r="B86" s="130"/>
      <c r="C86" s="131" t="s">
        <v>727</v>
      </c>
      <c r="D86" s="120">
        <v>24459.58</v>
      </c>
      <c r="E86" s="120">
        <v>1995.7349999999999</v>
      </c>
      <c r="F86" s="121">
        <v>8.1593183529725355</v>
      </c>
      <c r="G86" s="120">
        <v>21176.63</v>
      </c>
      <c r="H86" s="120">
        <v>27742.54</v>
      </c>
      <c r="J86" t="s">
        <v>443</v>
      </c>
      <c r="K86" t="s">
        <v>320</v>
      </c>
      <c r="L86" t="s">
        <v>770</v>
      </c>
      <c r="M86">
        <v>18176.68</v>
      </c>
      <c r="N86">
        <v>1347.693</v>
      </c>
      <c r="O86" s="122">
        <v>7.4144068113648913</v>
      </c>
      <c r="P86">
        <v>15483.53</v>
      </c>
      <c r="Q86">
        <v>20869.830000000002</v>
      </c>
      <c r="R86" s="124"/>
      <c r="S86" t="s">
        <v>373</v>
      </c>
      <c r="T86" t="s">
        <v>5</v>
      </c>
      <c r="U86" t="s">
        <v>372</v>
      </c>
      <c r="V86" s="122">
        <v>11920.53</v>
      </c>
      <c r="W86" s="122">
        <v>358.2251</v>
      </c>
      <c r="X86" s="122">
        <v>3.005110511025936</v>
      </c>
      <c r="Y86" s="122">
        <v>11217.16</v>
      </c>
      <c r="Z86" s="122">
        <v>12623.91</v>
      </c>
    </row>
    <row r="87" spans="1:26" ht="15" customHeight="1" x14ac:dyDescent="0.35">
      <c r="A87" s="139">
        <v>4110</v>
      </c>
      <c r="B87" s="3"/>
      <c r="C87" s="141" t="s">
        <v>1156</v>
      </c>
      <c r="D87" s="120">
        <v>21813.68</v>
      </c>
      <c r="E87" s="120">
        <v>2805.5920000000001</v>
      </c>
      <c r="F87" s="121">
        <v>12.861617113664453</v>
      </c>
      <c r="G87" s="120">
        <v>17198.52</v>
      </c>
      <c r="H87" s="120">
        <v>26428.84</v>
      </c>
      <c r="J87" t="s">
        <v>443</v>
      </c>
      <c r="K87" t="s">
        <v>14</v>
      </c>
      <c r="L87" t="s">
        <v>854</v>
      </c>
      <c r="M87">
        <v>20151.189999999999</v>
      </c>
      <c r="N87">
        <v>1196.5229999999999</v>
      </c>
      <c r="O87" s="122">
        <v>5.9377287395930463</v>
      </c>
      <c r="P87">
        <v>17760.13</v>
      </c>
      <c r="Q87">
        <v>22542.25</v>
      </c>
      <c r="R87" s="124"/>
      <c r="S87" t="s">
        <v>474</v>
      </c>
      <c r="T87" t="s">
        <v>5</v>
      </c>
      <c r="U87" t="s">
        <v>847</v>
      </c>
      <c r="V87" s="122">
        <v>12667.96</v>
      </c>
      <c r="W87" s="122">
        <v>381.44119999999998</v>
      </c>
      <c r="X87" s="122">
        <v>3.0110704485963011</v>
      </c>
      <c r="Y87" s="122">
        <v>11912.54</v>
      </c>
      <c r="Z87" s="122">
        <v>13423.39</v>
      </c>
    </row>
    <row r="88" spans="1:26" ht="15" customHeight="1" x14ac:dyDescent="0.35">
      <c r="A88" s="139">
        <v>4322</v>
      </c>
      <c r="B88" s="3"/>
      <c r="C88" s="141" t="s">
        <v>720</v>
      </c>
      <c r="D88" s="120">
        <v>18684.740000000002</v>
      </c>
      <c r="E88" s="120">
        <v>322.91199999999998</v>
      </c>
      <c r="F88" s="121">
        <v>1.728212434318058</v>
      </c>
      <c r="G88" s="120">
        <v>18153.55</v>
      </c>
      <c r="H88" s="120">
        <v>19215.919999999998</v>
      </c>
      <c r="J88" t="s">
        <v>443</v>
      </c>
      <c r="K88" t="s">
        <v>304</v>
      </c>
      <c r="L88" t="s">
        <v>768</v>
      </c>
      <c r="M88">
        <v>15891.04</v>
      </c>
      <c r="N88">
        <v>1191.318</v>
      </c>
      <c r="O88" s="122">
        <v>7.4967906442875982</v>
      </c>
      <c r="P88">
        <v>13510.38</v>
      </c>
      <c r="Q88">
        <v>18271.7</v>
      </c>
      <c r="R88" s="124"/>
      <c r="S88" t="s">
        <v>373</v>
      </c>
      <c r="T88" t="s">
        <v>379</v>
      </c>
      <c r="U88" t="s">
        <v>378</v>
      </c>
      <c r="V88" s="122">
        <v>12599.27</v>
      </c>
      <c r="W88" s="122">
        <v>385.60730000000001</v>
      </c>
      <c r="X88" s="122">
        <v>3.0605527145620344</v>
      </c>
      <c r="Y88" s="122">
        <v>11842.13</v>
      </c>
      <c r="Z88" s="122">
        <v>13356.41</v>
      </c>
    </row>
    <row r="89" spans="1:26" ht="15" customHeight="1" x14ac:dyDescent="0.35">
      <c r="A89" s="139">
        <v>7515</v>
      </c>
      <c r="B89" s="3"/>
      <c r="C89" s="141" t="s">
        <v>1173</v>
      </c>
      <c r="D89" s="120">
        <v>21477.08</v>
      </c>
      <c r="E89" s="120">
        <v>1691.5409999999999</v>
      </c>
      <c r="F89" s="121">
        <v>7.8760287711364851</v>
      </c>
      <c r="G89" s="120">
        <v>18694.52</v>
      </c>
      <c r="H89" s="120">
        <v>24259.64</v>
      </c>
      <c r="J89" t="s">
        <v>443</v>
      </c>
      <c r="K89" t="s">
        <v>577</v>
      </c>
      <c r="L89" t="s">
        <v>576</v>
      </c>
      <c r="M89">
        <v>17440.63</v>
      </c>
      <c r="N89">
        <v>1956.1379999999999</v>
      </c>
      <c r="O89" s="122">
        <v>11.21598245017525</v>
      </c>
      <c r="P89">
        <v>13531.6</v>
      </c>
      <c r="Q89">
        <v>21349.66</v>
      </c>
      <c r="R89" s="124"/>
      <c r="S89" t="s">
        <v>487</v>
      </c>
      <c r="T89" t="s">
        <v>712</v>
      </c>
      <c r="U89" t="s">
        <v>711</v>
      </c>
      <c r="V89" s="122">
        <v>12982.62</v>
      </c>
      <c r="W89" s="122">
        <v>401.21699999999998</v>
      </c>
      <c r="X89" s="122">
        <v>3.0904162642055302</v>
      </c>
      <c r="Y89" s="122">
        <v>12184.17</v>
      </c>
      <c r="Z89" s="122">
        <v>13781.07</v>
      </c>
    </row>
    <row r="90" spans="1:26" ht="15" customHeight="1" x14ac:dyDescent="0.35">
      <c r="A90" s="117">
        <v>8160</v>
      </c>
      <c r="B90" s="130"/>
      <c r="C90" s="131" t="s">
        <v>972</v>
      </c>
      <c r="D90" s="120">
        <v>19361.59</v>
      </c>
      <c r="E90" s="120">
        <v>1093.6659999999999</v>
      </c>
      <c r="F90" s="121">
        <v>5.6486373278227662</v>
      </c>
      <c r="G90" s="120">
        <v>17562.52</v>
      </c>
      <c r="H90" s="120">
        <v>21160.65</v>
      </c>
      <c r="J90" t="s">
        <v>443</v>
      </c>
      <c r="K90" t="s">
        <v>523</v>
      </c>
      <c r="L90" t="s">
        <v>522</v>
      </c>
      <c r="M90">
        <v>18138.990000000002</v>
      </c>
      <c r="N90">
        <v>2224.96</v>
      </c>
      <c r="O90" s="122">
        <v>12.266173585188591</v>
      </c>
      <c r="P90">
        <v>13692.76</v>
      </c>
      <c r="Q90">
        <v>22585.22</v>
      </c>
      <c r="R90" s="124"/>
      <c r="S90" t="s">
        <v>592</v>
      </c>
      <c r="T90" t="s">
        <v>14</v>
      </c>
      <c r="U90" t="s">
        <v>600</v>
      </c>
      <c r="V90" s="122">
        <v>16167.55</v>
      </c>
      <c r="W90" s="122">
        <v>506.49919999999997</v>
      </c>
      <c r="X90" s="122">
        <v>3.1328135679184541</v>
      </c>
      <c r="Y90" s="122">
        <v>15174.38</v>
      </c>
      <c r="Z90" s="122">
        <v>17160.73</v>
      </c>
    </row>
    <row r="91" spans="1:26" ht="15" customHeight="1" x14ac:dyDescent="0.35">
      <c r="A91" s="117">
        <v>9000</v>
      </c>
      <c r="B91" s="118" t="s">
        <v>1350</v>
      </c>
      <c r="C91" s="116" t="s">
        <v>1207</v>
      </c>
      <c r="D91" s="120">
        <v>14743.66</v>
      </c>
      <c r="E91" s="120">
        <v>1122.9549999999999</v>
      </c>
      <c r="F91" s="121">
        <v>7.6165280534141457</v>
      </c>
      <c r="G91" s="120">
        <v>12896.42</v>
      </c>
      <c r="H91" s="120">
        <v>16590.91</v>
      </c>
      <c r="J91" t="s">
        <v>443</v>
      </c>
      <c r="K91" t="s">
        <v>5</v>
      </c>
      <c r="L91" t="s">
        <v>494</v>
      </c>
      <c r="M91">
        <v>16793.259999999998</v>
      </c>
      <c r="N91">
        <v>2128.2370000000001</v>
      </c>
      <c r="O91" s="122">
        <v>12.673161732742781</v>
      </c>
      <c r="P91">
        <v>12540.32</v>
      </c>
      <c r="Q91">
        <v>21046.21</v>
      </c>
      <c r="R91" s="124"/>
      <c r="S91" t="s">
        <v>330</v>
      </c>
      <c r="T91" t="s">
        <v>5</v>
      </c>
      <c r="U91" t="s">
        <v>971</v>
      </c>
      <c r="V91" s="122">
        <v>11373.05</v>
      </c>
      <c r="W91" s="122">
        <v>366.66079999999999</v>
      </c>
      <c r="X91" s="122">
        <v>3.2239443245215669</v>
      </c>
      <c r="Y91" s="122">
        <v>10652.9</v>
      </c>
      <c r="Z91" s="122">
        <v>12093.19</v>
      </c>
    </row>
    <row r="92" spans="1:26" ht="15" customHeight="1" x14ac:dyDescent="0.35">
      <c r="A92" s="146"/>
      <c r="B92" s="147"/>
      <c r="C92" s="147"/>
      <c r="D92" s="120"/>
      <c r="E92" s="120"/>
      <c r="F92" s="121"/>
      <c r="G92" s="120"/>
      <c r="H92" s="120"/>
      <c r="S92" t="s">
        <v>373</v>
      </c>
      <c r="T92" t="s">
        <v>393</v>
      </c>
      <c r="U92" t="s">
        <v>392</v>
      </c>
      <c r="V92" s="122">
        <v>14556.3</v>
      </c>
      <c r="W92" s="122">
        <v>469.37549999999999</v>
      </c>
      <c r="X92" s="122">
        <v>3.2245522557243258</v>
      </c>
      <c r="Y92" s="122">
        <v>13634.68</v>
      </c>
      <c r="Z92" s="122">
        <v>15477.92</v>
      </c>
    </row>
    <row r="93" spans="1:26" ht="15" customHeight="1" x14ac:dyDescent="0.35">
      <c r="A93" s="4" t="s">
        <v>1059</v>
      </c>
      <c r="B93" s="147"/>
      <c r="C93" s="144" t="s">
        <v>1060</v>
      </c>
      <c r="D93" s="120"/>
      <c r="E93" s="120"/>
      <c r="F93" s="121"/>
      <c r="G93" s="120"/>
      <c r="H93" s="120"/>
    </row>
    <row r="94" spans="1:26" ht="15" customHeight="1" x14ac:dyDescent="0.35">
      <c r="A94" s="117">
        <v>2145</v>
      </c>
      <c r="B94" s="147"/>
      <c r="C94" s="131" t="s">
        <v>864</v>
      </c>
      <c r="D94" s="120">
        <v>33620.69</v>
      </c>
      <c r="E94" s="120">
        <v>454.55189999999999</v>
      </c>
      <c r="F94" s="121">
        <v>1.3520005092102512</v>
      </c>
      <c r="G94" s="120">
        <v>32872.959999999999</v>
      </c>
      <c r="H94" s="120">
        <v>34368.42</v>
      </c>
    </row>
    <row r="95" spans="1:26" ht="15" customHeight="1" x14ac:dyDescent="0.35">
      <c r="A95" s="117">
        <v>3116</v>
      </c>
      <c r="B95" s="147"/>
      <c r="C95" s="131" t="s">
        <v>863</v>
      </c>
      <c r="D95" s="120">
        <v>13783.33</v>
      </c>
      <c r="E95" s="120" t="s">
        <v>289</v>
      </c>
      <c r="F95" s="120" t="s">
        <v>289</v>
      </c>
      <c r="G95" s="120" t="s">
        <v>289</v>
      </c>
      <c r="H95" s="120" t="s">
        <v>289</v>
      </c>
    </row>
    <row r="96" spans="1:26" ht="15" customHeight="1" x14ac:dyDescent="0.35">
      <c r="A96" s="117">
        <v>3257</v>
      </c>
      <c r="B96" s="147"/>
      <c r="C96" s="131" t="s">
        <v>727</v>
      </c>
      <c r="D96" s="120">
        <v>20480.419999999998</v>
      </c>
      <c r="E96" s="120">
        <v>2350.819</v>
      </c>
      <c r="F96" s="121">
        <v>11.478373002116168</v>
      </c>
      <c r="G96" s="120">
        <v>16613.349999999999</v>
      </c>
      <c r="H96" s="120">
        <v>24347.48</v>
      </c>
    </row>
    <row r="97" spans="1:26" ht="15" customHeight="1" x14ac:dyDescent="0.35">
      <c r="A97" s="117">
        <v>4110</v>
      </c>
      <c r="B97" s="147"/>
      <c r="C97" s="131" t="s">
        <v>1156</v>
      </c>
      <c r="D97" s="120">
        <v>17640.64</v>
      </c>
      <c r="E97" s="120">
        <v>476.51889999999997</v>
      </c>
      <c r="F97" s="121">
        <v>2.7012563036261721</v>
      </c>
      <c r="G97" s="120">
        <v>16856.77</v>
      </c>
      <c r="H97" s="120">
        <v>18424.5</v>
      </c>
    </row>
    <row r="98" spans="1:26" ht="15" customHeight="1" x14ac:dyDescent="0.35">
      <c r="A98" s="117">
        <v>7516</v>
      </c>
      <c r="B98" s="147"/>
      <c r="C98" s="131" t="s">
        <v>1174</v>
      </c>
      <c r="D98" s="120">
        <v>18486.97</v>
      </c>
      <c r="E98" s="120">
        <v>1551.6880000000001</v>
      </c>
      <c r="F98" s="121">
        <v>8.3934143886207409</v>
      </c>
      <c r="G98" s="120">
        <v>15934.46</v>
      </c>
      <c r="H98" s="120">
        <v>21039.47</v>
      </c>
    </row>
    <row r="99" spans="1:26" ht="15" customHeight="1" x14ac:dyDescent="0.35">
      <c r="A99" s="117">
        <v>8160</v>
      </c>
      <c r="B99" s="147"/>
      <c r="C99" s="131" t="s">
        <v>1175</v>
      </c>
      <c r="D99" s="120">
        <v>17599.939999999999</v>
      </c>
      <c r="E99" s="120">
        <v>349.71949999999998</v>
      </c>
      <c r="F99" s="121">
        <v>1.987049387668367</v>
      </c>
      <c r="G99" s="120">
        <v>17024.650000000001</v>
      </c>
      <c r="H99" s="120">
        <v>18175.22</v>
      </c>
    </row>
    <row r="100" spans="1:26" ht="15" customHeight="1" x14ac:dyDescent="0.35">
      <c r="A100" s="117">
        <v>9000</v>
      </c>
      <c r="B100" s="118" t="s">
        <v>1350</v>
      </c>
      <c r="C100" s="116" t="s">
        <v>1207</v>
      </c>
      <c r="D100" s="120">
        <v>14854.59</v>
      </c>
      <c r="E100" s="120">
        <v>685.70619999999997</v>
      </c>
      <c r="F100" s="121">
        <v>4.6161233665823156</v>
      </c>
      <c r="G100" s="120">
        <v>13726.61</v>
      </c>
      <c r="H100" s="120">
        <v>15982.56</v>
      </c>
    </row>
    <row r="101" spans="1:26" ht="15" customHeight="1" x14ac:dyDescent="0.35">
      <c r="A101" s="117"/>
      <c r="B101" s="118"/>
      <c r="C101" s="131"/>
      <c r="D101" s="120"/>
      <c r="E101" s="120"/>
      <c r="F101" s="121"/>
      <c r="G101" s="120"/>
      <c r="H101" s="120"/>
    </row>
    <row r="102" spans="1:26" ht="15" customHeight="1" x14ac:dyDescent="0.35">
      <c r="A102" s="135" t="s">
        <v>571</v>
      </c>
      <c r="B102" s="136"/>
      <c r="C102" s="148" t="s">
        <v>970</v>
      </c>
      <c r="D102" s="120"/>
      <c r="E102" s="120"/>
      <c r="F102" s="121"/>
      <c r="G102" s="120"/>
      <c r="H102" s="120"/>
      <c r="S102" t="s">
        <v>311</v>
      </c>
      <c r="T102" t="s">
        <v>147</v>
      </c>
      <c r="U102" t="s">
        <v>550</v>
      </c>
      <c r="V102" s="122">
        <v>17189.68</v>
      </c>
      <c r="W102" s="122">
        <v>559.39260000000002</v>
      </c>
      <c r="X102" s="122">
        <v>3.2542350991990543</v>
      </c>
      <c r="Y102" s="122">
        <v>16092.79</v>
      </c>
      <c r="Z102" s="122">
        <v>18286.57</v>
      </c>
    </row>
    <row r="103" spans="1:26" ht="15" customHeight="1" x14ac:dyDescent="0.35">
      <c r="A103" s="139">
        <v>3115</v>
      </c>
      <c r="B103" s="3"/>
      <c r="C103" s="129" t="s">
        <v>765</v>
      </c>
      <c r="D103" s="120">
        <v>17116.650000000001</v>
      </c>
      <c r="E103" s="120">
        <v>557.71879999999999</v>
      </c>
      <c r="F103" s="121">
        <v>3.2583408552491284</v>
      </c>
      <c r="G103" s="120">
        <v>16199.21</v>
      </c>
      <c r="H103" s="120">
        <v>18034.09</v>
      </c>
      <c r="J103" t="s">
        <v>571</v>
      </c>
      <c r="K103" t="s">
        <v>440</v>
      </c>
      <c r="L103" t="s">
        <v>862</v>
      </c>
      <c r="M103">
        <v>20677.7</v>
      </c>
      <c r="N103">
        <v>1213.848</v>
      </c>
      <c r="O103" s="122">
        <v>5.8703240689244929</v>
      </c>
      <c r="P103">
        <v>18253.47</v>
      </c>
      <c r="Q103">
        <v>23101.919999999998</v>
      </c>
      <c r="R103" s="124"/>
      <c r="S103" t="s">
        <v>22</v>
      </c>
      <c r="T103" t="s">
        <v>24</v>
      </c>
      <c r="U103" t="s">
        <v>23</v>
      </c>
      <c r="V103" s="122">
        <v>15119.23</v>
      </c>
      <c r="W103" s="122">
        <v>494.40539999999999</v>
      </c>
      <c r="X103" s="122">
        <v>3.2700435141207587</v>
      </c>
      <c r="Y103" s="122">
        <v>14148.19</v>
      </c>
      <c r="Z103" s="122">
        <v>16090.27</v>
      </c>
    </row>
    <row r="104" spans="1:26" ht="15" customHeight="1" x14ac:dyDescent="0.35">
      <c r="A104" s="117">
        <v>3122</v>
      </c>
      <c r="B104" s="130"/>
      <c r="C104" s="131" t="s">
        <v>729</v>
      </c>
      <c r="D104" s="120">
        <v>19132.009999999998</v>
      </c>
      <c r="E104" s="120">
        <v>678.0027</v>
      </c>
      <c r="F104" s="121">
        <v>3.543813221924931</v>
      </c>
      <c r="G104" s="120">
        <v>18016.7</v>
      </c>
      <c r="H104" s="120">
        <v>20247.310000000001</v>
      </c>
      <c r="J104" t="s">
        <v>571</v>
      </c>
      <c r="K104" t="s">
        <v>320</v>
      </c>
      <c r="L104" t="s">
        <v>570</v>
      </c>
      <c r="M104">
        <v>15096.42</v>
      </c>
      <c r="N104">
        <v>1696.69</v>
      </c>
      <c r="O104" s="122">
        <v>11.239022231760908</v>
      </c>
      <c r="P104">
        <v>11707.89</v>
      </c>
      <c r="Q104">
        <v>18484.939999999999</v>
      </c>
      <c r="R104" s="124"/>
      <c r="S104" t="s">
        <v>96</v>
      </c>
      <c r="T104" t="s">
        <v>115</v>
      </c>
      <c r="U104" t="s">
        <v>114</v>
      </c>
      <c r="V104" s="122">
        <v>37313.69</v>
      </c>
      <c r="W104" s="122">
        <v>1220.211</v>
      </c>
      <c r="X104" s="122">
        <v>3.2701429421748425</v>
      </c>
      <c r="Y104" s="122">
        <v>34919.97</v>
      </c>
      <c r="Z104" s="122">
        <v>39707.42</v>
      </c>
    </row>
    <row r="105" spans="1:26" ht="15" customHeight="1" x14ac:dyDescent="0.35">
      <c r="A105" s="139">
        <v>4110</v>
      </c>
      <c r="B105" s="3"/>
      <c r="C105" s="141" t="s">
        <v>1156</v>
      </c>
      <c r="D105" s="120">
        <v>24480.5</v>
      </c>
      <c r="E105" s="120">
        <v>1466.0609999999999</v>
      </c>
      <c r="F105" s="121">
        <v>5.9886889565164108</v>
      </c>
      <c r="G105" s="120">
        <v>22068.85</v>
      </c>
      <c r="H105" s="120">
        <v>26892.15</v>
      </c>
      <c r="J105" t="s">
        <v>571</v>
      </c>
      <c r="K105" t="s">
        <v>14</v>
      </c>
      <c r="L105" t="s">
        <v>808</v>
      </c>
      <c r="M105">
        <v>17705.310000000001</v>
      </c>
      <c r="N105">
        <v>1230.95</v>
      </c>
      <c r="O105" s="122">
        <v>6.95243404379816</v>
      </c>
      <c r="P105">
        <v>15246.94</v>
      </c>
      <c r="Q105">
        <v>20163.689999999999</v>
      </c>
      <c r="R105" s="124"/>
      <c r="S105" t="s">
        <v>487</v>
      </c>
      <c r="T105" t="s">
        <v>700</v>
      </c>
      <c r="U105" t="s">
        <v>699</v>
      </c>
      <c r="V105" s="122">
        <v>13800.3</v>
      </c>
      <c r="W105" s="122">
        <v>453.73919999999998</v>
      </c>
      <c r="X105" s="122">
        <v>3.2878937414404037</v>
      </c>
      <c r="Y105" s="122">
        <v>12897.33</v>
      </c>
      <c r="Z105" s="122">
        <v>14703.27</v>
      </c>
    </row>
    <row r="106" spans="1:26" ht="15" customHeight="1" x14ac:dyDescent="0.35">
      <c r="A106" s="139">
        <v>7318</v>
      </c>
      <c r="B106" s="3"/>
      <c r="C106" s="140" t="s">
        <v>969</v>
      </c>
      <c r="D106" s="120">
        <v>15382.15</v>
      </c>
      <c r="E106" s="120">
        <v>354.80239999999998</v>
      </c>
      <c r="F106" s="121">
        <v>2.3065852302831527</v>
      </c>
      <c r="G106" s="120">
        <v>14798.51</v>
      </c>
      <c r="H106" s="120">
        <v>15965.79</v>
      </c>
      <c r="J106" t="s">
        <v>571</v>
      </c>
      <c r="K106" t="s">
        <v>805</v>
      </c>
      <c r="L106" t="s">
        <v>804</v>
      </c>
      <c r="M106">
        <v>13909.38</v>
      </c>
      <c r="N106">
        <v>978.24170000000004</v>
      </c>
      <c r="O106" s="122">
        <v>7.0329640861059239</v>
      </c>
      <c r="P106">
        <v>11955.7</v>
      </c>
      <c r="Q106">
        <v>15863.07</v>
      </c>
      <c r="R106" s="124"/>
      <c r="S106" t="s">
        <v>423</v>
      </c>
      <c r="T106" t="s">
        <v>430</v>
      </c>
      <c r="U106" t="s">
        <v>429</v>
      </c>
      <c r="V106" s="122">
        <v>14674.62</v>
      </c>
      <c r="W106" s="122">
        <v>485.24590000000001</v>
      </c>
      <c r="X106" s="122">
        <v>3.3067016386114254</v>
      </c>
      <c r="Y106" s="122">
        <v>13721.33</v>
      </c>
      <c r="Z106" s="122">
        <v>15627.92</v>
      </c>
    </row>
    <row r="107" spans="1:26" ht="15" customHeight="1" x14ac:dyDescent="0.35">
      <c r="A107" s="139">
        <v>7543</v>
      </c>
      <c r="B107" s="3"/>
      <c r="C107" s="129" t="s">
        <v>1176</v>
      </c>
      <c r="D107" s="120">
        <v>15419.46</v>
      </c>
      <c r="E107" s="120">
        <v>479.91840000000002</v>
      </c>
      <c r="F107" s="121">
        <v>3.1124202793093922</v>
      </c>
      <c r="G107" s="120">
        <v>14630.01</v>
      </c>
      <c r="H107" s="120">
        <v>16208.92</v>
      </c>
      <c r="J107" t="s">
        <v>571</v>
      </c>
      <c r="K107" t="s">
        <v>871</v>
      </c>
      <c r="L107" t="s">
        <v>870</v>
      </c>
      <c r="M107">
        <v>11803.4</v>
      </c>
      <c r="N107">
        <v>674.6816</v>
      </c>
      <c r="O107" s="122">
        <v>5.7159936967314504</v>
      </c>
      <c r="P107">
        <v>10455.959999999999</v>
      </c>
      <c r="Q107">
        <v>13150.83</v>
      </c>
      <c r="R107" s="124"/>
      <c r="S107" t="s">
        <v>568</v>
      </c>
      <c r="T107" t="s">
        <v>351</v>
      </c>
      <c r="U107" t="s">
        <v>909</v>
      </c>
      <c r="V107" s="122">
        <v>13130.27</v>
      </c>
      <c r="W107" s="122">
        <v>434.82990000000001</v>
      </c>
      <c r="X107" s="122">
        <v>3.3116600039450828</v>
      </c>
      <c r="Y107" s="122">
        <v>12266.66</v>
      </c>
      <c r="Z107" s="122">
        <v>13993.88</v>
      </c>
    </row>
    <row r="108" spans="1:26" ht="15" customHeight="1" x14ac:dyDescent="0.35">
      <c r="A108" s="139">
        <v>8151</v>
      </c>
      <c r="B108" s="3"/>
      <c r="C108" s="129" t="s">
        <v>968</v>
      </c>
      <c r="D108" s="120">
        <v>13677.48</v>
      </c>
      <c r="E108" s="120">
        <v>501.68340000000001</v>
      </c>
      <c r="F108" s="121">
        <v>3.6679519911562659</v>
      </c>
      <c r="G108" s="120">
        <v>12852.21</v>
      </c>
      <c r="H108" s="120">
        <v>14502.74</v>
      </c>
      <c r="O108" s="122"/>
      <c r="R108" s="124"/>
    </row>
    <row r="109" spans="1:26" ht="15" customHeight="1" x14ac:dyDescent="0.35">
      <c r="A109" s="117">
        <v>8152</v>
      </c>
      <c r="B109" s="130"/>
      <c r="C109" s="140" t="s">
        <v>967</v>
      </c>
      <c r="D109" s="120">
        <v>14401.83</v>
      </c>
      <c r="E109" s="120">
        <v>552.72789999999998</v>
      </c>
      <c r="F109" s="121">
        <v>3.8379004612608258</v>
      </c>
      <c r="G109" s="120">
        <v>13492.6</v>
      </c>
      <c r="H109" s="120">
        <v>15311.06</v>
      </c>
      <c r="J109" t="s">
        <v>571</v>
      </c>
      <c r="K109" t="s">
        <v>813</v>
      </c>
      <c r="L109" t="s">
        <v>812</v>
      </c>
      <c r="M109">
        <v>12864.92</v>
      </c>
      <c r="N109">
        <v>868.39940000000001</v>
      </c>
      <c r="O109" s="122">
        <v>6.7501344742135982</v>
      </c>
      <c r="P109">
        <v>11130.6</v>
      </c>
      <c r="Q109">
        <v>14599.23</v>
      </c>
      <c r="R109" s="124"/>
      <c r="S109" t="s">
        <v>192</v>
      </c>
      <c r="T109" t="s">
        <v>5</v>
      </c>
      <c r="U109" t="s">
        <v>191</v>
      </c>
      <c r="V109" s="122">
        <v>12382.2</v>
      </c>
      <c r="W109" s="122">
        <v>412.30119999999999</v>
      </c>
      <c r="X109" s="122">
        <v>3.3297895365928509</v>
      </c>
      <c r="Y109" s="122">
        <v>11569.09</v>
      </c>
      <c r="Z109" s="122">
        <v>13195.32</v>
      </c>
    </row>
    <row r="110" spans="1:26" ht="15" customHeight="1" x14ac:dyDescent="0.35">
      <c r="A110" s="139">
        <v>8154</v>
      </c>
      <c r="B110" s="3"/>
      <c r="C110" s="129" t="s">
        <v>949</v>
      </c>
      <c r="D110" s="120">
        <v>16778.02</v>
      </c>
      <c r="E110" s="120">
        <v>189.8904</v>
      </c>
      <c r="F110" s="121">
        <v>1.1317807464766401</v>
      </c>
      <c r="G110" s="120">
        <v>16465.650000000001</v>
      </c>
      <c r="H110" s="120">
        <v>17090.38</v>
      </c>
      <c r="J110" t="s">
        <v>571</v>
      </c>
      <c r="K110" t="s">
        <v>915</v>
      </c>
      <c r="L110" t="s">
        <v>914</v>
      </c>
      <c r="M110">
        <v>12333.49</v>
      </c>
      <c r="N110">
        <v>532.52059999999994</v>
      </c>
      <c r="O110" s="122">
        <v>4.3176797483923846</v>
      </c>
      <c r="P110">
        <v>11269.97</v>
      </c>
      <c r="Q110">
        <v>13397</v>
      </c>
      <c r="R110" s="124"/>
      <c r="S110" t="s">
        <v>428</v>
      </c>
      <c r="T110" t="s">
        <v>137</v>
      </c>
      <c r="U110" t="s">
        <v>572</v>
      </c>
      <c r="V110" s="122">
        <v>14670.01</v>
      </c>
      <c r="W110" s="122">
        <v>490.21780000000001</v>
      </c>
      <c r="X110" s="122">
        <v>3.3416323506255279</v>
      </c>
      <c r="Y110" s="122">
        <v>13708.76</v>
      </c>
      <c r="Z110" s="122">
        <v>15631.25</v>
      </c>
    </row>
    <row r="111" spans="1:26" ht="15" customHeight="1" x14ac:dyDescent="0.35">
      <c r="A111" s="117">
        <v>9000</v>
      </c>
      <c r="B111" s="118" t="s">
        <v>1350</v>
      </c>
      <c r="C111" s="116" t="s">
        <v>1207</v>
      </c>
      <c r="D111" s="120">
        <v>13450.08</v>
      </c>
      <c r="E111" s="120">
        <v>357.55</v>
      </c>
      <c r="F111" s="121">
        <v>2.6583485005293652</v>
      </c>
      <c r="G111" s="120">
        <v>12861.91</v>
      </c>
      <c r="H111" s="120">
        <v>14038.24</v>
      </c>
      <c r="J111" t="s">
        <v>571</v>
      </c>
      <c r="K111" t="s">
        <v>5</v>
      </c>
      <c r="L111" t="s">
        <v>966</v>
      </c>
      <c r="M111">
        <v>11537.53</v>
      </c>
      <c r="N111">
        <v>285.8578</v>
      </c>
      <c r="O111" s="122">
        <v>2.4776342943420295</v>
      </c>
      <c r="P111">
        <v>10966.64</v>
      </c>
      <c r="Q111">
        <v>12108.43</v>
      </c>
      <c r="R111" s="124"/>
      <c r="S111" t="s">
        <v>650</v>
      </c>
      <c r="T111" t="s">
        <v>320</v>
      </c>
      <c r="U111" t="s">
        <v>860</v>
      </c>
      <c r="V111" s="122">
        <v>15187.33</v>
      </c>
      <c r="W111" s="122">
        <v>508.15910000000002</v>
      </c>
      <c r="X111" s="122">
        <v>3.3459409916028693</v>
      </c>
      <c r="Y111" s="122">
        <v>14184.94</v>
      </c>
      <c r="Z111" s="122">
        <v>16189.73</v>
      </c>
    </row>
    <row r="112" spans="1:26" ht="15" customHeight="1" x14ac:dyDescent="0.35">
      <c r="A112" s="146"/>
      <c r="B112" s="147"/>
      <c r="C112" s="147"/>
      <c r="D112" s="120"/>
      <c r="E112" s="120"/>
      <c r="F112" s="163"/>
      <c r="G112" s="120"/>
      <c r="H112" s="120"/>
      <c r="S112" t="s">
        <v>402</v>
      </c>
      <c r="T112" t="s">
        <v>630</v>
      </c>
      <c r="U112" t="s">
        <v>657</v>
      </c>
      <c r="V112" s="122">
        <v>16313.71</v>
      </c>
      <c r="W112" s="122">
        <v>578.51139999999998</v>
      </c>
      <c r="X112" s="122">
        <v>3.5461669969614515</v>
      </c>
      <c r="Y112" s="122">
        <v>15170.03</v>
      </c>
      <c r="Z112" s="122">
        <v>17457.39</v>
      </c>
    </row>
    <row r="113" spans="1:26" ht="15" customHeight="1" x14ac:dyDescent="0.35">
      <c r="A113" s="135" t="s">
        <v>784</v>
      </c>
      <c r="B113" s="136"/>
      <c r="C113" s="126" t="s">
        <v>964</v>
      </c>
      <c r="D113" s="120"/>
      <c r="E113" s="120"/>
      <c r="F113" s="163"/>
      <c r="G113" s="120"/>
      <c r="H113" s="120"/>
      <c r="S113" t="s">
        <v>446</v>
      </c>
      <c r="T113" t="s">
        <v>14</v>
      </c>
      <c r="U113" t="s">
        <v>535</v>
      </c>
      <c r="V113" s="122">
        <v>15997.67</v>
      </c>
      <c r="W113" s="122">
        <v>567.6</v>
      </c>
      <c r="X113" s="122">
        <v>3.5480166799290149</v>
      </c>
      <c r="Y113" s="122">
        <v>14882.59</v>
      </c>
      <c r="Z113" s="122">
        <v>17112.75</v>
      </c>
    </row>
    <row r="114" spans="1:26" ht="15" customHeight="1" x14ac:dyDescent="0.35">
      <c r="A114" s="139">
        <v>2163</v>
      </c>
      <c r="B114" s="3"/>
      <c r="C114" s="129" t="s">
        <v>1177</v>
      </c>
      <c r="D114" s="120">
        <v>15371.64</v>
      </c>
      <c r="E114" s="120">
        <v>213.07660000000001</v>
      </c>
      <c r="F114" s="121">
        <v>1.3861669932421006</v>
      </c>
      <c r="G114" s="120">
        <v>15021.13</v>
      </c>
      <c r="H114" s="120">
        <v>15722.14</v>
      </c>
      <c r="J114" t="s">
        <v>784</v>
      </c>
      <c r="K114" t="s">
        <v>440</v>
      </c>
      <c r="L114" t="s">
        <v>963</v>
      </c>
      <c r="M114">
        <v>18135.45</v>
      </c>
      <c r="N114">
        <v>608.02850000000001</v>
      </c>
      <c r="O114" s="122">
        <v>3.3527069910038074</v>
      </c>
      <c r="P114">
        <v>16933.849999999999</v>
      </c>
      <c r="Q114">
        <v>19337.060000000001</v>
      </c>
      <c r="R114" s="124"/>
      <c r="S114" t="s">
        <v>349</v>
      </c>
      <c r="T114" t="s">
        <v>14</v>
      </c>
      <c r="U114" t="s">
        <v>893</v>
      </c>
      <c r="V114" s="122">
        <v>19694.09</v>
      </c>
      <c r="W114" s="122">
        <v>704.95920000000001</v>
      </c>
      <c r="X114" s="122">
        <v>3.5795469605348607</v>
      </c>
      <c r="Y114" s="122">
        <v>18299.61</v>
      </c>
      <c r="Z114" s="122">
        <v>21088.57</v>
      </c>
    </row>
    <row r="115" spans="1:26" ht="15" customHeight="1" x14ac:dyDescent="0.35">
      <c r="A115" s="117">
        <v>3122</v>
      </c>
      <c r="B115" s="130"/>
      <c r="C115" s="131" t="s">
        <v>729</v>
      </c>
      <c r="D115" s="120">
        <v>21670.26</v>
      </c>
      <c r="E115" s="120">
        <v>728.41279999999995</v>
      </c>
      <c r="F115" s="121">
        <v>3.3613477641708038</v>
      </c>
      <c r="G115" s="120">
        <v>20472.03</v>
      </c>
      <c r="H115" s="120">
        <v>22868.49</v>
      </c>
      <c r="J115" t="s">
        <v>784</v>
      </c>
      <c r="K115" t="s">
        <v>320</v>
      </c>
      <c r="L115" t="s">
        <v>962</v>
      </c>
      <c r="M115">
        <v>12458.6</v>
      </c>
      <c r="N115">
        <v>284.26479999999998</v>
      </c>
      <c r="O115" s="122">
        <v>2.2816753086221562</v>
      </c>
      <c r="P115">
        <v>11896.83</v>
      </c>
      <c r="Q115">
        <v>13020.38</v>
      </c>
      <c r="R115" s="124"/>
      <c r="S115" t="s">
        <v>391</v>
      </c>
      <c r="T115" t="s">
        <v>196</v>
      </c>
      <c r="U115" t="s">
        <v>688</v>
      </c>
      <c r="V115" s="122">
        <v>26876.6</v>
      </c>
      <c r="W115" s="122">
        <v>976.90629999999999</v>
      </c>
      <c r="X115" s="122">
        <v>3.6347837896162463</v>
      </c>
      <c r="Y115" s="122">
        <v>24949.56</v>
      </c>
      <c r="Z115" s="122">
        <v>28803.64</v>
      </c>
    </row>
    <row r="116" spans="1:26" ht="15" customHeight="1" x14ac:dyDescent="0.35">
      <c r="A116" s="139">
        <v>4110</v>
      </c>
      <c r="B116" s="3"/>
      <c r="C116" s="129" t="s">
        <v>1156</v>
      </c>
      <c r="D116" s="120">
        <v>17254.400000000001</v>
      </c>
      <c r="E116" s="120">
        <v>333.10109999999997</v>
      </c>
      <c r="F116" s="121">
        <v>1.9305284449183975</v>
      </c>
      <c r="G116" s="120">
        <v>16706.45</v>
      </c>
      <c r="H116" s="120">
        <v>17802.349999999999</v>
      </c>
      <c r="J116" t="s">
        <v>784</v>
      </c>
      <c r="K116" t="s">
        <v>14</v>
      </c>
      <c r="L116" t="s">
        <v>899</v>
      </c>
      <c r="M116">
        <v>17478.36</v>
      </c>
      <c r="N116">
        <v>844.11220000000003</v>
      </c>
      <c r="O116" s="122">
        <v>4.8294702706661266</v>
      </c>
      <c r="P116">
        <v>15810.19</v>
      </c>
      <c r="Q116">
        <v>19146.52</v>
      </c>
      <c r="R116" s="124"/>
      <c r="S116" t="s">
        <v>22</v>
      </c>
      <c r="T116" t="s">
        <v>44</v>
      </c>
      <c r="U116" t="s">
        <v>43</v>
      </c>
      <c r="V116" s="122">
        <v>15885.54</v>
      </c>
      <c r="W116" s="122">
        <v>578.06389999999999</v>
      </c>
      <c r="X116" s="122">
        <v>3.638931380362266</v>
      </c>
      <c r="Y116" s="122">
        <v>14750.18</v>
      </c>
      <c r="Z116" s="122">
        <v>17020.89</v>
      </c>
    </row>
    <row r="117" spans="1:26" ht="15" customHeight="1" x14ac:dyDescent="0.35">
      <c r="A117" s="139">
        <v>4322</v>
      </c>
      <c r="B117" s="3"/>
      <c r="C117" s="129" t="s">
        <v>720</v>
      </c>
      <c r="D117" s="120">
        <v>15313.46</v>
      </c>
      <c r="E117" s="120">
        <v>266.91199999999998</v>
      </c>
      <c r="F117" s="121">
        <v>1.7429895007398717</v>
      </c>
      <c r="G117" s="120">
        <v>14874.39</v>
      </c>
      <c r="H117" s="120">
        <v>15752.53</v>
      </c>
      <c r="J117" t="s">
        <v>784</v>
      </c>
      <c r="K117" t="s">
        <v>304</v>
      </c>
      <c r="L117" t="s">
        <v>928</v>
      </c>
      <c r="M117">
        <v>12900.46</v>
      </c>
      <c r="N117">
        <v>513.86490000000003</v>
      </c>
      <c r="O117" s="122">
        <v>3.9833067968118971</v>
      </c>
      <c r="P117">
        <v>11884.94</v>
      </c>
      <c r="Q117">
        <v>13915.98</v>
      </c>
      <c r="R117" s="124"/>
      <c r="S117" t="s">
        <v>229</v>
      </c>
      <c r="T117" t="s">
        <v>196</v>
      </c>
      <c r="U117" t="s">
        <v>233</v>
      </c>
      <c r="V117" s="122">
        <v>16571.55</v>
      </c>
      <c r="W117" s="122">
        <v>603.38530000000003</v>
      </c>
      <c r="X117" s="122">
        <v>3.6410915092432514</v>
      </c>
      <c r="Y117" s="122">
        <v>15385.6</v>
      </c>
      <c r="Z117" s="122">
        <v>17757.5</v>
      </c>
    </row>
    <row r="118" spans="1:26" ht="15" customHeight="1" x14ac:dyDescent="0.35">
      <c r="A118" s="139">
        <v>7531</v>
      </c>
      <c r="B118" s="3"/>
      <c r="C118" s="129" t="s">
        <v>961</v>
      </c>
      <c r="D118" s="120">
        <v>12541.65</v>
      </c>
      <c r="E118" s="120">
        <v>402.88080000000002</v>
      </c>
      <c r="F118" s="121">
        <v>3.2123428735453472</v>
      </c>
      <c r="G118" s="120">
        <v>11878.92</v>
      </c>
      <c r="H118" s="120">
        <v>13204.38</v>
      </c>
      <c r="O118" s="122"/>
      <c r="R118" s="124"/>
    </row>
    <row r="119" spans="1:26" ht="15" customHeight="1" x14ac:dyDescent="0.35">
      <c r="A119" s="139">
        <v>7532</v>
      </c>
      <c r="B119" s="3"/>
      <c r="C119" s="129" t="s">
        <v>958</v>
      </c>
      <c r="D119" s="120">
        <v>14261.84</v>
      </c>
      <c r="E119" s="120">
        <v>246.1165</v>
      </c>
      <c r="F119" s="121">
        <v>1.7256994889859933</v>
      </c>
      <c r="G119" s="120">
        <v>13856.99</v>
      </c>
      <c r="H119" s="120">
        <v>14666.7</v>
      </c>
      <c r="J119" t="s">
        <v>784</v>
      </c>
      <c r="K119" t="s">
        <v>960</v>
      </c>
      <c r="L119" t="s">
        <v>959</v>
      </c>
      <c r="M119">
        <v>11790.14</v>
      </c>
      <c r="N119">
        <v>256.27339999999998</v>
      </c>
      <c r="O119" s="122">
        <v>2.173624740673139</v>
      </c>
      <c r="P119">
        <v>11283.68</v>
      </c>
      <c r="Q119">
        <v>12296.59</v>
      </c>
      <c r="R119" s="124"/>
      <c r="S119" t="s">
        <v>650</v>
      </c>
      <c r="T119" t="s">
        <v>440</v>
      </c>
      <c r="U119" t="s">
        <v>861</v>
      </c>
      <c r="V119" s="122">
        <v>20664.2</v>
      </c>
      <c r="W119" s="122">
        <v>752.76530000000002</v>
      </c>
      <c r="X119" s="122">
        <v>3.6428475334152783</v>
      </c>
      <c r="Y119" s="122">
        <v>19179.3</v>
      </c>
      <c r="Z119" s="122">
        <v>22149.1</v>
      </c>
    </row>
    <row r="120" spans="1:26" ht="15" customHeight="1" x14ac:dyDescent="0.35">
      <c r="A120" s="117">
        <v>7533</v>
      </c>
      <c r="B120" s="130"/>
      <c r="C120" s="140" t="s">
        <v>955</v>
      </c>
      <c r="D120" s="120">
        <v>13654.79</v>
      </c>
      <c r="E120" s="120">
        <v>270.49700000000001</v>
      </c>
      <c r="F120" s="121">
        <v>1.9809678508420854</v>
      </c>
      <c r="G120" s="120">
        <v>13209.83</v>
      </c>
      <c r="H120" s="120">
        <v>14099.76</v>
      </c>
      <c r="J120" t="s">
        <v>784</v>
      </c>
      <c r="K120" t="s">
        <v>957</v>
      </c>
      <c r="L120" t="s">
        <v>956</v>
      </c>
      <c r="M120">
        <v>12521.52</v>
      </c>
      <c r="N120">
        <v>362.82769999999999</v>
      </c>
      <c r="O120" s="122">
        <v>2.8976330349670008</v>
      </c>
      <c r="P120">
        <v>11804.49</v>
      </c>
      <c r="Q120">
        <v>13238.56</v>
      </c>
      <c r="R120" s="124"/>
      <c r="S120" t="s">
        <v>373</v>
      </c>
      <c r="T120" t="s">
        <v>377</v>
      </c>
      <c r="U120" t="s">
        <v>376</v>
      </c>
      <c r="V120" s="122">
        <v>14342.59</v>
      </c>
      <c r="W120" s="122">
        <v>525.55470000000003</v>
      </c>
      <c r="X120" s="122">
        <v>3.6642942453211029</v>
      </c>
      <c r="Y120" s="122">
        <v>13310.66</v>
      </c>
      <c r="Z120" s="122">
        <v>15374.52</v>
      </c>
    </row>
    <row r="121" spans="1:26" ht="15" customHeight="1" x14ac:dyDescent="0.35">
      <c r="A121" s="139">
        <v>7543</v>
      </c>
      <c r="B121" s="3"/>
      <c r="C121" s="129" t="s">
        <v>1176</v>
      </c>
      <c r="D121" s="120">
        <v>14578.24</v>
      </c>
      <c r="E121" s="120">
        <v>310.3836</v>
      </c>
      <c r="F121" s="121">
        <v>2.1290882850055972</v>
      </c>
      <c r="G121" s="120">
        <v>14067.67</v>
      </c>
      <c r="H121" s="120">
        <v>15088.82</v>
      </c>
      <c r="J121" t="s">
        <v>784</v>
      </c>
      <c r="K121" t="s">
        <v>954</v>
      </c>
      <c r="L121" t="s">
        <v>953</v>
      </c>
      <c r="M121">
        <v>11228.67</v>
      </c>
      <c r="N121">
        <v>166.6917</v>
      </c>
      <c r="O121" s="122">
        <v>1.4845186473553857</v>
      </c>
      <c r="P121">
        <v>10899.25</v>
      </c>
      <c r="Q121">
        <v>11558.09</v>
      </c>
      <c r="R121" s="124"/>
      <c r="S121" t="s">
        <v>568</v>
      </c>
      <c r="T121" t="s">
        <v>14</v>
      </c>
      <c r="U121" t="s">
        <v>910</v>
      </c>
      <c r="V121" s="122">
        <v>15107.01</v>
      </c>
      <c r="W121" s="122">
        <v>554.95939999999996</v>
      </c>
      <c r="X121" s="122">
        <v>3.6735224243579632</v>
      </c>
      <c r="Y121" s="122">
        <v>14004.82</v>
      </c>
      <c r="Z121" s="122">
        <v>16209.21</v>
      </c>
    </row>
    <row r="122" spans="1:26" ht="15" customHeight="1" x14ac:dyDescent="0.35">
      <c r="A122" s="139">
        <v>8153</v>
      </c>
      <c r="B122" s="3"/>
      <c r="C122" s="129" t="s">
        <v>952</v>
      </c>
      <c r="D122" s="120">
        <v>13477.52</v>
      </c>
      <c r="E122" s="120">
        <v>194.05189999999999</v>
      </c>
      <c r="F122" s="121">
        <v>1.4398190468276062</v>
      </c>
      <c r="G122" s="120">
        <v>13158.31</v>
      </c>
      <c r="H122" s="120">
        <v>13796.74</v>
      </c>
      <c r="J122" t="s">
        <v>784</v>
      </c>
      <c r="K122" t="s">
        <v>951</v>
      </c>
      <c r="L122" t="s">
        <v>950</v>
      </c>
      <c r="M122">
        <v>11528.71</v>
      </c>
      <c r="N122">
        <v>157.2681</v>
      </c>
      <c r="O122" s="122">
        <v>1.3641430827907026</v>
      </c>
      <c r="P122">
        <v>11217.91</v>
      </c>
      <c r="Q122">
        <v>11839.51</v>
      </c>
      <c r="R122" s="124"/>
      <c r="S122" t="s">
        <v>592</v>
      </c>
      <c r="T122" t="s">
        <v>430</v>
      </c>
      <c r="U122" t="s">
        <v>599</v>
      </c>
      <c r="V122" s="122">
        <v>12968.13</v>
      </c>
      <c r="W122" s="122">
        <v>477.87270000000001</v>
      </c>
      <c r="X122" s="122">
        <v>3.6849777107416415</v>
      </c>
      <c r="Y122" s="122">
        <v>12031.09</v>
      </c>
      <c r="Z122" s="122">
        <v>13905.17</v>
      </c>
    </row>
    <row r="123" spans="1:26" ht="15" customHeight="1" x14ac:dyDescent="0.35">
      <c r="A123" s="139">
        <v>8154</v>
      </c>
      <c r="B123" s="3"/>
      <c r="C123" s="129" t="s">
        <v>949</v>
      </c>
      <c r="D123" s="120">
        <v>13272.24</v>
      </c>
      <c r="E123" s="120">
        <v>186.09389999999999</v>
      </c>
      <c r="F123" s="121">
        <v>1.4021288041807562</v>
      </c>
      <c r="G123" s="120">
        <v>12966.12</v>
      </c>
      <c r="H123" s="120">
        <v>13578.36</v>
      </c>
      <c r="J123" t="s">
        <v>784</v>
      </c>
      <c r="K123" t="s">
        <v>915</v>
      </c>
      <c r="L123" t="s">
        <v>948</v>
      </c>
      <c r="M123">
        <v>11006.92</v>
      </c>
      <c r="N123">
        <v>410.92599999999999</v>
      </c>
      <c r="O123" s="122">
        <v>3.7333422973910957</v>
      </c>
      <c r="P123">
        <v>10194.83</v>
      </c>
      <c r="Q123">
        <v>11819.01</v>
      </c>
      <c r="R123" s="124"/>
      <c r="S123" t="s">
        <v>784</v>
      </c>
      <c r="T123" t="s">
        <v>915</v>
      </c>
      <c r="U123" t="s">
        <v>948</v>
      </c>
      <c r="V123" s="122">
        <v>11006.92</v>
      </c>
      <c r="W123" s="122">
        <v>410.92599999999999</v>
      </c>
      <c r="X123" s="122">
        <v>3.7333422973910957</v>
      </c>
      <c r="Y123" s="122">
        <v>10194.83</v>
      </c>
      <c r="Z123" s="122">
        <v>11819.01</v>
      </c>
    </row>
    <row r="124" spans="1:26" ht="15" customHeight="1" x14ac:dyDescent="0.35">
      <c r="A124" s="117">
        <v>9000</v>
      </c>
      <c r="B124" s="118" t="s">
        <v>1350</v>
      </c>
      <c r="C124" s="116" t="s">
        <v>1207</v>
      </c>
      <c r="D124" s="120">
        <v>13533.36</v>
      </c>
      <c r="E124" s="120">
        <v>185.0479</v>
      </c>
      <c r="F124" s="121">
        <v>1.367346320499861</v>
      </c>
      <c r="G124" s="120">
        <v>13228.95</v>
      </c>
      <c r="H124" s="120">
        <v>13837.76</v>
      </c>
      <c r="J124" t="s">
        <v>784</v>
      </c>
      <c r="K124" t="s">
        <v>5</v>
      </c>
      <c r="L124" t="s">
        <v>783</v>
      </c>
      <c r="M124">
        <v>12014.65</v>
      </c>
      <c r="N124">
        <v>872.03039999999999</v>
      </c>
      <c r="O124" s="122">
        <v>7.2580591194916204</v>
      </c>
      <c r="P124">
        <v>10291.32</v>
      </c>
      <c r="Q124">
        <v>13737.99</v>
      </c>
      <c r="R124" s="124"/>
      <c r="S124" t="s">
        <v>446</v>
      </c>
      <c r="T124" t="s">
        <v>410</v>
      </c>
      <c r="U124" t="s">
        <v>529</v>
      </c>
      <c r="V124" s="122">
        <v>13322.77</v>
      </c>
      <c r="W124" s="122">
        <v>498.98660000000001</v>
      </c>
      <c r="X124" s="122">
        <v>3.7453667668210135</v>
      </c>
      <c r="Y124" s="122">
        <v>12342.49</v>
      </c>
      <c r="Z124" s="122">
        <v>14303.06</v>
      </c>
    </row>
    <row r="125" spans="1:26" ht="15" customHeight="1" x14ac:dyDescent="0.35">
      <c r="A125" s="146"/>
      <c r="B125" s="147"/>
      <c r="C125" s="147"/>
      <c r="D125" s="120"/>
      <c r="E125" s="120"/>
      <c r="F125" s="121"/>
      <c r="G125" s="120"/>
      <c r="H125" s="120"/>
      <c r="S125" t="s">
        <v>574</v>
      </c>
      <c r="T125" t="s">
        <v>304</v>
      </c>
      <c r="U125" t="s">
        <v>881</v>
      </c>
      <c r="V125" s="122">
        <v>15942.77</v>
      </c>
      <c r="W125" s="122">
        <v>600.39509999999996</v>
      </c>
      <c r="X125" s="122">
        <v>3.765939670458772</v>
      </c>
      <c r="Y125" s="122">
        <v>14723.91</v>
      </c>
      <c r="Z125" s="122">
        <v>17161.64</v>
      </c>
    </row>
    <row r="126" spans="1:26" ht="15" customHeight="1" x14ac:dyDescent="0.35">
      <c r="A126" s="135" t="s">
        <v>667</v>
      </c>
      <c r="B126" s="164"/>
      <c r="C126" s="148" t="s">
        <v>947</v>
      </c>
      <c r="D126" s="120"/>
      <c r="E126" s="120"/>
      <c r="F126" s="121"/>
      <c r="G126" s="120"/>
      <c r="H126" s="120"/>
      <c r="S126" t="s">
        <v>592</v>
      </c>
      <c r="T126" t="s">
        <v>5</v>
      </c>
      <c r="U126" t="s">
        <v>591</v>
      </c>
      <c r="V126" s="122">
        <v>12496.22</v>
      </c>
      <c r="W126" s="122">
        <v>474.12079999999997</v>
      </c>
      <c r="X126" s="122">
        <v>3.7941137399949745</v>
      </c>
      <c r="Y126" s="122">
        <v>11566.54</v>
      </c>
      <c r="Z126" s="122">
        <v>13425.91</v>
      </c>
    </row>
    <row r="127" spans="1:26" ht="15" customHeight="1" x14ac:dyDescent="0.35">
      <c r="A127" s="139">
        <v>3122</v>
      </c>
      <c r="B127" s="3"/>
      <c r="C127" s="129" t="s">
        <v>729</v>
      </c>
      <c r="D127" s="120">
        <v>19005.580000000002</v>
      </c>
      <c r="E127" s="120">
        <v>1478.5129999999999</v>
      </c>
      <c r="F127" s="121">
        <v>7.7793626924303281</v>
      </c>
      <c r="G127" s="120">
        <v>16573.439999999999</v>
      </c>
      <c r="H127" s="120">
        <v>21437.71</v>
      </c>
      <c r="J127" t="s">
        <v>667</v>
      </c>
      <c r="K127" t="s">
        <v>440</v>
      </c>
      <c r="L127" t="s">
        <v>666</v>
      </c>
      <c r="M127">
        <v>19995.14</v>
      </c>
      <c r="N127">
        <v>1858.2270000000001</v>
      </c>
      <c r="O127" s="122">
        <v>9.2933932945705813</v>
      </c>
      <c r="P127">
        <v>16239.52</v>
      </c>
      <c r="Q127">
        <v>23750.76</v>
      </c>
      <c r="R127" s="124"/>
      <c r="S127" t="s">
        <v>396</v>
      </c>
      <c r="T127" t="s">
        <v>777</v>
      </c>
      <c r="U127" t="s">
        <v>776</v>
      </c>
      <c r="V127" s="122">
        <v>12297.5</v>
      </c>
      <c r="W127" s="122">
        <v>467.18400000000003</v>
      </c>
      <c r="X127" s="122">
        <v>3.7990160601748326</v>
      </c>
      <c r="Y127" s="122">
        <v>11367.77</v>
      </c>
      <c r="Z127" s="122">
        <v>13227.22</v>
      </c>
    </row>
    <row r="128" spans="1:26" ht="15" customHeight="1" x14ac:dyDescent="0.35">
      <c r="A128" s="117">
        <v>4110</v>
      </c>
      <c r="B128" s="130"/>
      <c r="C128" s="131" t="s">
        <v>1156</v>
      </c>
      <c r="D128" s="120">
        <v>17520.77</v>
      </c>
      <c r="E128" s="120">
        <v>746.02719999999999</v>
      </c>
      <c r="F128" s="121">
        <v>4.257958982396322</v>
      </c>
      <c r="G128" s="120">
        <v>16293.56</v>
      </c>
      <c r="H128" s="120">
        <v>18747.97</v>
      </c>
      <c r="J128" t="s">
        <v>667</v>
      </c>
      <c r="K128" t="s">
        <v>320</v>
      </c>
      <c r="L128" t="s">
        <v>946</v>
      </c>
      <c r="M128">
        <v>12737.36</v>
      </c>
      <c r="N128">
        <v>250.64279999999999</v>
      </c>
      <c r="O128" s="122">
        <v>1.9677766821382139</v>
      </c>
      <c r="P128">
        <v>12230.79</v>
      </c>
      <c r="Q128">
        <v>13243.92</v>
      </c>
      <c r="R128" s="124"/>
      <c r="S128" t="s">
        <v>22</v>
      </c>
      <c r="T128" t="s">
        <v>33</v>
      </c>
      <c r="U128" t="s">
        <v>32</v>
      </c>
      <c r="V128" s="122">
        <v>17652.13</v>
      </c>
      <c r="W128" s="122">
        <v>671.0453</v>
      </c>
      <c r="X128" s="122">
        <v>3.8014976096369106</v>
      </c>
      <c r="Y128" s="122">
        <v>16334.16</v>
      </c>
      <c r="Z128" s="122">
        <v>18970.11</v>
      </c>
    </row>
    <row r="129" spans="1:26" ht="15" customHeight="1" x14ac:dyDescent="0.35">
      <c r="A129" s="117">
        <v>4322</v>
      </c>
      <c r="B129" s="130"/>
      <c r="C129" s="131" t="s">
        <v>720</v>
      </c>
      <c r="D129" s="120">
        <v>15815.84</v>
      </c>
      <c r="E129" s="120">
        <v>486.39659999999998</v>
      </c>
      <c r="F129" s="121">
        <v>3.0753763315764444</v>
      </c>
      <c r="G129" s="120">
        <v>15015.72</v>
      </c>
      <c r="H129" s="120">
        <v>16615.95</v>
      </c>
      <c r="O129" s="122"/>
      <c r="R129" s="124"/>
    </row>
    <row r="130" spans="1:26" ht="15" customHeight="1" x14ac:dyDescent="0.35">
      <c r="A130" s="139">
        <v>7533</v>
      </c>
      <c r="B130" s="3"/>
      <c r="C130" s="129" t="s">
        <v>1178</v>
      </c>
      <c r="D130" s="120">
        <v>13415.79</v>
      </c>
      <c r="E130" s="120">
        <v>219.61920000000001</v>
      </c>
      <c r="F130" s="121">
        <v>1.6370202574727242</v>
      </c>
      <c r="G130" s="120">
        <v>13054.52</v>
      </c>
      <c r="H130" s="120">
        <v>13777.06</v>
      </c>
      <c r="J130" t="s">
        <v>667</v>
      </c>
      <c r="K130" t="s">
        <v>14</v>
      </c>
      <c r="L130" t="s">
        <v>795</v>
      </c>
      <c r="M130">
        <v>17602.419999999998</v>
      </c>
      <c r="N130">
        <v>1259.2049999999999</v>
      </c>
      <c r="O130" s="122">
        <v>7.1535902449776794</v>
      </c>
      <c r="P130">
        <v>15057.48</v>
      </c>
      <c r="Q130">
        <v>20147.37</v>
      </c>
      <c r="R130" s="124"/>
      <c r="S130" t="s">
        <v>385</v>
      </c>
      <c r="T130" t="s">
        <v>304</v>
      </c>
      <c r="U130" t="s">
        <v>744</v>
      </c>
      <c r="V130" s="122">
        <v>19609.59</v>
      </c>
      <c r="W130" s="122">
        <v>745.70899999999995</v>
      </c>
      <c r="X130" s="122">
        <v>3.8027771105872175</v>
      </c>
      <c r="Y130" s="122">
        <v>18020.150000000001</v>
      </c>
      <c r="Z130" s="122">
        <v>21199.03</v>
      </c>
    </row>
    <row r="131" spans="1:26" ht="15" customHeight="1" x14ac:dyDescent="0.35">
      <c r="A131" s="139">
        <v>7535</v>
      </c>
      <c r="B131" s="3"/>
      <c r="C131" s="129" t="s">
        <v>945</v>
      </c>
      <c r="D131" s="120">
        <v>13141.42</v>
      </c>
      <c r="E131" s="120" t="s">
        <v>289</v>
      </c>
      <c r="F131" s="120" t="s">
        <v>289</v>
      </c>
      <c r="G131" s="120" t="s">
        <v>289</v>
      </c>
      <c r="H131" s="120" t="s">
        <v>289</v>
      </c>
      <c r="J131" t="s">
        <v>667</v>
      </c>
      <c r="K131" t="s">
        <v>304</v>
      </c>
      <c r="L131" t="s">
        <v>926</v>
      </c>
      <c r="M131">
        <v>14032.17</v>
      </c>
      <c r="N131">
        <v>560.16499999999996</v>
      </c>
      <c r="O131" s="122">
        <v>3.992005513046093</v>
      </c>
      <c r="P131">
        <v>12900.04</v>
      </c>
      <c r="Q131">
        <v>15164.31</v>
      </c>
      <c r="R131" s="124"/>
      <c r="S131" t="s">
        <v>391</v>
      </c>
      <c r="T131" t="s">
        <v>681</v>
      </c>
      <c r="U131" t="s">
        <v>680</v>
      </c>
      <c r="V131" s="122">
        <v>27208.15</v>
      </c>
      <c r="W131" s="122">
        <v>1039.489</v>
      </c>
      <c r="X131" s="122">
        <v>3.8205059880954786</v>
      </c>
      <c r="Y131" s="122">
        <v>25157.66</v>
      </c>
      <c r="Z131" s="122">
        <v>29258.639999999999</v>
      </c>
    </row>
    <row r="132" spans="1:26" ht="15" customHeight="1" x14ac:dyDescent="0.35">
      <c r="A132" s="139">
        <v>7536</v>
      </c>
      <c r="B132" s="3"/>
      <c r="C132" s="129" t="s">
        <v>942</v>
      </c>
      <c r="D132" s="120">
        <v>15280.32</v>
      </c>
      <c r="E132" s="120">
        <v>924.71259999999995</v>
      </c>
      <c r="F132" s="121">
        <v>6.0516572951351799</v>
      </c>
      <c r="G132" s="120">
        <v>13759.18</v>
      </c>
      <c r="H132" s="120">
        <v>16801.46</v>
      </c>
      <c r="J132" t="s">
        <v>667</v>
      </c>
      <c r="K132" t="s">
        <v>944</v>
      </c>
      <c r="L132" t="s">
        <v>943</v>
      </c>
      <c r="M132">
        <v>11784.36</v>
      </c>
      <c r="N132">
        <v>45.434989999999999</v>
      </c>
      <c r="O132" s="122">
        <v>0.38555330964091383</v>
      </c>
      <c r="P132">
        <v>11692.53</v>
      </c>
      <c r="Q132">
        <v>11876.18</v>
      </c>
      <c r="R132" s="124"/>
      <c r="S132" t="s">
        <v>428</v>
      </c>
      <c r="T132" t="s">
        <v>5</v>
      </c>
      <c r="U132" t="s">
        <v>565</v>
      </c>
      <c r="V132" s="122">
        <v>12737.54</v>
      </c>
      <c r="W132" s="122">
        <v>487.24930000000001</v>
      </c>
      <c r="X132" s="122">
        <v>3.8253014318306358</v>
      </c>
      <c r="Y132" s="122">
        <v>11782.11</v>
      </c>
      <c r="Z132" s="122">
        <v>13692.96</v>
      </c>
    </row>
    <row r="133" spans="1:26" ht="15" customHeight="1" x14ac:dyDescent="0.35">
      <c r="A133" s="139">
        <v>7543</v>
      </c>
      <c r="B133" s="3"/>
      <c r="C133" s="129" t="s">
        <v>1176</v>
      </c>
      <c r="D133" s="120">
        <v>14717.56</v>
      </c>
      <c r="E133" s="120">
        <v>729.08789999999999</v>
      </c>
      <c r="F133" s="121">
        <v>4.9538639557100499</v>
      </c>
      <c r="G133" s="120">
        <v>13518.22</v>
      </c>
      <c r="H133" s="120">
        <v>15916.9</v>
      </c>
      <c r="J133" t="s">
        <v>667</v>
      </c>
      <c r="K133" t="s">
        <v>941</v>
      </c>
      <c r="L133" t="s">
        <v>940</v>
      </c>
      <c r="M133">
        <v>12054.68</v>
      </c>
      <c r="N133">
        <v>310.68380000000002</v>
      </c>
      <c r="O133" s="122">
        <v>2.5772878251434301</v>
      </c>
      <c r="P133">
        <v>11426.77</v>
      </c>
      <c r="Q133">
        <v>12682.6</v>
      </c>
      <c r="R133" s="124"/>
      <c r="S133" t="s">
        <v>606</v>
      </c>
      <c r="T133" t="s">
        <v>171</v>
      </c>
      <c r="U133" t="s">
        <v>652</v>
      </c>
      <c r="V133" s="122">
        <v>28339.39</v>
      </c>
      <c r="W133" s="122">
        <v>1095.6579999999999</v>
      </c>
      <c r="X133" s="122">
        <v>3.8662017778082021</v>
      </c>
      <c r="Y133" s="122">
        <v>26187.200000000001</v>
      </c>
      <c r="Z133" s="122">
        <v>30491.57</v>
      </c>
    </row>
    <row r="134" spans="1:26" ht="15" customHeight="1" x14ac:dyDescent="0.35">
      <c r="A134" s="139">
        <v>8155</v>
      </c>
      <c r="B134" s="3"/>
      <c r="C134" s="129" t="s">
        <v>939</v>
      </c>
      <c r="D134" s="120">
        <v>14067.17</v>
      </c>
      <c r="E134" s="120">
        <v>812.2287</v>
      </c>
      <c r="F134" s="121">
        <v>5.7739310749781225</v>
      </c>
      <c r="G134" s="120">
        <v>12731.07</v>
      </c>
      <c r="H134" s="120">
        <v>15403.28</v>
      </c>
      <c r="J134" t="s">
        <v>667</v>
      </c>
      <c r="K134" t="s">
        <v>938</v>
      </c>
      <c r="L134" t="s">
        <v>937</v>
      </c>
      <c r="M134">
        <v>11932.64</v>
      </c>
      <c r="N134">
        <v>299.54410000000001</v>
      </c>
      <c r="O134" s="122">
        <v>2.5102919387495142</v>
      </c>
      <c r="P134">
        <v>11327.23</v>
      </c>
      <c r="Q134">
        <v>12538.04</v>
      </c>
      <c r="R134" s="124"/>
      <c r="S134" t="s">
        <v>506</v>
      </c>
      <c r="T134" t="s">
        <v>516</v>
      </c>
      <c r="U134" t="s">
        <v>936</v>
      </c>
      <c r="V134" s="122">
        <v>38615.06</v>
      </c>
      <c r="W134" s="122">
        <v>1498.153</v>
      </c>
      <c r="X134" s="122">
        <v>3.8797116979748316</v>
      </c>
      <c r="Y134" s="122">
        <v>35637.800000000003</v>
      </c>
      <c r="Z134" s="122">
        <v>41592.32</v>
      </c>
    </row>
    <row r="135" spans="1:26" ht="15" customHeight="1" x14ac:dyDescent="0.35">
      <c r="A135" s="139">
        <v>8156</v>
      </c>
      <c r="B135" s="3"/>
      <c r="C135" s="129" t="s">
        <v>935</v>
      </c>
      <c r="D135" s="120">
        <v>13161.98</v>
      </c>
      <c r="E135" s="120">
        <v>124.2431</v>
      </c>
      <c r="F135" s="121">
        <v>0.94395448101273516</v>
      </c>
      <c r="G135" s="120">
        <v>12957.6</v>
      </c>
      <c r="H135" s="120">
        <v>13366.36</v>
      </c>
      <c r="J135" t="s">
        <v>667</v>
      </c>
      <c r="K135" t="s">
        <v>934</v>
      </c>
      <c r="L135" t="s">
        <v>933</v>
      </c>
      <c r="M135">
        <v>11711.8</v>
      </c>
      <c r="N135">
        <v>190.5675</v>
      </c>
      <c r="O135" s="122">
        <v>1.6271410030908997</v>
      </c>
      <c r="P135">
        <v>11326.65</v>
      </c>
      <c r="Q135">
        <v>12096.95</v>
      </c>
      <c r="R135" s="124"/>
      <c r="S135" t="s">
        <v>428</v>
      </c>
      <c r="T135" t="s">
        <v>147</v>
      </c>
      <c r="U135" t="s">
        <v>582</v>
      </c>
      <c r="V135" s="122">
        <v>21931.69</v>
      </c>
      <c r="W135" s="122">
        <v>851.25789999999995</v>
      </c>
      <c r="X135" s="122">
        <v>3.8814058560922571</v>
      </c>
      <c r="Y135" s="122">
        <v>20262.5</v>
      </c>
      <c r="Z135" s="122">
        <v>23600.89</v>
      </c>
    </row>
    <row r="136" spans="1:26" ht="15" customHeight="1" x14ac:dyDescent="0.35">
      <c r="A136" s="117">
        <v>9000</v>
      </c>
      <c r="B136" s="118" t="s">
        <v>1350</v>
      </c>
      <c r="C136" s="116" t="s">
        <v>1207</v>
      </c>
      <c r="D136" s="120">
        <v>14567.21</v>
      </c>
      <c r="E136" s="120">
        <v>575.17259999999999</v>
      </c>
      <c r="F136" s="121">
        <v>3.9484060434359085</v>
      </c>
      <c r="G136" s="120">
        <v>13621.06</v>
      </c>
      <c r="H136" s="120">
        <v>15513.36</v>
      </c>
      <c r="J136" t="s">
        <v>667</v>
      </c>
      <c r="K136" t="s">
        <v>5</v>
      </c>
      <c r="L136" t="s">
        <v>932</v>
      </c>
      <c r="M136">
        <v>12174.47</v>
      </c>
      <c r="N136">
        <v>283.46019999999999</v>
      </c>
      <c r="O136" s="122">
        <v>2.3283165509463655</v>
      </c>
      <c r="P136">
        <v>11601.58</v>
      </c>
      <c r="Q136">
        <v>12747.36</v>
      </c>
      <c r="R136" s="124"/>
      <c r="S136" t="s">
        <v>428</v>
      </c>
      <c r="T136" t="s">
        <v>541</v>
      </c>
      <c r="U136" t="s">
        <v>566</v>
      </c>
      <c r="V136" s="122">
        <v>13499.22</v>
      </c>
      <c r="W136" s="122">
        <v>524.07259999999997</v>
      </c>
      <c r="X136" s="122">
        <v>3.8822435666653332</v>
      </c>
      <c r="Y136" s="122">
        <v>12471.59</v>
      </c>
      <c r="Z136" s="122">
        <v>14526.86</v>
      </c>
    </row>
    <row r="137" spans="1:26" ht="15" customHeight="1" x14ac:dyDescent="0.35">
      <c r="A137" s="132"/>
      <c r="B137" s="130"/>
      <c r="C137" s="131"/>
      <c r="D137" s="120"/>
      <c r="E137" s="120"/>
      <c r="F137" s="121"/>
      <c r="G137" s="120"/>
      <c r="H137" s="120"/>
      <c r="S137" t="s">
        <v>446</v>
      </c>
      <c r="T137" t="s">
        <v>333</v>
      </c>
      <c r="U137" t="s">
        <v>533</v>
      </c>
      <c r="V137" s="122">
        <v>14181.76</v>
      </c>
      <c r="W137" s="122">
        <v>551.20190000000002</v>
      </c>
      <c r="X137" s="122">
        <v>3.8866960095220908</v>
      </c>
      <c r="Y137" s="122">
        <v>13098.9</v>
      </c>
      <c r="Z137" s="122">
        <v>15264.63</v>
      </c>
    </row>
    <row r="138" spans="1:26" ht="30" customHeight="1" x14ac:dyDescent="0.35">
      <c r="A138" s="4" t="s">
        <v>1325</v>
      </c>
      <c r="B138" s="145"/>
      <c r="C138" s="126" t="s">
        <v>931</v>
      </c>
      <c r="D138" s="120"/>
      <c r="E138" s="120"/>
      <c r="F138" s="121"/>
      <c r="G138" s="120"/>
      <c r="H138" s="120"/>
      <c r="S138" t="s">
        <v>581</v>
      </c>
      <c r="T138" t="s">
        <v>320</v>
      </c>
      <c r="U138" t="s">
        <v>832</v>
      </c>
      <c r="V138" s="122">
        <v>16045.1</v>
      </c>
      <c r="W138" s="122">
        <v>624.06870000000004</v>
      </c>
      <c r="X138" s="122">
        <v>3.8894659428735254</v>
      </c>
      <c r="Y138" s="122">
        <v>14812.57</v>
      </c>
      <c r="Z138" s="122">
        <v>17277.64</v>
      </c>
    </row>
    <row r="139" spans="1:26" ht="15" customHeight="1" x14ac:dyDescent="0.35">
      <c r="A139" s="139">
        <v>3122</v>
      </c>
      <c r="B139" s="3"/>
      <c r="C139" s="141" t="s">
        <v>729</v>
      </c>
      <c r="D139" s="120">
        <v>22392.73</v>
      </c>
      <c r="E139" s="120">
        <v>809.30740000000003</v>
      </c>
      <c r="F139" s="121">
        <v>3.6141524503711699</v>
      </c>
      <c r="G139" s="120">
        <v>21061.43</v>
      </c>
      <c r="H139" s="120">
        <v>23724.03</v>
      </c>
      <c r="J139" t="s">
        <v>614</v>
      </c>
      <c r="K139" t="s">
        <v>440</v>
      </c>
      <c r="L139" t="s">
        <v>613</v>
      </c>
      <c r="M139">
        <v>18470.759999999998</v>
      </c>
      <c r="N139">
        <v>1871.729</v>
      </c>
      <c r="O139" s="122">
        <v>10.13347041486111</v>
      </c>
      <c r="P139">
        <v>14713.11</v>
      </c>
      <c r="Q139">
        <v>22228.42</v>
      </c>
      <c r="R139" s="124"/>
      <c r="S139" t="s">
        <v>606</v>
      </c>
      <c r="T139" t="s">
        <v>622</v>
      </c>
      <c r="U139" t="s">
        <v>621</v>
      </c>
      <c r="V139" s="122">
        <v>16099.56</v>
      </c>
      <c r="W139" s="122">
        <v>627.60900000000004</v>
      </c>
      <c r="X139" s="122">
        <v>3.8982990839501208</v>
      </c>
      <c r="Y139" s="122">
        <v>14866.76</v>
      </c>
      <c r="Z139" s="122">
        <v>17332.37</v>
      </c>
    </row>
    <row r="140" spans="1:26" ht="15" customHeight="1" x14ac:dyDescent="0.35">
      <c r="A140" s="139">
        <v>4110</v>
      </c>
      <c r="B140" s="3"/>
      <c r="C140" s="141" t="s">
        <v>1156</v>
      </c>
      <c r="D140" s="120">
        <v>18570.849999999999</v>
      </c>
      <c r="E140" s="120">
        <v>2118.98</v>
      </c>
      <c r="F140" s="121">
        <v>11.410247780796249</v>
      </c>
      <c r="G140" s="120">
        <v>15085.15</v>
      </c>
      <c r="H140" s="120">
        <v>22056.54</v>
      </c>
      <c r="J140" t="s">
        <v>614</v>
      </c>
      <c r="K140" t="s">
        <v>14</v>
      </c>
      <c r="L140" t="s">
        <v>875</v>
      </c>
      <c r="M140">
        <v>15297.05</v>
      </c>
      <c r="N140">
        <v>857.66089999999997</v>
      </c>
      <c r="O140" s="122">
        <v>5.6067078292873465</v>
      </c>
      <c r="P140">
        <v>13575.22</v>
      </c>
      <c r="Q140">
        <v>17018.87</v>
      </c>
      <c r="R140" s="124"/>
      <c r="S140" t="s">
        <v>506</v>
      </c>
      <c r="T140" t="s">
        <v>602</v>
      </c>
      <c r="U140" t="s">
        <v>930</v>
      </c>
      <c r="V140" s="122">
        <v>21357.69</v>
      </c>
      <c r="W140" s="122">
        <v>848.8646</v>
      </c>
      <c r="X140" s="122">
        <v>3.9745150341633386</v>
      </c>
      <c r="Y140" s="122">
        <v>19670.75</v>
      </c>
      <c r="Z140" s="122">
        <v>23044.63</v>
      </c>
    </row>
    <row r="141" spans="1:26" ht="15" customHeight="1" x14ac:dyDescent="0.35">
      <c r="A141" s="139">
        <v>4322</v>
      </c>
      <c r="B141" s="3"/>
      <c r="C141" s="129" t="s">
        <v>1179</v>
      </c>
      <c r="D141" s="120">
        <v>13171.97</v>
      </c>
      <c r="E141" s="120">
        <v>427.24279999999999</v>
      </c>
      <c r="F141" s="121">
        <v>3.2435755623494433</v>
      </c>
      <c r="G141" s="120">
        <v>12469.16</v>
      </c>
      <c r="H141" s="120">
        <v>13874.77</v>
      </c>
      <c r="J141" t="s">
        <v>614</v>
      </c>
      <c r="K141" t="s">
        <v>304</v>
      </c>
      <c r="L141" t="s">
        <v>903</v>
      </c>
      <c r="M141">
        <v>12624.27</v>
      </c>
      <c r="N141">
        <v>577.88980000000004</v>
      </c>
      <c r="O141" s="122">
        <v>4.5776096360423217</v>
      </c>
      <c r="P141">
        <v>11464.11</v>
      </c>
      <c r="Q141">
        <v>13784.43</v>
      </c>
      <c r="R141" s="124"/>
      <c r="S141" t="s">
        <v>54</v>
      </c>
      <c r="T141" t="s">
        <v>76</v>
      </c>
      <c r="U141" t="s">
        <v>75</v>
      </c>
      <c r="V141" s="122">
        <v>28861.9</v>
      </c>
      <c r="W141" s="122">
        <v>1149.2670000000001</v>
      </c>
      <c r="X141" s="122">
        <v>3.9819519851430432</v>
      </c>
      <c r="Y141" s="122">
        <v>26606.38</v>
      </c>
      <c r="Z141" s="122">
        <v>31117.43</v>
      </c>
    </row>
    <row r="142" spans="1:26" ht="15" customHeight="1" x14ac:dyDescent="0.35">
      <c r="A142" s="139">
        <v>7521</v>
      </c>
      <c r="B142" s="3"/>
      <c r="C142" s="129" t="s">
        <v>929</v>
      </c>
      <c r="D142" s="120">
        <v>13226.98</v>
      </c>
      <c r="E142" s="120">
        <v>667.19280000000003</v>
      </c>
      <c r="F142" s="121">
        <v>5.0441809090208043</v>
      </c>
      <c r="G142" s="120">
        <v>12129.46</v>
      </c>
      <c r="H142" s="120">
        <v>14324.51</v>
      </c>
      <c r="O142" s="122"/>
      <c r="R142" s="124"/>
    </row>
    <row r="143" spans="1:26" ht="15" customHeight="1" x14ac:dyDescent="0.35">
      <c r="A143" s="139">
        <v>7523</v>
      </c>
      <c r="B143" s="3"/>
      <c r="C143" s="141" t="s">
        <v>710</v>
      </c>
      <c r="D143" s="120">
        <v>14966.52</v>
      </c>
      <c r="E143" s="120">
        <v>1102.1279999999999</v>
      </c>
      <c r="F143" s="121">
        <v>7.3639563505744814</v>
      </c>
      <c r="G143" s="120">
        <v>13153.54</v>
      </c>
      <c r="H143" s="120">
        <v>16779.509999999998</v>
      </c>
      <c r="J143" t="s">
        <v>614</v>
      </c>
      <c r="K143" t="s">
        <v>764</v>
      </c>
      <c r="L143" t="s">
        <v>763</v>
      </c>
      <c r="M143">
        <v>9600.2250000000004</v>
      </c>
      <c r="N143">
        <v>720.17399999999998</v>
      </c>
      <c r="O143" s="122">
        <v>7.5016366803903027</v>
      </c>
      <c r="P143">
        <v>8154.415</v>
      </c>
      <c r="Q143">
        <v>11046.03</v>
      </c>
      <c r="R143" s="124"/>
      <c r="S143" t="s">
        <v>784</v>
      </c>
      <c r="T143" t="s">
        <v>304</v>
      </c>
      <c r="U143" t="s">
        <v>928</v>
      </c>
      <c r="V143" s="122">
        <v>12900.46</v>
      </c>
      <c r="W143" s="122">
        <v>513.86490000000003</v>
      </c>
      <c r="X143" s="122">
        <v>3.9833067968118971</v>
      </c>
      <c r="Y143" s="122">
        <v>11884.94</v>
      </c>
      <c r="Z143" s="122">
        <v>13915.98</v>
      </c>
    </row>
    <row r="144" spans="1:26" ht="15" customHeight="1" x14ac:dyDescent="0.35">
      <c r="A144" s="117">
        <v>7543</v>
      </c>
      <c r="B144" s="130"/>
      <c r="C144" s="131" t="s">
        <v>1180</v>
      </c>
      <c r="D144" s="120">
        <v>16383.56</v>
      </c>
      <c r="E144" s="120">
        <v>781.5874</v>
      </c>
      <c r="F144" s="121">
        <v>4.7705590238019093</v>
      </c>
      <c r="G144" s="120">
        <v>15097.86</v>
      </c>
      <c r="H144" s="120">
        <v>17669.259999999998</v>
      </c>
      <c r="J144" t="s">
        <v>614</v>
      </c>
      <c r="K144" t="s">
        <v>709</v>
      </c>
      <c r="L144" t="s">
        <v>927</v>
      </c>
      <c r="M144">
        <v>12201.45</v>
      </c>
      <c r="N144">
        <v>252.35560000000001</v>
      </c>
      <c r="O144" s="122">
        <v>2.0682427088583735</v>
      </c>
      <c r="P144">
        <v>11694.82</v>
      </c>
      <c r="Q144">
        <v>12708.07</v>
      </c>
      <c r="R144" s="124"/>
      <c r="S144" t="s">
        <v>667</v>
      </c>
      <c r="T144" t="s">
        <v>304</v>
      </c>
      <c r="U144" t="s">
        <v>926</v>
      </c>
      <c r="V144" s="122">
        <v>14032.17</v>
      </c>
      <c r="W144" s="122">
        <v>560.16499999999996</v>
      </c>
      <c r="X144" s="122">
        <v>3.992005513046093</v>
      </c>
      <c r="Y144" s="122">
        <v>12900.04</v>
      </c>
      <c r="Z144" s="122">
        <v>15164.31</v>
      </c>
    </row>
    <row r="145" spans="1:26" ht="15" customHeight="1" x14ac:dyDescent="0.35">
      <c r="A145" s="139">
        <v>8172</v>
      </c>
      <c r="B145" s="3"/>
      <c r="C145" s="141" t="s">
        <v>925</v>
      </c>
      <c r="D145" s="120">
        <v>13886.47</v>
      </c>
      <c r="E145" s="120">
        <v>642.04240000000004</v>
      </c>
      <c r="F145" s="121">
        <v>4.623510510590525</v>
      </c>
      <c r="G145" s="120">
        <v>12830.32</v>
      </c>
      <c r="H145" s="120">
        <v>14942.62</v>
      </c>
      <c r="J145" t="s">
        <v>614</v>
      </c>
      <c r="K145" t="s">
        <v>920</v>
      </c>
      <c r="L145" t="s">
        <v>919</v>
      </c>
      <c r="M145">
        <v>11788.29</v>
      </c>
      <c r="N145">
        <v>485.33269999999999</v>
      </c>
      <c r="O145" s="122">
        <v>4.1170746562902671</v>
      </c>
      <c r="P145">
        <v>10813.95</v>
      </c>
      <c r="Q145">
        <v>12762.64</v>
      </c>
      <c r="R145" s="124"/>
      <c r="S145" t="s">
        <v>305</v>
      </c>
      <c r="T145" t="s">
        <v>358</v>
      </c>
      <c r="U145" t="s">
        <v>905</v>
      </c>
      <c r="V145" s="122">
        <v>45138.66</v>
      </c>
      <c r="W145" s="122">
        <v>1812.5329999999999</v>
      </c>
      <c r="X145" s="122">
        <v>4.015478084639641</v>
      </c>
      <c r="Y145" s="122">
        <v>40958.949999999997</v>
      </c>
      <c r="Z145" s="122">
        <v>49318.37</v>
      </c>
    </row>
    <row r="146" spans="1:26" ht="15" customHeight="1" x14ac:dyDescent="0.35">
      <c r="A146" s="139">
        <v>8219</v>
      </c>
      <c r="B146" s="3"/>
      <c r="C146" s="141" t="s">
        <v>924</v>
      </c>
      <c r="D146" s="120">
        <v>15416.94</v>
      </c>
      <c r="E146" s="120">
        <v>675.03840000000002</v>
      </c>
      <c r="F146" s="121">
        <v>4.3785498289543838</v>
      </c>
      <c r="G146" s="120">
        <v>14306.51</v>
      </c>
      <c r="H146" s="120">
        <v>16527.37</v>
      </c>
      <c r="J146" t="s">
        <v>614</v>
      </c>
      <c r="K146" t="s">
        <v>732</v>
      </c>
      <c r="L146" t="s">
        <v>923</v>
      </c>
      <c r="M146">
        <v>10414.68</v>
      </c>
      <c r="N146">
        <v>195.9701</v>
      </c>
      <c r="O146" s="122">
        <v>1.8816718324518853</v>
      </c>
      <c r="P146">
        <v>10021.25</v>
      </c>
      <c r="Q146">
        <v>10808.11</v>
      </c>
      <c r="R146" s="124"/>
      <c r="S146" t="s">
        <v>327</v>
      </c>
      <c r="T146" t="s">
        <v>5</v>
      </c>
      <c r="U146" t="s">
        <v>922</v>
      </c>
      <c r="V146" s="122">
        <v>10464.290000000001</v>
      </c>
      <c r="W146" s="122">
        <v>421.3424</v>
      </c>
      <c r="X146" s="122">
        <v>4.0264786239677992</v>
      </c>
      <c r="Y146" s="122">
        <v>9626.9570000000003</v>
      </c>
      <c r="Z146" s="122">
        <v>11301.62</v>
      </c>
    </row>
    <row r="147" spans="1:26" ht="15" customHeight="1" x14ac:dyDescent="0.35">
      <c r="A147" s="166">
        <v>9000</v>
      </c>
      <c r="B147" s="167" t="s">
        <v>1350</v>
      </c>
      <c r="C147" s="212" t="s">
        <v>1207</v>
      </c>
      <c r="D147" s="149">
        <v>11930.2</v>
      </c>
      <c r="E147" s="149">
        <v>416.97949999999997</v>
      </c>
      <c r="F147" s="150">
        <v>3.4951593435147776</v>
      </c>
      <c r="G147" s="149">
        <v>11244.28</v>
      </c>
      <c r="H147" s="149">
        <v>12616.13</v>
      </c>
      <c r="J147" t="s">
        <v>614</v>
      </c>
      <c r="K147" t="s">
        <v>5</v>
      </c>
      <c r="L147" t="s">
        <v>714</v>
      </c>
      <c r="M147">
        <v>11182.93</v>
      </c>
      <c r="N147">
        <v>928.18780000000004</v>
      </c>
      <c r="O147" s="122">
        <v>8.3000412235433814</v>
      </c>
      <c r="P147">
        <v>9319.52</v>
      </c>
      <c r="Q147">
        <v>13046.35</v>
      </c>
      <c r="R147" s="124"/>
      <c r="S147" t="s">
        <v>438</v>
      </c>
      <c r="T147" t="s">
        <v>468</v>
      </c>
      <c r="U147" t="s">
        <v>467</v>
      </c>
      <c r="V147" s="122">
        <v>35136.92</v>
      </c>
      <c r="W147" s="122">
        <v>1415.6110000000001</v>
      </c>
      <c r="X147" s="122">
        <v>4.0288420271327148</v>
      </c>
      <c r="Y147" s="122">
        <v>32355.87</v>
      </c>
      <c r="Z147" s="122">
        <v>37917.96</v>
      </c>
    </row>
    <row r="148" spans="1:26" ht="15" customHeight="1" x14ac:dyDescent="0.35">
      <c r="A148" s="117"/>
      <c r="B148" s="118"/>
      <c r="C148" s="217"/>
      <c r="D148" s="154"/>
      <c r="E148" s="154"/>
      <c r="F148" s="213"/>
      <c r="G148" s="154"/>
      <c r="H148" s="154"/>
      <c r="O148" s="122"/>
      <c r="R148" s="124"/>
    </row>
    <row r="149" spans="1:26" ht="15" customHeight="1" x14ac:dyDescent="0.35">
      <c r="A149" s="2" t="s">
        <v>94</v>
      </c>
      <c r="B149" s="118"/>
      <c r="C149" s="116"/>
      <c r="D149" s="161"/>
      <c r="E149" s="161"/>
      <c r="F149" s="214"/>
      <c r="G149" s="161"/>
      <c r="H149" s="161"/>
      <c r="O149" s="122"/>
      <c r="R149" s="124"/>
    </row>
    <row r="150" spans="1:26" ht="15" customHeight="1" x14ac:dyDescent="0.35">
      <c r="A150" s="2" t="s">
        <v>93</v>
      </c>
      <c r="B150" s="118"/>
      <c r="C150" s="116"/>
      <c r="D150" s="161"/>
      <c r="E150" s="161"/>
      <c r="F150" s="214"/>
      <c r="G150" s="161"/>
      <c r="H150" s="161"/>
      <c r="O150" s="122"/>
      <c r="R150" s="124"/>
    </row>
    <row r="151" spans="1:26" ht="15" customHeight="1" x14ac:dyDescent="0.35">
      <c r="A151" s="159" t="s">
        <v>965</v>
      </c>
      <c r="B151" s="118"/>
      <c r="C151" s="116"/>
      <c r="D151" s="161"/>
      <c r="E151" s="161"/>
      <c r="F151" s="214"/>
      <c r="G151" s="161"/>
      <c r="H151" s="161"/>
      <c r="O151" s="122"/>
      <c r="R151" s="124"/>
    </row>
    <row r="152" spans="1:26" ht="15" customHeight="1" x14ac:dyDescent="0.35">
      <c r="A152" s="159" t="s">
        <v>0</v>
      </c>
      <c r="B152" s="118"/>
      <c r="C152" s="116"/>
      <c r="D152" s="161"/>
      <c r="E152" s="161"/>
      <c r="F152" s="214"/>
      <c r="G152" s="161"/>
      <c r="H152" s="161"/>
      <c r="O152" s="122"/>
      <c r="R152" s="124"/>
    </row>
    <row r="153" spans="1:26" ht="30" customHeight="1" x14ac:dyDescent="0.35">
      <c r="A153" s="403" t="s">
        <v>1349</v>
      </c>
      <c r="B153" s="403"/>
      <c r="C153" s="403"/>
      <c r="D153" s="403"/>
      <c r="E153" s="403"/>
      <c r="F153" s="403"/>
      <c r="G153" s="403"/>
      <c r="H153" s="403"/>
      <c r="O153" s="122"/>
      <c r="R153" s="124"/>
    </row>
    <row r="154" spans="1:26" ht="15" customHeight="1" x14ac:dyDescent="0.35">
      <c r="A154" s="404" t="s">
        <v>1336</v>
      </c>
      <c r="B154" s="404"/>
      <c r="C154" s="404"/>
      <c r="D154" s="404"/>
      <c r="E154" s="404"/>
      <c r="F154" s="404"/>
      <c r="G154" s="404"/>
      <c r="H154" s="404"/>
      <c r="O154" s="122"/>
      <c r="R154" s="124"/>
    </row>
    <row r="155" spans="1:26" ht="15" customHeight="1" x14ac:dyDescent="0.35">
      <c r="A155" s="123"/>
      <c r="B155" s="123"/>
      <c r="C155" s="123"/>
      <c r="D155" s="123"/>
      <c r="O155" s="122"/>
      <c r="R155" s="124"/>
    </row>
    <row r="156" spans="1:26" ht="25" customHeight="1" x14ac:dyDescent="0.35">
      <c r="A156" s="405" t="s">
        <v>993</v>
      </c>
      <c r="B156" s="406"/>
      <c r="C156" s="409" t="s">
        <v>92</v>
      </c>
      <c r="D156" s="419" t="s">
        <v>91</v>
      </c>
      <c r="E156" s="419" t="s">
        <v>90</v>
      </c>
      <c r="F156" s="420" t="s">
        <v>89</v>
      </c>
      <c r="G156" s="419" t="s">
        <v>1186</v>
      </c>
      <c r="H156" s="419"/>
      <c r="O156" s="122"/>
      <c r="R156" s="124"/>
    </row>
    <row r="157" spans="1:26" ht="25" customHeight="1" x14ac:dyDescent="0.35">
      <c r="A157" s="407"/>
      <c r="B157" s="408"/>
      <c r="C157" s="410"/>
      <c r="D157" s="419"/>
      <c r="E157" s="419"/>
      <c r="F157" s="420"/>
      <c r="G157" s="5" t="s">
        <v>88</v>
      </c>
      <c r="H157" s="5" t="s">
        <v>87</v>
      </c>
      <c r="O157" s="122"/>
      <c r="R157" s="124"/>
    </row>
    <row r="158" spans="1:26" ht="15" customHeight="1" x14ac:dyDescent="0.35">
      <c r="A158" s="117"/>
      <c r="B158" s="118"/>
      <c r="C158" s="116"/>
      <c r="D158" s="215"/>
      <c r="E158" s="215"/>
      <c r="F158" s="216"/>
      <c r="G158" s="215"/>
      <c r="H158" s="215"/>
      <c r="O158" s="122"/>
      <c r="R158" s="124"/>
    </row>
    <row r="159" spans="1:26" ht="15" customHeight="1" x14ac:dyDescent="0.35">
      <c r="A159" s="135" t="s">
        <v>405</v>
      </c>
      <c r="B159" s="136"/>
      <c r="C159" s="136" t="s">
        <v>921</v>
      </c>
      <c r="D159" s="120"/>
      <c r="E159" s="120"/>
      <c r="F159" s="121"/>
      <c r="G159" s="120"/>
      <c r="H159" s="120"/>
      <c r="S159" t="s">
        <v>568</v>
      </c>
      <c r="T159" t="s">
        <v>5</v>
      </c>
      <c r="U159" t="s">
        <v>907</v>
      </c>
      <c r="V159" s="122">
        <v>13233.59</v>
      </c>
      <c r="W159" s="122">
        <v>542.83270000000005</v>
      </c>
      <c r="X159" s="122">
        <v>4.1019307685971835</v>
      </c>
      <c r="Y159" s="122">
        <v>12155.48</v>
      </c>
      <c r="Z159" s="122">
        <v>14311.71</v>
      </c>
    </row>
    <row r="160" spans="1:26" ht="15" customHeight="1" x14ac:dyDescent="0.35">
      <c r="A160" s="139">
        <v>2144</v>
      </c>
      <c r="B160" s="3"/>
      <c r="C160" s="129" t="s">
        <v>767</v>
      </c>
      <c r="D160" s="120">
        <v>35434.68</v>
      </c>
      <c r="E160" s="120">
        <v>8385.1479999999992</v>
      </c>
      <c r="F160" s="121">
        <v>23.663676375799074</v>
      </c>
      <c r="G160" s="120">
        <v>21641.24</v>
      </c>
      <c r="H160" s="120">
        <v>49228.13</v>
      </c>
      <c r="J160" t="s">
        <v>405</v>
      </c>
      <c r="K160" t="s">
        <v>404</v>
      </c>
      <c r="L160" t="s">
        <v>403</v>
      </c>
      <c r="M160">
        <v>32629.09</v>
      </c>
      <c r="N160">
        <v>5173.768</v>
      </c>
      <c r="O160" s="122">
        <v>15.856304910740693</v>
      </c>
      <c r="P160">
        <v>22336.82</v>
      </c>
      <c r="Q160">
        <v>42921.37</v>
      </c>
      <c r="R160" s="124"/>
      <c r="S160" t="s">
        <v>96</v>
      </c>
      <c r="T160" t="s">
        <v>5</v>
      </c>
      <c r="U160" t="s">
        <v>95</v>
      </c>
      <c r="V160" s="122">
        <v>12000.26</v>
      </c>
      <c r="W160" s="122">
        <v>492.85579999999999</v>
      </c>
      <c r="X160" s="122">
        <v>4.1070426807419169</v>
      </c>
      <c r="Y160" s="122">
        <v>11033.41</v>
      </c>
      <c r="Z160" s="122">
        <v>12967.11</v>
      </c>
    </row>
    <row r="161" spans="1:26" ht="15" customHeight="1" x14ac:dyDescent="0.35">
      <c r="A161" s="139">
        <v>3115</v>
      </c>
      <c r="B161" s="3"/>
      <c r="C161" s="129" t="s">
        <v>765</v>
      </c>
      <c r="D161" s="120">
        <v>24229.27</v>
      </c>
      <c r="E161" s="120">
        <v>2169.36</v>
      </c>
      <c r="F161" s="121">
        <v>8.9534682637982907</v>
      </c>
      <c r="G161" s="120">
        <v>20660.71</v>
      </c>
      <c r="H161" s="120">
        <v>27797.84</v>
      </c>
      <c r="J161" t="s">
        <v>405</v>
      </c>
      <c r="K161" t="s">
        <v>459</v>
      </c>
      <c r="L161" t="s">
        <v>679</v>
      </c>
      <c r="M161">
        <v>20909.580000000002</v>
      </c>
      <c r="N161">
        <v>1846.4939999999999</v>
      </c>
      <c r="O161" s="122">
        <v>8.8308516957298995</v>
      </c>
      <c r="P161">
        <v>17236.310000000001</v>
      </c>
      <c r="Q161">
        <v>24582.84</v>
      </c>
      <c r="R161" s="124"/>
      <c r="S161" t="s">
        <v>614</v>
      </c>
      <c r="T161" t="s">
        <v>920</v>
      </c>
      <c r="U161" t="s">
        <v>919</v>
      </c>
      <c r="V161" s="122">
        <v>11788.29</v>
      </c>
      <c r="W161" s="122">
        <v>485.33269999999999</v>
      </c>
      <c r="X161" s="122">
        <v>4.1170746562902671</v>
      </c>
      <c r="Y161" s="122">
        <v>10813.95</v>
      </c>
      <c r="Z161" s="122">
        <v>12762.64</v>
      </c>
    </row>
    <row r="162" spans="1:26" ht="15" customHeight="1" x14ac:dyDescent="0.35">
      <c r="A162" s="139">
        <v>3122</v>
      </c>
      <c r="B162" s="3"/>
      <c r="C162" s="141" t="s">
        <v>729</v>
      </c>
      <c r="D162" s="120">
        <v>24121.05</v>
      </c>
      <c r="E162" s="120">
        <v>2379.2420000000002</v>
      </c>
      <c r="F162" s="121">
        <v>9.8637580039011574</v>
      </c>
      <c r="G162" s="120">
        <v>20207.23</v>
      </c>
      <c r="H162" s="120">
        <v>28034.87</v>
      </c>
      <c r="J162" t="s">
        <v>405</v>
      </c>
      <c r="K162" t="s">
        <v>440</v>
      </c>
      <c r="L162" t="s">
        <v>789</v>
      </c>
      <c r="M162">
        <v>25101.38</v>
      </c>
      <c r="N162">
        <v>1813.4259999999999</v>
      </c>
      <c r="O162" s="122">
        <v>7.2244075823719651</v>
      </c>
      <c r="P162">
        <v>21493.9</v>
      </c>
      <c r="Q162">
        <v>28708.86</v>
      </c>
      <c r="R162" s="124"/>
      <c r="S162" t="s">
        <v>423</v>
      </c>
      <c r="T162" t="s">
        <v>5</v>
      </c>
      <c r="U162" t="s">
        <v>422</v>
      </c>
      <c r="V162" s="122">
        <v>13415.38</v>
      </c>
      <c r="W162" s="122">
        <v>556.27710000000002</v>
      </c>
      <c r="X162" s="122">
        <v>4.1465623784044885</v>
      </c>
      <c r="Y162" s="122">
        <v>12322.55</v>
      </c>
      <c r="Z162" s="122">
        <v>14508.22</v>
      </c>
    </row>
    <row r="163" spans="1:26" ht="15" customHeight="1" x14ac:dyDescent="0.35">
      <c r="A163" s="117">
        <v>4110</v>
      </c>
      <c r="B163" s="130"/>
      <c r="C163" s="131" t="s">
        <v>1156</v>
      </c>
      <c r="D163" s="120">
        <v>18588.22</v>
      </c>
      <c r="E163" s="120">
        <v>901.88869999999997</v>
      </c>
      <c r="F163" s="121">
        <v>4.8519368718467932</v>
      </c>
      <c r="G163" s="120">
        <v>17104.63</v>
      </c>
      <c r="H163" s="120">
        <v>20071.810000000001</v>
      </c>
      <c r="J163" t="s">
        <v>405</v>
      </c>
      <c r="K163" t="s">
        <v>320</v>
      </c>
      <c r="L163" t="s">
        <v>564</v>
      </c>
      <c r="M163">
        <v>17071.55</v>
      </c>
      <c r="N163">
        <v>1935.67</v>
      </c>
      <c r="O163" s="122">
        <v>11.338572068734241</v>
      </c>
      <c r="P163">
        <v>13220.88</v>
      </c>
      <c r="Q163">
        <v>20922.21</v>
      </c>
      <c r="R163" s="124"/>
      <c r="S163" t="s">
        <v>496</v>
      </c>
      <c r="T163" t="s">
        <v>333</v>
      </c>
      <c r="U163" t="s">
        <v>503</v>
      </c>
      <c r="V163" s="122">
        <v>15548.31</v>
      </c>
      <c r="W163" s="122">
        <v>646.5136</v>
      </c>
      <c r="X163" s="122">
        <v>4.1580956386899928</v>
      </c>
      <c r="Y163" s="122">
        <v>14278.2</v>
      </c>
      <c r="Z163" s="122">
        <v>16818.43</v>
      </c>
    </row>
    <row r="164" spans="1:26" ht="15" customHeight="1" x14ac:dyDescent="0.35">
      <c r="A164" s="139">
        <v>4322</v>
      </c>
      <c r="B164" s="3"/>
      <c r="C164" s="129" t="s">
        <v>720</v>
      </c>
      <c r="D164" s="120">
        <v>18940.82</v>
      </c>
      <c r="E164" s="120">
        <v>1889.6489999999999</v>
      </c>
      <c r="F164" s="121">
        <v>9.9765955222635547</v>
      </c>
      <c r="G164" s="120">
        <v>15832.37</v>
      </c>
      <c r="H164" s="120">
        <v>22049.26</v>
      </c>
      <c r="J164" t="s">
        <v>405</v>
      </c>
      <c r="K164" t="s">
        <v>14</v>
      </c>
      <c r="L164" t="s">
        <v>696</v>
      </c>
      <c r="M164">
        <v>20304.46</v>
      </c>
      <c r="N164">
        <v>1715.07</v>
      </c>
      <c r="O164" s="122">
        <v>8.4467648979583796</v>
      </c>
      <c r="P164">
        <v>16892.64</v>
      </c>
      <c r="Q164">
        <v>23716.28</v>
      </c>
      <c r="R164" s="124"/>
      <c r="S164" t="s">
        <v>441</v>
      </c>
      <c r="T164" t="s">
        <v>822</v>
      </c>
      <c r="U164" t="s">
        <v>840</v>
      </c>
      <c r="V164" s="122">
        <v>15245.51</v>
      </c>
      <c r="W164" s="122">
        <v>634.31399999999996</v>
      </c>
      <c r="X164" s="122">
        <v>4.1606610733258513</v>
      </c>
      <c r="Y164" s="122">
        <v>13982.94</v>
      </c>
      <c r="Z164" s="122">
        <v>16508.080000000002</v>
      </c>
    </row>
    <row r="165" spans="1:26" ht="15" customHeight="1" x14ac:dyDescent="0.35">
      <c r="A165" s="139">
        <v>7322</v>
      </c>
      <c r="B165" s="3"/>
      <c r="C165" s="129" t="s">
        <v>352</v>
      </c>
      <c r="D165" s="120">
        <v>17112.09</v>
      </c>
      <c r="E165" s="120">
        <v>602.51750000000004</v>
      </c>
      <c r="F165" s="121">
        <v>3.521004739923645</v>
      </c>
      <c r="G165" s="120">
        <v>16120.96</v>
      </c>
      <c r="H165" s="120">
        <v>18103.22</v>
      </c>
      <c r="J165" t="s">
        <v>405</v>
      </c>
      <c r="K165" t="s">
        <v>304</v>
      </c>
      <c r="L165" t="s">
        <v>414</v>
      </c>
      <c r="M165">
        <v>17908.64</v>
      </c>
      <c r="N165">
        <v>2740.38</v>
      </c>
      <c r="O165" s="122">
        <v>15.301999481814367</v>
      </c>
      <c r="P165">
        <v>12457.15</v>
      </c>
      <c r="Q165">
        <v>23360.13</v>
      </c>
      <c r="R165" s="124"/>
      <c r="S165" t="s">
        <v>396</v>
      </c>
      <c r="T165" t="s">
        <v>755</v>
      </c>
      <c r="U165" t="s">
        <v>773</v>
      </c>
      <c r="V165" s="122">
        <v>13095.53</v>
      </c>
      <c r="W165" s="122">
        <v>548.69889999999998</v>
      </c>
      <c r="X165" s="122">
        <v>4.1899709290116549</v>
      </c>
      <c r="Y165" s="122">
        <v>12003.59</v>
      </c>
      <c r="Z165" s="122">
        <v>14187.48</v>
      </c>
    </row>
    <row r="166" spans="1:26" ht="15" customHeight="1" x14ac:dyDescent="0.35">
      <c r="A166" s="139">
        <v>7543</v>
      </c>
      <c r="B166" s="3"/>
      <c r="C166" s="129" t="s">
        <v>1180</v>
      </c>
      <c r="D166" s="120">
        <v>18924.03</v>
      </c>
      <c r="E166" s="120">
        <v>431.6816</v>
      </c>
      <c r="F166" s="121">
        <v>2.2811293366159324</v>
      </c>
      <c r="G166" s="120">
        <v>18213.919999999998</v>
      </c>
      <c r="H166" s="120">
        <v>19634.14</v>
      </c>
      <c r="J166" t="s">
        <v>405</v>
      </c>
      <c r="K166" t="s">
        <v>351</v>
      </c>
      <c r="L166" t="s">
        <v>785</v>
      </c>
      <c r="M166">
        <v>16522.79</v>
      </c>
      <c r="N166">
        <v>1198.538</v>
      </c>
      <c r="O166" s="122">
        <v>7.2538475644851745</v>
      </c>
      <c r="P166">
        <v>14138.52</v>
      </c>
      <c r="Q166">
        <v>18907.060000000001</v>
      </c>
      <c r="R166" s="124"/>
      <c r="S166" t="s">
        <v>6</v>
      </c>
      <c r="T166" t="s">
        <v>14</v>
      </c>
      <c r="U166" t="s">
        <v>13</v>
      </c>
      <c r="V166" s="122">
        <v>15487</v>
      </c>
      <c r="W166" s="122">
        <v>650.42880000000002</v>
      </c>
      <c r="X166" s="122">
        <v>4.1998372828824175</v>
      </c>
      <c r="Y166" s="122">
        <v>14190.99</v>
      </c>
      <c r="Z166" s="122">
        <v>16783.009999999998</v>
      </c>
    </row>
    <row r="167" spans="1:26" ht="15" customHeight="1" x14ac:dyDescent="0.35">
      <c r="A167" s="139">
        <v>8143</v>
      </c>
      <c r="B167" s="3"/>
      <c r="C167" s="129" t="s">
        <v>918</v>
      </c>
      <c r="D167" s="120">
        <v>15530.35</v>
      </c>
      <c r="E167" s="120">
        <v>593.69929999999999</v>
      </c>
      <c r="F167" s="121">
        <v>3.8228327114327749</v>
      </c>
      <c r="G167" s="120">
        <v>14553.73</v>
      </c>
      <c r="H167" s="120">
        <v>16506.98</v>
      </c>
      <c r="J167" t="s">
        <v>405</v>
      </c>
      <c r="K167" t="s">
        <v>852</v>
      </c>
      <c r="L167" t="s">
        <v>851</v>
      </c>
      <c r="M167">
        <v>14354.64</v>
      </c>
      <c r="N167">
        <v>858.35649999999998</v>
      </c>
      <c r="O167" s="122">
        <v>5.9796449092418902</v>
      </c>
      <c r="P167">
        <v>12647.1</v>
      </c>
      <c r="Q167">
        <v>16062.19</v>
      </c>
      <c r="R167" s="124"/>
      <c r="S167" t="s">
        <v>375</v>
      </c>
      <c r="T167" t="s">
        <v>14</v>
      </c>
      <c r="U167" t="s">
        <v>872</v>
      </c>
      <c r="V167" s="122">
        <v>17410.45</v>
      </c>
      <c r="W167" s="122">
        <v>733.05380000000002</v>
      </c>
      <c r="X167" s="122">
        <v>4.2104241992596405</v>
      </c>
      <c r="Y167" s="122">
        <v>15934</v>
      </c>
      <c r="Z167" s="122">
        <v>18886.900000000001</v>
      </c>
    </row>
    <row r="168" spans="1:26" ht="15" customHeight="1" x14ac:dyDescent="0.35">
      <c r="A168" s="139">
        <v>8171</v>
      </c>
      <c r="B168" s="3"/>
      <c r="C168" s="140" t="s">
        <v>917</v>
      </c>
      <c r="D168" s="120">
        <v>21729.18</v>
      </c>
      <c r="E168" s="120">
        <v>441.51339999999999</v>
      </c>
      <c r="F168" s="121">
        <v>2.031891677458606</v>
      </c>
      <c r="G168" s="120">
        <v>21002.89</v>
      </c>
      <c r="H168" s="120">
        <v>22455.46</v>
      </c>
      <c r="J168" t="s">
        <v>405</v>
      </c>
      <c r="K168" t="s">
        <v>645</v>
      </c>
      <c r="L168" t="s">
        <v>644</v>
      </c>
      <c r="M168">
        <v>16160.51</v>
      </c>
      <c r="N168">
        <v>1532.9749999999999</v>
      </c>
      <c r="O168" s="122">
        <v>9.4859320652627908</v>
      </c>
      <c r="P168">
        <v>13110.94</v>
      </c>
      <c r="Q168">
        <v>19210.09</v>
      </c>
      <c r="R168" s="124"/>
      <c r="S168" t="s">
        <v>581</v>
      </c>
      <c r="T168" t="s">
        <v>5</v>
      </c>
      <c r="U168" t="s">
        <v>820</v>
      </c>
      <c r="V168" s="122">
        <v>12487.13</v>
      </c>
      <c r="W168" s="122">
        <v>527.20519999999999</v>
      </c>
      <c r="X168" s="122">
        <v>4.2219885594207796</v>
      </c>
      <c r="Y168" s="122">
        <v>11445.91</v>
      </c>
      <c r="Z168" s="122">
        <v>13528.36</v>
      </c>
    </row>
    <row r="169" spans="1:26" ht="15" customHeight="1" x14ac:dyDescent="0.35">
      <c r="A169" s="139">
        <v>8219</v>
      </c>
      <c r="B169" s="3"/>
      <c r="C169" s="129" t="s">
        <v>916</v>
      </c>
      <c r="D169" s="120">
        <v>17064.900000000001</v>
      </c>
      <c r="E169" s="120">
        <v>114.80929999999999</v>
      </c>
      <c r="F169" s="121">
        <v>0.67278038546958951</v>
      </c>
      <c r="G169" s="120">
        <v>16876.04</v>
      </c>
      <c r="H169" s="120">
        <v>17253.759999999998</v>
      </c>
      <c r="J169" t="s">
        <v>405</v>
      </c>
      <c r="K169" t="s">
        <v>732</v>
      </c>
      <c r="L169" t="s">
        <v>731</v>
      </c>
      <c r="M169">
        <v>11974.61</v>
      </c>
      <c r="N169">
        <v>973.84190000000001</v>
      </c>
      <c r="O169" s="122">
        <v>8.1325563003722046</v>
      </c>
      <c r="P169">
        <v>10037.33</v>
      </c>
      <c r="Q169">
        <v>13911.89</v>
      </c>
      <c r="R169" s="124"/>
      <c r="S169" t="s">
        <v>402</v>
      </c>
      <c r="T169" t="s">
        <v>14</v>
      </c>
      <c r="U169" t="s">
        <v>659</v>
      </c>
      <c r="V169" s="122">
        <v>24926.19</v>
      </c>
      <c r="W169" s="122">
        <v>1058.3810000000001</v>
      </c>
      <c r="X169" s="122">
        <v>4.2460600677440077</v>
      </c>
      <c r="Y169" s="122">
        <v>22833.84</v>
      </c>
      <c r="Z169" s="122">
        <v>27018.53</v>
      </c>
    </row>
    <row r="170" spans="1:26" ht="15" customHeight="1" x14ac:dyDescent="0.35">
      <c r="A170" s="117">
        <v>9000</v>
      </c>
      <c r="B170" s="118" t="s">
        <v>1350</v>
      </c>
      <c r="C170" s="116" t="s">
        <v>1207</v>
      </c>
      <c r="D170" s="120">
        <v>15345.68</v>
      </c>
      <c r="E170" s="120">
        <v>237.84280000000001</v>
      </c>
      <c r="F170" s="121">
        <v>1.5499006886628681</v>
      </c>
      <c r="G170" s="120">
        <v>14954.43</v>
      </c>
      <c r="H170" s="120">
        <v>15736.92</v>
      </c>
      <c r="J170" t="s">
        <v>405</v>
      </c>
      <c r="K170" t="s">
        <v>5</v>
      </c>
      <c r="L170" t="s">
        <v>836</v>
      </c>
      <c r="M170">
        <v>13574.47</v>
      </c>
      <c r="N170">
        <v>888.53210000000001</v>
      </c>
      <c r="O170" s="122">
        <v>6.5456117255406658</v>
      </c>
      <c r="P170">
        <v>11806.89</v>
      </c>
      <c r="Q170">
        <v>15342.04</v>
      </c>
      <c r="R170" s="124"/>
      <c r="S170" t="s">
        <v>54</v>
      </c>
      <c r="T170" t="s">
        <v>64</v>
      </c>
      <c r="U170" t="s">
        <v>63</v>
      </c>
      <c r="V170" s="122">
        <v>17873.97</v>
      </c>
      <c r="W170" s="122">
        <v>767.17759999999998</v>
      </c>
      <c r="X170" s="122">
        <v>4.2921499812296871</v>
      </c>
      <c r="Y170" s="122">
        <v>16368.33</v>
      </c>
      <c r="Z170" s="122">
        <v>19379.62</v>
      </c>
    </row>
    <row r="171" spans="1:26" ht="15" customHeight="1" x14ac:dyDescent="0.35">
      <c r="A171" s="132"/>
      <c r="B171" s="130"/>
      <c r="C171" s="131"/>
      <c r="D171" s="120"/>
      <c r="E171" s="120"/>
      <c r="F171" s="121"/>
      <c r="G171" s="120"/>
      <c r="H171" s="120"/>
      <c r="S171" t="s">
        <v>571</v>
      </c>
      <c r="T171" t="s">
        <v>915</v>
      </c>
      <c r="U171" t="s">
        <v>914</v>
      </c>
      <c r="V171" s="122">
        <v>12333.49</v>
      </c>
      <c r="W171" s="122">
        <v>532.52059999999994</v>
      </c>
      <c r="X171" s="122">
        <v>4.3176797483923846</v>
      </c>
      <c r="Y171" s="122">
        <v>11269.97</v>
      </c>
      <c r="Z171" s="122">
        <v>13397</v>
      </c>
    </row>
    <row r="172" spans="1:26" ht="15" customHeight="1" x14ac:dyDescent="0.35">
      <c r="A172" s="135" t="s">
        <v>568</v>
      </c>
      <c r="B172" s="145"/>
      <c r="C172" s="126" t="s">
        <v>913</v>
      </c>
      <c r="D172" s="120"/>
      <c r="E172" s="120"/>
      <c r="F172" s="121"/>
      <c r="G172" s="120"/>
      <c r="H172" s="120"/>
      <c r="S172" t="s">
        <v>441</v>
      </c>
      <c r="T172" t="s">
        <v>5</v>
      </c>
      <c r="U172" t="s">
        <v>839</v>
      </c>
      <c r="V172" s="122">
        <v>12462.84</v>
      </c>
      <c r="W172" s="122">
        <v>539.82910000000004</v>
      </c>
      <c r="X172" s="122">
        <v>4.3315095114757156</v>
      </c>
      <c r="Y172" s="122">
        <v>11388.34</v>
      </c>
      <c r="Z172" s="122">
        <v>13537.34</v>
      </c>
    </row>
    <row r="173" spans="1:26" ht="15" customHeight="1" x14ac:dyDescent="0.35">
      <c r="A173" s="139">
        <v>2144</v>
      </c>
      <c r="B173" s="3"/>
      <c r="C173" s="129" t="s">
        <v>767</v>
      </c>
      <c r="D173" s="120">
        <v>25399.16</v>
      </c>
      <c r="E173" s="120">
        <v>913.46469999999999</v>
      </c>
      <c r="F173" s="121">
        <v>3.5964366538105987</v>
      </c>
      <c r="G173" s="120">
        <v>23896.52</v>
      </c>
      <c r="H173" s="120">
        <v>26901.79</v>
      </c>
      <c r="J173" t="s">
        <v>568</v>
      </c>
      <c r="K173" t="s">
        <v>404</v>
      </c>
      <c r="L173" t="s">
        <v>912</v>
      </c>
      <c r="M173">
        <v>26337.85</v>
      </c>
      <c r="N173">
        <v>933.86180000000002</v>
      </c>
      <c r="O173" s="122">
        <v>3.545702477613017</v>
      </c>
      <c r="P173">
        <v>24483.119999999999</v>
      </c>
      <c r="Q173">
        <v>28192.58</v>
      </c>
      <c r="R173" s="124"/>
      <c r="S173" t="s">
        <v>704</v>
      </c>
      <c r="T173" t="s">
        <v>14</v>
      </c>
      <c r="U173" t="s">
        <v>911</v>
      </c>
      <c r="V173" s="122">
        <v>17134.810000000001</v>
      </c>
      <c r="W173" s="122">
        <v>744.08090000000004</v>
      </c>
      <c r="X173" s="122">
        <v>4.3425103634064222</v>
      </c>
      <c r="Y173" s="122">
        <v>15672.03</v>
      </c>
      <c r="Z173" s="122">
        <v>18597.599999999999</v>
      </c>
    </row>
    <row r="174" spans="1:26" ht="15" customHeight="1" x14ac:dyDescent="0.35">
      <c r="A174" s="139">
        <v>2166</v>
      </c>
      <c r="B174" s="3"/>
      <c r="C174" s="141" t="s">
        <v>341</v>
      </c>
      <c r="D174" s="120">
        <v>15354.99</v>
      </c>
      <c r="E174" s="120">
        <v>304.48509999999999</v>
      </c>
      <c r="F174" s="121">
        <v>1.9829716593758773</v>
      </c>
      <c r="G174" s="120">
        <v>14854.12</v>
      </c>
      <c r="H174" s="120">
        <v>15855.86</v>
      </c>
      <c r="J174" t="s">
        <v>568</v>
      </c>
      <c r="K174" t="s">
        <v>440</v>
      </c>
      <c r="L174" t="s">
        <v>638</v>
      </c>
      <c r="M174">
        <v>23421.9</v>
      </c>
      <c r="N174">
        <v>2251.7820000000002</v>
      </c>
      <c r="O174" s="122">
        <v>9.6140022799175142</v>
      </c>
      <c r="P174">
        <v>18949.66</v>
      </c>
      <c r="Q174">
        <v>27894.13</v>
      </c>
      <c r="R174" s="124"/>
      <c r="S174" t="s">
        <v>592</v>
      </c>
      <c r="T174" t="s">
        <v>137</v>
      </c>
      <c r="U174" t="s">
        <v>596</v>
      </c>
      <c r="V174" s="122">
        <v>14176.61</v>
      </c>
      <c r="W174" s="122">
        <v>623.94410000000005</v>
      </c>
      <c r="X174" s="122">
        <v>4.4012221539564109</v>
      </c>
      <c r="Y174" s="122">
        <v>12953.15</v>
      </c>
      <c r="Z174" s="122">
        <v>15400.07</v>
      </c>
    </row>
    <row r="175" spans="1:26" ht="15" customHeight="1" x14ac:dyDescent="0.35">
      <c r="A175" s="139">
        <v>3122</v>
      </c>
      <c r="B175" s="3"/>
      <c r="C175" s="141" t="s">
        <v>729</v>
      </c>
      <c r="D175" s="120">
        <v>23635.84</v>
      </c>
      <c r="E175" s="120">
        <v>2716.6239999999998</v>
      </c>
      <c r="F175" s="121">
        <v>11.49366385963012</v>
      </c>
      <c r="G175" s="120">
        <v>19167.03</v>
      </c>
      <c r="H175" s="120">
        <v>28104.639999999999</v>
      </c>
      <c r="O175" s="122"/>
      <c r="R175" s="124"/>
    </row>
    <row r="176" spans="1:26" ht="15" customHeight="1" x14ac:dyDescent="0.35">
      <c r="A176" s="117">
        <v>4110</v>
      </c>
      <c r="B176" s="130"/>
      <c r="C176" s="131" t="s">
        <v>1156</v>
      </c>
      <c r="D176" s="120">
        <v>18215.509999999998</v>
      </c>
      <c r="E176" s="120">
        <v>576.26310000000001</v>
      </c>
      <c r="F176" s="121">
        <v>3.1635847692433541</v>
      </c>
      <c r="G176" s="120">
        <v>17267.560000000001</v>
      </c>
      <c r="H176" s="120">
        <v>19163.45</v>
      </c>
      <c r="J176" t="s">
        <v>568</v>
      </c>
      <c r="K176" t="s">
        <v>320</v>
      </c>
      <c r="L176" t="s">
        <v>873</v>
      </c>
      <c r="M176">
        <v>14042.62</v>
      </c>
      <c r="N176">
        <v>791.06439999999998</v>
      </c>
      <c r="O176" s="122">
        <v>5.6333105930374812</v>
      </c>
      <c r="P176">
        <v>12471.49</v>
      </c>
      <c r="Q176">
        <v>15613.74</v>
      </c>
      <c r="R176" s="124"/>
      <c r="S176" t="s">
        <v>391</v>
      </c>
      <c r="T176" t="s">
        <v>14</v>
      </c>
      <c r="U176" t="s">
        <v>684</v>
      </c>
      <c r="V176" s="122">
        <v>30675.77</v>
      </c>
      <c r="W176" s="122">
        <v>1350.7070000000001</v>
      </c>
      <c r="X176" s="122">
        <v>4.4031722757081564</v>
      </c>
      <c r="Y176" s="122">
        <v>28011.37</v>
      </c>
      <c r="Z176" s="122">
        <v>33340.160000000003</v>
      </c>
    </row>
    <row r="177" spans="1:26" ht="15" customHeight="1" x14ac:dyDescent="0.35">
      <c r="A177" s="139">
        <v>4413</v>
      </c>
      <c r="B177" s="3"/>
      <c r="C177" s="129" t="s">
        <v>361</v>
      </c>
      <c r="D177" s="120">
        <v>14879.78</v>
      </c>
      <c r="E177" s="120">
        <v>822.91340000000002</v>
      </c>
      <c r="F177" s="121">
        <v>5.5304137561173619</v>
      </c>
      <c r="G177" s="120">
        <v>13526.1</v>
      </c>
      <c r="H177" s="120">
        <v>16233.46</v>
      </c>
      <c r="J177" t="s">
        <v>568</v>
      </c>
      <c r="K177" t="s">
        <v>14</v>
      </c>
      <c r="L177" t="s">
        <v>910</v>
      </c>
      <c r="M177">
        <v>15107.01</v>
      </c>
      <c r="N177">
        <v>554.95939999999996</v>
      </c>
      <c r="O177" s="122">
        <v>3.6735224243579632</v>
      </c>
      <c r="P177">
        <v>14004.82</v>
      </c>
      <c r="Q177">
        <v>16209.21</v>
      </c>
      <c r="R177" s="124"/>
      <c r="S177" t="s">
        <v>598</v>
      </c>
      <c r="T177" t="s">
        <v>725</v>
      </c>
      <c r="U177" t="s">
        <v>790</v>
      </c>
      <c r="V177" s="122">
        <v>12210.3</v>
      </c>
      <c r="W177" s="122">
        <v>544.30730000000005</v>
      </c>
      <c r="X177" s="122">
        <v>4.4577717173206235</v>
      </c>
      <c r="Y177" s="122">
        <v>11129.26</v>
      </c>
      <c r="Z177" s="122">
        <v>13291.35</v>
      </c>
    </row>
    <row r="178" spans="1:26" ht="15" customHeight="1" x14ac:dyDescent="0.35">
      <c r="A178" s="139">
        <v>7316</v>
      </c>
      <c r="B178" s="3"/>
      <c r="C178" s="129" t="s">
        <v>356</v>
      </c>
      <c r="D178" s="120">
        <v>15335.97</v>
      </c>
      <c r="E178" s="120">
        <v>1076.1980000000001</v>
      </c>
      <c r="F178" s="121">
        <v>7.0174759079471354</v>
      </c>
      <c r="G178" s="120">
        <v>13565.64</v>
      </c>
      <c r="H178" s="120">
        <v>17106.3</v>
      </c>
      <c r="J178" t="s">
        <v>568</v>
      </c>
      <c r="K178" t="s">
        <v>360</v>
      </c>
      <c r="L178" t="s">
        <v>793</v>
      </c>
      <c r="M178">
        <v>13690.71</v>
      </c>
      <c r="N178">
        <v>979.7559</v>
      </c>
      <c r="O178" s="122">
        <v>7.1563556601520304</v>
      </c>
      <c r="P178">
        <v>11744.83</v>
      </c>
      <c r="Q178">
        <v>15636.59</v>
      </c>
      <c r="R178" s="124"/>
      <c r="S178" t="s">
        <v>650</v>
      </c>
      <c r="T178" t="s">
        <v>14</v>
      </c>
      <c r="U178" t="s">
        <v>859</v>
      </c>
      <c r="V178" s="122">
        <v>19048.66</v>
      </c>
      <c r="W178" s="122">
        <v>849.87030000000004</v>
      </c>
      <c r="X178" s="122">
        <v>4.4615752499125927</v>
      </c>
      <c r="Y178" s="122">
        <v>17372.21</v>
      </c>
      <c r="Z178" s="122">
        <v>20725.11</v>
      </c>
    </row>
    <row r="179" spans="1:26" ht="15" customHeight="1" x14ac:dyDescent="0.35">
      <c r="A179" s="139">
        <v>7321</v>
      </c>
      <c r="B179" s="3"/>
      <c r="C179" s="129" t="s">
        <v>355</v>
      </c>
      <c r="D179" s="120">
        <v>16318.44</v>
      </c>
      <c r="E179" s="120">
        <v>1428.009</v>
      </c>
      <c r="F179" s="121">
        <v>8.7508916293469223</v>
      </c>
      <c r="G179" s="120">
        <v>13969.38</v>
      </c>
      <c r="H179" s="120">
        <v>18667.490000000002</v>
      </c>
      <c r="J179" t="s">
        <v>568</v>
      </c>
      <c r="K179" t="s">
        <v>300</v>
      </c>
      <c r="L179" t="s">
        <v>719</v>
      </c>
      <c r="M179">
        <v>12860.55</v>
      </c>
      <c r="N179">
        <v>1065.3969999999999</v>
      </c>
      <c r="O179" s="122">
        <v>8.2842257912764232</v>
      </c>
      <c r="P179">
        <v>10744.58</v>
      </c>
      <c r="Q179">
        <v>14976.52</v>
      </c>
      <c r="R179" s="124"/>
      <c r="S179" t="s">
        <v>252</v>
      </c>
      <c r="T179" t="s">
        <v>264</v>
      </c>
      <c r="U179" t="s">
        <v>263</v>
      </c>
      <c r="V179" s="122">
        <v>39745.65</v>
      </c>
      <c r="W179" s="122">
        <v>1781.7249999999999</v>
      </c>
      <c r="X179" s="122">
        <v>4.4828176165190401</v>
      </c>
      <c r="Y179" s="122">
        <v>36241.31</v>
      </c>
      <c r="Z179" s="122">
        <v>43249.99</v>
      </c>
    </row>
    <row r="180" spans="1:26" ht="15" customHeight="1" x14ac:dyDescent="0.35">
      <c r="A180" s="139">
        <v>7322</v>
      </c>
      <c r="B180" s="3"/>
      <c r="C180" s="129" t="s">
        <v>352</v>
      </c>
      <c r="D180" s="120">
        <v>17097.34</v>
      </c>
      <c r="E180" s="120">
        <v>370.84469999999999</v>
      </c>
      <c r="F180" s="121">
        <v>2.1690198592295644</v>
      </c>
      <c r="G180" s="120">
        <v>16487.310000000001</v>
      </c>
      <c r="H180" s="120">
        <v>17707.37</v>
      </c>
      <c r="J180" t="s">
        <v>568</v>
      </c>
      <c r="K180" t="s">
        <v>354</v>
      </c>
      <c r="L180" t="s">
        <v>567</v>
      </c>
      <c r="M180">
        <v>18210.830000000002</v>
      </c>
      <c r="N180">
        <v>2046.7539999999999</v>
      </c>
      <c r="O180" s="122">
        <v>11.239213149537939</v>
      </c>
      <c r="P180">
        <v>14145.8</v>
      </c>
      <c r="Q180">
        <v>22275.86</v>
      </c>
      <c r="R180" s="124"/>
      <c r="S180" t="s">
        <v>592</v>
      </c>
      <c r="T180" t="s">
        <v>196</v>
      </c>
      <c r="U180" t="s">
        <v>603</v>
      </c>
      <c r="V180" s="122">
        <v>13076.74</v>
      </c>
      <c r="W180" s="122">
        <v>586.32240000000002</v>
      </c>
      <c r="X180" s="122">
        <v>4.4837046542181005</v>
      </c>
      <c r="Y180" s="122">
        <v>11927.05</v>
      </c>
      <c r="Z180" s="122">
        <v>14226.43</v>
      </c>
    </row>
    <row r="181" spans="1:26" ht="15" customHeight="1" x14ac:dyDescent="0.35">
      <c r="A181" s="139">
        <v>7323</v>
      </c>
      <c r="B181" s="3"/>
      <c r="C181" s="129" t="s">
        <v>346</v>
      </c>
      <c r="D181" s="120">
        <v>15109.85</v>
      </c>
      <c r="E181" s="120">
        <v>437.68380000000002</v>
      </c>
      <c r="F181" s="121">
        <v>2.8966786566378886</v>
      </c>
      <c r="G181" s="120">
        <v>14389.86</v>
      </c>
      <c r="H181" s="120">
        <v>15829.83</v>
      </c>
      <c r="J181" t="s">
        <v>568</v>
      </c>
      <c r="K181" t="s">
        <v>351</v>
      </c>
      <c r="L181" t="s">
        <v>909</v>
      </c>
      <c r="M181">
        <v>13130.27</v>
      </c>
      <c r="N181">
        <v>434.82990000000001</v>
      </c>
      <c r="O181" s="122">
        <v>3.3116600039450828</v>
      </c>
      <c r="P181">
        <v>12266.66</v>
      </c>
      <c r="Q181">
        <v>13993.88</v>
      </c>
      <c r="R181" s="124"/>
      <c r="S181" t="s">
        <v>650</v>
      </c>
      <c r="T181" t="s">
        <v>304</v>
      </c>
      <c r="U181" t="s">
        <v>858</v>
      </c>
      <c r="V181" s="122">
        <v>14293.53</v>
      </c>
      <c r="W181" s="122">
        <v>642.87210000000005</v>
      </c>
      <c r="X181" s="122">
        <v>4.4976440389462926</v>
      </c>
      <c r="Y181" s="122">
        <v>13025.41</v>
      </c>
      <c r="Z181" s="122">
        <v>15561.66</v>
      </c>
    </row>
    <row r="182" spans="1:26" ht="15" customHeight="1" x14ac:dyDescent="0.35">
      <c r="A182" s="139">
        <v>7543</v>
      </c>
      <c r="B182" s="3"/>
      <c r="C182" s="129" t="s">
        <v>1180</v>
      </c>
      <c r="D182" s="120">
        <v>13431.58</v>
      </c>
      <c r="E182" s="120">
        <v>373.34949999999998</v>
      </c>
      <c r="F182" s="121">
        <v>2.7796394765172825</v>
      </c>
      <c r="G182" s="120">
        <v>12817.42</v>
      </c>
      <c r="H182" s="120">
        <v>14045.73</v>
      </c>
      <c r="J182" t="s">
        <v>568</v>
      </c>
      <c r="K182" t="s">
        <v>345</v>
      </c>
      <c r="L182" t="s">
        <v>908</v>
      </c>
      <c r="M182">
        <v>13407.66</v>
      </c>
      <c r="N182">
        <v>383.17899999999997</v>
      </c>
      <c r="O182" s="122">
        <v>2.8579110747140066</v>
      </c>
      <c r="P182">
        <v>12646.63</v>
      </c>
      <c r="Q182">
        <v>14168.69</v>
      </c>
      <c r="R182" s="124"/>
      <c r="S182" t="s">
        <v>598</v>
      </c>
      <c r="T182" t="s">
        <v>14</v>
      </c>
      <c r="U182" t="s">
        <v>794</v>
      </c>
      <c r="V182" s="122">
        <v>19735.490000000002</v>
      </c>
      <c r="W182" s="122">
        <v>888.1902</v>
      </c>
      <c r="X182" s="122">
        <v>4.5004719923346208</v>
      </c>
      <c r="Y182" s="122">
        <v>17971.47</v>
      </c>
      <c r="Z182" s="122">
        <v>21499.51</v>
      </c>
    </row>
    <row r="183" spans="1:26" ht="15" customHeight="1" x14ac:dyDescent="0.35">
      <c r="A183" s="117">
        <v>9000</v>
      </c>
      <c r="B183" s="118" t="s">
        <v>1350</v>
      </c>
      <c r="C183" s="116" t="s">
        <v>1207</v>
      </c>
      <c r="D183" s="120">
        <v>14589.46</v>
      </c>
      <c r="E183" s="120">
        <v>146.12620000000001</v>
      </c>
      <c r="F183" s="121">
        <v>1.0015874473763937</v>
      </c>
      <c r="G183" s="120">
        <v>14349.08</v>
      </c>
      <c r="H183" s="120">
        <v>14829.83</v>
      </c>
      <c r="J183" t="s">
        <v>568</v>
      </c>
      <c r="K183" t="s">
        <v>5</v>
      </c>
      <c r="L183" t="s">
        <v>907</v>
      </c>
      <c r="M183">
        <v>13233.59</v>
      </c>
      <c r="N183">
        <v>542.83270000000005</v>
      </c>
      <c r="O183" s="122">
        <v>4.1019307685971835</v>
      </c>
      <c r="P183">
        <v>12155.48</v>
      </c>
      <c r="Q183">
        <v>14311.71</v>
      </c>
      <c r="R183" s="124"/>
      <c r="S183" t="s">
        <v>396</v>
      </c>
      <c r="T183" t="s">
        <v>580</v>
      </c>
      <c r="U183" t="s">
        <v>779</v>
      </c>
      <c r="V183" s="122">
        <v>12685.12</v>
      </c>
      <c r="W183" s="122">
        <v>573.774</v>
      </c>
      <c r="X183" s="122">
        <v>4.5232051411417471</v>
      </c>
      <c r="Y183" s="122">
        <v>11543.27</v>
      </c>
      <c r="Z183" s="122">
        <v>13826.96</v>
      </c>
    </row>
    <row r="184" spans="1:26" ht="15" customHeight="1" x14ac:dyDescent="0.35">
      <c r="A184" s="146"/>
      <c r="B184" s="147"/>
      <c r="C184" s="147"/>
      <c r="D184" s="120"/>
      <c r="E184" s="120"/>
      <c r="F184" s="121"/>
      <c r="G184" s="120"/>
      <c r="H184" s="120"/>
      <c r="S184" t="s">
        <v>305</v>
      </c>
      <c r="T184" t="s">
        <v>5</v>
      </c>
      <c r="U184" t="s">
        <v>900</v>
      </c>
      <c r="V184" s="122">
        <v>12511.64</v>
      </c>
      <c r="W184" s="122">
        <v>566.93330000000003</v>
      </c>
      <c r="X184" s="122">
        <v>4.5312469028840345</v>
      </c>
      <c r="Y184" s="122">
        <v>11204.29</v>
      </c>
      <c r="Z184" s="122">
        <v>13818.99</v>
      </c>
    </row>
    <row r="185" spans="1:26" ht="15" customHeight="1" x14ac:dyDescent="0.35">
      <c r="A185" s="4" t="s">
        <v>305</v>
      </c>
      <c r="B185" s="145"/>
      <c r="C185" s="126" t="s">
        <v>906</v>
      </c>
      <c r="D185" s="120"/>
      <c r="E185" s="120"/>
      <c r="F185" s="121"/>
      <c r="G185" s="120"/>
      <c r="H185" s="120"/>
      <c r="S185" t="s">
        <v>574</v>
      </c>
      <c r="T185" t="s">
        <v>440</v>
      </c>
      <c r="U185" t="s">
        <v>884</v>
      </c>
      <c r="V185" s="122">
        <v>21904.69</v>
      </c>
      <c r="W185" s="122">
        <v>993.01589999999999</v>
      </c>
      <c r="X185" s="122">
        <v>4.5333483377304136</v>
      </c>
      <c r="Y185" s="122">
        <v>19888.759999999998</v>
      </c>
      <c r="Z185" s="122">
        <v>23920.62</v>
      </c>
    </row>
    <row r="186" spans="1:26" ht="15" customHeight="1" x14ac:dyDescent="0.35">
      <c r="A186" s="139">
        <v>2145</v>
      </c>
      <c r="B186" s="3"/>
      <c r="C186" s="129" t="s">
        <v>864</v>
      </c>
      <c r="D186" s="120">
        <v>87425</v>
      </c>
      <c r="E186" s="120">
        <v>5103.9759999999997</v>
      </c>
      <c r="F186" s="121">
        <v>5.8381195310265941</v>
      </c>
      <c r="G186" s="120">
        <v>79029.03</v>
      </c>
      <c r="H186" s="120">
        <v>95820.96</v>
      </c>
      <c r="J186" t="s">
        <v>305</v>
      </c>
      <c r="K186" t="s">
        <v>358</v>
      </c>
      <c r="L186" t="s">
        <v>905</v>
      </c>
      <c r="M186">
        <v>45138.66</v>
      </c>
      <c r="N186">
        <v>1812.5329999999999</v>
      </c>
      <c r="O186" s="122">
        <v>4.015478084639641</v>
      </c>
      <c r="P186">
        <v>40958.949999999997</v>
      </c>
      <c r="Q186">
        <v>49318.37</v>
      </c>
      <c r="R186" s="124"/>
      <c r="S186" t="s">
        <v>54</v>
      </c>
      <c r="T186" t="s">
        <v>5</v>
      </c>
      <c r="U186" t="s">
        <v>53</v>
      </c>
      <c r="V186" s="122">
        <v>12833.18</v>
      </c>
      <c r="W186" s="122">
        <v>586.87559999999996</v>
      </c>
      <c r="X186" s="122">
        <v>4.5731112631475588</v>
      </c>
      <c r="Y186" s="122">
        <v>11681.39</v>
      </c>
      <c r="Z186" s="122">
        <v>13984.97</v>
      </c>
    </row>
    <row r="187" spans="1:26" ht="15" customHeight="1" x14ac:dyDescent="0.35">
      <c r="A187" s="139">
        <v>3116</v>
      </c>
      <c r="B187" s="3"/>
      <c r="C187" s="129" t="s">
        <v>863</v>
      </c>
      <c r="D187" s="120">
        <v>21255.57</v>
      </c>
      <c r="E187" s="120">
        <v>1488.9480000000001</v>
      </c>
      <c r="F187" s="121">
        <v>7.0049779892988049</v>
      </c>
      <c r="G187" s="120">
        <v>18806.27</v>
      </c>
      <c r="H187" s="120">
        <v>23704.87</v>
      </c>
      <c r="O187" s="122"/>
      <c r="R187" s="124"/>
    </row>
    <row r="188" spans="1:26" ht="15" customHeight="1" x14ac:dyDescent="0.35">
      <c r="A188" s="139">
        <v>3122</v>
      </c>
      <c r="B188" s="3"/>
      <c r="C188" s="129" t="s">
        <v>729</v>
      </c>
      <c r="D188" s="120">
        <v>23199.34</v>
      </c>
      <c r="E188" s="120">
        <v>1017.48</v>
      </c>
      <c r="F188" s="121">
        <v>4.3858144240310288</v>
      </c>
      <c r="G188" s="120">
        <v>21525.599999999999</v>
      </c>
      <c r="H188" s="120">
        <v>24873.08</v>
      </c>
      <c r="J188" t="s">
        <v>305</v>
      </c>
      <c r="K188" t="s">
        <v>329</v>
      </c>
      <c r="L188" t="s">
        <v>904</v>
      </c>
      <c r="M188">
        <v>37750</v>
      </c>
      <c r="N188">
        <v>188.98220000000001</v>
      </c>
      <c r="O188" s="122">
        <v>0.50061509933774839</v>
      </c>
      <c r="P188">
        <v>37314.21</v>
      </c>
      <c r="Q188">
        <v>38185.79</v>
      </c>
      <c r="R188" s="124"/>
      <c r="S188" t="s">
        <v>554</v>
      </c>
      <c r="T188" t="s">
        <v>320</v>
      </c>
      <c r="U188" t="s">
        <v>809</v>
      </c>
      <c r="V188" s="122">
        <v>13699.64</v>
      </c>
      <c r="W188" s="122">
        <v>626.9271</v>
      </c>
      <c r="X188" s="122">
        <v>4.5762304702897305</v>
      </c>
      <c r="Y188" s="122">
        <v>12457.34</v>
      </c>
      <c r="Z188" s="122">
        <v>14941.94</v>
      </c>
    </row>
    <row r="189" spans="1:26" ht="15" customHeight="1" x14ac:dyDescent="0.35">
      <c r="A189" s="139">
        <v>3133</v>
      </c>
      <c r="B189" s="3"/>
      <c r="C189" s="129" t="s">
        <v>882</v>
      </c>
      <c r="D189" s="120">
        <v>18760.93</v>
      </c>
      <c r="E189" s="120">
        <v>1336.713</v>
      </c>
      <c r="F189" s="121">
        <v>7.1249826101371303</v>
      </c>
      <c r="G189" s="120">
        <v>16562.05</v>
      </c>
      <c r="H189" s="120">
        <v>20959.8</v>
      </c>
      <c r="J189" t="s">
        <v>305</v>
      </c>
      <c r="K189" t="s">
        <v>440</v>
      </c>
      <c r="L189" t="s">
        <v>590</v>
      </c>
      <c r="M189">
        <v>29247.06</v>
      </c>
      <c r="N189">
        <v>3078.6669999999999</v>
      </c>
      <c r="O189" s="122">
        <v>10.526415304649424</v>
      </c>
      <c r="P189">
        <v>22147.65</v>
      </c>
      <c r="Q189">
        <v>36346.480000000003</v>
      </c>
      <c r="R189" s="124"/>
      <c r="S189" t="s">
        <v>614</v>
      </c>
      <c r="T189" t="s">
        <v>304</v>
      </c>
      <c r="U189" t="s">
        <v>903</v>
      </c>
      <c r="V189" s="122">
        <v>12624.27</v>
      </c>
      <c r="W189" s="122">
        <v>577.88980000000004</v>
      </c>
      <c r="X189" s="122">
        <v>4.5776096360423217</v>
      </c>
      <c r="Y189" s="122">
        <v>11464.11</v>
      </c>
      <c r="Z189" s="122">
        <v>13784.43</v>
      </c>
    </row>
    <row r="190" spans="1:26" ht="15" customHeight="1" x14ac:dyDescent="0.35">
      <c r="A190" s="117">
        <v>3134</v>
      </c>
      <c r="B190" s="130"/>
      <c r="C190" s="140" t="s">
        <v>902</v>
      </c>
      <c r="D190" s="120">
        <v>14629.7</v>
      </c>
      <c r="E190" s="120">
        <v>1.75E-12</v>
      </c>
      <c r="F190" s="121">
        <v>1.1961967777876512E-14</v>
      </c>
      <c r="G190" s="120">
        <v>14629.7</v>
      </c>
      <c r="H190" s="120">
        <v>14629.7</v>
      </c>
      <c r="J190" t="s">
        <v>305</v>
      </c>
      <c r="K190" t="s">
        <v>348</v>
      </c>
      <c r="L190" t="s">
        <v>371</v>
      </c>
      <c r="M190">
        <v>26932.14</v>
      </c>
      <c r="N190">
        <v>4652.6629999999996</v>
      </c>
      <c r="O190" s="122">
        <v>17.275504285957226</v>
      </c>
      <c r="P190">
        <v>16203.08</v>
      </c>
      <c r="Q190">
        <v>37661.199999999997</v>
      </c>
      <c r="R190" s="124"/>
      <c r="S190" t="s">
        <v>581</v>
      </c>
      <c r="T190" t="s">
        <v>440</v>
      </c>
      <c r="U190" t="s">
        <v>833</v>
      </c>
      <c r="V190" s="122">
        <v>23231.71</v>
      </c>
      <c r="W190" s="122">
        <v>1071.394</v>
      </c>
      <c r="X190" s="122">
        <v>4.611774165569388</v>
      </c>
      <c r="Y190" s="122">
        <v>21115.71</v>
      </c>
      <c r="Z190" s="122">
        <v>25347.71</v>
      </c>
    </row>
    <row r="191" spans="1:26" ht="15" customHeight="1" x14ac:dyDescent="0.35">
      <c r="A191" s="139">
        <v>3257</v>
      </c>
      <c r="B191" s="3"/>
      <c r="C191" s="129" t="s">
        <v>727</v>
      </c>
      <c r="D191" s="120">
        <v>18835.080000000002</v>
      </c>
      <c r="E191" s="120">
        <v>145.40090000000001</v>
      </c>
      <c r="F191" s="121">
        <v>0.77196858202885255</v>
      </c>
      <c r="G191" s="120">
        <v>18595.900000000001</v>
      </c>
      <c r="H191" s="120">
        <v>19074.259999999998</v>
      </c>
      <c r="J191" t="s">
        <v>305</v>
      </c>
      <c r="K191" t="s">
        <v>316</v>
      </c>
      <c r="L191" t="s">
        <v>315</v>
      </c>
      <c r="M191">
        <v>20360</v>
      </c>
      <c r="N191">
        <v>5938.5780000000004</v>
      </c>
      <c r="O191" s="122">
        <v>29.167868369351673</v>
      </c>
      <c r="P191">
        <v>6665.6149999999998</v>
      </c>
      <c r="Q191">
        <v>34054.379999999997</v>
      </c>
      <c r="R191" s="124"/>
      <c r="S191" t="s">
        <v>441</v>
      </c>
      <c r="T191" t="s">
        <v>408</v>
      </c>
      <c r="U191" t="s">
        <v>842</v>
      </c>
      <c r="V191" s="122">
        <v>14002.81</v>
      </c>
      <c r="W191" s="122">
        <v>659.52340000000004</v>
      </c>
      <c r="X191" s="122">
        <v>4.70993607711595</v>
      </c>
      <c r="Y191" s="122">
        <v>12690.07</v>
      </c>
      <c r="Z191" s="122">
        <v>15315.56</v>
      </c>
    </row>
    <row r="192" spans="1:26" ht="15" customHeight="1" x14ac:dyDescent="0.35">
      <c r="A192" s="117">
        <v>4110</v>
      </c>
      <c r="B192" s="130"/>
      <c r="C192" s="131" t="s">
        <v>1156</v>
      </c>
      <c r="D192" s="120">
        <v>19046.87</v>
      </c>
      <c r="E192" s="120">
        <v>1325.711</v>
      </c>
      <c r="F192" s="121">
        <v>6.960256462085372</v>
      </c>
      <c r="G192" s="120">
        <v>16866.099999999999</v>
      </c>
      <c r="H192" s="120">
        <v>21227.65</v>
      </c>
      <c r="J192" t="s">
        <v>305</v>
      </c>
      <c r="K192" t="s">
        <v>320</v>
      </c>
      <c r="L192" t="s">
        <v>319</v>
      </c>
      <c r="M192">
        <v>20691.84</v>
      </c>
      <c r="N192">
        <v>5632.2070000000003</v>
      </c>
      <c r="O192" s="122">
        <v>27.219459458414523</v>
      </c>
      <c r="P192">
        <v>7703.9430000000002</v>
      </c>
      <c r="Q192">
        <v>33679.730000000003</v>
      </c>
      <c r="R192" s="124"/>
      <c r="S192" t="s">
        <v>664</v>
      </c>
      <c r="T192" t="s">
        <v>5</v>
      </c>
      <c r="U192" t="s">
        <v>901</v>
      </c>
      <c r="V192" s="122">
        <v>10861.79</v>
      </c>
      <c r="W192" s="122">
        <v>511.90460000000002</v>
      </c>
      <c r="X192" s="122">
        <v>4.7128935470120483</v>
      </c>
      <c r="Y192" s="122">
        <v>9855.4429999999993</v>
      </c>
      <c r="Z192" s="122">
        <v>11868.15</v>
      </c>
    </row>
    <row r="193" spans="1:26" ht="15" customHeight="1" x14ac:dyDescent="0.35">
      <c r="A193" s="139">
        <v>4322</v>
      </c>
      <c r="B193" s="3"/>
      <c r="C193" s="129" t="s">
        <v>720</v>
      </c>
      <c r="D193" s="120">
        <v>18503.18</v>
      </c>
      <c r="E193" s="120">
        <v>1664.518</v>
      </c>
      <c r="F193" s="121">
        <v>8.9958482812143643</v>
      </c>
      <c r="G193" s="120">
        <v>15765.07</v>
      </c>
      <c r="H193" s="120">
        <v>21241.29</v>
      </c>
      <c r="J193" t="s">
        <v>305</v>
      </c>
      <c r="K193" t="s">
        <v>14</v>
      </c>
      <c r="L193" t="s">
        <v>454</v>
      </c>
      <c r="M193">
        <v>22765.33</v>
      </c>
      <c r="N193">
        <v>3067.875</v>
      </c>
      <c r="O193" s="122">
        <v>13.47608402777381</v>
      </c>
      <c r="P193">
        <v>15690.79</v>
      </c>
      <c r="Q193">
        <v>29839.86</v>
      </c>
      <c r="R193" s="124"/>
      <c r="S193" t="s">
        <v>574</v>
      </c>
      <c r="T193" t="s">
        <v>879</v>
      </c>
      <c r="U193" t="s">
        <v>878</v>
      </c>
      <c r="V193" s="122">
        <v>13541.49</v>
      </c>
      <c r="W193" s="122">
        <v>644.99059999999997</v>
      </c>
      <c r="X193" s="122">
        <v>4.763069647431708</v>
      </c>
      <c r="Y193" s="122">
        <v>12232.09</v>
      </c>
      <c r="Z193" s="122">
        <v>14850.89</v>
      </c>
    </row>
    <row r="194" spans="1:26" ht="15" customHeight="1" x14ac:dyDescent="0.35">
      <c r="A194" s="139">
        <v>7233</v>
      </c>
      <c r="B194" s="3"/>
      <c r="C194" s="129" t="s">
        <v>775</v>
      </c>
      <c r="D194" s="120">
        <v>18500</v>
      </c>
      <c r="E194" s="120" t="s">
        <v>289</v>
      </c>
      <c r="F194" s="120" t="s">
        <v>289</v>
      </c>
      <c r="G194" s="120" t="s">
        <v>289</v>
      </c>
      <c r="H194" s="120" t="s">
        <v>289</v>
      </c>
      <c r="J194" t="s">
        <v>305</v>
      </c>
      <c r="K194" t="s">
        <v>304</v>
      </c>
      <c r="L194" t="s">
        <v>303</v>
      </c>
      <c r="M194">
        <v>15000</v>
      </c>
      <c r="N194" t="s">
        <v>289</v>
      </c>
      <c r="O194" s="122" t="e">
        <v>#VALUE!</v>
      </c>
      <c r="P194" t="s">
        <v>289</v>
      </c>
      <c r="Q194" t="s">
        <v>289</v>
      </c>
      <c r="R194" s="124"/>
      <c r="S194" t="s">
        <v>581</v>
      </c>
      <c r="T194" t="s">
        <v>384</v>
      </c>
      <c r="U194" t="s">
        <v>828</v>
      </c>
      <c r="V194" s="122">
        <v>13495.22</v>
      </c>
      <c r="W194" s="122">
        <v>643.25009999999997</v>
      </c>
      <c r="X194" s="122">
        <v>4.7665032507806471</v>
      </c>
      <c r="Y194" s="122">
        <v>12224.8</v>
      </c>
      <c r="Z194" s="122">
        <v>14765.63</v>
      </c>
    </row>
    <row r="195" spans="1:26" ht="15" customHeight="1" x14ac:dyDescent="0.35">
      <c r="A195" s="139">
        <v>8131</v>
      </c>
      <c r="B195" s="3"/>
      <c r="C195" s="140" t="s">
        <v>880</v>
      </c>
      <c r="D195" s="120">
        <v>13473.84</v>
      </c>
      <c r="E195" s="120">
        <v>617.87369999999999</v>
      </c>
      <c r="F195" s="121">
        <v>4.5857283447035142</v>
      </c>
      <c r="G195" s="120">
        <v>12457.45</v>
      </c>
      <c r="H195" s="120">
        <v>14490.23</v>
      </c>
      <c r="J195" t="s">
        <v>305</v>
      </c>
      <c r="K195" t="s">
        <v>462</v>
      </c>
      <c r="L195" t="s">
        <v>895</v>
      </c>
      <c r="M195">
        <v>13378.8</v>
      </c>
      <c r="N195">
        <v>672.26589999999999</v>
      </c>
      <c r="O195" s="122">
        <v>5.0248594791760102</v>
      </c>
      <c r="P195">
        <v>11828.56</v>
      </c>
      <c r="Q195">
        <v>14929.05</v>
      </c>
      <c r="R195" s="124"/>
      <c r="S195" t="s">
        <v>192</v>
      </c>
      <c r="T195" t="s">
        <v>14</v>
      </c>
      <c r="U195" t="s">
        <v>193</v>
      </c>
      <c r="V195" s="122">
        <v>21870.25</v>
      </c>
      <c r="W195" s="122">
        <v>1043.538</v>
      </c>
      <c r="X195" s="122">
        <v>4.771495524742515</v>
      </c>
      <c r="Y195" s="122">
        <v>19812.25</v>
      </c>
      <c r="Z195" s="122">
        <v>23928.25</v>
      </c>
    </row>
    <row r="196" spans="1:26" ht="15" customHeight="1" x14ac:dyDescent="0.35">
      <c r="A196" s="117">
        <v>9000</v>
      </c>
      <c r="B196" s="118" t="s">
        <v>1350</v>
      </c>
      <c r="C196" s="116" t="s">
        <v>1207</v>
      </c>
      <c r="D196" s="120">
        <v>16917.07</v>
      </c>
      <c r="E196" s="120">
        <v>299.90289999999999</v>
      </c>
      <c r="F196" s="121">
        <v>1.7727827572978063</v>
      </c>
      <c r="G196" s="120">
        <v>16423.73</v>
      </c>
      <c r="H196" s="120">
        <v>17410.400000000001</v>
      </c>
      <c r="J196" t="s">
        <v>305</v>
      </c>
      <c r="K196" t="s">
        <v>5</v>
      </c>
      <c r="L196" t="s">
        <v>900</v>
      </c>
      <c r="M196">
        <v>12511.64</v>
      </c>
      <c r="N196">
        <v>566.93330000000003</v>
      </c>
      <c r="O196" s="122">
        <v>4.5312469028840345</v>
      </c>
      <c r="P196">
        <v>11204.29</v>
      </c>
      <c r="Q196">
        <v>13818.99</v>
      </c>
      <c r="R196" s="124"/>
      <c r="S196" t="s">
        <v>784</v>
      </c>
      <c r="T196" t="s">
        <v>14</v>
      </c>
      <c r="U196" t="s">
        <v>899</v>
      </c>
      <c r="V196" s="122">
        <v>17478.36</v>
      </c>
      <c r="W196" s="122">
        <v>844.11220000000003</v>
      </c>
      <c r="X196" s="122">
        <v>4.8294702706661266</v>
      </c>
      <c r="Y196" s="122">
        <v>15810.19</v>
      </c>
      <c r="Z196" s="122">
        <v>19146.52</v>
      </c>
    </row>
    <row r="197" spans="1:26" ht="15" customHeight="1" x14ac:dyDescent="0.35">
      <c r="A197" s="146"/>
      <c r="B197" s="147"/>
      <c r="C197" s="147"/>
      <c r="D197" s="120"/>
      <c r="E197" s="120"/>
      <c r="F197" s="163"/>
      <c r="G197" s="120"/>
      <c r="H197" s="120"/>
      <c r="S197" t="s">
        <v>704</v>
      </c>
      <c r="T197" t="s">
        <v>5</v>
      </c>
      <c r="U197" t="s">
        <v>898</v>
      </c>
      <c r="V197" s="122">
        <v>10990.68</v>
      </c>
      <c r="W197" s="122">
        <v>550.01469999999995</v>
      </c>
      <c r="X197" s="122">
        <v>5.0043737057215747</v>
      </c>
      <c r="Y197" s="122">
        <v>9909.4030000000002</v>
      </c>
      <c r="Z197" s="122">
        <v>12071.95</v>
      </c>
    </row>
    <row r="198" spans="1:26" ht="15" customHeight="1" x14ac:dyDescent="0.35">
      <c r="A198" s="4" t="s">
        <v>349</v>
      </c>
      <c r="B198" s="145"/>
      <c r="C198" s="126" t="s">
        <v>897</v>
      </c>
      <c r="D198" s="120"/>
      <c r="E198" s="120"/>
      <c r="F198" s="163"/>
      <c r="G198" s="120"/>
      <c r="H198" s="120"/>
      <c r="S198" t="s">
        <v>327</v>
      </c>
      <c r="T198" t="s">
        <v>14</v>
      </c>
      <c r="U198" t="s">
        <v>896</v>
      </c>
      <c r="V198" s="122">
        <v>16035.4</v>
      </c>
      <c r="W198" s="122">
        <v>803.48609999999996</v>
      </c>
      <c r="X198" s="122">
        <v>5.0107019469423895</v>
      </c>
      <c r="Y198" s="122">
        <v>14438.64</v>
      </c>
      <c r="Z198" s="122">
        <v>17632.16</v>
      </c>
    </row>
    <row r="199" spans="1:26" ht="15" customHeight="1" x14ac:dyDescent="0.35">
      <c r="A199" s="139">
        <v>2113</v>
      </c>
      <c r="B199" s="3"/>
      <c r="C199" s="129" t="s">
        <v>888</v>
      </c>
      <c r="D199" s="120">
        <v>30166.14</v>
      </c>
      <c r="E199" s="120">
        <v>874.07129999999995</v>
      </c>
      <c r="F199" s="121">
        <v>2.8975245092676754</v>
      </c>
      <c r="G199" s="120">
        <v>28728.31</v>
      </c>
      <c r="H199" s="120">
        <v>31603.98</v>
      </c>
      <c r="J199" t="s">
        <v>349</v>
      </c>
      <c r="K199" t="s">
        <v>588</v>
      </c>
      <c r="L199" t="s">
        <v>698</v>
      </c>
      <c r="M199">
        <v>31888.77</v>
      </c>
      <c r="N199">
        <v>2677.4540000000002</v>
      </c>
      <c r="O199" s="122">
        <v>8.396228515555789</v>
      </c>
      <c r="P199">
        <v>26592.5</v>
      </c>
      <c r="Q199">
        <v>37185.040000000001</v>
      </c>
      <c r="R199" s="124"/>
      <c r="S199" t="s">
        <v>305</v>
      </c>
      <c r="T199" t="s">
        <v>462</v>
      </c>
      <c r="U199" t="s">
        <v>895</v>
      </c>
      <c r="V199" s="122">
        <v>13378.8</v>
      </c>
      <c r="W199" s="122">
        <v>672.26589999999999</v>
      </c>
      <c r="X199" s="122">
        <v>5.0248594791760102</v>
      </c>
      <c r="Y199" s="122">
        <v>11828.56</v>
      </c>
      <c r="Z199" s="122">
        <v>14929.05</v>
      </c>
    </row>
    <row r="200" spans="1:26" ht="15" customHeight="1" x14ac:dyDescent="0.35">
      <c r="A200" s="139">
        <v>2145</v>
      </c>
      <c r="B200" s="3"/>
      <c r="C200" s="129" t="s">
        <v>864</v>
      </c>
      <c r="D200" s="120">
        <v>33283.5</v>
      </c>
      <c r="E200" s="120">
        <v>2923.0250000000001</v>
      </c>
      <c r="F200" s="121">
        <v>8.7822043955713784</v>
      </c>
      <c r="G200" s="120">
        <v>28475.17</v>
      </c>
      <c r="H200" s="120">
        <v>38091.83</v>
      </c>
      <c r="J200" t="s">
        <v>349</v>
      </c>
      <c r="K200" t="s">
        <v>358</v>
      </c>
      <c r="L200" t="s">
        <v>380</v>
      </c>
      <c r="M200">
        <v>27771.98</v>
      </c>
      <c r="N200">
        <v>4681.933</v>
      </c>
      <c r="O200" s="122">
        <v>16.858477501424098</v>
      </c>
      <c r="P200">
        <v>18510.650000000001</v>
      </c>
      <c r="Q200">
        <v>37033.31</v>
      </c>
      <c r="R200" s="124"/>
      <c r="S200" t="s">
        <v>471</v>
      </c>
      <c r="T200" t="s">
        <v>5</v>
      </c>
      <c r="U200" t="s">
        <v>470</v>
      </c>
      <c r="V200" s="122">
        <v>12710.21</v>
      </c>
      <c r="W200" s="122">
        <v>643.43079999999998</v>
      </c>
      <c r="X200" s="122">
        <v>5.0623144700205582</v>
      </c>
      <c r="Y200" s="122">
        <v>11446.16</v>
      </c>
      <c r="Z200" s="122">
        <v>13974.27</v>
      </c>
    </row>
    <row r="201" spans="1:26" ht="15" customHeight="1" x14ac:dyDescent="0.35">
      <c r="A201" s="139">
        <v>3111</v>
      </c>
      <c r="B201" s="3"/>
      <c r="C201" s="129" t="s">
        <v>894</v>
      </c>
      <c r="D201" s="120">
        <v>23167.65</v>
      </c>
      <c r="E201" s="120">
        <v>1687.7329999999999</v>
      </c>
      <c r="F201" s="121">
        <v>7.2848692033935247</v>
      </c>
      <c r="G201" s="120">
        <v>20391.349999999999</v>
      </c>
      <c r="H201" s="120">
        <v>25943.94</v>
      </c>
      <c r="J201" t="s">
        <v>349</v>
      </c>
      <c r="K201" t="s">
        <v>528</v>
      </c>
      <c r="L201" t="s">
        <v>527</v>
      </c>
      <c r="M201">
        <v>19723.060000000001</v>
      </c>
      <c r="N201">
        <v>2390.337</v>
      </c>
      <c r="O201" s="122">
        <v>12.11950376868498</v>
      </c>
      <c r="P201">
        <v>14994.74</v>
      </c>
      <c r="Q201">
        <v>24451.38</v>
      </c>
      <c r="R201" s="124"/>
      <c r="S201" t="s">
        <v>423</v>
      </c>
      <c r="T201" t="s">
        <v>434</v>
      </c>
      <c r="U201" t="s">
        <v>433</v>
      </c>
      <c r="V201" s="122">
        <v>20834.38</v>
      </c>
      <c r="W201" s="122">
        <v>1063.307</v>
      </c>
      <c r="X201" s="122">
        <v>5.1036171942721591</v>
      </c>
      <c r="Y201" s="122">
        <v>18745.45</v>
      </c>
      <c r="Z201" s="122">
        <v>22923.3</v>
      </c>
    </row>
    <row r="202" spans="1:26" ht="15" customHeight="1" x14ac:dyDescent="0.35">
      <c r="A202" s="139">
        <v>3116</v>
      </c>
      <c r="B202" s="3"/>
      <c r="C202" s="129" t="s">
        <v>863</v>
      </c>
      <c r="D202" s="120">
        <v>32062.66</v>
      </c>
      <c r="E202" s="120">
        <v>9693.5910000000003</v>
      </c>
      <c r="F202" s="121">
        <v>30.233271350536732</v>
      </c>
      <c r="G202" s="120">
        <v>16116.85</v>
      </c>
      <c r="H202" s="120">
        <v>48008.480000000003</v>
      </c>
      <c r="J202" t="s">
        <v>349</v>
      </c>
      <c r="K202" t="s">
        <v>329</v>
      </c>
      <c r="L202" t="s">
        <v>660</v>
      </c>
      <c r="M202">
        <v>20068.64</v>
      </c>
      <c r="N202">
        <v>1872.114</v>
      </c>
      <c r="O202" s="122">
        <v>9.3285544012947579</v>
      </c>
      <c r="P202">
        <v>16365.41</v>
      </c>
      <c r="Q202">
        <v>23771.87</v>
      </c>
      <c r="R202" s="124"/>
      <c r="S202" t="s">
        <v>301</v>
      </c>
      <c r="T202" t="s">
        <v>5</v>
      </c>
      <c r="U202" t="s">
        <v>343</v>
      </c>
      <c r="V202" s="122">
        <v>14095.33</v>
      </c>
      <c r="W202" s="122">
        <v>720.63509999999997</v>
      </c>
      <c r="X202" s="122">
        <v>5.1125805497281718</v>
      </c>
      <c r="Y202" s="122">
        <v>12677.97</v>
      </c>
      <c r="Z202" s="122">
        <v>15512.69</v>
      </c>
    </row>
    <row r="203" spans="1:26" ht="15" customHeight="1" x14ac:dyDescent="0.35">
      <c r="A203" s="139">
        <v>3122</v>
      </c>
      <c r="B203" s="3"/>
      <c r="C203" s="129" t="s">
        <v>729</v>
      </c>
      <c r="D203" s="120">
        <v>29124.28</v>
      </c>
      <c r="E203" s="120">
        <v>3012.68</v>
      </c>
      <c r="F203" s="121">
        <v>10.344221385043681</v>
      </c>
      <c r="G203" s="120">
        <v>24168.46</v>
      </c>
      <c r="H203" s="120">
        <v>34080.089999999997</v>
      </c>
      <c r="J203" t="s">
        <v>349</v>
      </c>
      <c r="K203" t="s">
        <v>440</v>
      </c>
      <c r="L203" t="s">
        <v>781</v>
      </c>
      <c r="M203">
        <v>28652.41</v>
      </c>
      <c r="N203">
        <v>2090.614</v>
      </c>
      <c r="O203" s="122">
        <v>7.2964682552008719</v>
      </c>
      <c r="P203">
        <v>24516.97</v>
      </c>
      <c r="Q203">
        <v>32787.85</v>
      </c>
      <c r="R203" s="124"/>
      <c r="S203" t="s">
        <v>471</v>
      </c>
      <c r="T203" t="s">
        <v>476</v>
      </c>
      <c r="U203" t="s">
        <v>475</v>
      </c>
      <c r="V203" s="122">
        <v>15313.77</v>
      </c>
      <c r="W203" s="122">
        <v>783.06719999999996</v>
      </c>
      <c r="X203" s="122">
        <v>5.113484138784897</v>
      </c>
      <c r="Y203" s="122">
        <v>13775.39</v>
      </c>
      <c r="Z203" s="122">
        <v>16852.150000000001</v>
      </c>
    </row>
    <row r="204" spans="1:26" ht="15" customHeight="1" x14ac:dyDescent="0.35">
      <c r="A204" s="117">
        <v>3133</v>
      </c>
      <c r="B204" s="130"/>
      <c r="C204" s="140" t="s">
        <v>882</v>
      </c>
      <c r="D204" s="120">
        <v>16135.17</v>
      </c>
      <c r="E204" s="120">
        <v>2027.17</v>
      </c>
      <c r="F204" s="121">
        <v>12.56367301986902</v>
      </c>
      <c r="G204" s="120">
        <v>12800.51</v>
      </c>
      <c r="H204" s="120">
        <v>19469.84</v>
      </c>
      <c r="J204" t="s">
        <v>349</v>
      </c>
      <c r="K204" t="s">
        <v>348</v>
      </c>
      <c r="L204" t="s">
        <v>347</v>
      </c>
      <c r="M204">
        <v>16720.89</v>
      </c>
      <c r="N204">
        <v>3206.5990000000002</v>
      </c>
      <c r="O204" s="122">
        <v>19.17720288812378</v>
      </c>
      <c r="P204">
        <v>10377.92</v>
      </c>
      <c r="Q204">
        <v>23063.86</v>
      </c>
      <c r="R204" s="124"/>
      <c r="S204" t="s">
        <v>349</v>
      </c>
      <c r="T204" t="s">
        <v>879</v>
      </c>
      <c r="U204" t="s">
        <v>892</v>
      </c>
      <c r="V204" s="122">
        <v>16601.189999999999</v>
      </c>
      <c r="W204" s="122">
        <v>856.23889999999994</v>
      </c>
      <c r="X204" s="122">
        <v>5.1576959242078431</v>
      </c>
      <c r="Y204" s="122">
        <v>14907.46</v>
      </c>
      <c r="Z204" s="122">
        <v>18294.91</v>
      </c>
    </row>
    <row r="205" spans="1:26" ht="15" customHeight="1" x14ac:dyDescent="0.35">
      <c r="A205" s="117">
        <v>3257</v>
      </c>
      <c r="B205" s="130"/>
      <c r="C205" s="131" t="s">
        <v>727</v>
      </c>
      <c r="D205" s="120">
        <v>21537.9</v>
      </c>
      <c r="E205" s="120">
        <v>603.04740000000004</v>
      </c>
      <c r="F205" s="121">
        <v>2.7999359269009516</v>
      </c>
      <c r="G205" s="120">
        <v>20545.900000000001</v>
      </c>
      <c r="H205" s="120">
        <v>22529.91</v>
      </c>
      <c r="J205" t="s">
        <v>349</v>
      </c>
      <c r="K205" t="s">
        <v>320</v>
      </c>
      <c r="L205" t="s">
        <v>883</v>
      </c>
      <c r="M205">
        <v>18889.84</v>
      </c>
      <c r="N205">
        <v>1036.7170000000001</v>
      </c>
      <c r="O205" s="122">
        <v>5.4882254164143269</v>
      </c>
      <c r="P205">
        <v>16839.11</v>
      </c>
      <c r="Q205">
        <v>20940.57</v>
      </c>
      <c r="R205" s="124"/>
      <c r="S205" t="s">
        <v>581</v>
      </c>
      <c r="T205" t="s">
        <v>825</v>
      </c>
      <c r="U205" t="s">
        <v>824</v>
      </c>
      <c r="V205" s="122">
        <v>15654.86</v>
      </c>
      <c r="W205" s="122">
        <v>808.24950000000001</v>
      </c>
      <c r="X205" s="122">
        <v>5.1629302338059873</v>
      </c>
      <c r="Y205" s="122">
        <v>14058.57</v>
      </c>
      <c r="Z205" s="122">
        <v>17251.150000000001</v>
      </c>
    </row>
    <row r="206" spans="1:26" ht="15" customHeight="1" x14ac:dyDescent="0.35">
      <c r="A206" s="139">
        <v>4311</v>
      </c>
      <c r="B206" s="3"/>
      <c r="C206" s="129" t="s">
        <v>1156</v>
      </c>
      <c r="D206" s="120">
        <v>22150.54</v>
      </c>
      <c r="E206" s="120">
        <v>883.24959999999999</v>
      </c>
      <c r="F206" s="121">
        <v>3.9874856324044465</v>
      </c>
      <c r="G206" s="120">
        <v>20697.61</v>
      </c>
      <c r="H206" s="120">
        <v>23603.48</v>
      </c>
      <c r="J206" t="s">
        <v>349</v>
      </c>
      <c r="K206" t="s">
        <v>14</v>
      </c>
      <c r="L206" t="s">
        <v>893</v>
      </c>
      <c r="M206">
        <v>19694.09</v>
      </c>
      <c r="N206">
        <v>704.95920000000001</v>
      </c>
      <c r="O206" s="122">
        <v>3.5795469605348607</v>
      </c>
      <c r="P206">
        <v>18299.61</v>
      </c>
      <c r="Q206">
        <v>21088.57</v>
      </c>
      <c r="R206" s="124"/>
      <c r="S206" t="s">
        <v>325</v>
      </c>
      <c r="T206" t="s">
        <v>410</v>
      </c>
      <c r="U206" t="s">
        <v>409</v>
      </c>
      <c r="V206" s="122">
        <v>17391.849999999999</v>
      </c>
      <c r="W206" s="122">
        <v>899.34029999999996</v>
      </c>
      <c r="X206" s="122">
        <v>5.1710444834793314</v>
      </c>
      <c r="Y206" s="122">
        <v>15625.04</v>
      </c>
      <c r="Z206" s="122">
        <v>19158.650000000001</v>
      </c>
    </row>
    <row r="207" spans="1:26" ht="15" customHeight="1" x14ac:dyDescent="0.35">
      <c r="A207" s="139">
        <v>4322</v>
      </c>
      <c r="B207" s="3"/>
      <c r="C207" s="129" t="s">
        <v>720</v>
      </c>
      <c r="D207" s="120">
        <v>17094.05</v>
      </c>
      <c r="E207" s="120">
        <v>256.791</v>
      </c>
      <c r="F207" s="121">
        <v>1.5022244582179181</v>
      </c>
      <c r="G207" s="120">
        <v>16671.63</v>
      </c>
      <c r="H207" s="120">
        <v>17516.47</v>
      </c>
      <c r="J207" t="s">
        <v>349</v>
      </c>
      <c r="K207" t="s">
        <v>304</v>
      </c>
      <c r="L207" t="s">
        <v>752</v>
      </c>
      <c r="M207">
        <v>16863.21</v>
      </c>
      <c r="N207">
        <v>1298.317</v>
      </c>
      <c r="O207" s="122">
        <v>7.6991094815281329</v>
      </c>
      <c r="P207">
        <v>14295.01</v>
      </c>
      <c r="Q207">
        <v>19431.41</v>
      </c>
      <c r="R207" s="124"/>
      <c r="S207" t="s">
        <v>373</v>
      </c>
      <c r="T207" t="s">
        <v>101</v>
      </c>
      <c r="U207" t="s">
        <v>394</v>
      </c>
      <c r="V207" s="122">
        <v>15121.97</v>
      </c>
      <c r="W207" s="122">
        <v>782.08820000000003</v>
      </c>
      <c r="X207" s="122">
        <v>5.171867157519821</v>
      </c>
      <c r="Y207" s="122">
        <v>13586.34</v>
      </c>
      <c r="Z207" s="122">
        <v>16657.599999999999</v>
      </c>
    </row>
    <row r="208" spans="1:26" ht="15" customHeight="1" x14ac:dyDescent="0.35">
      <c r="A208" s="139">
        <v>8131</v>
      </c>
      <c r="B208" s="3"/>
      <c r="C208" s="129" t="s">
        <v>880</v>
      </c>
      <c r="D208" s="120">
        <v>18363.25</v>
      </c>
      <c r="E208" s="120">
        <v>1297.0609999999999</v>
      </c>
      <c r="F208" s="121">
        <v>7.0633520754768346</v>
      </c>
      <c r="G208" s="120">
        <v>16229.6</v>
      </c>
      <c r="H208" s="120">
        <v>20496.900000000001</v>
      </c>
      <c r="J208" t="s">
        <v>349</v>
      </c>
      <c r="K208" t="s">
        <v>879</v>
      </c>
      <c r="L208" t="s">
        <v>892</v>
      </c>
      <c r="M208">
        <v>16601.189999999999</v>
      </c>
      <c r="N208">
        <v>856.23889999999994</v>
      </c>
      <c r="O208" s="122">
        <v>5.1576959242078431</v>
      </c>
      <c r="P208">
        <v>14907.46</v>
      </c>
      <c r="Q208">
        <v>18294.91</v>
      </c>
      <c r="R208" s="124"/>
      <c r="S208" t="s">
        <v>391</v>
      </c>
      <c r="T208" t="s">
        <v>690</v>
      </c>
      <c r="U208" t="s">
        <v>689</v>
      </c>
      <c r="V208" s="122">
        <v>36750.660000000003</v>
      </c>
      <c r="W208" s="122">
        <v>1906.7529999999999</v>
      </c>
      <c r="X208" s="122">
        <v>5.1883503588779076</v>
      </c>
      <c r="Y208" s="122">
        <v>32989.410000000003</v>
      </c>
      <c r="Z208" s="122">
        <v>40511.919999999998</v>
      </c>
    </row>
    <row r="209" spans="1:26" ht="15" customHeight="1" x14ac:dyDescent="0.35">
      <c r="A209" s="117">
        <v>9000</v>
      </c>
      <c r="B209" s="118" t="s">
        <v>1350</v>
      </c>
      <c r="C209" s="116" t="s">
        <v>1207</v>
      </c>
      <c r="D209" s="120">
        <v>14953.67</v>
      </c>
      <c r="E209" s="120">
        <v>165.07640000000001</v>
      </c>
      <c r="F209" s="121">
        <v>1.1039189710619532</v>
      </c>
      <c r="G209" s="120">
        <v>14682.12</v>
      </c>
      <c r="H209" s="120">
        <v>15225.22</v>
      </c>
      <c r="J209" t="s">
        <v>349</v>
      </c>
      <c r="K209" t="s">
        <v>5</v>
      </c>
      <c r="L209" t="s">
        <v>891</v>
      </c>
      <c r="M209">
        <v>12670.33</v>
      </c>
      <c r="N209">
        <v>424.46100000000001</v>
      </c>
      <c r="O209" s="122">
        <v>3.3500390281863219</v>
      </c>
      <c r="P209">
        <v>11830.71</v>
      </c>
      <c r="Q209">
        <v>13509.96</v>
      </c>
      <c r="R209" s="124"/>
      <c r="S209" t="s">
        <v>592</v>
      </c>
      <c r="T209" t="s">
        <v>610</v>
      </c>
      <c r="U209" t="s">
        <v>609</v>
      </c>
      <c r="V209" s="122">
        <v>14537.83</v>
      </c>
      <c r="W209" s="122">
        <v>759.32579999999996</v>
      </c>
      <c r="X209" s="122">
        <v>5.2231027601781008</v>
      </c>
      <c r="Y209" s="122">
        <v>13048.91</v>
      </c>
      <c r="Z209" s="122">
        <v>16026.76</v>
      </c>
    </row>
    <row r="210" spans="1:26" ht="15" customHeight="1" x14ac:dyDescent="0.35">
      <c r="A210" s="132"/>
      <c r="B210" s="130"/>
      <c r="C210" s="131"/>
      <c r="D210" s="120"/>
      <c r="E210" s="120"/>
      <c r="F210" s="121"/>
      <c r="G210" s="120"/>
      <c r="H210" s="120"/>
      <c r="S210" t="s">
        <v>375</v>
      </c>
      <c r="T210" t="s">
        <v>5</v>
      </c>
      <c r="U210" t="s">
        <v>868</v>
      </c>
      <c r="V210" s="122">
        <v>11143.34</v>
      </c>
      <c r="W210" s="122">
        <v>582.36760000000004</v>
      </c>
      <c r="X210" s="122">
        <v>5.2261494309605565</v>
      </c>
      <c r="Y210" s="122">
        <v>9970.3880000000008</v>
      </c>
      <c r="Z210" s="122">
        <v>12316.28</v>
      </c>
    </row>
    <row r="211" spans="1:26" ht="28" customHeight="1" x14ac:dyDescent="0.35">
      <c r="A211" s="4" t="s">
        <v>574</v>
      </c>
      <c r="B211" s="145"/>
      <c r="C211" s="126" t="s">
        <v>890</v>
      </c>
      <c r="D211" s="120"/>
      <c r="E211" s="120"/>
      <c r="F211" s="121"/>
      <c r="G211" s="120"/>
      <c r="H211" s="120"/>
      <c r="S211" t="s">
        <v>327</v>
      </c>
      <c r="T211" t="s">
        <v>819</v>
      </c>
      <c r="U211" t="s">
        <v>889</v>
      </c>
      <c r="V211" s="122">
        <v>12982.25</v>
      </c>
      <c r="W211" s="122">
        <v>684.45989999999995</v>
      </c>
      <c r="X211" s="122">
        <v>5.2722748367963943</v>
      </c>
      <c r="Y211" s="122">
        <v>11622.03</v>
      </c>
      <c r="Z211" s="122">
        <v>14342.47</v>
      </c>
    </row>
    <row r="212" spans="1:26" ht="15" customHeight="1" x14ac:dyDescent="0.35">
      <c r="A212" s="139">
        <v>2113</v>
      </c>
      <c r="B212" s="3"/>
      <c r="C212" s="129" t="s">
        <v>888</v>
      </c>
      <c r="D212" s="120">
        <v>47675.91</v>
      </c>
      <c r="E212" s="120">
        <v>5251.8379999999997</v>
      </c>
      <c r="F212" s="121">
        <v>11.015705835504765</v>
      </c>
      <c r="G212" s="120">
        <v>39036.71</v>
      </c>
      <c r="H212" s="120">
        <v>56315.11</v>
      </c>
      <c r="J212" t="s">
        <v>574</v>
      </c>
      <c r="K212" t="s">
        <v>588</v>
      </c>
      <c r="L212" t="s">
        <v>587</v>
      </c>
      <c r="M212">
        <v>26703.41</v>
      </c>
      <c r="N212">
        <v>2867.6239999999998</v>
      </c>
      <c r="O212" s="122">
        <v>10.738793285202151</v>
      </c>
      <c r="P212">
        <v>20881.830000000002</v>
      </c>
      <c r="Q212">
        <v>32525</v>
      </c>
      <c r="R212" s="124"/>
      <c r="S212" t="s">
        <v>704</v>
      </c>
      <c r="T212" t="s">
        <v>887</v>
      </c>
      <c r="U212" t="s">
        <v>886</v>
      </c>
      <c r="V212" s="122">
        <v>12667.36</v>
      </c>
      <c r="W212" s="122">
        <v>674.20540000000005</v>
      </c>
      <c r="X212" s="122">
        <v>5.3223828800949846</v>
      </c>
      <c r="Y212" s="122">
        <v>11341.94</v>
      </c>
      <c r="Z212" s="122">
        <v>13992.78</v>
      </c>
    </row>
    <row r="213" spans="1:26" ht="15" customHeight="1" x14ac:dyDescent="0.35">
      <c r="A213" s="139">
        <v>2122</v>
      </c>
      <c r="B213" s="3"/>
      <c r="C213" s="129" t="s">
        <v>885</v>
      </c>
      <c r="D213" s="120">
        <v>21435</v>
      </c>
      <c r="E213" s="120" t="s">
        <v>289</v>
      </c>
      <c r="F213" s="120" t="s">
        <v>289</v>
      </c>
      <c r="G213" s="120" t="s">
        <v>289</v>
      </c>
      <c r="H213" s="120" t="s">
        <v>289</v>
      </c>
      <c r="J213" t="s">
        <v>574</v>
      </c>
      <c r="K213" t="s">
        <v>115</v>
      </c>
      <c r="L213" t="s">
        <v>593</v>
      </c>
      <c r="M213">
        <v>25641.919999999998</v>
      </c>
      <c r="N213">
        <v>2661.42</v>
      </c>
      <c r="O213" s="122">
        <v>10.379175974342015</v>
      </c>
      <c r="P213">
        <v>20238.95</v>
      </c>
      <c r="Q213">
        <v>31044.89</v>
      </c>
      <c r="R213" s="124"/>
      <c r="S213" t="s">
        <v>428</v>
      </c>
      <c r="T213" t="s">
        <v>190</v>
      </c>
      <c r="U213" t="s">
        <v>586</v>
      </c>
      <c r="V213" s="122">
        <v>32406.16</v>
      </c>
      <c r="W213" s="122">
        <v>1748.8589999999999</v>
      </c>
      <c r="X213" s="122">
        <v>5.396686926189342</v>
      </c>
      <c r="Y213" s="122">
        <v>28976.9</v>
      </c>
      <c r="Z213" s="122">
        <v>35835.42</v>
      </c>
    </row>
    <row r="214" spans="1:26" ht="15" customHeight="1" x14ac:dyDescent="0.35">
      <c r="A214" s="139">
        <v>2145</v>
      </c>
      <c r="B214" s="3"/>
      <c r="C214" s="129" t="s">
        <v>864</v>
      </c>
      <c r="D214" s="120">
        <v>24498.69</v>
      </c>
      <c r="E214" s="120">
        <v>3381.835</v>
      </c>
      <c r="F214" s="121">
        <v>13.804146262514447</v>
      </c>
      <c r="G214" s="120">
        <v>18935.62</v>
      </c>
      <c r="H214" s="120">
        <v>30061.759999999998</v>
      </c>
      <c r="J214" t="s">
        <v>574</v>
      </c>
      <c r="K214" t="s">
        <v>358</v>
      </c>
      <c r="L214" t="s">
        <v>573</v>
      </c>
      <c r="M214">
        <v>28852.51</v>
      </c>
      <c r="N214">
        <v>3242.3130000000001</v>
      </c>
      <c r="O214" s="122">
        <v>11.237542245024784</v>
      </c>
      <c r="P214">
        <v>22270.27</v>
      </c>
      <c r="Q214">
        <v>35434.76</v>
      </c>
      <c r="R214" s="124"/>
      <c r="S214" t="s">
        <v>375</v>
      </c>
      <c r="T214" t="s">
        <v>404</v>
      </c>
      <c r="U214" t="s">
        <v>874</v>
      </c>
      <c r="V214" s="122">
        <v>22918.63</v>
      </c>
      <c r="W214" s="122">
        <v>1236.991</v>
      </c>
      <c r="X214" s="122">
        <v>5.397316506265863</v>
      </c>
      <c r="Y214" s="122">
        <v>20427.2</v>
      </c>
      <c r="Z214" s="122">
        <v>25410.05</v>
      </c>
    </row>
    <row r="215" spans="1:26" ht="15" customHeight="1" x14ac:dyDescent="0.35">
      <c r="A215" s="139">
        <v>2262</v>
      </c>
      <c r="B215" s="3"/>
      <c r="C215" s="129" t="s">
        <v>1204</v>
      </c>
      <c r="D215" s="120">
        <v>25224.11</v>
      </c>
      <c r="E215" s="120">
        <v>2034.761</v>
      </c>
      <c r="F215" s="121">
        <v>8.0667306002074994</v>
      </c>
      <c r="G215" s="120">
        <v>21876.959999999999</v>
      </c>
      <c r="H215" s="120">
        <v>28571.26</v>
      </c>
      <c r="J215" t="s">
        <v>574</v>
      </c>
      <c r="K215" t="s">
        <v>329</v>
      </c>
      <c r="L215" t="s">
        <v>823</v>
      </c>
      <c r="M215">
        <v>22498.54</v>
      </c>
      <c r="N215">
        <v>1495.154</v>
      </c>
      <c r="O215" s="122">
        <v>6.6455601119005951</v>
      </c>
      <c r="P215">
        <v>19463.22</v>
      </c>
      <c r="Q215">
        <v>25533.87</v>
      </c>
      <c r="R215" s="124"/>
      <c r="S215" t="s">
        <v>209</v>
      </c>
      <c r="T215" t="s">
        <v>14</v>
      </c>
      <c r="U215" t="s">
        <v>211</v>
      </c>
      <c r="V215" s="122">
        <v>23015.14</v>
      </c>
      <c r="W215" s="122">
        <v>1249.827</v>
      </c>
      <c r="X215" s="122">
        <v>5.4304557782398888</v>
      </c>
      <c r="Y215" s="122">
        <v>20558.61</v>
      </c>
      <c r="Z215" s="122">
        <v>25471.67</v>
      </c>
    </row>
    <row r="216" spans="1:26" ht="15" customHeight="1" x14ac:dyDescent="0.35">
      <c r="A216" s="139">
        <v>3116</v>
      </c>
      <c r="B216" s="3"/>
      <c r="C216" s="129" t="s">
        <v>863</v>
      </c>
      <c r="D216" s="120">
        <v>23146.3</v>
      </c>
      <c r="E216" s="120">
        <v>1616.145</v>
      </c>
      <c r="F216" s="121">
        <v>6.9823038671407529</v>
      </c>
      <c r="G216" s="120">
        <v>20487.759999999998</v>
      </c>
      <c r="H216" s="120">
        <v>25804.83</v>
      </c>
      <c r="O216" s="122"/>
      <c r="R216" s="124"/>
    </row>
    <row r="217" spans="1:26" ht="15" customHeight="1" x14ac:dyDescent="0.35">
      <c r="A217" s="139">
        <v>3122</v>
      </c>
      <c r="B217" s="3"/>
      <c r="C217" s="129" t="s">
        <v>729</v>
      </c>
      <c r="D217" s="120">
        <v>24632.7</v>
      </c>
      <c r="E217" s="120">
        <v>1753.9870000000001</v>
      </c>
      <c r="F217" s="121">
        <v>7.1205633162422313</v>
      </c>
      <c r="G217" s="120">
        <v>21747.42</v>
      </c>
      <c r="H217" s="120">
        <v>27517.99</v>
      </c>
      <c r="O217" s="122"/>
      <c r="R217" s="124"/>
    </row>
    <row r="218" spans="1:26" ht="15" customHeight="1" x14ac:dyDescent="0.35">
      <c r="A218" s="139">
        <v>3133</v>
      </c>
      <c r="B218" s="3"/>
      <c r="C218" s="129" t="s">
        <v>882</v>
      </c>
      <c r="D218" s="120">
        <v>17086.939999999999</v>
      </c>
      <c r="E218" s="120">
        <v>300.55529999999999</v>
      </c>
      <c r="F218" s="121">
        <v>1.7589767389596969</v>
      </c>
      <c r="G218" s="120">
        <v>16592.53</v>
      </c>
      <c r="H218" s="120">
        <v>17581.349999999999</v>
      </c>
      <c r="J218" t="s">
        <v>574</v>
      </c>
      <c r="K218" t="s">
        <v>440</v>
      </c>
      <c r="L218" t="s">
        <v>884</v>
      </c>
      <c r="M218">
        <v>21904.69</v>
      </c>
      <c r="N218">
        <v>993.01589999999999</v>
      </c>
      <c r="O218" s="122">
        <v>4.5333483377304136</v>
      </c>
      <c r="P218">
        <v>19888.759999999998</v>
      </c>
      <c r="Q218">
        <v>23920.62</v>
      </c>
      <c r="R218" s="124"/>
      <c r="S218" t="s">
        <v>349</v>
      </c>
      <c r="T218" t="s">
        <v>320</v>
      </c>
      <c r="U218" t="s">
        <v>883</v>
      </c>
      <c r="V218" s="122">
        <v>18889.84</v>
      </c>
      <c r="W218" s="122">
        <v>1036.7170000000001</v>
      </c>
      <c r="X218" s="122">
        <v>5.4882254164143269</v>
      </c>
      <c r="Y218" s="122">
        <v>16839.11</v>
      </c>
      <c r="Z218" s="122">
        <v>20940.57</v>
      </c>
    </row>
    <row r="219" spans="1:26" ht="15" customHeight="1" x14ac:dyDescent="0.35">
      <c r="A219" s="117">
        <v>3213</v>
      </c>
      <c r="B219" s="130"/>
      <c r="C219" s="140" t="s">
        <v>1205</v>
      </c>
      <c r="D219" s="120">
        <v>17019.32</v>
      </c>
      <c r="E219" s="120">
        <v>276.49790000000002</v>
      </c>
      <c r="F219" s="121">
        <v>1.624611911639243</v>
      </c>
      <c r="G219" s="120">
        <v>16564.490000000002</v>
      </c>
      <c r="H219" s="120">
        <v>17474.16</v>
      </c>
      <c r="J219" t="s">
        <v>574</v>
      </c>
      <c r="K219" t="s">
        <v>348</v>
      </c>
      <c r="L219" t="s">
        <v>584</v>
      </c>
      <c r="M219">
        <v>19266.919999999998</v>
      </c>
      <c r="N219">
        <v>2138.3159999999998</v>
      </c>
      <c r="O219" s="122">
        <v>11.098380021300757</v>
      </c>
      <c r="P219">
        <v>14925.91</v>
      </c>
      <c r="Q219">
        <v>23607.94</v>
      </c>
      <c r="R219" s="124"/>
      <c r="S219" t="s">
        <v>496</v>
      </c>
      <c r="T219" t="s">
        <v>419</v>
      </c>
      <c r="U219" t="s">
        <v>517</v>
      </c>
      <c r="V219" s="122">
        <v>12483.55</v>
      </c>
      <c r="W219" s="122">
        <v>688.22170000000006</v>
      </c>
      <c r="X219" s="122">
        <v>5.5130287458295122</v>
      </c>
      <c r="Y219" s="122">
        <v>11131.5</v>
      </c>
      <c r="Z219" s="122">
        <v>13835.6</v>
      </c>
    </row>
    <row r="220" spans="1:26" ht="15" customHeight="1" x14ac:dyDescent="0.35">
      <c r="A220" s="117">
        <v>3257</v>
      </c>
      <c r="B220" s="130"/>
      <c r="C220" s="131" t="s">
        <v>727</v>
      </c>
      <c r="D220" s="120">
        <v>17313.25</v>
      </c>
      <c r="E220" s="120">
        <v>243.82040000000001</v>
      </c>
      <c r="F220" s="121">
        <v>1.4082878720055449</v>
      </c>
      <c r="G220" s="120">
        <v>16912.169999999998</v>
      </c>
      <c r="H220" s="120">
        <v>17714.330000000002</v>
      </c>
      <c r="J220" t="s">
        <v>574</v>
      </c>
      <c r="K220" t="s">
        <v>320</v>
      </c>
      <c r="L220" t="s">
        <v>787</v>
      </c>
      <c r="M220">
        <v>19412.740000000002</v>
      </c>
      <c r="N220" s="122">
        <v>1406.0060000000001</v>
      </c>
      <c r="O220" s="122">
        <v>7.2426973214497288</v>
      </c>
      <c r="P220">
        <v>16558.400000000001</v>
      </c>
      <c r="Q220">
        <v>22267.08</v>
      </c>
      <c r="R220" s="124"/>
      <c r="S220" t="s">
        <v>391</v>
      </c>
      <c r="T220" t="s">
        <v>168</v>
      </c>
      <c r="U220" t="s">
        <v>693</v>
      </c>
      <c r="V220" s="122">
        <v>45391.48</v>
      </c>
      <c r="W220" s="122">
        <v>2503.67</v>
      </c>
      <c r="X220" s="122">
        <v>5.5157267399080174</v>
      </c>
      <c r="Y220" s="122">
        <v>40452.76</v>
      </c>
      <c r="Z220" s="122">
        <v>50330.21</v>
      </c>
    </row>
    <row r="221" spans="1:26" ht="15" customHeight="1" x14ac:dyDescent="0.35">
      <c r="A221" s="139">
        <v>4110</v>
      </c>
      <c r="B221" s="3"/>
      <c r="C221" s="129" t="s">
        <v>1156</v>
      </c>
      <c r="D221" s="120">
        <v>17585.68</v>
      </c>
      <c r="E221" s="120">
        <v>864.38170000000002</v>
      </c>
      <c r="F221" s="121">
        <v>4.9152588924625036</v>
      </c>
      <c r="G221" s="120">
        <v>16163.79</v>
      </c>
      <c r="H221" s="120">
        <v>19007.580000000002</v>
      </c>
      <c r="J221" t="s">
        <v>574</v>
      </c>
      <c r="K221" t="s">
        <v>14</v>
      </c>
      <c r="L221" t="s">
        <v>771</v>
      </c>
      <c r="M221">
        <v>19872.900000000001</v>
      </c>
      <c r="N221" s="122">
        <v>1469.5940000000001</v>
      </c>
      <c r="O221" s="122">
        <v>7.3949650025914675</v>
      </c>
      <c r="P221">
        <v>16889.46</v>
      </c>
      <c r="Q221">
        <v>22856.33</v>
      </c>
      <c r="R221" s="124"/>
      <c r="S221" t="s">
        <v>606</v>
      </c>
      <c r="T221" t="s">
        <v>647</v>
      </c>
      <c r="U221" t="s">
        <v>646</v>
      </c>
      <c r="V221" s="122">
        <v>23737.37</v>
      </c>
      <c r="W221" s="122">
        <v>1316.1</v>
      </c>
      <c r="X221" s="122">
        <v>5.5444221495473167</v>
      </c>
      <c r="Y221" s="122">
        <v>21152.18</v>
      </c>
      <c r="Z221" s="122">
        <v>26322.57</v>
      </c>
    </row>
    <row r="222" spans="1:26" ht="15" customHeight="1" x14ac:dyDescent="0.35">
      <c r="A222" s="139">
        <v>4322</v>
      </c>
      <c r="B222" s="3"/>
      <c r="C222" s="129" t="s">
        <v>720</v>
      </c>
      <c r="D222" s="120">
        <v>17817.63</v>
      </c>
      <c r="E222" s="120">
        <v>411.38240000000002</v>
      </c>
      <c r="F222" s="121">
        <v>2.3088502791897687</v>
      </c>
      <c r="G222" s="120">
        <v>17140.91</v>
      </c>
      <c r="H222" s="120">
        <v>18494.34</v>
      </c>
      <c r="J222" t="s">
        <v>574</v>
      </c>
      <c r="K222" t="s">
        <v>304</v>
      </c>
      <c r="L222" t="s">
        <v>881</v>
      </c>
      <c r="M222">
        <v>15942.77</v>
      </c>
      <c r="N222" s="122">
        <v>600.39509999999996</v>
      </c>
      <c r="O222" s="122">
        <v>3.765939670458772</v>
      </c>
      <c r="P222">
        <v>14723.91</v>
      </c>
      <c r="Q222">
        <v>17161.64</v>
      </c>
      <c r="R222" s="124"/>
      <c r="S222" t="s">
        <v>402</v>
      </c>
      <c r="T222" t="s">
        <v>5</v>
      </c>
      <c r="U222" t="s">
        <v>656</v>
      </c>
      <c r="V222" s="122">
        <v>13474.12</v>
      </c>
      <c r="W222" s="122">
        <v>750.95140000000004</v>
      </c>
      <c r="X222" s="122">
        <v>5.5732871608683903</v>
      </c>
      <c r="Y222" s="122">
        <v>11989.54</v>
      </c>
      <c r="Z222" s="122">
        <v>14958.7</v>
      </c>
    </row>
    <row r="223" spans="1:26" ht="15" customHeight="1" x14ac:dyDescent="0.35">
      <c r="A223" s="117">
        <v>8131</v>
      </c>
      <c r="B223" s="130"/>
      <c r="C223" s="140" t="s">
        <v>880</v>
      </c>
      <c r="D223" s="120">
        <v>17362.72</v>
      </c>
      <c r="E223" s="120">
        <v>2309.6770000000001</v>
      </c>
      <c r="F223" s="121">
        <v>13.302506750094455</v>
      </c>
      <c r="G223" s="120">
        <v>13563.33</v>
      </c>
      <c r="H223" s="120">
        <v>21162.1</v>
      </c>
      <c r="J223" t="s">
        <v>574</v>
      </c>
      <c r="K223" t="s">
        <v>879</v>
      </c>
      <c r="L223" t="s">
        <v>878</v>
      </c>
      <c r="M223">
        <v>13541.49</v>
      </c>
      <c r="N223" s="122">
        <v>644.99059999999997</v>
      </c>
      <c r="O223" s="122">
        <v>4.763069647431708</v>
      </c>
      <c r="P223">
        <v>12232.09</v>
      </c>
      <c r="Q223">
        <v>14850.89</v>
      </c>
      <c r="R223" s="124"/>
      <c r="S223" t="s">
        <v>135</v>
      </c>
      <c r="T223" t="s">
        <v>5</v>
      </c>
      <c r="U223" t="s">
        <v>134</v>
      </c>
      <c r="V223" s="122">
        <v>10580.9</v>
      </c>
      <c r="W223" s="122">
        <v>590.80730000000005</v>
      </c>
      <c r="X223" s="122">
        <v>5.583714995888819</v>
      </c>
      <c r="Y223" s="122">
        <v>9421.8960000000006</v>
      </c>
      <c r="Z223" s="122">
        <v>11739.9</v>
      </c>
    </row>
    <row r="224" spans="1:26" ht="15" customHeight="1" x14ac:dyDescent="0.35">
      <c r="A224" s="117">
        <v>9000</v>
      </c>
      <c r="B224" s="118" t="s">
        <v>1350</v>
      </c>
      <c r="C224" s="116" t="s">
        <v>1207</v>
      </c>
      <c r="D224" s="120">
        <v>15772.28</v>
      </c>
      <c r="E224" s="120">
        <v>725.56560000000002</v>
      </c>
      <c r="F224" s="121">
        <v>4.6002581744681175</v>
      </c>
      <c r="G224" s="120">
        <v>14578.73</v>
      </c>
      <c r="H224" s="120">
        <v>16965.82</v>
      </c>
      <c r="J224" t="s">
        <v>574</v>
      </c>
      <c r="K224" t="s">
        <v>5</v>
      </c>
      <c r="L224" t="s">
        <v>877</v>
      </c>
      <c r="M224">
        <v>11990.56</v>
      </c>
      <c r="N224" s="122">
        <v>289.22919999999999</v>
      </c>
      <c r="O224" s="122">
        <v>2.4121408841622078</v>
      </c>
      <c r="P224">
        <v>11403.4</v>
      </c>
      <c r="Q224">
        <v>12577.73</v>
      </c>
      <c r="R224" s="124"/>
      <c r="S224" t="s">
        <v>6</v>
      </c>
      <c r="T224" t="s">
        <v>11</v>
      </c>
      <c r="U224" t="s">
        <v>10</v>
      </c>
      <c r="V224" s="122">
        <v>13582.9</v>
      </c>
      <c r="W224" s="122">
        <v>758.68679999999995</v>
      </c>
      <c r="X224" s="122">
        <v>5.5856024854780637</v>
      </c>
      <c r="Y224" s="122">
        <v>12071.18</v>
      </c>
      <c r="Z224" s="122">
        <v>15094.62</v>
      </c>
    </row>
    <row r="225" spans="1:26" ht="15" customHeight="1" x14ac:dyDescent="0.35">
      <c r="A225" s="117"/>
      <c r="B225" s="118"/>
      <c r="C225" s="116"/>
      <c r="D225" s="161"/>
      <c r="E225" s="161"/>
      <c r="F225" s="214"/>
      <c r="G225" s="161"/>
      <c r="H225" s="161"/>
      <c r="N225" s="122"/>
      <c r="O225" s="122"/>
      <c r="R225" s="124"/>
    </row>
    <row r="226" spans="1:26" ht="15" customHeight="1" x14ac:dyDescent="0.35">
      <c r="A226" s="2" t="s">
        <v>94</v>
      </c>
      <c r="B226" s="118"/>
      <c r="C226" s="116"/>
      <c r="D226" s="161"/>
      <c r="E226" s="161"/>
      <c r="F226" s="214"/>
      <c r="G226" s="161"/>
      <c r="H226" s="161"/>
      <c r="N226" s="122"/>
      <c r="O226" s="122"/>
      <c r="R226" s="124"/>
    </row>
    <row r="227" spans="1:26" ht="15" customHeight="1" x14ac:dyDescent="0.35">
      <c r="A227" s="2" t="s">
        <v>93</v>
      </c>
      <c r="B227" s="118"/>
      <c r="C227" s="116"/>
      <c r="D227" s="161"/>
      <c r="E227" s="161"/>
      <c r="F227" s="214"/>
      <c r="G227" s="161"/>
      <c r="H227" s="161"/>
      <c r="N227" s="122"/>
      <c r="O227" s="122"/>
      <c r="R227" s="124"/>
    </row>
    <row r="228" spans="1:26" ht="15" customHeight="1" x14ac:dyDescent="0.35">
      <c r="A228" s="159" t="s">
        <v>965</v>
      </c>
      <c r="B228" s="118"/>
      <c r="C228" s="116"/>
      <c r="D228" s="161"/>
      <c r="E228" s="161"/>
      <c r="F228" s="214"/>
      <c r="G228" s="161"/>
      <c r="H228" s="161"/>
      <c r="N228" s="122"/>
      <c r="O228" s="122"/>
      <c r="R228" s="124"/>
    </row>
    <row r="229" spans="1:26" ht="15" customHeight="1" x14ac:dyDescent="0.35">
      <c r="A229" s="159" t="s">
        <v>0</v>
      </c>
      <c r="B229" s="118"/>
      <c r="C229" s="116"/>
      <c r="D229" s="161"/>
      <c r="E229" s="161"/>
      <c r="F229" s="214"/>
      <c r="G229" s="161"/>
      <c r="H229" s="161"/>
      <c r="N229" s="122"/>
      <c r="O229" s="122"/>
      <c r="R229" s="124"/>
    </row>
    <row r="230" spans="1:26" ht="30" customHeight="1" x14ac:dyDescent="0.35">
      <c r="A230" s="403" t="s">
        <v>1349</v>
      </c>
      <c r="B230" s="403"/>
      <c r="C230" s="403"/>
      <c r="D230" s="403"/>
      <c r="E230" s="403"/>
      <c r="F230" s="403"/>
      <c r="G230" s="403"/>
      <c r="H230" s="403"/>
      <c r="N230" s="122"/>
      <c r="O230" s="122"/>
      <c r="R230" s="124"/>
    </row>
    <row r="231" spans="1:26" ht="15" customHeight="1" x14ac:dyDescent="0.35">
      <c r="A231" s="404" t="s">
        <v>1336</v>
      </c>
      <c r="B231" s="404"/>
      <c r="C231" s="404"/>
      <c r="D231" s="404"/>
      <c r="E231" s="404"/>
      <c r="F231" s="404"/>
      <c r="G231" s="404"/>
      <c r="H231" s="404"/>
      <c r="N231" s="122"/>
      <c r="O231" s="122"/>
      <c r="R231" s="124"/>
    </row>
    <row r="232" spans="1:26" ht="15" customHeight="1" x14ac:dyDescent="0.35">
      <c r="A232" s="123"/>
      <c r="B232" s="123"/>
      <c r="C232" s="123"/>
      <c r="D232" s="123"/>
      <c r="N232" s="122"/>
      <c r="O232" s="122"/>
      <c r="R232" s="124"/>
    </row>
    <row r="233" spans="1:26" ht="25" customHeight="1" x14ac:dyDescent="0.35">
      <c r="A233" s="405" t="s">
        <v>993</v>
      </c>
      <c r="B233" s="406"/>
      <c r="C233" s="409" t="s">
        <v>92</v>
      </c>
      <c r="D233" s="419" t="s">
        <v>91</v>
      </c>
      <c r="E233" s="419" t="s">
        <v>90</v>
      </c>
      <c r="F233" s="420" t="s">
        <v>89</v>
      </c>
      <c r="G233" s="419" t="s">
        <v>1186</v>
      </c>
      <c r="H233" s="419"/>
      <c r="N233" s="122"/>
      <c r="O233" s="122"/>
      <c r="R233" s="124"/>
    </row>
    <row r="234" spans="1:26" ht="25" customHeight="1" x14ac:dyDescent="0.35">
      <c r="A234" s="407"/>
      <c r="B234" s="408"/>
      <c r="C234" s="410"/>
      <c r="D234" s="419"/>
      <c r="E234" s="419"/>
      <c r="F234" s="420"/>
      <c r="G234" s="5" t="s">
        <v>88</v>
      </c>
      <c r="H234" s="5" t="s">
        <v>87</v>
      </c>
      <c r="N234" s="122"/>
      <c r="O234" s="122"/>
      <c r="R234" s="124"/>
    </row>
    <row r="235" spans="1:26" ht="15" customHeight="1" x14ac:dyDescent="0.35">
      <c r="A235" s="218"/>
      <c r="B235" s="169"/>
      <c r="C235" s="153"/>
      <c r="D235" s="215"/>
      <c r="E235" s="215"/>
      <c r="F235" s="216"/>
      <c r="G235" s="215"/>
      <c r="H235" s="215"/>
      <c r="N235" s="122"/>
      <c r="O235" s="122"/>
      <c r="S235" t="s">
        <v>402</v>
      </c>
      <c r="T235" t="s">
        <v>669</v>
      </c>
      <c r="U235" t="s">
        <v>668</v>
      </c>
      <c r="V235" s="122">
        <v>18534.310000000001</v>
      </c>
      <c r="W235" s="122">
        <v>1036.3030000000001</v>
      </c>
      <c r="X235" s="122">
        <v>5.591268301868265</v>
      </c>
      <c r="Y235" s="122">
        <v>16485.61</v>
      </c>
      <c r="Z235" s="122">
        <v>20583.009999999998</v>
      </c>
    </row>
    <row r="236" spans="1:26" ht="15" customHeight="1" x14ac:dyDescent="0.35">
      <c r="A236" s="135" t="s">
        <v>1181</v>
      </c>
      <c r="B236" s="136"/>
      <c r="C236" s="136" t="s">
        <v>867</v>
      </c>
      <c r="D236" s="120"/>
      <c r="E236" s="120"/>
      <c r="F236" s="121"/>
      <c r="G236" s="120"/>
      <c r="H236" s="120"/>
      <c r="S236" t="s">
        <v>704</v>
      </c>
      <c r="T236" t="s">
        <v>866</v>
      </c>
      <c r="U236" t="s">
        <v>865</v>
      </c>
      <c r="V236" s="122">
        <v>10057.56</v>
      </c>
      <c r="W236" s="122">
        <v>585.20420000000001</v>
      </c>
      <c r="X236" s="122">
        <v>5.8185504237608328</v>
      </c>
      <c r="Y236" s="122">
        <v>8907.107</v>
      </c>
      <c r="Z236" s="122">
        <v>11208.01</v>
      </c>
    </row>
    <row r="237" spans="1:26" ht="15" customHeight="1" x14ac:dyDescent="0.35">
      <c r="A237" s="139">
        <v>2141</v>
      </c>
      <c r="B237" s="3"/>
      <c r="C237" s="129" t="s">
        <v>1206</v>
      </c>
      <c r="D237" s="120">
        <v>26687.9</v>
      </c>
      <c r="E237" s="120">
        <v>1225.1110000000001</v>
      </c>
      <c r="F237" s="121">
        <v>4.5905110555720015</v>
      </c>
      <c r="G237" s="120">
        <v>24672.61</v>
      </c>
      <c r="H237" s="120">
        <v>28703.19</v>
      </c>
      <c r="J237" t="s">
        <v>650</v>
      </c>
      <c r="K237" t="s">
        <v>404</v>
      </c>
      <c r="L237" t="s">
        <v>831</v>
      </c>
      <c r="M237">
        <v>23452.07</v>
      </c>
      <c r="N237">
        <v>1548.6030000000001</v>
      </c>
      <c r="O237" s="122">
        <v>6.6032678565260978</v>
      </c>
      <c r="P237">
        <v>20397.310000000001</v>
      </c>
      <c r="Q237">
        <v>26506.84</v>
      </c>
      <c r="R237" s="124"/>
      <c r="S237" t="s">
        <v>54</v>
      </c>
      <c r="T237" t="s">
        <v>61</v>
      </c>
      <c r="U237" t="s">
        <v>60</v>
      </c>
      <c r="V237" s="122">
        <v>17864.55</v>
      </c>
      <c r="W237" s="122">
        <v>1040.463</v>
      </c>
      <c r="X237" s="122">
        <v>5.8241769314088518</v>
      </c>
      <c r="Y237" s="122">
        <v>15822.56</v>
      </c>
      <c r="Z237" s="122">
        <v>19906.54</v>
      </c>
    </row>
    <row r="238" spans="1:26" ht="15" customHeight="1" x14ac:dyDescent="0.35">
      <c r="A238" s="139">
        <v>2144</v>
      </c>
      <c r="B238" s="3"/>
      <c r="C238" s="129" t="s">
        <v>767</v>
      </c>
      <c r="D238" s="120">
        <v>19824.02</v>
      </c>
      <c r="E238" s="120">
        <v>1671.009</v>
      </c>
      <c r="F238" s="121">
        <v>8.4292136509143951</v>
      </c>
      <c r="G238" s="120">
        <v>17075.23</v>
      </c>
      <c r="H238" s="120">
        <v>22572.81</v>
      </c>
      <c r="J238" t="s">
        <v>650</v>
      </c>
      <c r="K238" t="s">
        <v>358</v>
      </c>
      <c r="L238" t="s">
        <v>774</v>
      </c>
      <c r="M238">
        <v>30881.87</v>
      </c>
      <c r="N238">
        <v>2275.4369999999999</v>
      </c>
      <c r="O238" s="122">
        <v>7.3681969388511765</v>
      </c>
      <c r="P238">
        <v>26393.35</v>
      </c>
      <c r="Q238">
        <v>35370.379999999997</v>
      </c>
      <c r="R238" s="124"/>
      <c r="S238" t="s">
        <v>334</v>
      </c>
      <c r="T238" t="s">
        <v>14</v>
      </c>
      <c r="U238" t="s">
        <v>760</v>
      </c>
      <c r="V238" s="122">
        <v>23258.04</v>
      </c>
      <c r="W238" s="122">
        <v>1364.616</v>
      </c>
      <c r="X238" s="122">
        <v>5.8672871832708164</v>
      </c>
      <c r="Y238" s="122">
        <v>20527.45</v>
      </c>
      <c r="Z238" s="122">
        <v>25988.63</v>
      </c>
    </row>
    <row r="239" spans="1:26" ht="15" customHeight="1" x14ac:dyDescent="0.35">
      <c r="A239" s="139">
        <v>2145</v>
      </c>
      <c r="B239" s="3"/>
      <c r="C239" s="129" t="s">
        <v>864</v>
      </c>
      <c r="D239" s="120">
        <v>35483.07</v>
      </c>
      <c r="E239" s="120">
        <v>1353.713</v>
      </c>
      <c r="F239" s="121">
        <v>3.8150954807461694</v>
      </c>
      <c r="G239" s="120">
        <v>33256.230000000003</v>
      </c>
      <c r="H239" s="120">
        <v>37709.910000000003</v>
      </c>
      <c r="J239" t="s">
        <v>650</v>
      </c>
      <c r="K239" t="s">
        <v>329</v>
      </c>
      <c r="L239" t="s">
        <v>649</v>
      </c>
      <c r="M239">
        <v>18998.04</v>
      </c>
      <c r="N239">
        <v>1800.848</v>
      </c>
      <c r="O239" s="122">
        <v>9.4791252150221794</v>
      </c>
      <c r="P239">
        <v>15445.7</v>
      </c>
      <c r="Q239">
        <v>22550.38</v>
      </c>
      <c r="R239" s="124"/>
      <c r="S239" t="s">
        <v>571</v>
      </c>
      <c r="T239" t="s">
        <v>440</v>
      </c>
      <c r="U239" t="s">
        <v>862</v>
      </c>
      <c r="V239" s="122">
        <v>20677.7</v>
      </c>
      <c r="W239" s="122">
        <v>1213.848</v>
      </c>
      <c r="X239" s="122">
        <v>5.8703240689244929</v>
      </c>
      <c r="Y239" s="122">
        <v>18253.47</v>
      </c>
      <c r="Z239" s="122">
        <v>23101.919999999998</v>
      </c>
    </row>
    <row r="240" spans="1:26" ht="15" customHeight="1" x14ac:dyDescent="0.35">
      <c r="A240" s="139">
        <v>3116</v>
      </c>
      <c r="B240" s="3"/>
      <c r="C240" s="129" t="s">
        <v>863</v>
      </c>
      <c r="D240" s="120">
        <v>28800.17</v>
      </c>
      <c r="E240" s="120">
        <v>4805.665</v>
      </c>
      <c r="F240" s="121">
        <v>16.686238310398863</v>
      </c>
      <c r="G240" s="120">
        <v>20894.919999999998</v>
      </c>
      <c r="H240" s="120">
        <v>36705.42</v>
      </c>
      <c r="O240" s="122"/>
      <c r="R240" s="124"/>
    </row>
    <row r="241" spans="1:26" ht="15" customHeight="1" x14ac:dyDescent="0.35">
      <c r="A241" s="139">
        <v>3122</v>
      </c>
      <c r="B241" s="3"/>
      <c r="C241" s="129" t="s">
        <v>729</v>
      </c>
      <c r="D241" s="120">
        <v>21893.83</v>
      </c>
      <c r="E241" s="120">
        <v>477.6696</v>
      </c>
      <c r="F241" s="121">
        <v>2.1817544029527949</v>
      </c>
      <c r="G241" s="120">
        <v>21108.07</v>
      </c>
      <c r="H241" s="120">
        <v>22679.58</v>
      </c>
      <c r="O241" s="122"/>
      <c r="R241" s="124"/>
    </row>
    <row r="242" spans="1:26" ht="15" customHeight="1" x14ac:dyDescent="0.35">
      <c r="A242" s="139">
        <v>4110</v>
      </c>
      <c r="B242" s="3"/>
      <c r="C242" s="129" t="s">
        <v>1156</v>
      </c>
      <c r="D242" s="120">
        <v>18730.45</v>
      </c>
      <c r="E242" s="120">
        <v>451.13589999999999</v>
      </c>
      <c r="F242" s="121">
        <v>2.408569468432419</v>
      </c>
      <c r="G242" s="120">
        <v>17988.34</v>
      </c>
      <c r="H242" s="120">
        <v>19472.560000000001</v>
      </c>
      <c r="O242" s="122"/>
      <c r="R242" s="124"/>
    </row>
    <row r="243" spans="1:26" ht="15" customHeight="1" x14ac:dyDescent="0.35">
      <c r="A243" s="139">
        <v>4322</v>
      </c>
      <c r="B243" s="3"/>
      <c r="C243" s="129" t="s">
        <v>720</v>
      </c>
      <c r="D243" s="120">
        <v>14605.84</v>
      </c>
      <c r="E243" s="120">
        <v>748.70240000000001</v>
      </c>
      <c r="F243" s="121">
        <v>5.1260482108526455</v>
      </c>
      <c r="G243" s="120">
        <v>13374.23</v>
      </c>
      <c r="H243" s="120">
        <v>15837.44</v>
      </c>
      <c r="J243" t="s">
        <v>650</v>
      </c>
      <c r="K243" t="s">
        <v>440</v>
      </c>
      <c r="L243" t="s">
        <v>861</v>
      </c>
      <c r="M243">
        <v>20664.2</v>
      </c>
      <c r="N243">
        <v>752.76530000000002</v>
      </c>
      <c r="O243" s="122">
        <v>3.6428475334152783</v>
      </c>
      <c r="P243">
        <v>19179.3</v>
      </c>
      <c r="Q243">
        <v>22149.1</v>
      </c>
      <c r="R243" s="124"/>
      <c r="S243" t="s">
        <v>598</v>
      </c>
      <c r="T243" t="s">
        <v>440</v>
      </c>
      <c r="U243" t="s">
        <v>799</v>
      </c>
      <c r="V243" s="122">
        <v>28380.62</v>
      </c>
      <c r="W243" s="122">
        <v>1667.443</v>
      </c>
      <c r="X243" s="122">
        <v>5.8752874320575099</v>
      </c>
      <c r="Y243" s="122">
        <v>25068.94</v>
      </c>
      <c r="Z243" s="122">
        <v>31692.31</v>
      </c>
    </row>
    <row r="244" spans="1:26" ht="15" customHeight="1" x14ac:dyDescent="0.35">
      <c r="A244" s="117">
        <v>7233</v>
      </c>
      <c r="B244" s="130"/>
      <c r="C244" s="131" t="s">
        <v>775</v>
      </c>
      <c r="D244" s="120">
        <v>18041.43</v>
      </c>
      <c r="E244" s="120">
        <v>823.06169999999997</v>
      </c>
      <c r="F244" s="121">
        <v>4.5620646478688212</v>
      </c>
      <c r="G244" s="120">
        <v>16687.509999999998</v>
      </c>
      <c r="H244" s="120">
        <v>19395.36</v>
      </c>
      <c r="J244" t="s">
        <v>650</v>
      </c>
      <c r="K244" t="s">
        <v>320</v>
      </c>
      <c r="L244" t="s">
        <v>860</v>
      </c>
      <c r="M244">
        <v>15187.33</v>
      </c>
      <c r="N244">
        <v>508.15910000000002</v>
      </c>
      <c r="O244" s="122">
        <v>3.3459409916028693</v>
      </c>
      <c r="P244">
        <v>14184.94</v>
      </c>
      <c r="Q244">
        <v>16189.73</v>
      </c>
      <c r="R244" s="124"/>
      <c r="S244" t="s">
        <v>385</v>
      </c>
      <c r="T244" t="s">
        <v>404</v>
      </c>
      <c r="U244" t="s">
        <v>749</v>
      </c>
      <c r="V244" s="122">
        <v>28147.03</v>
      </c>
      <c r="W244" s="122">
        <v>1662.768</v>
      </c>
      <c r="X244" s="122">
        <v>5.9074367704159201</v>
      </c>
      <c r="Y244" s="122">
        <v>24602.93</v>
      </c>
      <c r="Z244" s="122">
        <v>31691.14</v>
      </c>
    </row>
    <row r="245" spans="1:26" ht="15" customHeight="1" x14ac:dyDescent="0.35">
      <c r="A245" s="139">
        <v>7543</v>
      </c>
      <c r="B245" s="3"/>
      <c r="C245" s="129" t="s">
        <v>1180</v>
      </c>
      <c r="D245" s="120">
        <v>16589.580000000002</v>
      </c>
      <c r="E245" s="120">
        <v>597.95839999999998</v>
      </c>
      <c r="F245" s="121">
        <v>3.6044215706485629</v>
      </c>
      <c r="G245" s="120">
        <v>15605.95</v>
      </c>
      <c r="H245" s="120">
        <v>17573.21</v>
      </c>
      <c r="J245" t="s">
        <v>650</v>
      </c>
      <c r="K245" t="s">
        <v>14</v>
      </c>
      <c r="L245" t="s">
        <v>859</v>
      </c>
      <c r="M245">
        <v>19048.66</v>
      </c>
      <c r="N245">
        <v>849.87030000000004</v>
      </c>
      <c r="O245" s="122">
        <v>4.4615752499125927</v>
      </c>
      <c r="P245">
        <v>17372.21</v>
      </c>
      <c r="Q245">
        <v>20725.11</v>
      </c>
      <c r="R245" s="124"/>
      <c r="S245" t="s">
        <v>402</v>
      </c>
      <c r="T245" t="s">
        <v>369</v>
      </c>
      <c r="U245" t="s">
        <v>676</v>
      </c>
      <c r="V245" s="122">
        <v>41818.68</v>
      </c>
      <c r="W245" s="122">
        <v>2476.136</v>
      </c>
      <c r="X245" s="122">
        <v>5.9211242439981371</v>
      </c>
      <c r="Y245" s="122">
        <v>36923.519999999997</v>
      </c>
      <c r="Z245" s="122">
        <v>46713.83</v>
      </c>
    </row>
    <row r="246" spans="1:26" ht="15" customHeight="1" x14ac:dyDescent="0.35">
      <c r="A246" s="139">
        <v>8141</v>
      </c>
      <c r="B246" s="3"/>
      <c r="C246" s="129" t="s">
        <v>869</v>
      </c>
      <c r="D246" s="120">
        <v>14735.86</v>
      </c>
      <c r="E246" s="120">
        <v>522.65269999999998</v>
      </c>
      <c r="F246" s="121">
        <v>3.5468082622934798</v>
      </c>
      <c r="G246" s="120">
        <v>13876.1</v>
      </c>
      <c r="H246" s="120">
        <v>15595.61</v>
      </c>
      <c r="J246" t="s">
        <v>650</v>
      </c>
      <c r="K246" t="s">
        <v>304</v>
      </c>
      <c r="L246" t="s">
        <v>858</v>
      </c>
      <c r="M246">
        <v>14293.53</v>
      </c>
      <c r="N246">
        <v>642.87210000000005</v>
      </c>
      <c r="O246" s="122">
        <v>4.4976440389462926</v>
      </c>
      <c r="P246">
        <v>13025.41</v>
      </c>
      <c r="Q246">
        <v>15561.66</v>
      </c>
      <c r="R246" s="124"/>
      <c r="S246" t="s">
        <v>252</v>
      </c>
      <c r="T246" t="s">
        <v>5</v>
      </c>
      <c r="U246" t="s">
        <v>251</v>
      </c>
      <c r="V246" s="122">
        <v>11185.71</v>
      </c>
      <c r="W246" s="122">
        <v>662.37149999999997</v>
      </c>
      <c r="X246" s="122">
        <v>5.921586559994851</v>
      </c>
      <c r="Y246" s="122">
        <v>9882.9459999999999</v>
      </c>
      <c r="Z246" s="122">
        <v>12488.48</v>
      </c>
    </row>
    <row r="247" spans="1:26" ht="15" customHeight="1" x14ac:dyDescent="0.35">
      <c r="A247" s="117">
        <v>8142</v>
      </c>
      <c r="B247" s="130"/>
      <c r="C247" s="131" t="s">
        <v>701</v>
      </c>
      <c r="D247" s="120">
        <v>15560.34</v>
      </c>
      <c r="E247" s="120">
        <v>472.9529</v>
      </c>
      <c r="F247" s="121">
        <v>3.0394766438265486</v>
      </c>
      <c r="G247" s="120">
        <v>14782.34</v>
      </c>
      <c r="H247" s="120">
        <v>16338.34</v>
      </c>
      <c r="J247" t="s">
        <v>650</v>
      </c>
      <c r="K247" t="s">
        <v>700</v>
      </c>
      <c r="L247" t="s">
        <v>857</v>
      </c>
      <c r="M247">
        <v>13148.62</v>
      </c>
      <c r="N247">
        <v>273.91309999999999</v>
      </c>
      <c r="O247" s="122">
        <v>2.083207971635046</v>
      </c>
      <c r="P247">
        <v>12608.3</v>
      </c>
      <c r="Q247">
        <v>13688.94</v>
      </c>
      <c r="R247" s="124"/>
      <c r="S247" t="s">
        <v>330</v>
      </c>
      <c r="T247" t="s">
        <v>577</v>
      </c>
      <c r="U247" t="s">
        <v>856</v>
      </c>
      <c r="V247" s="122">
        <v>14246.48</v>
      </c>
      <c r="W247" s="122">
        <v>844.71839999999997</v>
      </c>
      <c r="X247" s="122">
        <v>5.9293130654028223</v>
      </c>
      <c r="Y247" s="122">
        <v>12587.4</v>
      </c>
      <c r="Z247" s="122">
        <v>15905.55</v>
      </c>
    </row>
    <row r="248" spans="1:26" ht="15" customHeight="1" x14ac:dyDescent="0.35">
      <c r="A248" s="117">
        <v>9000</v>
      </c>
      <c r="B248" s="118" t="s">
        <v>1350</v>
      </c>
      <c r="C248" s="131" t="s">
        <v>1207</v>
      </c>
      <c r="D248" s="120">
        <v>14662.15</v>
      </c>
      <c r="E248" s="120">
        <v>205.05279999999999</v>
      </c>
      <c r="F248" s="121">
        <v>1.3985179526877027</v>
      </c>
      <c r="G248" s="120">
        <v>14324.84</v>
      </c>
      <c r="H248" s="120">
        <v>14999.46</v>
      </c>
      <c r="J248" t="s">
        <v>650</v>
      </c>
      <c r="K248" t="s">
        <v>5</v>
      </c>
      <c r="L248" t="s">
        <v>855</v>
      </c>
      <c r="M248">
        <v>12846.97</v>
      </c>
      <c r="N248">
        <v>304.73930000000001</v>
      </c>
      <c r="O248" s="122">
        <v>2.3720713911529336</v>
      </c>
      <c r="P248">
        <v>12245.84</v>
      </c>
      <c r="Q248">
        <v>13448.1</v>
      </c>
      <c r="R248" s="124"/>
      <c r="S248" t="s">
        <v>229</v>
      </c>
      <c r="T248" t="s">
        <v>5</v>
      </c>
      <c r="U248" t="s">
        <v>228</v>
      </c>
      <c r="V248" s="122">
        <v>11438.11</v>
      </c>
      <c r="W248" s="122">
        <v>679.08630000000005</v>
      </c>
      <c r="X248" s="122">
        <v>5.9370499147149314</v>
      </c>
      <c r="Y248" s="122">
        <v>10103.370000000001</v>
      </c>
      <c r="Z248" s="122">
        <v>12772.85</v>
      </c>
    </row>
    <row r="249" spans="1:26" ht="15" customHeight="1" x14ac:dyDescent="0.35">
      <c r="A249" s="132"/>
      <c r="B249" s="130"/>
      <c r="C249" s="131"/>
      <c r="D249" s="120"/>
      <c r="E249" s="120"/>
      <c r="F249" s="121"/>
      <c r="G249" s="120"/>
      <c r="H249" s="120"/>
      <c r="S249" t="s">
        <v>443</v>
      </c>
      <c r="T249" t="s">
        <v>14</v>
      </c>
      <c r="U249" t="s">
        <v>854</v>
      </c>
      <c r="V249" s="122">
        <v>20151.189999999999</v>
      </c>
      <c r="W249" s="122">
        <v>1196.5229999999999</v>
      </c>
      <c r="X249" s="122">
        <v>5.9377287395930463</v>
      </c>
      <c r="Y249" s="122">
        <v>17760.13</v>
      </c>
      <c r="Z249" s="122">
        <v>22542.25</v>
      </c>
    </row>
    <row r="250" spans="1:26" ht="15" customHeight="1" x14ac:dyDescent="0.35">
      <c r="A250" s="4" t="s">
        <v>474</v>
      </c>
      <c r="B250" s="145"/>
      <c r="C250" s="126" t="s">
        <v>853</v>
      </c>
      <c r="D250" s="120"/>
      <c r="E250" s="120"/>
      <c r="F250" s="121"/>
      <c r="G250" s="120"/>
      <c r="H250" s="120"/>
      <c r="S250" t="s">
        <v>606</v>
      </c>
      <c r="T250" t="s">
        <v>462</v>
      </c>
      <c r="U250" t="s">
        <v>625</v>
      </c>
      <c r="V250" s="122">
        <v>16376.19</v>
      </c>
      <c r="W250" s="122">
        <v>975.77189999999996</v>
      </c>
      <c r="X250" s="122">
        <v>5.95847935325616</v>
      </c>
      <c r="Y250" s="122">
        <v>14459.49</v>
      </c>
      <c r="Z250" s="122">
        <v>18292.88</v>
      </c>
    </row>
    <row r="251" spans="1:26" ht="15" customHeight="1" x14ac:dyDescent="0.35">
      <c r="A251" s="139">
        <v>2141</v>
      </c>
      <c r="B251" s="3"/>
      <c r="C251" s="141" t="s">
        <v>1208</v>
      </c>
      <c r="D251" s="120">
        <v>33795.550000000003</v>
      </c>
      <c r="E251" s="120">
        <v>1512.79</v>
      </c>
      <c r="F251" s="121">
        <f>E251/D251*100</f>
        <v>4.4762993944469018</v>
      </c>
      <c r="G251" s="120">
        <v>31307.03</v>
      </c>
      <c r="H251" s="120">
        <v>36284.07</v>
      </c>
      <c r="J251" t="s">
        <v>474</v>
      </c>
      <c r="K251" t="s">
        <v>404</v>
      </c>
      <c r="L251" t="s">
        <v>548</v>
      </c>
      <c r="M251">
        <v>35477.31</v>
      </c>
      <c r="N251">
        <v>4133.4610000000002</v>
      </c>
      <c r="O251" s="122">
        <v>11.650998906061369</v>
      </c>
      <c r="P251">
        <v>27291.21</v>
      </c>
      <c r="Q251">
        <v>43663.41</v>
      </c>
      <c r="R251" s="124"/>
      <c r="S251" t="s">
        <v>385</v>
      </c>
      <c r="T251" t="s">
        <v>320</v>
      </c>
      <c r="U251" t="s">
        <v>747</v>
      </c>
      <c r="V251" s="122">
        <v>22114.560000000001</v>
      </c>
      <c r="W251" s="122">
        <v>1321.0909999999999</v>
      </c>
      <c r="X251" s="122">
        <v>5.9738516163107009</v>
      </c>
      <c r="Y251" s="122">
        <v>19298.72</v>
      </c>
      <c r="Z251" s="122">
        <v>24930.400000000001</v>
      </c>
    </row>
    <row r="252" spans="1:26" ht="15" customHeight="1" x14ac:dyDescent="0.35">
      <c r="A252" s="139">
        <v>2144</v>
      </c>
      <c r="B252" s="3"/>
      <c r="C252" s="141" t="s">
        <v>767</v>
      </c>
      <c r="D252" s="120">
        <v>43371.839999999997</v>
      </c>
      <c r="E252" s="120">
        <v>6994.6980000000003</v>
      </c>
      <c r="F252" s="121">
        <f t="shared" ref="F252:F262" si="0">E252/D252*100</f>
        <v>16.127279820270481</v>
      </c>
      <c r="G252" s="120">
        <v>31865.66</v>
      </c>
      <c r="H252" s="120">
        <v>54878.02</v>
      </c>
      <c r="J252" t="s">
        <v>474</v>
      </c>
      <c r="K252" t="s">
        <v>440</v>
      </c>
      <c r="L252" t="s">
        <v>542</v>
      </c>
      <c r="M252">
        <v>33831.08</v>
      </c>
      <c r="N252">
        <v>3959.2330000000002</v>
      </c>
      <c r="O252" s="122">
        <v>11.702945930192001</v>
      </c>
      <c r="P252">
        <v>25990.03</v>
      </c>
      <c r="Q252">
        <v>41672.14</v>
      </c>
      <c r="R252" s="124"/>
      <c r="S252" t="s">
        <v>405</v>
      </c>
      <c r="T252" t="s">
        <v>852</v>
      </c>
      <c r="U252" t="s">
        <v>851</v>
      </c>
      <c r="V252" s="122">
        <v>14354.64</v>
      </c>
      <c r="W252" s="122">
        <v>858.35649999999998</v>
      </c>
      <c r="X252" s="122">
        <v>5.9796449092418902</v>
      </c>
      <c r="Y252" s="122">
        <v>12647.1</v>
      </c>
      <c r="Z252" s="122">
        <v>16062.19</v>
      </c>
    </row>
    <row r="253" spans="1:26" ht="15" customHeight="1" x14ac:dyDescent="0.35">
      <c r="A253" s="139">
        <v>3122</v>
      </c>
      <c r="B253" s="3"/>
      <c r="C253" s="141" t="s">
        <v>729</v>
      </c>
      <c r="D253" s="120">
        <v>33643.67</v>
      </c>
      <c r="E253" s="120">
        <v>5542.049</v>
      </c>
      <c r="F253" s="121">
        <f t="shared" si="0"/>
        <v>16.472783736138179</v>
      </c>
      <c r="G253" s="120">
        <v>24527.08</v>
      </c>
      <c r="H253" s="120">
        <v>42760.26</v>
      </c>
      <c r="O253" s="122"/>
      <c r="R253" s="124"/>
    </row>
    <row r="254" spans="1:26" ht="15" customHeight="1" x14ac:dyDescent="0.35">
      <c r="A254" s="139">
        <v>4110</v>
      </c>
      <c r="B254" s="3"/>
      <c r="C254" s="141" t="s">
        <v>1156</v>
      </c>
      <c r="D254" s="120">
        <v>19643.400000000001</v>
      </c>
      <c r="E254" s="120">
        <v>708.87620000000004</v>
      </c>
      <c r="F254" s="121">
        <f t="shared" si="0"/>
        <v>3.6087245588849184</v>
      </c>
      <c r="G254" s="120">
        <v>18477.310000000001</v>
      </c>
      <c r="H254" s="120">
        <v>20809.490000000002</v>
      </c>
      <c r="O254" s="122"/>
      <c r="R254" s="124"/>
    </row>
    <row r="255" spans="1:26" ht="15" customHeight="1" x14ac:dyDescent="0.35">
      <c r="A255" s="117">
        <v>4322</v>
      </c>
      <c r="B255" s="130"/>
      <c r="C255" s="131" t="s">
        <v>720</v>
      </c>
      <c r="D255" s="120">
        <v>16829.400000000001</v>
      </c>
      <c r="E255" s="120">
        <v>696.46090000000004</v>
      </c>
      <c r="F255" s="121">
        <f t="shared" si="0"/>
        <v>4.138358467919236</v>
      </c>
      <c r="G255" s="120">
        <v>15683.73</v>
      </c>
      <c r="H255" s="120">
        <v>17975.07</v>
      </c>
      <c r="J255" t="s">
        <v>474</v>
      </c>
      <c r="K255" t="s">
        <v>320</v>
      </c>
      <c r="L255" t="s">
        <v>741</v>
      </c>
      <c r="M255">
        <v>17063.77</v>
      </c>
      <c r="N255">
        <v>1332.336</v>
      </c>
      <c r="O255" s="122">
        <v>7.8079814718552809</v>
      </c>
      <c r="P255">
        <v>14425.15</v>
      </c>
      <c r="Q255">
        <v>19702.39</v>
      </c>
      <c r="R255" s="124"/>
      <c r="S255" t="s">
        <v>496</v>
      </c>
      <c r="T255" t="s">
        <v>14</v>
      </c>
      <c r="U255" t="s">
        <v>520</v>
      </c>
      <c r="V255" s="122">
        <v>16605.43</v>
      </c>
      <c r="W255" s="122">
        <v>994.65160000000003</v>
      </c>
      <c r="X255" s="122">
        <v>5.9899177558184284</v>
      </c>
      <c r="Y255" s="122">
        <v>14651.38</v>
      </c>
      <c r="Z255" s="122">
        <v>18559.48</v>
      </c>
    </row>
    <row r="256" spans="1:26" ht="15" customHeight="1" x14ac:dyDescent="0.35">
      <c r="A256" s="139">
        <v>7233</v>
      </c>
      <c r="B256" s="3"/>
      <c r="C256" s="129" t="s">
        <v>775</v>
      </c>
      <c r="D256" s="120">
        <v>20918.72</v>
      </c>
      <c r="E256" s="120">
        <v>2932.8629999999998</v>
      </c>
      <c r="F256" s="121">
        <f t="shared" si="0"/>
        <v>14.020279443484112</v>
      </c>
      <c r="G256" s="120">
        <v>16094.2</v>
      </c>
      <c r="H256" s="120">
        <v>25743.23</v>
      </c>
      <c r="J256" t="s">
        <v>474</v>
      </c>
      <c r="K256" t="s">
        <v>14</v>
      </c>
      <c r="L256" t="s">
        <v>739</v>
      </c>
      <c r="M256">
        <v>21304.51</v>
      </c>
      <c r="N256">
        <v>1673.7190000000001</v>
      </c>
      <c r="O256" s="122">
        <v>7.8561722377092931</v>
      </c>
      <c r="P256">
        <v>17989.79</v>
      </c>
      <c r="Q256">
        <v>24619.22</v>
      </c>
      <c r="R256" s="124"/>
      <c r="S256" t="s">
        <v>209</v>
      </c>
      <c r="T256" t="s">
        <v>179</v>
      </c>
      <c r="U256" t="s">
        <v>210</v>
      </c>
      <c r="V256" s="122">
        <v>21716.36</v>
      </c>
      <c r="W256" s="122">
        <v>1311.3430000000001</v>
      </c>
      <c r="X256" s="122">
        <v>6.0385027693407185</v>
      </c>
      <c r="Y256" s="122">
        <v>19138.919999999998</v>
      </c>
      <c r="Z256" s="122">
        <v>24293.8</v>
      </c>
    </row>
    <row r="257" spans="1:26" ht="15" customHeight="1" x14ac:dyDescent="0.35">
      <c r="A257" s="139">
        <v>7314</v>
      </c>
      <c r="B257" s="3"/>
      <c r="C257" s="129" t="s">
        <v>850</v>
      </c>
      <c r="D257" s="120">
        <v>14265.27</v>
      </c>
      <c r="E257" s="120">
        <v>206.90790000000001</v>
      </c>
      <c r="F257" s="121">
        <f t="shared" si="0"/>
        <v>1.4504310118210171</v>
      </c>
      <c r="G257" s="120">
        <v>13924.91</v>
      </c>
      <c r="H257" s="120">
        <v>14605.63</v>
      </c>
      <c r="J257" t="s">
        <v>474</v>
      </c>
      <c r="K257" t="s">
        <v>304</v>
      </c>
      <c r="L257" t="s">
        <v>792</v>
      </c>
      <c r="M257">
        <v>16701.32</v>
      </c>
      <c r="N257">
        <v>1204.143</v>
      </c>
      <c r="O257" s="122">
        <v>7.2098672440262206</v>
      </c>
      <c r="P257">
        <v>14316.57</v>
      </c>
      <c r="Q257">
        <v>19086.060000000001</v>
      </c>
      <c r="R257" s="124"/>
      <c r="S257" t="s">
        <v>177</v>
      </c>
      <c r="T257" t="s">
        <v>187</v>
      </c>
      <c r="U257" t="s">
        <v>186</v>
      </c>
      <c r="V257" s="122">
        <v>37124.879999999997</v>
      </c>
      <c r="W257" s="122">
        <v>2260.7040000000002</v>
      </c>
      <c r="X257" s="122">
        <v>6.0894580669351672</v>
      </c>
      <c r="Y257" s="122">
        <v>32670.639999999999</v>
      </c>
      <c r="Z257" s="122">
        <v>41579.11</v>
      </c>
    </row>
    <row r="258" spans="1:26" ht="15" customHeight="1" x14ac:dyDescent="0.35">
      <c r="A258" s="139">
        <v>7315</v>
      </c>
      <c r="B258" s="3"/>
      <c r="C258" s="129" t="s">
        <v>849</v>
      </c>
      <c r="D258" s="120">
        <v>15109.06</v>
      </c>
      <c r="E258" s="120">
        <v>438.8347</v>
      </c>
      <c r="F258" s="121">
        <f t="shared" si="0"/>
        <v>2.9044473977864937</v>
      </c>
      <c r="G258" s="120">
        <v>14387.18</v>
      </c>
      <c r="H258" s="120">
        <v>15830.94</v>
      </c>
      <c r="J258" t="s">
        <v>474</v>
      </c>
      <c r="K258" t="s">
        <v>473</v>
      </c>
      <c r="L258" t="s">
        <v>472</v>
      </c>
      <c r="M258">
        <v>13891.88</v>
      </c>
      <c r="N258">
        <v>1825.1780000000001</v>
      </c>
      <c r="O258" s="122">
        <v>13.138452102955108</v>
      </c>
      <c r="P258">
        <v>10277.209999999999</v>
      </c>
      <c r="Q258">
        <v>17506.55</v>
      </c>
      <c r="R258" s="124"/>
      <c r="S258" t="s">
        <v>471</v>
      </c>
      <c r="T258" t="s">
        <v>144</v>
      </c>
      <c r="U258" t="s">
        <v>482</v>
      </c>
      <c r="V258" s="122">
        <v>13175.1</v>
      </c>
      <c r="W258" s="122">
        <v>804.77359999999999</v>
      </c>
      <c r="X258" s="122">
        <v>6.1082921571752777</v>
      </c>
      <c r="Y258" s="122">
        <v>11594.08</v>
      </c>
      <c r="Z258" s="122">
        <v>14756.12</v>
      </c>
    </row>
    <row r="259" spans="1:26" ht="15" customHeight="1" x14ac:dyDescent="0.35">
      <c r="A259" s="139">
        <v>7543</v>
      </c>
      <c r="B259" s="3"/>
      <c r="C259" s="140" t="s">
        <v>1180</v>
      </c>
      <c r="D259" s="120">
        <v>20745.3</v>
      </c>
      <c r="E259" s="120">
        <v>2307.1410000000001</v>
      </c>
      <c r="F259" s="121">
        <f t="shared" si="0"/>
        <v>11.121270842070253</v>
      </c>
      <c r="G259" s="120">
        <v>16950.080000000002</v>
      </c>
      <c r="H259" s="120">
        <v>24540.51</v>
      </c>
      <c r="J259" t="s">
        <v>474</v>
      </c>
      <c r="K259" t="s">
        <v>498</v>
      </c>
      <c r="L259" t="s">
        <v>497</v>
      </c>
      <c r="M259">
        <v>13082.25</v>
      </c>
      <c r="N259">
        <v>1641.769</v>
      </c>
      <c r="O259" s="122">
        <v>12.549592004433489</v>
      </c>
      <c r="P259">
        <v>9830.8169999999991</v>
      </c>
      <c r="Q259">
        <v>16333.69</v>
      </c>
      <c r="R259" s="124"/>
      <c r="S259" t="s">
        <v>438</v>
      </c>
      <c r="T259" t="s">
        <v>14</v>
      </c>
      <c r="U259" t="s">
        <v>457</v>
      </c>
      <c r="V259" s="122">
        <v>22207.68</v>
      </c>
      <c r="W259" s="122">
        <v>1357.441</v>
      </c>
      <c r="X259" s="122">
        <v>6.1124845098632541</v>
      </c>
      <c r="Y259" s="122">
        <v>19540.919999999998</v>
      </c>
      <c r="Z259" s="122">
        <v>24874.45</v>
      </c>
    </row>
    <row r="260" spans="1:26" ht="15" customHeight="1" x14ac:dyDescent="0.35">
      <c r="A260" s="139">
        <v>8114</v>
      </c>
      <c r="B260" s="3"/>
      <c r="C260" s="129" t="s">
        <v>848</v>
      </c>
      <c r="D260" s="120">
        <v>19112.099999999999</v>
      </c>
      <c r="E260" s="120">
        <v>1484.5239999999999</v>
      </c>
      <c r="F260" s="121">
        <f t="shared" si="0"/>
        <v>7.7674562188351874</v>
      </c>
      <c r="G260" s="120">
        <v>16670.080000000002</v>
      </c>
      <c r="H260" s="120">
        <v>21554.12</v>
      </c>
      <c r="J260" t="s">
        <v>474</v>
      </c>
      <c r="K260" t="s">
        <v>687</v>
      </c>
      <c r="L260" t="s">
        <v>686</v>
      </c>
      <c r="M260">
        <v>13108.51</v>
      </c>
      <c r="N260">
        <v>1132.71</v>
      </c>
      <c r="O260" s="122">
        <v>8.641027851372888</v>
      </c>
      <c r="P260">
        <v>10865.24</v>
      </c>
      <c r="Q260">
        <v>15351.79</v>
      </c>
      <c r="R260" s="124"/>
      <c r="S260" t="s">
        <v>423</v>
      </c>
      <c r="T260" t="s">
        <v>413</v>
      </c>
      <c r="U260" t="s">
        <v>426</v>
      </c>
      <c r="V260" s="122">
        <v>17192.150000000001</v>
      </c>
      <c r="W260" s="122">
        <v>1051.951</v>
      </c>
      <c r="X260" s="122">
        <v>6.1187867718697193</v>
      </c>
      <c r="Y260" s="122">
        <v>15125.53</v>
      </c>
      <c r="Z260" s="122">
        <v>19258.759999999998</v>
      </c>
    </row>
    <row r="261" spans="1:26" ht="15" customHeight="1" x14ac:dyDescent="0.35">
      <c r="A261" s="117">
        <v>8181</v>
      </c>
      <c r="B261" s="130"/>
      <c r="C261" s="131" t="s">
        <v>1209</v>
      </c>
      <c r="D261" s="120">
        <v>18267.02</v>
      </c>
      <c r="E261" s="120">
        <v>2862.2139999999999</v>
      </c>
      <c r="F261" s="121">
        <f t="shared" si="0"/>
        <v>15.668751662832797</v>
      </c>
      <c r="G261" s="120">
        <v>13558.72</v>
      </c>
      <c r="H261" s="120">
        <v>22975.32</v>
      </c>
      <c r="J261" t="s">
        <v>474</v>
      </c>
      <c r="K261" t="s">
        <v>642</v>
      </c>
      <c r="L261" t="s">
        <v>641</v>
      </c>
      <c r="M261">
        <v>16908.580000000002</v>
      </c>
      <c r="N261">
        <v>1612.8219999999999</v>
      </c>
      <c r="O261" s="122">
        <v>9.5384828294274246</v>
      </c>
      <c r="P261">
        <v>13714.47</v>
      </c>
      <c r="Q261">
        <v>20102.689999999999</v>
      </c>
      <c r="R261" s="124"/>
      <c r="S261" t="s">
        <v>598</v>
      </c>
      <c r="T261" t="s">
        <v>320</v>
      </c>
      <c r="U261" t="s">
        <v>796</v>
      </c>
      <c r="V261" s="122">
        <v>15363.95</v>
      </c>
      <c r="W261" s="122">
        <v>944.5616</v>
      </c>
      <c r="X261" s="122">
        <v>6.1479085781976641</v>
      </c>
      <c r="Y261" s="122">
        <v>13487.97</v>
      </c>
      <c r="Z261" s="122">
        <v>17239.93</v>
      </c>
    </row>
    <row r="262" spans="1:26" ht="15" customHeight="1" x14ac:dyDescent="0.35">
      <c r="A262" s="117">
        <v>9000</v>
      </c>
      <c r="B262" s="118" t="s">
        <v>1350</v>
      </c>
      <c r="C262" s="131" t="s">
        <v>1207</v>
      </c>
      <c r="D262" s="120">
        <v>14104.9</v>
      </c>
      <c r="E262" s="120">
        <v>299.24900000000002</v>
      </c>
      <c r="F262" s="121">
        <f t="shared" si="0"/>
        <v>2.1215960410921029</v>
      </c>
      <c r="G262" s="120">
        <v>13612.64</v>
      </c>
      <c r="H262" s="120">
        <v>14597.16</v>
      </c>
      <c r="J262" t="s">
        <v>474</v>
      </c>
      <c r="K262" t="s">
        <v>5</v>
      </c>
      <c r="L262" t="s">
        <v>847</v>
      </c>
      <c r="M262">
        <v>12667.96</v>
      </c>
      <c r="N262">
        <v>381.44119999999998</v>
      </c>
      <c r="O262" s="122">
        <v>3.0110704485963011</v>
      </c>
      <c r="P262">
        <v>11912.54</v>
      </c>
      <c r="Q262">
        <v>13423.39</v>
      </c>
      <c r="R262" s="124"/>
      <c r="S262" t="s">
        <v>496</v>
      </c>
      <c r="T262" t="s">
        <v>500</v>
      </c>
      <c r="U262" t="s">
        <v>499</v>
      </c>
      <c r="V262" s="122">
        <v>15169.95</v>
      </c>
      <c r="W262" s="122">
        <v>934.86059999999998</v>
      </c>
      <c r="X262" s="122">
        <v>6.1625819465456377</v>
      </c>
      <c r="Y262" s="122">
        <v>13333.36</v>
      </c>
      <c r="Z262" s="122">
        <v>17006.53</v>
      </c>
    </row>
    <row r="263" spans="1:26" ht="15" customHeight="1" x14ac:dyDescent="0.35">
      <c r="A263" s="132"/>
      <c r="B263" s="130"/>
      <c r="C263" s="131"/>
      <c r="D263" s="120"/>
      <c r="E263" s="120"/>
      <c r="F263" s="121"/>
      <c r="G263" s="120"/>
      <c r="H263" s="120"/>
      <c r="S263" t="s">
        <v>438</v>
      </c>
      <c r="T263" t="s">
        <v>464</v>
      </c>
      <c r="U263" t="s">
        <v>463</v>
      </c>
      <c r="V263" s="122">
        <v>135362.9</v>
      </c>
      <c r="W263" s="122">
        <v>8396.3719999999994</v>
      </c>
      <c r="X263" s="122">
        <v>6.2028606065620631</v>
      </c>
      <c r="Y263" s="122">
        <v>118867.8</v>
      </c>
      <c r="Z263" s="122">
        <v>151858.1</v>
      </c>
    </row>
    <row r="264" spans="1:26" ht="15" customHeight="1" x14ac:dyDescent="0.35">
      <c r="A264" s="135" t="s">
        <v>441</v>
      </c>
      <c r="B264" s="136"/>
      <c r="C264" s="148" t="s">
        <v>846</v>
      </c>
      <c r="D264" s="120"/>
      <c r="E264" s="120"/>
      <c r="F264" s="121"/>
      <c r="G264" s="120"/>
      <c r="H264" s="120"/>
      <c r="S264" t="s">
        <v>428</v>
      </c>
      <c r="T264" t="s">
        <v>14</v>
      </c>
      <c r="U264" t="s">
        <v>578</v>
      </c>
      <c r="V264" s="122">
        <v>19638.18</v>
      </c>
      <c r="W264" s="122">
        <v>1226.5740000000001</v>
      </c>
      <c r="X264" s="122">
        <v>6.2458639242536735</v>
      </c>
      <c r="Y264" s="122">
        <v>17233.05</v>
      </c>
      <c r="Z264" s="122">
        <v>22043.32</v>
      </c>
    </row>
    <row r="265" spans="1:26" ht="15" customHeight="1" x14ac:dyDescent="0.35">
      <c r="A265" s="139">
        <v>3122</v>
      </c>
      <c r="B265" s="3"/>
      <c r="C265" s="141" t="s">
        <v>729</v>
      </c>
      <c r="D265" s="120">
        <v>28760.39</v>
      </c>
      <c r="E265" s="120">
        <v>2170.067</v>
      </c>
      <c r="F265" s="121">
        <f>E265/D265*100</f>
        <v>7.5453323129484691</v>
      </c>
      <c r="G265" s="120">
        <v>25190.67</v>
      </c>
      <c r="H265" s="120">
        <v>32330.12</v>
      </c>
      <c r="J265" t="s">
        <v>441</v>
      </c>
      <c r="K265" t="s">
        <v>440</v>
      </c>
      <c r="L265" t="s">
        <v>439</v>
      </c>
      <c r="M265">
        <v>29038.09</v>
      </c>
      <c r="N265">
        <v>4239.0360000000001</v>
      </c>
      <c r="O265" s="122">
        <v>14.598191547722319</v>
      </c>
      <c r="P265">
        <v>20600.5</v>
      </c>
      <c r="Q265">
        <v>37475.68</v>
      </c>
      <c r="R265" s="124"/>
      <c r="S265" t="s">
        <v>506</v>
      </c>
      <c r="T265" t="s">
        <v>174</v>
      </c>
      <c r="U265" t="s">
        <v>845</v>
      </c>
      <c r="V265" s="122">
        <v>43815.6</v>
      </c>
      <c r="W265" s="122">
        <v>2746.7750000000001</v>
      </c>
      <c r="X265" s="122">
        <v>6.2689430248587268</v>
      </c>
      <c r="Y265" s="122">
        <v>38356.959999999999</v>
      </c>
      <c r="Z265" s="122">
        <v>49274.239999999998</v>
      </c>
    </row>
    <row r="266" spans="1:26" ht="15" customHeight="1" x14ac:dyDescent="0.35">
      <c r="A266" s="117">
        <v>4110</v>
      </c>
      <c r="B266" s="130"/>
      <c r="C266" s="131" t="s">
        <v>1156</v>
      </c>
      <c r="D266" s="120">
        <v>18611.54</v>
      </c>
      <c r="E266" s="120">
        <v>893.71310000000005</v>
      </c>
      <c r="F266" s="121">
        <f t="shared" ref="F266:F274" si="1">E266/D266*100</f>
        <v>4.8019298779144552</v>
      </c>
      <c r="G266" s="120">
        <v>17141.400000000001</v>
      </c>
      <c r="H266" s="120">
        <v>20081.689999999999</v>
      </c>
      <c r="J266" t="s">
        <v>441</v>
      </c>
      <c r="K266" t="s">
        <v>320</v>
      </c>
      <c r="L266" t="s">
        <v>766</v>
      </c>
      <c r="M266">
        <v>16872.98</v>
      </c>
      <c r="N266">
        <v>1265.163</v>
      </c>
      <c r="O266" s="122">
        <v>7.4981597797188178</v>
      </c>
      <c r="P266">
        <v>14354.73</v>
      </c>
      <c r="Q266">
        <v>19391.22</v>
      </c>
      <c r="R266" s="124"/>
      <c r="S266" t="s">
        <v>327</v>
      </c>
      <c r="T266" t="s">
        <v>519</v>
      </c>
      <c r="U266" t="s">
        <v>844</v>
      </c>
      <c r="V266" s="122">
        <v>28251.919999999998</v>
      </c>
      <c r="W266" s="122">
        <v>1772.71</v>
      </c>
      <c r="X266" s="122">
        <v>6.2746531917122805</v>
      </c>
      <c r="Y266" s="122">
        <v>24729.03</v>
      </c>
      <c r="Z266" s="122">
        <v>31774.81</v>
      </c>
    </row>
    <row r="267" spans="1:26" ht="15" customHeight="1" x14ac:dyDescent="0.35">
      <c r="A267" s="139">
        <v>4322</v>
      </c>
      <c r="B267" s="3"/>
      <c r="C267" s="129" t="s">
        <v>720</v>
      </c>
      <c r="D267" s="120">
        <v>18169.919999999998</v>
      </c>
      <c r="E267" s="120">
        <v>434.74180000000001</v>
      </c>
      <c r="F267" s="121">
        <f t="shared" si="1"/>
        <v>2.3926456473116011</v>
      </c>
      <c r="G267" s="120">
        <v>17454.77</v>
      </c>
      <c r="H267" s="120">
        <v>18885.060000000001</v>
      </c>
      <c r="J267" t="s">
        <v>441</v>
      </c>
      <c r="K267" t="s">
        <v>14</v>
      </c>
      <c r="L267" t="s">
        <v>717</v>
      </c>
      <c r="M267">
        <v>19929.759999999998</v>
      </c>
      <c r="N267">
        <v>1652.297</v>
      </c>
      <c r="O267" s="122">
        <v>8.2906015927938927</v>
      </c>
      <c r="P267">
        <v>16640.95</v>
      </c>
      <c r="Q267">
        <v>23218.58</v>
      </c>
      <c r="R267" s="124"/>
      <c r="S267" t="s">
        <v>487</v>
      </c>
      <c r="T267" t="s">
        <v>320</v>
      </c>
      <c r="U267" t="s">
        <v>726</v>
      </c>
      <c r="V267" s="122">
        <v>15175.72</v>
      </c>
      <c r="W267" s="122">
        <v>953.66780000000006</v>
      </c>
      <c r="X267" s="122">
        <v>6.2841683953051328</v>
      </c>
      <c r="Y267" s="122">
        <v>13277.86</v>
      </c>
      <c r="Z267" s="122">
        <v>17073.580000000002</v>
      </c>
    </row>
    <row r="268" spans="1:26" ht="15" customHeight="1" x14ac:dyDescent="0.35">
      <c r="A268" s="139">
        <v>7211</v>
      </c>
      <c r="B268" s="3"/>
      <c r="C268" s="129" t="s">
        <v>843</v>
      </c>
      <c r="D268" s="120">
        <v>21451.5</v>
      </c>
      <c r="E268" s="120">
        <v>2286.2379999999998</v>
      </c>
      <c r="F268" s="121">
        <f t="shared" si="1"/>
        <v>10.657706920261987</v>
      </c>
      <c r="G268" s="120">
        <v>17690.669999999998</v>
      </c>
      <c r="H268" s="120">
        <v>25212.33</v>
      </c>
      <c r="O268" s="122"/>
      <c r="R268" s="124"/>
    </row>
    <row r="269" spans="1:26" ht="15" customHeight="1" x14ac:dyDescent="0.35">
      <c r="A269" s="139">
        <v>7213</v>
      </c>
      <c r="B269" s="3"/>
      <c r="C269" s="129" t="s">
        <v>759</v>
      </c>
      <c r="D269" s="120">
        <v>23069.8</v>
      </c>
      <c r="E269" s="120">
        <v>2355.319</v>
      </c>
      <c r="F269" s="121">
        <f t="shared" si="1"/>
        <v>10.209533676061344</v>
      </c>
      <c r="G269" s="120">
        <v>19195.34</v>
      </c>
      <c r="H269" s="120">
        <v>26944.27</v>
      </c>
      <c r="J269" t="s">
        <v>441</v>
      </c>
      <c r="K269" t="s">
        <v>304</v>
      </c>
      <c r="L269" t="s">
        <v>757</v>
      </c>
      <c r="M269">
        <v>15834.09</v>
      </c>
      <c r="N269">
        <v>1206.652</v>
      </c>
      <c r="O269" s="122">
        <v>7.6205958157368068</v>
      </c>
      <c r="P269">
        <v>13432.31</v>
      </c>
      <c r="Q269">
        <v>18235.87</v>
      </c>
      <c r="R269" s="124"/>
      <c r="S269" t="s">
        <v>606</v>
      </c>
      <c r="T269" t="s">
        <v>165</v>
      </c>
      <c r="U269" t="s">
        <v>651</v>
      </c>
      <c r="V269" s="122">
        <v>25210.31</v>
      </c>
      <c r="W269" s="122">
        <v>1595.1969999999999</v>
      </c>
      <c r="X269" s="122">
        <v>6.3275580506546723</v>
      </c>
      <c r="Y269" s="122">
        <v>22076.880000000001</v>
      </c>
      <c r="Z269" s="122">
        <v>28343.73</v>
      </c>
    </row>
    <row r="270" spans="1:26" ht="15" customHeight="1" x14ac:dyDescent="0.35">
      <c r="A270" s="139">
        <v>7222</v>
      </c>
      <c r="B270" s="3"/>
      <c r="C270" s="129" t="s">
        <v>1210</v>
      </c>
      <c r="D270" s="120">
        <v>13464.27</v>
      </c>
      <c r="E270" s="120">
        <v>206.1498</v>
      </c>
      <c r="F270" s="121">
        <f t="shared" si="1"/>
        <v>1.5310878346913719</v>
      </c>
      <c r="G270" s="120">
        <v>13125.16</v>
      </c>
      <c r="H270" s="120">
        <v>13803.38</v>
      </c>
      <c r="J270" t="s">
        <v>441</v>
      </c>
      <c r="K270" t="s">
        <v>802</v>
      </c>
      <c r="L270" t="s">
        <v>801</v>
      </c>
      <c r="M270">
        <v>15925.38</v>
      </c>
      <c r="N270">
        <v>1122.925</v>
      </c>
      <c r="O270" s="122">
        <v>7.0511661260202265</v>
      </c>
      <c r="P270">
        <v>13690.26</v>
      </c>
      <c r="Q270">
        <v>18160.509999999998</v>
      </c>
      <c r="R270" s="124"/>
      <c r="S270" t="s">
        <v>391</v>
      </c>
      <c r="T270" t="s">
        <v>101</v>
      </c>
      <c r="U270" t="s">
        <v>685</v>
      </c>
      <c r="V270" s="122">
        <v>28176.99</v>
      </c>
      <c r="W270" s="122">
        <v>1789.7670000000001</v>
      </c>
      <c r="X270" s="122">
        <v>6.3518743485375824</v>
      </c>
      <c r="Y270" s="122">
        <v>24646.51</v>
      </c>
      <c r="Z270" s="122">
        <v>31707.48</v>
      </c>
    </row>
    <row r="271" spans="1:26" ht="15" customHeight="1" x14ac:dyDescent="0.35">
      <c r="A271" s="139">
        <v>7543</v>
      </c>
      <c r="B271" s="3"/>
      <c r="C271" s="129" t="s">
        <v>1180</v>
      </c>
      <c r="D271" s="120">
        <v>16233.86</v>
      </c>
      <c r="E271" s="120">
        <v>516.68960000000004</v>
      </c>
      <c r="F271" s="121">
        <f t="shared" si="1"/>
        <v>3.1827895522075469</v>
      </c>
      <c r="G271" s="120">
        <v>15383.92</v>
      </c>
      <c r="H271" s="120">
        <v>17083.810000000001</v>
      </c>
      <c r="J271" t="s">
        <v>441</v>
      </c>
      <c r="K271" t="s">
        <v>408</v>
      </c>
      <c r="L271" t="s">
        <v>842</v>
      </c>
      <c r="M271">
        <v>14002.81</v>
      </c>
      <c r="N271">
        <v>659.52340000000004</v>
      </c>
      <c r="O271" s="122">
        <v>4.70993607711595</v>
      </c>
      <c r="P271">
        <v>12690.07</v>
      </c>
      <c r="Q271">
        <v>15315.56</v>
      </c>
      <c r="R271" s="124"/>
      <c r="S271" t="s">
        <v>471</v>
      </c>
      <c r="T271" t="s">
        <v>489</v>
      </c>
      <c r="U271" t="s">
        <v>488</v>
      </c>
      <c r="V271" s="122">
        <v>28266.54</v>
      </c>
      <c r="W271" s="122">
        <v>1803.33</v>
      </c>
      <c r="X271" s="122">
        <v>6.379733777108906</v>
      </c>
      <c r="Y271" s="122">
        <v>24723.8</v>
      </c>
      <c r="Z271" s="122">
        <v>31809.279999999999</v>
      </c>
    </row>
    <row r="272" spans="1:26" ht="15" customHeight="1" x14ac:dyDescent="0.35">
      <c r="A272" s="139">
        <v>8121</v>
      </c>
      <c r="B272" s="3"/>
      <c r="C272" s="129" t="s">
        <v>841</v>
      </c>
      <c r="D272" s="120">
        <v>15453.04</v>
      </c>
      <c r="E272" s="120">
        <v>757.50189999999998</v>
      </c>
      <c r="F272" s="121">
        <f t="shared" si="1"/>
        <v>4.9019603909651437</v>
      </c>
      <c r="G272" s="120">
        <v>14206.96</v>
      </c>
      <c r="H272" s="120">
        <v>16699.12</v>
      </c>
      <c r="J272" t="s">
        <v>441</v>
      </c>
      <c r="K272" t="s">
        <v>561</v>
      </c>
      <c r="L272" t="s">
        <v>560</v>
      </c>
      <c r="M272">
        <v>16518.3</v>
      </c>
      <c r="N272">
        <v>1882.021</v>
      </c>
      <c r="O272" s="122">
        <v>11.393551394513963</v>
      </c>
      <c r="P272">
        <v>12772.23</v>
      </c>
      <c r="Q272">
        <v>20264.37</v>
      </c>
      <c r="R272" s="124"/>
      <c r="S272" t="s">
        <v>402</v>
      </c>
      <c r="T272" t="s">
        <v>159</v>
      </c>
      <c r="U272" t="s">
        <v>671</v>
      </c>
      <c r="V272" s="122">
        <v>23749.25</v>
      </c>
      <c r="W272" s="122">
        <v>1520.7239999999999</v>
      </c>
      <c r="X272" s="122">
        <v>6.4032506289672302</v>
      </c>
      <c r="Y272" s="122">
        <v>20742.88</v>
      </c>
      <c r="Z272" s="122">
        <v>26755.62</v>
      </c>
    </row>
    <row r="273" spans="1:26" ht="15" customHeight="1" x14ac:dyDescent="0.35">
      <c r="A273" s="139">
        <v>8122</v>
      </c>
      <c r="B273" s="3"/>
      <c r="C273" s="129" t="s">
        <v>1211</v>
      </c>
      <c r="D273" s="120">
        <v>16331.36</v>
      </c>
      <c r="E273" s="120">
        <v>534.01409999999998</v>
      </c>
      <c r="F273" s="121">
        <f t="shared" si="1"/>
        <v>3.2698691352098046</v>
      </c>
      <c r="G273" s="120">
        <v>15452.91</v>
      </c>
      <c r="H273" s="120">
        <v>17209.8</v>
      </c>
      <c r="J273" t="s">
        <v>441</v>
      </c>
      <c r="K273" t="s">
        <v>822</v>
      </c>
      <c r="L273" t="s">
        <v>840</v>
      </c>
      <c r="M273">
        <v>15245.51</v>
      </c>
      <c r="N273">
        <v>634.31399999999996</v>
      </c>
      <c r="O273" s="122">
        <v>4.1606610733258513</v>
      </c>
      <c r="P273">
        <v>13982.94</v>
      </c>
      <c r="Q273">
        <v>16508.080000000002</v>
      </c>
      <c r="R273" s="124"/>
      <c r="S273" t="s">
        <v>396</v>
      </c>
      <c r="T273" t="s">
        <v>304</v>
      </c>
      <c r="U273" t="s">
        <v>780</v>
      </c>
      <c r="V273" s="122">
        <v>14417.2</v>
      </c>
      <c r="W273" s="122">
        <v>929.6626</v>
      </c>
      <c r="X273" s="122">
        <v>6.4482881558138887</v>
      </c>
      <c r="Y273" s="122">
        <v>12567.11</v>
      </c>
      <c r="Z273" s="122">
        <v>16267.29</v>
      </c>
    </row>
    <row r="274" spans="1:26" ht="15" customHeight="1" x14ac:dyDescent="0.35">
      <c r="A274" s="117">
        <v>9000</v>
      </c>
      <c r="B274" s="118" t="s">
        <v>1350</v>
      </c>
      <c r="C274" s="131" t="s">
        <v>1207</v>
      </c>
      <c r="D274" s="120">
        <v>15121.68</v>
      </c>
      <c r="E274" s="120">
        <v>882.39290000000005</v>
      </c>
      <c r="F274" s="121">
        <f t="shared" si="1"/>
        <v>5.8352835134720484</v>
      </c>
      <c r="G274" s="120">
        <v>13670.16</v>
      </c>
      <c r="H274" s="120">
        <v>16573.2</v>
      </c>
      <c r="J274" t="s">
        <v>441</v>
      </c>
      <c r="K274" t="s">
        <v>5</v>
      </c>
      <c r="L274" t="s">
        <v>839</v>
      </c>
      <c r="M274">
        <v>12462.84</v>
      </c>
      <c r="N274">
        <v>539.82910000000004</v>
      </c>
      <c r="O274" s="122">
        <v>4.3315095114757156</v>
      </c>
      <c r="P274">
        <v>11388.34</v>
      </c>
      <c r="Q274">
        <v>13537.34</v>
      </c>
      <c r="R274" s="124"/>
      <c r="S274" t="s">
        <v>150</v>
      </c>
      <c r="T274" t="s">
        <v>5</v>
      </c>
      <c r="U274" t="s">
        <v>149</v>
      </c>
      <c r="V274" s="122">
        <v>13126.39</v>
      </c>
      <c r="W274" s="122">
        <v>851.33609999999999</v>
      </c>
      <c r="X274" s="122">
        <v>6.4856834209557999</v>
      </c>
      <c r="Y274" s="122">
        <v>11449.01</v>
      </c>
      <c r="Z274" s="122">
        <v>14803.77</v>
      </c>
    </row>
    <row r="275" spans="1:26" ht="15" customHeight="1" x14ac:dyDescent="0.35">
      <c r="A275" s="146"/>
      <c r="B275" s="147"/>
      <c r="C275" s="147"/>
      <c r="D275" s="120"/>
      <c r="E275" s="120"/>
      <c r="F275" s="163"/>
      <c r="G275" s="120"/>
      <c r="H275" s="120"/>
      <c r="S275" t="s">
        <v>330</v>
      </c>
      <c r="T275" t="s">
        <v>523</v>
      </c>
      <c r="U275" t="s">
        <v>835</v>
      </c>
      <c r="V275" s="122">
        <v>15691.56</v>
      </c>
      <c r="W275" s="122">
        <v>1027.278</v>
      </c>
      <c r="X275" s="122">
        <v>6.5466913423521937</v>
      </c>
      <c r="Y275" s="122">
        <v>13673.93</v>
      </c>
      <c r="Z275" s="122">
        <v>17709.189999999999</v>
      </c>
    </row>
    <row r="276" spans="1:26" ht="28" customHeight="1" x14ac:dyDescent="0.35">
      <c r="A276" s="4" t="s">
        <v>581</v>
      </c>
      <c r="B276" s="145"/>
      <c r="C276" s="126" t="s">
        <v>834</v>
      </c>
      <c r="D276" s="120"/>
      <c r="E276" s="120"/>
      <c r="F276" s="163"/>
      <c r="G276" s="120"/>
      <c r="H276" s="120"/>
      <c r="S276" t="s">
        <v>592</v>
      </c>
      <c r="T276" t="s">
        <v>147</v>
      </c>
      <c r="U276" t="s">
        <v>607</v>
      </c>
      <c r="V276" s="122">
        <v>17816.46</v>
      </c>
      <c r="W276" s="122">
        <v>1173.761</v>
      </c>
      <c r="X276" s="122">
        <v>6.5880708064340503</v>
      </c>
      <c r="Y276" s="122">
        <v>15514.88</v>
      </c>
      <c r="Z276" s="122">
        <v>20118.03</v>
      </c>
    </row>
    <row r="277" spans="1:26" ht="15" customHeight="1" x14ac:dyDescent="0.35">
      <c r="A277" s="139">
        <v>3122</v>
      </c>
      <c r="B277" s="3"/>
      <c r="C277" s="141" t="s">
        <v>729</v>
      </c>
      <c r="D277" s="120">
        <v>21959.61</v>
      </c>
      <c r="E277" s="120">
        <v>824.62549999999999</v>
      </c>
      <c r="F277" s="121">
        <f t="shared" ref="F277:F286" si="2">E277/D277*100</f>
        <v>3.7551919182535571</v>
      </c>
      <c r="G277" s="120">
        <v>20603.11</v>
      </c>
      <c r="H277" s="120">
        <v>23316.11</v>
      </c>
      <c r="J277" t="s">
        <v>581</v>
      </c>
      <c r="K277" t="s">
        <v>440</v>
      </c>
      <c r="L277" t="s">
        <v>833</v>
      </c>
      <c r="M277">
        <v>23231.71</v>
      </c>
      <c r="N277">
        <v>1071.394</v>
      </c>
      <c r="O277" s="122">
        <v>4.611774165569388</v>
      </c>
      <c r="P277">
        <v>21115.71</v>
      </c>
      <c r="Q277">
        <v>25347.71</v>
      </c>
      <c r="R277" s="124"/>
      <c r="S277" t="s">
        <v>496</v>
      </c>
      <c r="T277" t="s">
        <v>5</v>
      </c>
      <c r="U277" t="s">
        <v>495</v>
      </c>
      <c r="V277" s="122">
        <v>12152.44</v>
      </c>
      <c r="W277" s="122">
        <v>800.89340000000004</v>
      </c>
      <c r="X277" s="122">
        <v>6.5903917238019698</v>
      </c>
      <c r="Y277" s="122">
        <v>10579.04</v>
      </c>
      <c r="Z277" s="122">
        <v>13725.84</v>
      </c>
    </row>
    <row r="278" spans="1:26" ht="15" customHeight="1" x14ac:dyDescent="0.35">
      <c r="A278" s="117">
        <v>4110</v>
      </c>
      <c r="B278" s="130"/>
      <c r="C278" s="131" t="s">
        <v>1156</v>
      </c>
      <c r="D278" s="120">
        <v>19309.669999999998</v>
      </c>
      <c r="E278" s="120">
        <v>369.62349999999998</v>
      </c>
      <c r="F278" s="121">
        <f t="shared" si="2"/>
        <v>1.9141885904834213</v>
      </c>
      <c r="G278" s="120">
        <v>18701.650000000001</v>
      </c>
      <c r="H278" s="120">
        <v>19917.7</v>
      </c>
      <c r="J278" t="s">
        <v>581</v>
      </c>
      <c r="K278" t="s">
        <v>320</v>
      </c>
      <c r="L278" t="s">
        <v>832</v>
      </c>
      <c r="M278">
        <v>16045.1</v>
      </c>
      <c r="N278">
        <v>624.06870000000004</v>
      </c>
      <c r="O278" s="122">
        <v>3.8894659428735254</v>
      </c>
      <c r="P278">
        <v>14812.57</v>
      </c>
      <c r="Q278">
        <v>17277.64</v>
      </c>
      <c r="R278" s="124"/>
      <c r="S278" t="s">
        <v>650</v>
      </c>
      <c r="T278" t="s">
        <v>404</v>
      </c>
      <c r="U278" t="s">
        <v>831</v>
      </c>
      <c r="V278" s="122">
        <v>23452.07</v>
      </c>
      <c r="W278" s="122">
        <v>1548.6030000000001</v>
      </c>
      <c r="X278" s="122">
        <v>6.6032678565260978</v>
      </c>
      <c r="Y278" s="122">
        <v>20397.310000000001</v>
      </c>
      <c r="Z278" s="122">
        <v>26506.84</v>
      </c>
    </row>
    <row r="279" spans="1:26" ht="15" customHeight="1" x14ac:dyDescent="0.35">
      <c r="A279" s="139">
        <v>7211</v>
      </c>
      <c r="B279" s="3"/>
      <c r="C279" s="129" t="s">
        <v>1212</v>
      </c>
      <c r="D279" s="120">
        <v>15250.7</v>
      </c>
      <c r="E279" s="120">
        <v>807.15689999999995</v>
      </c>
      <c r="F279" s="121">
        <f t="shared" si="2"/>
        <v>5.292589192627223</v>
      </c>
      <c r="G279" s="120">
        <v>13922.93</v>
      </c>
      <c r="H279" s="120">
        <v>16578.46</v>
      </c>
      <c r="J279" t="s">
        <v>581</v>
      </c>
      <c r="K279" t="s">
        <v>14</v>
      </c>
      <c r="L279" t="s">
        <v>830</v>
      </c>
      <c r="M279">
        <v>19172.91</v>
      </c>
      <c r="N279">
        <v>665.36479999999995</v>
      </c>
      <c r="O279" s="122">
        <v>3.4703380968251554</v>
      </c>
      <c r="P279">
        <v>17858.82</v>
      </c>
      <c r="Q279">
        <v>20487</v>
      </c>
      <c r="R279" s="124"/>
      <c r="S279" t="s">
        <v>177</v>
      </c>
      <c r="T279" t="s">
        <v>179</v>
      </c>
      <c r="U279" t="s">
        <v>178</v>
      </c>
      <c r="V279" s="122">
        <v>32415.09</v>
      </c>
      <c r="W279" s="122">
        <v>2142.402</v>
      </c>
      <c r="X279" s="122">
        <v>6.6092736438492077</v>
      </c>
      <c r="Y279" s="122">
        <v>28193.95</v>
      </c>
      <c r="Z279" s="122">
        <v>36636.239999999998</v>
      </c>
    </row>
    <row r="280" spans="1:26" ht="15" customHeight="1" x14ac:dyDescent="0.35">
      <c r="A280" s="139">
        <v>7212</v>
      </c>
      <c r="B280" s="3"/>
      <c r="C280" s="129" t="s">
        <v>718</v>
      </c>
      <c r="D280" s="120">
        <v>21356.560000000001</v>
      </c>
      <c r="E280" s="120">
        <v>1136.8610000000001</v>
      </c>
      <c r="F280" s="121">
        <f t="shared" si="2"/>
        <v>5.3232402596672879</v>
      </c>
      <c r="G280" s="120">
        <v>19486.439999999999</v>
      </c>
      <c r="H280" s="120">
        <v>23226.67</v>
      </c>
      <c r="O280" s="122"/>
      <c r="R280" s="124"/>
    </row>
    <row r="281" spans="1:26" ht="15" customHeight="1" x14ac:dyDescent="0.35">
      <c r="A281" s="139">
        <v>7214</v>
      </c>
      <c r="B281" s="3"/>
      <c r="C281" s="129" t="s">
        <v>627</v>
      </c>
      <c r="D281" s="120">
        <v>35502.339999999997</v>
      </c>
      <c r="E281" s="120">
        <v>5092.4930000000004</v>
      </c>
      <c r="F281" s="121">
        <f t="shared" si="2"/>
        <v>14.344105205459698</v>
      </c>
      <c r="G281" s="120">
        <v>27125.27</v>
      </c>
      <c r="H281" s="120">
        <v>43879.42</v>
      </c>
      <c r="J281" t="s">
        <v>581</v>
      </c>
      <c r="K281" t="s">
        <v>580</v>
      </c>
      <c r="L281" t="s">
        <v>579</v>
      </c>
      <c r="M281">
        <v>15807.19</v>
      </c>
      <c r="N281">
        <v>1761.2639999999999</v>
      </c>
      <c r="O281" s="122">
        <v>11.142170113726726</v>
      </c>
      <c r="P281">
        <v>12328.7</v>
      </c>
      <c r="Q281">
        <v>19285.68</v>
      </c>
      <c r="R281" s="124"/>
      <c r="S281" t="s">
        <v>664</v>
      </c>
      <c r="T281" t="s">
        <v>14</v>
      </c>
      <c r="U281" t="s">
        <v>829</v>
      </c>
      <c r="V281" s="122">
        <v>16717.8</v>
      </c>
      <c r="W281" s="122">
        <v>1105.1479999999999</v>
      </c>
      <c r="X281" s="122">
        <v>6.61060665877089</v>
      </c>
      <c r="Y281" s="122">
        <v>14545.19</v>
      </c>
      <c r="Z281" s="122">
        <v>18890.400000000001</v>
      </c>
    </row>
    <row r="282" spans="1:26" ht="15" customHeight="1" x14ac:dyDescent="0.35">
      <c r="A282" s="139">
        <v>7221</v>
      </c>
      <c r="B282" s="3"/>
      <c r="C282" s="129" t="s">
        <v>827</v>
      </c>
      <c r="D282" s="120">
        <v>13739.37</v>
      </c>
      <c r="E282" s="120">
        <v>1298.857</v>
      </c>
      <c r="F282" s="121">
        <f t="shared" si="2"/>
        <v>9.4535411740130719</v>
      </c>
      <c r="G282" s="120">
        <v>11602.77</v>
      </c>
      <c r="H282" s="120">
        <v>15875.97</v>
      </c>
      <c r="J282" t="s">
        <v>581</v>
      </c>
      <c r="K282" t="s">
        <v>384</v>
      </c>
      <c r="L282" t="s">
        <v>828</v>
      </c>
      <c r="M282">
        <v>13495.22</v>
      </c>
      <c r="N282">
        <v>643.25009999999997</v>
      </c>
      <c r="O282" s="122">
        <v>4.7665032507806471</v>
      </c>
      <c r="P282">
        <v>12224.8</v>
      </c>
      <c r="Q282">
        <v>14765.63</v>
      </c>
      <c r="R282" s="124"/>
      <c r="S282" t="s">
        <v>54</v>
      </c>
      <c r="T282" t="s">
        <v>67</v>
      </c>
      <c r="U282" t="s">
        <v>66</v>
      </c>
      <c r="V282" s="122">
        <v>21972.84</v>
      </c>
      <c r="W282" s="122">
        <v>1453.671</v>
      </c>
      <c r="X282" s="122">
        <v>6.6157629145799994</v>
      </c>
      <c r="Y282" s="122">
        <v>19119.900000000001</v>
      </c>
      <c r="Z282" s="122">
        <v>24825.78</v>
      </c>
    </row>
    <row r="283" spans="1:26" ht="15" customHeight="1" x14ac:dyDescent="0.35">
      <c r="A283" s="117">
        <v>7223</v>
      </c>
      <c r="B283" s="130"/>
      <c r="C283" s="140" t="s">
        <v>826</v>
      </c>
      <c r="D283" s="120">
        <v>15919.59</v>
      </c>
      <c r="E283" s="120">
        <v>197.87729999999999</v>
      </c>
      <c r="F283" s="121">
        <f t="shared" si="2"/>
        <v>1.2429798757380057</v>
      </c>
      <c r="G283" s="120">
        <v>15594.09</v>
      </c>
      <c r="H283" s="120">
        <v>16245.1</v>
      </c>
      <c r="J283" t="s">
        <v>581</v>
      </c>
      <c r="K283" t="s">
        <v>736</v>
      </c>
      <c r="L283" t="s">
        <v>735</v>
      </c>
      <c r="M283">
        <v>13639.7</v>
      </c>
      <c r="N283">
        <v>1077.546</v>
      </c>
      <c r="O283" s="122">
        <v>7.9000711159336348</v>
      </c>
      <c r="P283">
        <v>11511.56</v>
      </c>
      <c r="Q283">
        <v>15767.85</v>
      </c>
      <c r="R283" s="124"/>
      <c r="S283" t="s">
        <v>209</v>
      </c>
      <c r="T283" t="s">
        <v>190</v>
      </c>
      <c r="U283" t="s">
        <v>224</v>
      </c>
      <c r="V283" s="122">
        <v>48981.79</v>
      </c>
      <c r="W283" s="122">
        <v>3241.6970000000001</v>
      </c>
      <c r="X283" s="122">
        <v>6.6181676904825242</v>
      </c>
      <c r="Y283" s="122">
        <v>42610.25</v>
      </c>
      <c r="Z283" s="122">
        <v>55353.34</v>
      </c>
    </row>
    <row r="284" spans="1:26" ht="15" customHeight="1" x14ac:dyDescent="0.35">
      <c r="A284" s="139">
        <v>7543</v>
      </c>
      <c r="B284" s="3"/>
      <c r="C284" s="129" t="s">
        <v>1180</v>
      </c>
      <c r="D284" s="120">
        <v>17317.53</v>
      </c>
      <c r="E284" s="120">
        <v>357.61239999999998</v>
      </c>
      <c r="F284" s="121">
        <f t="shared" si="2"/>
        <v>2.0650312140357197</v>
      </c>
      <c r="G284" s="120">
        <v>16729.259999999998</v>
      </c>
      <c r="H284" s="120">
        <v>17905.79</v>
      </c>
      <c r="J284" t="s">
        <v>581</v>
      </c>
      <c r="K284" t="s">
        <v>825</v>
      </c>
      <c r="L284" t="s">
        <v>824</v>
      </c>
      <c r="M284">
        <v>15654.86</v>
      </c>
      <c r="N284">
        <v>808.24950000000001</v>
      </c>
      <c r="O284" s="122">
        <v>5.1629302338059873</v>
      </c>
      <c r="P284">
        <v>14058.57</v>
      </c>
      <c r="Q284">
        <v>17251.150000000001</v>
      </c>
      <c r="R284" s="124"/>
      <c r="S284" t="s">
        <v>574</v>
      </c>
      <c r="T284" t="s">
        <v>329</v>
      </c>
      <c r="U284" t="s">
        <v>823</v>
      </c>
      <c r="V284" s="122">
        <v>22498.54</v>
      </c>
      <c r="W284" s="122">
        <v>1495.154</v>
      </c>
      <c r="X284" s="122">
        <v>6.6455601119005951</v>
      </c>
      <c r="Y284" s="122">
        <v>19463.22</v>
      </c>
      <c r="Z284" s="122">
        <v>25533.87</v>
      </c>
    </row>
    <row r="285" spans="1:26" ht="15" customHeight="1" x14ac:dyDescent="0.35">
      <c r="A285" s="139">
        <v>8122</v>
      </c>
      <c r="B285" s="3"/>
      <c r="C285" s="129" t="s">
        <v>1211</v>
      </c>
      <c r="D285" s="120">
        <v>15040.52</v>
      </c>
      <c r="E285" s="120">
        <v>235.57470000000001</v>
      </c>
      <c r="F285" s="121">
        <f t="shared" si="2"/>
        <v>1.5662669907689362</v>
      </c>
      <c r="G285" s="120">
        <v>14653.01</v>
      </c>
      <c r="H285" s="120">
        <v>15428.04</v>
      </c>
      <c r="J285" t="s">
        <v>581</v>
      </c>
      <c r="K285" t="s">
        <v>822</v>
      </c>
      <c r="L285" t="s">
        <v>821</v>
      </c>
      <c r="M285">
        <v>12527.08</v>
      </c>
      <c r="N285">
        <v>270.1121</v>
      </c>
      <c r="O285" s="122">
        <v>2.1562255529620633</v>
      </c>
      <c r="P285">
        <v>11993.61</v>
      </c>
      <c r="Q285">
        <v>13060.55</v>
      </c>
      <c r="R285" s="124"/>
      <c r="S285" t="s">
        <v>385</v>
      </c>
      <c r="T285" t="s">
        <v>580</v>
      </c>
      <c r="U285" t="s">
        <v>742</v>
      </c>
      <c r="V285" s="122">
        <v>13055.75</v>
      </c>
      <c r="W285" s="122">
        <v>872.25220000000002</v>
      </c>
      <c r="X285" s="122">
        <v>6.6809811768760898</v>
      </c>
      <c r="Y285" s="122">
        <v>11196.59</v>
      </c>
      <c r="Z285" s="122">
        <v>14914.92</v>
      </c>
    </row>
    <row r="286" spans="1:26" ht="15" customHeight="1" x14ac:dyDescent="0.35">
      <c r="A286" s="117">
        <v>9000</v>
      </c>
      <c r="B286" s="118" t="s">
        <v>1350</v>
      </c>
      <c r="C286" s="131" t="s">
        <v>1207</v>
      </c>
      <c r="D286" s="120">
        <v>15109.96</v>
      </c>
      <c r="E286" s="120">
        <v>657.99829999999997</v>
      </c>
      <c r="F286" s="121">
        <f t="shared" si="2"/>
        <v>4.3547322428384989</v>
      </c>
      <c r="G286" s="120">
        <v>14027.56</v>
      </c>
      <c r="H286" s="120">
        <v>16192.35</v>
      </c>
      <c r="J286" t="s">
        <v>581</v>
      </c>
      <c r="K286" t="s">
        <v>5</v>
      </c>
      <c r="L286" t="s">
        <v>820</v>
      </c>
      <c r="M286">
        <v>12487.13</v>
      </c>
      <c r="N286">
        <v>527.20519999999999</v>
      </c>
      <c r="O286" s="122">
        <v>4.2219885594207796</v>
      </c>
      <c r="P286">
        <v>11445.91</v>
      </c>
      <c r="Q286">
        <v>13528.36</v>
      </c>
      <c r="R286" s="124"/>
      <c r="S286" t="s">
        <v>506</v>
      </c>
      <c r="T286" t="s">
        <v>819</v>
      </c>
      <c r="U286" t="s">
        <v>818</v>
      </c>
      <c r="V286" s="122">
        <v>18843.2</v>
      </c>
      <c r="W286" s="122">
        <v>1259.6489999999999</v>
      </c>
      <c r="X286" s="122">
        <v>6.6848995924259134</v>
      </c>
      <c r="Y286" s="122">
        <v>16339.91</v>
      </c>
      <c r="Z286" s="122">
        <v>21346.49</v>
      </c>
    </row>
    <row r="287" spans="1:26" ht="15" customHeight="1" x14ac:dyDescent="0.35">
      <c r="A287" s="170"/>
      <c r="B287" s="171"/>
      <c r="C287" s="171"/>
      <c r="D287" s="120"/>
      <c r="E287" s="120"/>
      <c r="F287" s="121"/>
      <c r="G287" s="120"/>
      <c r="H287" s="120"/>
      <c r="S287" t="s">
        <v>471</v>
      </c>
      <c r="T287" t="s">
        <v>452</v>
      </c>
      <c r="U287" t="s">
        <v>479</v>
      </c>
      <c r="V287" s="122">
        <v>13008.67</v>
      </c>
      <c r="W287" s="122">
        <v>876.65089999999998</v>
      </c>
      <c r="X287" s="122">
        <v>6.7389740842069168</v>
      </c>
      <c r="Y287" s="122">
        <v>11286.44</v>
      </c>
      <c r="Z287" s="122">
        <v>14730.89</v>
      </c>
    </row>
    <row r="288" spans="1:26" ht="15" customHeight="1" x14ac:dyDescent="0.35">
      <c r="A288" s="4" t="s">
        <v>554</v>
      </c>
      <c r="B288" s="145"/>
      <c r="C288" s="126" t="s">
        <v>817</v>
      </c>
      <c r="D288" s="120"/>
      <c r="E288" s="120"/>
      <c r="F288" s="121"/>
      <c r="G288" s="120"/>
      <c r="H288" s="120"/>
      <c r="S288" t="s">
        <v>664</v>
      </c>
      <c r="T288" t="s">
        <v>816</v>
      </c>
      <c r="U288" t="s">
        <v>815</v>
      </c>
      <c r="V288" s="122">
        <v>18174.310000000001</v>
      </c>
      <c r="W288" s="122">
        <v>1224.93</v>
      </c>
      <c r="X288" s="122">
        <v>6.7398982409786115</v>
      </c>
      <c r="Y288" s="122">
        <v>15766.23</v>
      </c>
      <c r="Z288" s="122">
        <v>20582.400000000001</v>
      </c>
    </row>
    <row r="289" spans="1:26" ht="15" customHeight="1" x14ac:dyDescent="0.35">
      <c r="A289" s="139">
        <v>2152</v>
      </c>
      <c r="B289" s="3"/>
      <c r="C289" s="129" t="s">
        <v>814</v>
      </c>
      <c r="D289" s="120">
        <v>39081.53</v>
      </c>
      <c r="E289" s="120">
        <v>3778.3589999999999</v>
      </c>
      <c r="F289" s="121">
        <f t="shared" ref="F289:F297" si="3">E289/D289*100</f>
        <v>9.6678891537767342</v>
      </c>
      <c r="G289" s="120">
        <v>32866.18</v>
      </c>
      <c r="H289" s="120">
        <v>45296.87</v>
      </c>
      <c r="J289" t="s">
        <v>554</v>
      </c>
      <c r="K289" t="s">
        <v>553</v>
      </c>
      <c r="L289" t="s">
        <v>552</v>
      </c>
      <c r="M289">
        <v>34471.33</v>
      </c>
      <c r="N289">
        <v>3977.0369999999998</v>
      </c>
      <c r="O289" s="122">
        <v>11.537231084498334</v>
      </c>
      <c r="P289">
        <v>26590.560000000001</v>
      </c>
      <c r="Q289">
        <v>42352.09</v>
      </c>
      <c r="R289" s="124"/>
      <c r="S289" t="s">
        <v>571</v>
      </c>
      <c r="T289" t="s">
        <v>813</v>
      </c>
      <c r="U289" t="s">
        <v>812</v>
      </c>
      <c r="V289" s="122">
        <v>12864.92</v>
      </c>
      <c r="W289" s="122">
        <v>868.39940000000001</v>
      </c>
      <c r="X289" s="122">
        <v>6.7501344742135982</v>
      </c>
      <c r="Y289" s="122">
        <v>11130.6</v>
      </c>
      <c r="Z289" s="122">
        <v>14599.23</v>
      </c>
    </row>
    <row r="290" spans="1:26" ht="15" customHeight="1" x14ac:dyDescent="0.35">
      <c r="A290" s="139">
        <v>3114</v>
      </c>
      <c r="B290" s="3"/>
      <c r="C290" s="129" t="s">
        <v>811</v>
      </c>
      <c r="D290" s="120">
        <v>28019.14</v>
      </c>
      <c r="E290" s="120">
        <v>2003.588</v>
      </c>
      <c r="F290" s="121">
        <f t="shared" si="3"/>
        <v>7.1507833573764223</v>
      </c>
      <c r="G290" s="120">
        <v>24723.27</v>
      </c>
      <c r="H290" s="120">
        <v>31315.02</v>
      </c>
      <c r="J290" t="s">
        <v>554</v>
      </c>
      <c r="K290" t="s">
        <v>798</v>
      </c>
      <c r="L290" t="s">
        <v>797</v>
      </c>
      <c r="M290">
        <v>24273.599999999999</v>
      </c>
      <c r="N290">
        <v>1731.307</v>
      </c>
      <c r="O290" s="122">
        <v>7.1324690198404861</v>
      </c>
      <c r="P290">
        <v>20842.900000000001</v>
      </c>
      <c r="Q290">
        <v>27704.3</v>
      </c>
      <c r="R290" s="124"/>
      <c r="S290" t="s">
        <v>385</v>
      </c>
      <c r="T290" t="s">
        <v>630</v>
      </c>
      <c r="U290" t="s">
        <v>743</v>
      </c>
      <c r="V290" s="122">
        <v>12514.87</v>
      </c>
      <c r="W290" s="122">
        <v>853.24649999999997</v>
      </c>
      <c r="X290" s="122">
        <v>6.8178614719929174</v>
      </c>
      <c r="Y290" s="122">
        <v>10696.21</v>
      </c>
      <c r="Z290" s="122">
        <v>14333.52</v>
      </c>
    </row>
    <row r="291" spans="1:26" ht="15" customHeight="1" x14ac:dyDescent="0.35">
      <c r="A291" s="117">
        <v>3122</v>
      </c>
      <c r="B291" s="130"/>
      <c r="C291" s="131" t="s">
        <v>729</v>
      </c>
      <c r="D291" s="120">
        <v>39027.9</v>
      </c>
      <c r="E291" s="120">
        <v>2562.0740000000001</v>
      </c>
      <c r="F291" s="121">
        <f t="shared" si="3"/>
        <v>6.5647242101163528</v>
      </c>
      <c r="G291" s="120">
        <v>34813.33</v>
      </c>
      <c r="H291" s="120">
        <v>43242.48</v>
      </c>
      <c r="J291" t="s">
        <v>554</v>
      </c>
      <c r="K291" t="s">
        <v>440</v>
      </c>
      <c r="L291" t="s">
        <v>753</v>
      </c>
      <c r="M291">
        <v>32700.17</v>
      </c>
      <c r="N291">
        <v>2498.989</v>
      </c>
      <c r="O291" s="122">
        <v>7.6421284659988018</v>
      </c>
      <c r="P291">
        <v>27748.26</v>
      </c>
      <c r="Q291">
        <v>37652.089999999997</v>
      </c>
      <c r="R291" s="124"/>
      <c r="S291" t="s">
        <v>443</v>
      </c>
      <c r="T291" t="s">
        <v>329</v>
      </c>
      <c r="U291" t="s">
        <v>810</v>
      </c>
      <c r="V291" s="122">
        <v>20792.47</v>
      </c>
      <c r="W291" s="122">
        <v>1425.0889999999999</v>
      </c>
      <c r="X291" s="122">
        <v>6.8538706560596214</v>
      </c>
      <c r="Y291" s="122">
        <v>17944.66</v>
      </c>
      <c r="Z291" s="122">
        <v>23640.29</v>
      </c>
    </row>
    <row r="292" spans="1:26" ht="15" customHeight="1" x14ac:dyDescent="0.35">
      <c r="A292" s="117">
        <v>4110</v>
      </c>
      <c r="B292" s="130"/>
      <c r="C292" s="131" t="s">
        <v>1156</v>
      </c>
      <c r="D292" s="120">
        <v>22559.85</v>
      </c>
      <c r="E292" s="120">
        <v>2003.433</v>
      </c>
      <c r="F292" s="121">
        <f t="shared" si="3"/>
        <v>8.8805244715722846</v>
      </c>
      <c r="G292" s="120">
        <v>19264.23</v>
      </c>
      <c r="H292" s="120">
        <v>25855.47</v>
      </c>
      <c r="J292" t="s">
        <v>554</v>
      </c>
      <c r="K292" t="s">
        <v>320</v>
      </c>
      <c r="L292" t="s">
        <v>809</v>
      </c>
      <c r="M292">
        <v>13699.64</v>
      </c>
      <c r="N292">
        <v>626.9271</v>
      </c>
      <c r="O292" s="122">
        <v>4.5762304702897305</v>
      </c>
      <c r="P292">
        <v>12457.34</v>
      </c>
      <c r="Q292">
        <v>14941.94</v>
      </c>
      <c r="R292" s="124"/>
      <c r="S292" t="s">
        <v>496</v>
      </c>
      <c r="T292" t="s">
        <v>508</v>
      </c>
      <c r="U292" t="s">
        <v>507</v>
      </c>
      <c r="V292" s="122">
        <v>14589.42</v>
      </c>
      <c r="W292" s="122">
        <v>1003.8680000000001</v>
      </c>
      <c r="X292" s="122">
        <v>6.8807944387096951</v>
      </c>
      <c r="Y292" s="122">
        <v>12617.27</v>
      </c>
      <c r="Z292" s="122">
        <v>16561.57</v>
      </c>
    </row>
    <row r="293" spans="1:26" ht="15" customHeight="1" x14ac:dyDescent="0.35">
      <c r="A293" s="139">
        <v>4322</v>
      </c>
      <c r="B293" s="3"/>
      <c r="C293" s="129" t="s">
        <v>720</v>
      </c>
      <c r="D293" s="120">
        <v>15539.89</v>
      </c>
      <c r="E293" s="120">
        <v>1410.056</v>
      </c>
      <c r="F293" s="121">
        <f t="shared" si="3"/>
        <v>9.0737836625613184</v>
      </c>
      <c r="G293" s="120">
        <v>13220.37</v>
      </c>
      <c r="H293" s="120">
        <v>17859.41</v>
      </c>
      <c r="J293" t="s">
        <v>554</v>
      </c>
      <c r="K293" t="s">
        <v>14</v>
      </c>
      <c r="L293" t="s">
        <v>745</v>
      </c>
      <c r="M293">
        <v>21596.32</v>
      </c>
      <c r="N293">
        <v>1671.87</v>
      </c>
      <c r="O293" s="122">
        <v>7.7414578039221498</v>
      </c>
      <c r="P293">
        <v>18283.400000000001</v>
      </c>
      <c r="Q293">
        <v>24909.24</v>
      </c>
      <c r="R293" s="124"/>
      <c r="S293" t="s">
        <v>571</v>
      </c>
      <c r="T293" t="s">
        <v>14</v>
      </c>
      <c r="U293" t="s">
        <v>808</v>
      </c>
      <c r="V293" s="122">
        <v>17705.310000000001</v>
      </c>
      <c r="W293" s="122">
        <v>1230.95</v>
      </c>
      <c r="X293" s="122">
        <v>6.95243404379816</v>
      </c>
      <c r="Y293" s="122">
        <v>15246.94</v>
      </c>
      <c r="Z293" s="122">
        <v>20163.689999999999</v>
      </c>
    </row>
    <row r="294" spans="1:26" ht="15" customHeight="1" x14ac:dyDescent="0.35">
      <c r="A294" s="139">
        <v>7422</v>
      </c>
      <c r="B294" s="3"/>
      <c r="C294" s="129" t="s">
        <v>806</v>
      </c>
      <c r="D294" s="120">
        <v>20211.740000000002</v>
      </c>
      <c r="E294" s="120">
        <v>2006.91</v>
      </c>
      <c r="F294" s="121">
        <f t="shared" si="3"/>
        <v>9.9294271547130517</v>
      </c>
      <c r="G294" s="120">
        <v>16910.400000000001</v>
      </c>
      <c r="H294" s="120">
        <v>23513.08</v>
      </c>
      <c r="J294" t="s">
        <v>554</v>
      </c>
      <c r="K294" t="s">
        <v>304</v>
      </c>
      <c r="L294" t="s">
        <v>807</v>
      </c>
      <c r="M294">
        <v>15305.45</v>
      </c>
      <c r="N294">
        <v>758.49279999999999</v>
      </c>
      <c r="O294" s="122">
        <v>4.9557040139296786</v>
      </c>
      <c r="P294">
        <v>13802.45</v>
      </c>
      <c r="Q294">
        <v>16808.46</v>
      </c>
      <c r="R294" s="124"/>
      <c r="S294" t="s">
        <v>192</v>
      </c>
      <c r="T294" t="s">
        <v>198</v>
      </c>
      <c r="U294" t="s">
        <v>197</v>
      </c>
      <c r="V294" s="122">
        <v>34190.49</v>
      </c>
      <c r="W294" s="122">
        <v>2389.0329999999999</v>
      </c>
      <c r="X294" s="122">
        <v>6.9874196011814975</v>
      </c>
      <c r="Y294" s="122">
        <v>29478.98</v>
      </c>
      <c r="Z294" s="122">
        <v>38902</v>
      </c>
    </row>
    <row r="295" spans="1:26" ht="15" customHeight="1" x14ac:dyDescent="0.35">
      <c r="A295" s="117">
        <v>7543</v>
      </c>
      <c r="B295" s="130"/>
      <c r="C295" s="131" t="s">
        <v>1180</v>
      </c>
      <c r="D295" s="120">
        <v>17374.080000000002</v>
      </c>
      <c r="E295" s="120">
        <v>896.16669999999999</v>
      </c>
      <c r="F295" s="121">
        <f t="shared" si="3"/>
        <v>5.158067074630714</v>
      </c>
      <c r="G295" s="120">
        <v>15899.9</v>
      </c>
      <c r="H295" s="120">
        <v>18848.259999999998</v>
      </c>
      <c r="J295" t="s">
        <v>554</v>
      </c>
      <c r="K295" t="s">
        <v>298</v>
      </c>
      <c r="L295" t="s">
        <v>608</v>
      </c>
      <c r="M295">
        <v>15955.21</v>
      </c>
      <c r="N295">
        <v>1622.39</v>
      </c>
      <c r="O295" s="122">
        <v>10.168402672230577</v>
      </c>
      <c r="P295">
        <v>12740.34</v>
      </c>
      <c r="Q295">
        <v>19170.09</v>
      </c>
      <c r="R295" s="124"/>
      <c r="S295" t="s">
        <v>571</v>
      </c>
      <c r="T295" t="s">
        <v>805</v>
      </c>
      <c r="U295" t="s">
        <v>804</v>
      </c>
      <c r="V295" s="122">
        <v>13909.38</v>
      </c>
      <c r="W295" s="122">
        <v>978.24170000000004</v>
      </c>
      <c r="X295" s="122">
        <v>7.0329640861059239</v>
      </c>
      <c r="Y295" s="122">
        <v>11955.7</v>
      </c>
      <c r="Z295" s="122">
        <v>15863.07</v>
      </c>
    </row>
    <row r="296" spans="1:26" ht="15" customHeight="1" x14ac:dyDescent="0.35">
      <c r="A296" s="139">
        <v>8212</v>
      </c>
      <c r="B296" s="3"/>
      <c r="C296" s="129" t="s">
        <v>791</v>
      </c>
      <c r="D296" s="120">
        <v>15481.03</v>
      </c>
      <c r="E296" s="120">
        <v>901.99710000000005</v>
      </c>
      <c r="F296" s="121">
        <f t="shared" si="3"/>
        <v>5.8264669728047815</v>
      </c>
      <c r="G296" s="120">
        <v>13997.26</v>
      </c>
      <c r="H296" s="120">
        <v>16964.8</v>
      </c>
      <c r="J296" t="s">
        <v>554</v>
      </c>
      <c r="K296" t="s">
        <v>725</v>
      </c>
      <c r="L296" t="s">
        <v>724</v>
      </c>
      <c r="M296">
        <v>13377.9</v>
      </c>
      <c r="N296">
        <v>1098.6869999999999</v>
      </c>
      <c r="O296" s="122">
        <v>8.2127015450855509</v>
      </c>
      <c r="P296">
        <v>11200.78</v>
      </c>
      <c r="Q296">
        <v>15555.02</v>
      </c>
      <c r="R296" s="124"/>
      <c r="S296" t="s">
        <v>295</v>
      </c>
      <c r="T296" t="s">
        <v>5</v>
      </c>
      <c r="U296" t="s">
        <v>294</v>
      </c>
      <c r="V296" s="122">
        <v>11919.09</v>
      </c>
      <c r="W296" s="122">
        <v>838.37009999999998</v>
      </c>
      <c r="X296" s="122">
        <v>7.0338431876930203</v>
      </c>
      <c r="Y296" s="122">
        <v>10270.16</v>
      </c>
      <c r="Z296" s="122">
        <v>13568.02</v>
      </c>
    </row>
    <row r="297" spans="1:26" ht="15" customHeight="1" x14ac:dyDescent="0.35">
      <c r="A297" s="166">
        <v>9000</v>
      </c>
      <c r="B297" s="167" t="s">
        <v>1350</v>
      </c>
      <c r="C297" s="168" t="s">
        <v>1207</v>
      </c>
      <c r="D297" s="149">
        <v>14749.21</v>
      </c>
      <c r="E297" s="149">
        <v>264.0951</v>
      </c>
      <c r="F297" s="150">
        <f t="shared" si="3"/>
        <v>1.7905711560144577</v>
      </c>
      <c r="G297" s="149">
        <v>14314.78</v>
      </c>
      <c r="H297" s="149">
        <v>15183.64</v>
      </c>
      <c r="J297" t="s">
        <v>554</v>
      </c>
      <c r="K297" t="s">
        <v>5</v>
      </c>
      <c r="L297" t="s">
        <v>803</v>
      </c>
      <c r="M297">
        <v>13352.43</v>
      </c>
      <c r="N297">
        <v>546.99810000000002</v>
      </c>
      <c r="O297" s="122">
        <v>4.0966183683419422</v>
      </c>
      <c r="P297">
        <v>12268.52</v>
      </c>
      <c r="Q297">
        <v>14436.35</v>
      </c>
      <c r="R297" s="124"/>
      <c r="S297" t="s">
        <v>441</v>
      </c>
      <c r="T297" t="s">
        <v>802</v>
      </c>
      <c r="U297" t="s">
        <v>801</v>
      </c>
      <c r="V297" s="122">
        <v>15925.38</v>
      </c>
      <c r="W297" s="122">
        <v>1122.925</v>
      </c>
      <c r="X297" s="122">
        <v>7.0511661260202265</v>
      </c>
      <c r="Y297" s="122">
        <v>13690.26</v>
      </c>
      <c r="Z297" s="122">
        <v>18160.509999999998</v>
      </c>
    </row>
    <row r="298" spans="1:26" ht="15" customHeight="1" x14ac:dyDescent="0.35">
      <c r="A298" s="151"/>
      <c r="B298" s="118"/>
      <c r="C298" s="131"/>
      <c r="D298" s="154"/>
      <c r="E298" s="154"/>
      <c r="F298" s="213"/>
      <c r="G298" s="154"/>
      <c r="H298" s="154"/>
      <c r="O298" s="122"/>
      <c r="R298" s="124"/>
    </row>
    <row r="299" spans="1:26" ht="15" customHeight="1" x14ac:dyDescent="0.35">
      <c r="A299" s="2" t="s">
        <v>94</v>
      </c>
      <c r="B299" s="118"/>
      <c r="C299" s="131"/>
      <c r="D299" s="161"/>
      <c r="E299" s="161"/>
      <c r="F299" s="214"/>
      <c r="G299" s="161"/>
      <c r="H299" s="161"/>
      <c r="O299" s="122"/>
      <c r="R299" s="124"/>
    </row>
    <row r="300" spans="1:26" ht="15" customHeight="1" x14ac:dyDescent="0.35">
      <c r="A300" s="2" t="s">
        <v>93</v>
      </c>
      <c r="B300" s="118"/>
      <c r="C300" s="131"/>
      <c r="D300" s="161"/>
      <c r="E300" s="161"/>
      <c r="F300" s="214"/>
      <c r="G300" s="161"/>
      <c r="H300" s="161"/>
      <c r="O300" s="122"/>
      <c r="R300" s="124"/>
    </row>
    <row r="301" spans="1:26" ht="15" customHeight="1" x14ac:dyDescent="0.35">
      <c r="A301" s="159" t="s">
        <v>965</v>
      </c>
      <c r="B301" s="118"/>
      <c r="C301" s="131"/>
      <c r="D301" s="161"/>
      <c r="E301" s="161"/>
      <c r="F301" s="214"/>
      <c r="G301" s="161"/>
      <c r="H301" s="161"/>
      <c r="O301" s="122"/>
      <c r="R301" s="124"/>
    </row>
    <row r="302" spans="1:26" ht="15" customHeight="1" x14ac:dyDescent="0.35">
      <c r="A302" s="159" t="s">
        <v>0</v>
      </c>
      <c r="B302" s="118"/>
      <c r="C302" s="131"/>
      <c r="D302" s="161"/>
      <c r="E302" s="161"/>
      <c r="F302" s="214"/>
      <c r="G302" s="161"/>
      <c r="H302" s="161"/>
      <c r="O302" s="122"/>
      <c r="R302" s="124"/>
    </row>
    <row r="303" spans="1:26" ht="30" customHeight="1" x14ac:dyDescent="0.35">
      <c r="A303" s="403" t="s">
        <v>1349</v>
      </c>
      <c r="B303" s="403"/>
      <c r="C303" s="403"/>
      <c r="D303" s="403"/>
      <c r="E303" s="403"/>
      <c r="F303" s="403"/>
      <c r="G303" s="403"/>
      <c r="H303" s="403"/>
      <c r="O303" s="122"/>
      <c r="R303" s="124"/>
    </row>
    <row r="304" spans="1:26" ht="15" customHeight="1" x14ac:dyDescent="0.35">
      <c r="A304" s="404" t="s">
        <v>1336</v>
      </c>
      <c r="B304" s="404"/>
      <c r="C304" s="404"/>
      <c r="D304" s="404"/>
      <c r="E304" s="404"/>
      <c r="F304" s="404"/>
      <c r="G304" s="404"/>
      <c r="H304" s="404"/>
      <c r="O304" s="122"/>
      <c r="R304" s="124"/>
    </row>
    <row r="305" spans="1:26" ht="15" customHeight="1" x14ac:dyDescent="0.35">
      <c r="A305" s="123"/>
      <c r="B305" s="123"/>
      <c r="C305" s="123"/>
      <c r="D305" s="123"/>
      <c r="O305" s="122"/>
      <c r="R305" s="124"/>
    </row>
    <row r="306" spans="1:26" ht="25" customHeight="1" x14ac:dyDescent="0.35">
      <c r="A306" s="405" t="s">
        <v>993</v>
      </c>
      <c r="B306" s="406"/>
      <c r="C306" s="409" t="s">
        <v>92</v>
      </c>
      <c r="D306" s="419" t="s">
        <v>91</v>
      </c>
      <c r="E306" s="419" t="s">
        <v>90</v>
      </c>
      <c r="F306" s="420" t="s">
        <v>89</v>
      </c>
      <c r="G306" s="419" t="s">
        <v>1186</v>
      </c>
      <c r="H306" s="419"/>
      <c r="O306" s="122"/>
      <c r="R306" s="124"/>
    </row>
    <row r="307" spans="1:26" ht="25" customHeight="1" x14ac:dyDescent="0.35">
      <c r="A307" s="407"/>
      <c r="B307" s="408"/>
      <c r="C307" s="410"/>
      <c r="D307" s="419"/>
      <c r="E307" s="419"/>
      <c r="F307" s="420"/>
      <c r="G307" s="5" t="s">
        <v>88</v>
      </c>
      <c r="H307" s="5" t="s">
        <v>87</v>
      </c>
      <c r="O307" s="122"/>
      <c r="R307" s="124"/>
    </row>
    <row r="308" spans="1:26" ht="15" customHeight="1" x14ac:dyDescent="0.35">
      <c r="A308" s="117"/>
      <c r="B308" s="118"/>
      <c r="C308" s="131"/>
      <c r="D308" s="120"/>
      <c r="E308" s="120"/>
      <c r="F308" s="121"/>
      <c r="G308" s="120"/>
      <c r="H308" s="120"/>
      <c r="O308" s="122"/>
      <c r="R308" s="124"/>
    </row>
    <row r="309" spans="1:26" ht="15" customHeight="1" x14ac:dyDescent="0.35">
      <c r="A309" s="135" t="s">
        <v>598</v>
      </c>
      <c r="B309" s="136"/>
      <c r="C309" s="126" t="s">
        <v>800</v>
      </c>
      <c r="D309" s="120"/>
      <c r="E309" s="120"/>
      <c r="F309" s="121"/>
      <c r="G309" s="120"/>
      <c r="H309" s="120"/>
      <c r="S309" t="s">
        <v>209</v>
      </c>
      <c r="T309" t="s">
        <v>200</v>
      </c>
      <c r="U309" t="s">
        <v>218</v>
      </c>
      <c r="V309" s="122">
        <v>25950.16</v>
      </c>
      <c r="W309" s="122">
        <v>1841.7470000000001</v>
      </c>
      <c r="X309" s="122">
        <v>7.0972471846031002</v>
      </c>
      <c r="Y309" s="122">
        <v>22330.21</v>
      </c>
      <c r="Z309" s="122">
        <v>29570.11</v>
      </c>
    </row>
    <row r="310" spans="1:26" ht="15" customHeight="1" x14ac:dyDescent="0.35">
      <c r="A310" s="139">
        <v>2151</v>
      </c>
      <c r="B310" s="3"/>
      <c r="C310" s="129" t="s">
        <v>169</v>
      </c>
      <c r="D310" s="120">
        <v>31754.39</v>
      </c>
      <c r="E310" s="120">
        <v>2717.652</v>
      </c>
      <c r="F310" s="121">
        <f t="shared" ref="F310:F318" si="4">E310/D310*100</f>
        <v>8.5583505146847418</v>
      </c>
      <c r="G310" s="120">
        <v>27283.89</v>
      </c>
      <c r="H310" s="120">
        <v>36224.879999999997</v>
      </c>
      <c r="J310" t="s">
        <v>598</v>
      </c>
      <c r="K310" t="s">
        <v>168</v>
      </c>
      <c r="L310" t="s">
        <v>746</v>
      </c>
      <c r="M310">
        <v>31551.96</v>
      </c>
      <c r="N310">
        <v>2441.8580000000002</v>
      </c>
      <c r="O310" s="122">
        <v>7.7391642230783759</v>
      </c>
      <c r="P310">
        <v>26702.22</v>
      </c>
      <c r="Q310">
        <v>36401.699999999997</v>
      </c>
      <c r="R310" s="124"/>
      <c r="S310" t="s">
        <v>120</v>
      </c>
      <c r="T310" t="s">
        <v>101</v>
      </c>
      <c r="U310" t="s">
        <v>125</v>
      </c>
      <c r="V310" s="122">
        <v>22830.25</v>
      </c>
      <c r="W310" s="122">
        <v>1622.7929999999999</v>
      </c>
      <c r="X310" s="122">
        <v>7.1080824782908643</v>
      </c>
      <c r="Y310" s="122">
        <v>19646.77</v>
      </c>
      <c r="Z310" s="122">
        <v>26013.73</v>
      </c>
    </row>
    <row r="311" spans="1:26" ht="15" customHeight="1" x14ac:dyDescent="0.35">
      <c r="A311" s="139">
        <v>3113</v>
      </c>
      <c r="B311" s="3"/>
      <c r="C311" s="129" t="s">
        <v>157</v>
      </c>
      <c r="D311" s="120">
        <v>18212.32</v>
      </c>
      <c r="E311" s="120">
        <v>3200.2220000000002</v>
      </c>
      <c r="F311" s="121">
        <f t="shared" si="4"/>
        <v>17.571742644539523</v>
      </c>
      <c r="G311" s="120">
        <v>12948</v>
      </c>
      <c r="H311" s="120">
        <v>23476.639999999999</v>
      </c>
      <c r="J311" t="s">
        <v>598</v>
      </c>
      <c r="K311" t="s">
        <v>156</v>
      </c>
      <c r="L311" t="s">
        <v>597</v>
      </c>
      <c r="M311">
        <v>22424.32</v>
      </c>
      <c r="N311">
        <v>2313.3470000000002</v>
      </c>
      <c r="O311" s="122">
        <v>10.316241473543011</v>
      </c>
      <c r="P311">
        <v>17829.82</v>
      </c>
      <c r="Q311">
        <v>27018.83</v>
      </c>
      <c r="R311" s="124"/>
      <c r="S311" t="s">
        <v>311</v>
      </c>
      <c r="T311" t="s">
        <v>190</v>
      </c>
      <c r="U311" t="s">
        <v>557</v>
      </c>
      <c r="V311" s="122">
        <v>24154.15</v>
      </c>
      <c r="W311" s="122">
        <v>1721.5740000000001</v>
      </c>
      <c r="X311" s="122">
        <v>7.1274460082428899</v>
      </c>
      <c r="Y311" s="122">
        <v>20778.39</v>
      </c>
      <c r="Z311" s="122">
        <v>27529.91</v>
      </c>
    </row>
    <row r="312" spans="1:26" ht="15" customHeight="1" x14ac:dyDescent="0.35">
      <c r="A312" s="139">
        <v>3122</v>
      </c>
      <c r="B312" s="3"/>
      <c r="C312" s="131" t="s">
        <v>729</v>
      </c>
      <c r="D312" s="120">
        <v>29258.06</v>
      </c>
      <c r="E312" s="120">
        <v>2085.7080000000001</v>
      </c>
      <c r="F312" s="121">
        <f t="shared" si="4"/>
        <v>7.1286612988010827</v>
      </c>
      <c r="G312" s="120">
        <v>25827.1</v>
      </c>
      <c r="H312" s="120">
        <v>32689.02</v>
      </c>
      <c r="J312" t="s">
        <v>598</v>
      </c>
      <c r="K312" t="s">
        <v>440</v>
      </c>
      <c r="L312" t="s">
        <v>799</v>
      </c>
      <c r="M312">
        <v>28380.62</v>
      </c>
      <c r="N312">
        <v>1667.443</v>
      </c>
      <c r="O312" s="122">
        <v>5.8752874320575099</v>
      </c>
      <c r="P312">
        <v>25068.94</v>
      </c>
      <c r="Q312">
        <v>31692.31</v>
      </c>
      <c r="R312" s="124"/>
      <c r="S312" t="s">
        <v>554</v>
      </c>
      <c r="T312" t="s">
        <v>798</v>
      </c>
      <c r="U312" t="s">
        <v>797</v>
      </c>
      <c r="V312" s="122">
        <v>24273.599999999999</v>
      </c>
      <c r="W312" s="122">
        <v>1731.307</v>
      </c>
      <c r="X312" s="122">
        <v>7.1324690198404861</v>
      </c>
      <c r="Y312" s="122">
        <v>20842.900000000001</v>
      </c>
      <c r="Z312" s="122">
        <v>27704.3</v>
      </c>
    </row>
    <row r="313" spans="1:26" ht="15" customHeight="1" x14ac:dyDescent="0.35">
      <c r="A313" s="117">
        <v>4110</v>
      </c>
      <c r="B313" s="130"/>
      <c r="C313" s="131" t="s">
        <v>1156</v>
      </c>
      <c r="D313" s="120">
        <v>18225.68</v>
      </c>
      <c r="E313" s="120">
        <v>589.54759999999999</v>
      </c>
      <c r="F313" s="121">
        <f t="shared" si="4"/>
        <v>3.2347083894812152</v>
      </c>
      <c r="G313" s="120">
        <v>17255.88</v>
      </c>
      <c r="H313" s="120">
        <v>19195.47</v>
      </c>
      <c r="J313" t="s">
        <v>598</v>
      </c>
      <c r="K313" t="s">
        <v>320</v>
      </c>
      <c r="L313" t="s">
        <v>796</v>
      </c>
      <c r="M313">
        <v>15363.95</v>
      </c>
      <c r="N313">
        <v>944.5616</v>
      </c>
      <c r="O313" s="122">
        <v>6.1479085781976641</v>
      </c>
      <c r="P313">
        <v>13487.97</v>
      </c>
      <c r="Q313">
        <v>17239.93</v>
      </c>
      <c r="R313" s="124"/>
      <c r="S313" t="s">
        <v>667</v>
      </c>
      <c r="T313" t="s">
        <v>14</v>
      </c>
      <c r="U313" t="s">
        <v>795</v>
      </c>
      <c r="V313" s="122">
        <v>17602.419999999998</v>
      </c>
      <c r="W313" s="122">
        <v>1259.2049999999999</v>
      </c>
      <c r="X313" s="122">
        <v>7.1535902449776794</v>
      </c>
      <c r="Y313" s="122">
        <v>15057.48</v>
      </c>
      <c r="Z313" s="122">
        <v>20147.37</v>
      </c>
    </row>
    <row r="314" spans="1:26" ht="15" customHeight="1" x14ac:dyDescent="0.35">
      <c r="A314" s="139">
        <v>4322</v>
      </c>
      <c r="B314" s="3"/>
      <c r="C314" s="129" t="s">
        <v>720</v>
      </c>
      <c r="D314" s="120">
        <v>14063.64</v>
      </c>
      <c r="E314" s="120">
        <v>358.03190000000001</v>
      </c>
      <c r="F314" s="121">
        <f t="shared" si="4"/>
        <v>2.5457982428446693</v>
      </c>
      <c r="G314" s="120">
        <v>13474.68</v>
      </c>
      <c r="H314" s="120">
        <v>14652.59</v>
      </c>
      <c r="J314" t="s">
        <v>598</v>
      </c>
      <c r="K314" t="s">
        <v>14</v>
      </c>
      <c r="L314" t="s">
        <v>794</v>
      </c>
      <c r="M314">
        <v>19735.490000000002</v>
      </c>
      <c r="N314">
        <v>888.1902</v>
      </c>
      <c r="O314" s="122">
        <v>4.5004719923346208</v>
      </c>
      <c r="P314">
        <v>17971.47</v>
      </c>
      <c r="Q314">
        <v>21499.51</v>
      </c>
      <c r="R314" s="124"/>
      <c r="S314" t="s">
        <v>568</v>
      </c>
      <c r="T314" t="s">
        <v>360</v>
      </c>
      <c r="U314" t="s">
        <v>793</v>
      </c>
      <c r="V314" s="122">
        <v>13690.71</v>
      </c>
      <c r="W314" s="122">
        <v>979.7559</v>
      </c>
      <c r="X314" s="122">
        <v>7.1563556601520304</v>
      </c>
      <c r="Y314" s="122">
        <v>11744.83</v>
      </c>
      <c r="Z314" s="122">
        <v>15636.59</v>
      </c>
    </row>
    <row r="315" spans="1:26" ht="15" customHeight="1" x14ac:dyDescent="0.35">
      <c r="A315" s="139">
        <v>7412</v>
      </c>
      <c r="B315" s="3"/>
      <c r="C315" s="129" t="s">
        <v>683</v>
      </c>
      <c r="D315" s="120">
        <v>20360.46</v>
      </c>
      <c r="E315" s="120">
        <v>275.06849999999997</v>
      </c>
      <c r="F315" s="121">
        <f t="shared" si="4"/>
        <v>1.3509935433678806</v>
      </c>
      <c r="G315" s="120">
        <v>19907.97</v>
      </c>
      <c r="H315" s="120">
        <v>20812.939999999999</v>
      </c>
      <c r="J315" t="s">
        <v>598</v>
      </c>
      <c r="K315" t="s">
        <v>304</v>
      </c>
      <c r="L315" t="s">
        <v>616</v>
      </c>
      <c r="M315">
        <v>16348.93</v>
      </c>
      <c r="N315">
        <v>1650.3320000000001</v>
      </c>
      <c r="O315" s="122">
        <v>10.094434314661571</v>
      </c>
      <c r="P315">
        <v>13071.23</v>
      </c>
      <c r="Q315">
        <v>19626.63</v>
      </c>
      <c r="R315" s="124"/>
      <c r="S315" t="s">
        <v>54</v>
      </c>
      <c r="T315" t="s">
        <v>57</v>
      </c>
      <c r="U315" t="s">
        <v>56</v>
      </c>
      <c r="V315" s="122">
        <v>21081.31</v>
      </c>
      <c r="W315" s="122">
        <v>1514.223</v>
      </c>
      <c r="X315" s="122">
        <v>7.1827746947414548</v>
      </c>
      <c r="Y315" s="122">
        <v>18109.53</v>
      </c>
      <c r="Z315" s="122">
        <v>24053.09</v>
      </c>
    </row>
    <row r="316" spans="1:26" ht="15" customHeight="1" x14ac:dyDescent="0.35">
      <c r="A316" s="139">
        <v>7543</v>
      </c>
      <c r="B316" s="3"/>
      <c r="C316" s="129" t="s">
        <v>1180</v>
      </c>
      <c r="D316" s="120">
        <v>15346.96</v>
      </c>
      <c r="E316" s="120">
        <v>535.84979999999996</v>
      </c>
      <c r="F316" s="121">
        <f t="shared" si="4"/>
        <v>3.4915696659142919</v>
      </c>
      <c r="G316" s="120">
        <v>14465.49</v>
      </c>
      <c r="H316" s="120">
        <v>16228.42</v>
      </c>
      <c r="J316" t="s">
        <v>598</v>
      </c>
      <c r="K316" t="s">
        <v>492</v>
      </c>
      <c r="L316" t="s">
        <v>750</v>
      </c>
      <c r="M316">
        <v>16461.830000000002</v>
      </c>
      <c r="N316">
        <v>1268.2809999999999</v>
      </c>
      <c r="O316" s="122">
        <v>7.7043743010345738</v>
      </c>
      <c r="P316">
        <v>13942.91</v>
      </c>
      <c r="Q316">
        <v>18980.740000000002</v>
      </c>
      <c r="R316" s="124"/>
      <c r="S316" t="s">
        <v>474</v>
      </c>
      <c r="T316" t="s">
        <v>304</v>
      </c>
      <c r="U316" t="s">
        <v>792</v>
      </c>
      <c r="V316" s="122">
        <v>16701.32</v>
      </c>
      <c r="W316" s="122">
        <v>1204.143</v>
      </c>
      <c r="X316" s="122">
        <v>7.2098672440262206</v>
      </c>
      <c r="Y316" s="122">
        <v>14316.57</v>
      </c>
      <c r="Z316" s="122">
        <v>19086.060000000001</v>
      </c>
    </row>
    <row r="317" spans="1:26" ht="15" customHeight="1" x14ac:dyDescent="0.35">
      <c r="A317" s="139">
        <v>8212</v>
      </c>
      <c r="B317" s="3"/>
      <c r="C317" s="129" t="s">
        <v>791</v>
      </c>
      <c r="D317" s="120">
        <v>14188.1</v>
      </c>
      <c r="E317" s="120">
        <v>240.1884</v>
      </c>
      <c r="F317" s="121">
        <f t="shared" si="4"/>
        <v>1.6928862920334644</v>
      </c>
      <c r="G317" s="120">
        <v>13792.99</v>
      </c>
      <c r="H317" s="120">
        <v>14583.21</v>
      </c>
      <c r="J317" t="s">
        <v>598</v>
      </c>
      <c r="K317" t="s">
        <v>725</v>
      </c>
      <c r="L317" t="s">
        <v>790</v>
      </c>
      <c r="M317">
        <v>12210.3</v>
      </c>
      <c r="N317">
        <v>544.30730000000005</v>
      </c>
      <c r="O317" s="122">
        <v>4.4577717173206235</v>
      </c>
      <c r="P317">
        <v>11129.26</v>
      </c>
      <c r="Q317">
        <v>13291.35</v>
      </c>
      <c r="R317" s="124"/>
      <c r="S317" t="s">
        <v>405</v>
      </c>
      <c r="T317" t="s">
        <v>440</v>
      </c>
      <c r="U317" t="s">
        <v>789</v>
      </c>
      <c r="V317" s="122">
        <v>25101.38</v>
      </c>
      <c r="W317" s="122">
        <v>1813.4259999999999</v>
      </c>
      <c r="X317" s="122">
        <v>7.2244075823719651</v>
      </c>
      <c r="Y317" s="122">
        <v>21493.9</v>
      </c>
      <c r="Z317" s="122">
        <v>28708.86</v>
      </c>
    </row>
    <row r="318" spans="1:26" ht="15" customHeight="1" x14ac:dyDescent="0.35">
      <c r="A318" s="117">
        <v>9000</v>
      </c>
      <c r="B318" s="118" t="s">
        <v>1350</v>
      </c>
      <c r="C318" s="131" t="s">
        <v>1207</v>
      </c>
      <c r="D318" s="120">
        <v>13991.1</v>
      </c>
      <c r="E318" s="120">
        <v>494.98340000000002</v>
      </c>
      <c r="F318" s="121">
        <f t="shared" si="4"/>
        <v>3.5378447727483899</v>
      </c>
      <c r="G318" s="120">
        <v>13176.86</v>
      </c>
      <c r="H318" s="120">
        <v>14805.34</v>
      </c>
      <c r="J318" t="s">
        <v>598</v>
      </c>
      <c r="K318" t="s">
        <v>5</v>
      </c>
      <c r="L318" t="s">
        <v>788</v>
      </c>
      <c r="M318">
        <v>11426.23</v>
      </c>
      <c r="N318">
        <v>232.10400000000001</v>
      </c>
      <c r="O318" s="122">
        <v>2.0313261679486589</v>
      </c>
      <c r="P318">
        <v>10965.25</v>
      </c>
      <c r="Q318">
        <v>11887.21</v>
      </c>
      <c r="R318" s="124"/>
      <c r="S318" t="s">
        <v>574</v>
      </c>
      <c r="T318" t="s">
        <v>320</v>
      </c>
      <c r="U318" t="s">
        <v>787</v>
      </c>
      <c r="V318" s="122">
        <v>19412.740000000002</v>
      </c>
      <c r="W318" s="122">
        <v>1406.0060000000001</v>
      </c>
      <c r="X318" s="122">
        <v>7.2426973214497288</v>
      </c>
      <c r="Y318" s="122">
        <v>16558.400000000001</v>
      </c>
      <c r="Z318" s="122">
        <v>22267.08</v>
      </c>
    </row>
    <row r="319" spans="1:26" ht="15" customHeight="1" x14ac:dyDescent="0.35">
      <c r="A319" s="132"/>
      <c r="B319" s="130"/>
      <c r="C319" s="131"/>
      <c r="D319" s="120"/>
      <c r="E319" s="120"/>
      <c r="F319" s="121"/>
      <c r="G319" s="120"/>
      <c r="H319" s="120"/>
      <c r="S319" t="s">
        <v>120</v>
      </c>
      <c r="T319" t="s">
        <v>118</v>
      </c>
      <c r="U319" t="s">
        <v>132</v>
      </c>
      <c r="V319" s="122">
        <v>30865.3</v>
      </c>
      <c r="W319" s="122">
        <v>2237.049</v>
      </c>
      <c r="X319" s="122">
        <v>7.2477798693030682</v>
      </c>
      <c r="Y319" s="122">
        <v>26476.82</v>
      </c>
      <c r="Z319" s="122">
        <v>35253.78</v>
      </c>
    </row>
    <row r="320" spans="1:26" ht="15" customHeight="1" x14ac:dyDescent="0.35">
      <c r="A320" s="135" t="s">
        <v>396</v>
      </c>
      <c r="B320" s="164"/>
      <c r="C320" s="148" t="s">
        <v>786</v>
      </c>
      <c r="D320" s="120"/>
      <c r="E320" s="120"/>
      <c r="F320" s="121"/>
      <c r="G320" s="120"/>
      <c r="H320" s="120"/>
      <c r="S320" t="s">
        <v>405</v>
      </c>
      <c r="T320" t="s">
        <v>351</v>
      </c>
      <c r="U320" t="s">
        <v>785</v>
      </c>
      <c r="V320" s="122">
        <v>16522.79</v>
      </c>
      <c r="W320" s="122">
        <v>1198.538</v>
      </c>
      <c r="X320" s="122">
        <v>7.2538475644851745</v>
      </c>
      <c r="Y320" s="122">
        <v>14138.52</v>
      </c>
      <c r="Z320" s="122">
        <v>18907.060000000001</v>
      </c>
    </row>
    <row r="321" spans="1:26" ht="15" customHeight="1" x14ac:dyDescent="0.35">
      <c r="A321" s="139">
        <v>2144</v>
      </c>
      <c r="B321" s="3"/>
      <c r="C321" s="129" t="s">
        <v>767</v>
      </c>
      <c r="D321" s="120">
        <v>29293.64</v>
      </c>
      <c r="E321" s="120">
        <v>2912.172</v>
      </c>
      <c r="F321" s="121">
        <f t="shared" ref="F321:F330" si="5">E321/D321*100</f>
        <v>9.9413114928701258</v>
      </c>
      <c r="G321" s="120">
        <v>24503.16</v>
      </c>
      <c r="H321" s="120">
        <v>34084.120000000003</v>
      </c>
      <c r="J321" t="s">
        <v>396</v>
      </c>
      <c r="K321" t="s">
        <v>404</v>
      </c>
      <c r="L321" t="s">
        <v>721</v>
      </c>
      <c r="M321">
        <v>30883.47</v>
      </c>
      <c r="N321">
        <v>2552.9830000000002</v>
      </c>
      <c r="O321" s="122">
        <v>8.2665030840122569</v>
      </c>
      <c r="P321">
        <v>25802.87</v>
      </c>
      <c r="Q321">
        <v>35964.07</v>
      </c>
      <c r="R321" s="124"/>
      <c r="S321" t="s">
        <v>784</v>
      </c>
      <c r="T321" t="s">
        <v>5</v>
      </c>
      <c r="U321" t="s">
        <v>783</v>
      </c>
      <c r="V321" s="122">
        <v>12014.65</v>
      </c>
      <c r="W321" s="122">
        <v>872.03039999999999</v>
      </c>
      <c r="X321" s="122">
        <v>7.2580591194916204</v>
      </c>
      <c r="Y321" s="122">
        <v>10291.32</v>
      </c>
      <c r="Z321" s="122">
        <v>13737.99</v>
      </c>
    </row>
    <row r="322" spans="1:26" ht="15" customHeight="1" x14ac:dyDescent="0.35">
      <c r="A322" s="139">
        <v>3122</v>
      </c>
      <c r="B322" s="3"/>
      <c r="C322" s="131" t="s">
        <v>729</v>
      </c>
      <c r="D322" s="120">
        <v>25706.16</v>
      </c>
      <c r="E322" s="120">
        <v>1289.8420000000001</v>
      </c>
      <c r="F322" s="121">
        <f t="shared" si="5"/>
        <v>5.0176377957656841</v>
      </c>
      <c r="G322" s="120">
        <v>23584.38</v>
      </c>
      <c r="H322" s="120">
        <v>27827.93</v>
      </c>
      <c r="J322" t="s">
        <v>396</v>
      </c>
      <c r="K322" t="s">
        <v>440</v>
      </c>
      <c r="L322" t="s">
        <v>678</v>
      </c>
      <c r="M322">
        <v>29448.69</v>
      </c>
      <c r="N322">
        <v>2657.3910000000001</v>
      </c>
      <c r="O322" s="122">
        <v>9.0238003795754587</v>
      </c>
      <c r="P322">
        <v>24160.32</v>
      </c>
      <c r="Q322">
        <v>34737.07</v>
      </c>
      <c r="R322" s="124"/>
      <c r="S322" t="s">
        <v>375</v>
      </c>
      <c r="T322" t="s">
        <v>320</v>
      </c>
      <c r="U322" t="s">
        <v>782</v>
      </c>
      <c r="V322" s="122">
        <v>14420.18</v>
      </c>
      <c r="W322" s="122">
        <v>1051.7739999999999</v>
      </c>
      <c r="X322" s="122">
        <v>7.2937647102879417</v>
      </c>
      <c r="Y322" s="122">
        <v>12301.8</v>
      </c>
      <c r="Z322" s="122">
        <v>16538.560000000001</v>
      </c>
    </row>
    <row r="323" spans="1:26" ht="15" customHeight="1" x14ac:dyDescent="0.35">
      <c r="A323" s="117">
        <v>4110</v>
      </c>
      <c r="B323" s="130"/>
      <c r="C323" s="131" t="s">
        <v>1156</v>
      </c>
      <c r="D323" s="120">
        <v>17302.650000000001</v>
      </c>
      <c r="E323" s="120">
        <v>272.46019999999999</v>
      </c>
      <c r="F323" s="121">
        <f t="shared" si="5"/>
        <v>1.5746732436938848</v>
      </c>
      <c r="G323" s="120">
        <v>16854.46</v>
      </c>
      <c r="H323" s="120">
        <v>17750.849999999999</v>
      </c>
      <c r="J323" t="s">
        <v>396</v>
      </c>
      <c r="K323" t="s">
        <v>320</v>
      </c>
      <c r="L323" t="s">
        <v>562</v>
      </c>
      <c r="M323">
        <v>17239.259999999998</v>
      </c>
      <c r="N323">
        <v>1954.7460000000001</v>
      </c>
      <c r="O323" s="122">
        <v>11.338920580117708</v>
      </c>
      <c r="P323">
        <v>13349.19</v>
      </c>
      <c r="Q323">
        <v>21129.33</v>
      </c>
      <c r="R323" s="124"/>
      <c r="S323" t="s">
        <v>349</v>
      </c>
      <c r="T323" t="s">
        <v>440</v>
      </c>
      <c r="U323" t="s">
        <v>781</v>
      </c>
      <c r="V323" s="122">
        <v>28652.41</v>
      </c>
      <c r="W323" s="122">
        <v>2090.614</v>
      </c>
      <c r="X323" s="122">
        <v>7.2964682552008719</v>
      </c>
      <c r="Y323" s="122">
        <v>24516.97</v>
      </c>
      <c r="Z323" s="122">
        <v>32787.85</v>
      </c>
    </row>
    <row r="324" spans="1:26" ht="15" customHeight="1" x14ac:dyDescent="0.35">
      <c r="A324" s="139">
        <v>4322</v>
      </c>
      <c r="B324" s="3"/>
      <c r="C324" s="129" t="s">
        <v>720</v>
      </c>
      <c r="D324" s="120">
        <v>14807.9</v>
      </c>
      <c r="E324" s="120">
        <v>1201.8050000000001</v>
      </c>
      <c r="F324" s="121">
        <f t="shared" si="5"/>
        <v>8.1159718798749321</v>
      </c>
      <c r="G324" s="120">
        <v>12830.95</v>
      </c>
      <c r="H324" s="120">
        <v>16784.849999999999</v>
      </c>
      <c r="J324" t="s">
        <v>396</v>
      </c>
      <c r="K324" t="s">
        <v>14</v>
      </c>
      <c r="L324" t="s">
        <v>395</v>
      </c>
      <c r="M324">
        <v>19510.990000000002</v>
      </c>
      <c r="N324">
        <v>3165.8910000000001</v>
      </c>
      <c r="O324" s="122">
        <v>16.226193545278839</v>
      </c>
      <c r="P324">
        <v>13210.67</v>
      </c>
      <c r="Q324">
        <v>25811.32</v>
      </c>
      <c r="R324" s="124"/>
      <c r="S324" t="s">
        <v>135</v>
      </c>
      <c r="T324" t="s">
        <v>14</v>
      </c>
      <c r="U324" t="s">
        <v>142</v>
      </c>
      <c r="V324" s="122">
        <v>20640.259999999998</v>
      </c>
      <c r="W324" s="122">
        <v>1509.8150000000001</v>
      </c>
      <c r="X324" s="122">
        <v>7.3149030099427055</v>
      </c>
      <c r="Y324" s="122">
        <v>17678.41</v>
      </c>
      <c r="Z324" s="122">
        <v>23602.11</v>
      </c>
    </row>
    <row r="325" spans="1:26" ht="15" customHeight="1" x14ac:dyDescent="0.35">
      <c r="A325" s="139">
        <v>7212</v>
      </c>
      <c r="B325" s="3"/>
      <c r="C325" s="129" t="s">
        <v>718</v>
      </c>
      <c r="D325" s="120">
        <v>16549.13</v>
      </c>
      <c r="E325" s="120">
        <v>767.82780000000002</v>
      </c>
      <c r="F325" s="121">
        <f t="shared" si="5"/>
        <v>4.6396867992456405</v>
      </c>
      <c r="G325" s="120">
        <v>15286.07</v>
      </c>
      <c r="H325" s="120">
        <v>17812.2</v>
      </c>
      <c r="J325" t="s">
        <v>396</v>
      </c>
      <c r="K325" t="s">
        <v>304</v>
      </c>
      <c r="L325" t="s">
        <v>780</v>
      </c>
      <c r="M325">
        <v>14417.2</v>
      </c>
      <c r="N325">
        <v>929.6626</v>
      </c>
      <c r="O325" s="122">
        <v>6.4482881558138887</v>
      </c>
      <c r="P325">
        <v>12567.11</v>
      </c>
      <c r="Q325">
        <v>16267.29</v>
      </c>
      <c r="R325" s="124"/>
      <c r="S325" t="s">
        <v>471</v>
      </c>
      <c r="T325" t="s">
        <v>14</v>
      </c>
      <c r="U325" t="s">
        <v>481</v>
      </c>
      <c r="V325" s="122">
        <v>20090.13</v>
      </c>
      <c r="W325" s="122">
        <v>1470.615</v>
      </c>
      <c r="X325" s="122">
        <v>7.3200870278091772</v>
      </c>
      <c r="Y325" s="122">
        <v>17201.03</v>
      </c>
      <c r="Z325" s="122">
        <v>22979.23</v>
      </c>
    </row>
    <row r="326" spans="1:26" ht="15" customHeight="1" x14ac:dyDescent="0.35">
      <c r="A326" s="139">
        <v>7222</v>
      </c>
      <c r="B326" s="3"/>
      <c r="C326" s="129" t="s">
        <v>778</v>
      </c>
      <c r="D326" s="120">
        <v>17041.43</v>
      </c>
      <c r="E326" s="120">
        <v>342.87889999999999</v>
      </c>
      <c r="F326" s="121">
        <f t="shared" si="5"/>
        <v>2.0120312673290912</v>
      </c>
      <c r="G326" s="120">
        <v>16477.400000000001</v>
      </c>
      <c r="H326" s="120">
        <v>17605.47</v>
      </c>
      <c r="J326" t="s">
        <v>396</v>
      </c>
      <c r="K326" t="s">
        <v>580</v>
      </c>
      <c r="L326" t="s">
        <v>779</v>
      </c>
      <c r="M326">
        <v>12685.12</v>
      </c>
      <c r="N326">
        <v>573.774</v>
      </c>
      <c r="O326" s="122">
        <v>4.5232051411417471</v>
      </c>
      <c r="P326">
        <v>11543.27</v>
      </c>
      <c r="Q326">
        <v>13826.96</v>
      </c>
      <c r="R326" s="124"/>
      <c r="S326" t="s">
        <v>446</v>
      </c>
      <c r="T326" t="s">
        <v>419</v>
      </c>
      <c r="U326" t="s">
        <v>534</v>
      </c>
      <c r="V326" s="122">
        <v>15027.58</v>
      </c>
      <c r="W326" s="122">
        <v>1103.375</v>
      </c>
      <c r="X326" s="122">
        <v>7.3423332299678332</v>
      </c>
      <c r="Y326" s="122">
        <v>12859.94</v>
      </c>
      <c r="Z326" s="122">
        <v>17195.22</v>
      </c>
    </row>
    <row r="327" spans="1:26" ht="15" customHeight="1" x14ac:dyDescent="0.35">
      <c r="A327" s="139">
        <v>7233</v>
      </c>
      <c r="B327" s="3"/>
      <c r="C327" s="129" t="s">
        <v>775</v>
      </c>
      <c r="D327" s="120">
        <v>13815.13</v>
      </c>
      <c r="E327" s="120">
        <v>324.96039999999999</v>
      </c>
      <c r="F327" s="121">
        <f t="shared" si="5"/>
        <v>2.3522066024713486</v>
      </c>
      <c r="G327" s="120">
        <v>13280.58</v>
      </c>
      <c r="H327" s="120">
        <v>14349.69</v>
      </c>
      <c r="J327" t="s">
        <v>396</v>
      </c>
      <c r="K327" t="s">
        <v>777</v>
      </c>
      <c r="L327" t="s">
        <v>776</v>
      </c>
      <c r="M327">
        <v>12297.5</v>
      </c>
      <c r="N327">
        <v>467.18400000000003</v>
      </c>
      <c r="O327" s="122">
        <v>3.7990160601748326</v>
      </c>
      <c r="P327">
        <v>11367.77</v>
      </c>
      <c r="Q327">
        <v>13227.22</v>
      </c>
      <c r="R327" s="124"/>
      <c r="S327" t="s">
        <v>496</v>
      </c>
      <c r="T327" t="s">
        <v>513</v>
      </c>
      <c r="U327" t="s">
        <v>512</v>
      </c>
      <c r="V327" s="122">
        <v>14489.84</v>
      </c>
      <c r="W327" s="122">
        <v>1066.704</v>
      </c>
      <c r="X327" s="122">
        <v>7.3617376037278524</v>
      </c>
      <c r="Y327" s="122">
        <v>12394.24</v>
      </c>
      <c r="Z327" s="122">
        <v>16585.439999999999</v>
      </c>
    </row>
    <row r="328" spans="1:26" ht="15" customHeight="1" x14ac:dyDescent="0.35">
      <c r="A328" s="117">
        <v>7543</v>
      </c>
      <c r="B328" s="130"/>
      <c r="C328" s="131" t="s">
        <v>1180</v>
      </c>
      <c r="D328" s="120">
        <v>16957.57</v>
      </c>
      <c r="E328" s="120">
        <v>656.18539999999996</v>
      </c>
      <c r="F328" s="121">
        <f t="shared" si="5"/>
        <v>3.869572114400825</v>
      </c>
      <c r="G328" s="120">
        <v>15878.15</v>
      </c>
      <c r="H328" s="120">
        <v>18036.98</v>
      </c>
      <c r="J328" t="s">
        <v>396</v>
      </c>
      <c r="K328" t="s">
        <v>462</v>
      </c>
      <c r="L328" t="s">
        <v>620</v>
      </c>
      <c r="M328">
        <v>15267.8</v>
      </c>
      <c r="N328">
        <v>1523.242</v>
      </c>
      <c r="O328" s="122">
        <v>9.976827047773746</v>
      </c>
      <c r="P328">
        <v>12236.45</v>
      </c>
      <c r="Q328">
        <v>18299.150000000001</v>
      </c>
      <c r="R328" s="124"/>
      <c r="S328" t="s">
        <v>650</v>
      </c>
      <c r="T328" t="s">
        <v>358</v>
      </c>
      <c r="U328" t="s">
        <v>774</v>
      </c>
      <c r="V328" s="122">
        <v>30881.87</v>
      </c>
      <c r="W328" s="122">
        <v>2275.4369999999999</v>
      </c>
      <c r="X328" s="122">
        <v>7.3681969388511765</v>
      </c>
      <c r="Y328" s="122">
        <v>26393.35</v>
      </c>
      <c r="Z328" s="122">
        <v>35370.379999999997</v>
      </c>
    </row>
    <row r="329" spans="1:26" ht="15" customHeight="1" x14ac:dyDescent="0.35">
      <c r="A329" s="139">
        <v>8211</v>
      </c>
      <c r="B329" s="3"/>
      <c r="C329" s="129" t="s">
        <v>756</v>
      </c>
      <c r="D329" s="120">
        <v>16114.89</v>
      </c>
      <c r="E329" s="120">
        <v>1484.8430000000001</v>
      </c>
      <c r="F329" s="121">
        <f t="shared" si="5"/>
        <v>9.2141057121705465</v>
      </c>
      <c r="G329" s="120">
        <v>13672.35</v>
      </c>
      <c r="H329" s="120">
        <v>18557.439999999999</v>
      </c>
      <c r="J329" t="s">
        <v>396</v>
      </c>
      <c r="K329" t="s">
        <v>755</v>
      </c>
      <c r="L329" t="s">
        <v>773</v>
      </c>
      <c r="M329">
        <v>13095.53</v>
      </c>
      <c r="N329">
        <v>548.69889999999998</v>
      </c>
      <c r="O329" s="122">
        <v>4.1899709290116549</v>
      </c>
      <c r="P329">
        <v>12003.59</v>
      </c>
      <c r="Q329">
        <v>14187.48</v>
      </c>
      <c r="R329" s="124"/>
      <c r="S329" t="s">
        <v>150</v>
      </c>
      <c r="T329" t="s">
        <v>171</v>
      </c>
      <c r="U329" t="s">
        <v>170</v>
      </c>
      <c r="V329" s="122">
        <v>39267.22</v>
      </c>
      <c r="W329" s="122">
        <v>2895.2849999999999</v>
      </c>
      <c r="X329" s="122">
        <v>7.3732874392432164</v>
      </c>
      <c r="Y329" s="122">
        <v>33562.68</v>
      </c>
      <c r="Z329" s="122">
        <v>44971.76</v>
      </c>
    </row>
    <row r="330" spans="1:26" ht="15" customHeight="1" x14ac:dyDescent="0.35">
      <c r="A330" s="117">
        <v>9000</v>
      </c>
      <c r="B330" s="118" t="s">
        <v>1350</v>
      </c>
      <c r="C330" s="131" t="s">
        <v>1207</v>
      </c>
      <c r="D330" s="120">
        <v>15470.68</v>
      </c>
      <c r="E330" s="120">
        <v>398.65519999999998</v>
      </c>
      <c r="F330" s="121">
        <f t="shared" si="5"/>
        <v>2.5768434225257066</v>
      </c>
      <c r="G330" s="120">
        <v>14814.9</v>
      </c>
      <c r="H330" s="120">
        <v>16126.46</v>
      </c>
      <c r="J330" t="s">
        <v>396</v>
      </c>
      <c r="K330" t="s">
        <v>5</v>
      </c>
      <c r="L330" t="s">
        <v>772</v>
      </c>
      <c r="M330">
        <v>12078.37</v>
      </c>
      <c r="N330">
        <v>195.83269999999999</v>
      </c>
      <c r="O330" s="122">
        <v>1.6213503974460128</v>
      </c>
      <c r="P330">
        <v>11688.65</v>
      </c>
      <c r="Q330">
        <v>12468.09</v>
      </c>
      <c r="R330" s="124"/>
      <c r="S330" t="s">
        <v>574</v>
      </c>
      <c r="T330" t="s">
        <v>14</v>
      </c>
      <c r="U330" t="s">
        <v>771</v>
      </c>
      <c r="V330" s="122">
        <v>19872.900000000001</v>
      </c>
      <c r="W330" s="122">
        <v>1469.5940000000001</v>
      </c>
      <c r="X330" s="122">
        <v>7.3949650025914675</v>
      </c>
      <c r="Y330" s="122">
        <v>16889.46</v>
      </c>
      <c r="Z330" s="122">
        <v>22856.33</v>
      </c>
    </row>
    <row r="331" spans="1:26" ht="15" customHeight="1" x14ac:dyDescent="0.35">
      <c r="A331" s="170"/>
      <c r="B331" s="171"/>
      <c r="C331" s="171"/>
      <c r="D331" s="120"/>
      <c r="E331" s="120"/>
      <c r="F331" s="121"/>
      <c r="G331" s="120"/>
      <c r="H331" s="120"/>
      <c r="S331" t="s">
        <v>443</v>
      </c>
      <c r="T331" t="s">
        <v>320</v>
      </c>
      <c r="U331" t="s">
        <v>770</v>
      </c>
      <c r="V331" s="122">
        <v>18176.68</v>
      </c>
      <c r="W331" s="122">
        <v>1347.693</v>
      </c>
      <c r="X331" s="122">
        <v>7.4144068113648913</v>
      </c>
      <c r="Y331" s="122">
        <v>15483.53</v>
      </c>
      <c r="Z331" s="122">
        <v>20869.830000000002</v>
      </c>
    </row>
    <row r="332" spans="1:26" ht="15" customHeight="1" x14ac:dyDescent="0.35">
      <c r="A332" s="6" t="s">
        <v>334</v>
      </c>
      <c r="B332" s="145"/>
      <c r="C332" s="126" t="s">
        <v>769</v>
      </c>
      <c r="D332" s="120"/>
      <c r="E332" s="120"/>
      <c r="F332" s="121"/>
      <c r="G332" s="120"/>
      <c r="H332" s="120"/>
      <c r="S332" t="s">
        <v>443</v>
      </c>
      <c r="T332" t="s">
        <v>304</v>
      </c>
      <c r="U332" t="s">
        <v>768</v>
      </c>
      <c r="V332" s="122">
        <v>15891.04</v>
      </c>
      <c r="W332" s="122">
        <v>1191.318</v>
      </c>
      <c r="X332" s="122">
        <v>7.4967906442875982</v>
      </c>
      <c r="Y332" s="122">
        <v>13510.38</v>
      </c>
      <c r="Z332" s="122">
        <v>18271.7</v>
      </c>
    </row>
    <row r="333" spans="1:26" ht="15" customHeight="1" x14ac:dyDescent="0.35">
      <c r="A333" s="139">
        <v>2141</v>
      </c>
      <c r="B333" s="3"/>
      <c r="C333" s="129" t="s">
        <v>1208</v>
      </c>
      <c r="D333" s="120">
        <v>41024.26</v>
      </c>
      <c r="E333" s="120">
        <v>11839.77</v>
      </c>
      <c r="F333" s="121">
        <f t="shared" ref="F333:F342" si="6">E333/D333*100</f>
        <v>28.860410888581541</v>
      </c>
      <c r="G333" s="120">
        <v>21548.01</v>
      </c>
      <c r="H333" s="120">
        <v>60500.52</v>
      </c>
      <c r="J333" t="s">
        <v>334</v>
      </c>
      <c r="K333" t="s">
        <v>404</v>
      </c>
      <c r="L333" t="s">
        <v>543</v>
      </c>
      <c r="M333">
        <v>23792.59</v>
      </c>
      <c r="N333">
        <v>2778.3049999999998</v>
      </c>
      <c r="O333" s="122">
        <v>11.677186048261245</v>
      </c>
      <c r="P333">
        <v>18233.21</v>
      </c>
      <c r="Q333">
        <v>29351.96</v>
      </c>
      <c r="R333" s="124"/>
      <c r="S333" t="s">
        <v>441</v>
      </c>
      <c r="T333" t="s">
        <v>320</v>
      </c>
      <c r="U333" t="s">
        <v>766</v>
      </c>
      <c r="V333" s="122">
        <v>16872.98</v>
      </c>
      <c r="W333" s="122">
        <v>1265.163</v>
      </c>
      <c r="X333" s="122">
        <v>7.4981597797188178</v>
      </c>
      <c r="Y333" s="122">
        <v>14354.73</v>
      </c>
      <c r="Z333" s="122">
        <v>19391.22</v>
      </c>
    </row>
    <row r="334" spans="1:26" ht="15" customHeight="1" x14ac:dyDescent="0.35">
      <c r="A334" s="139">
        <v>2144</v>
      </c>
      <c r="B334" s="3"/>
      <c r="C334" s="129" t="s">
        <v>767</v>
      </c>
      <c r="D334" s="120">
        <v>34794.879999999997</v>
      </c>
      <c r="E334" s="120">
        <v>2812.7420000000002</v>
      </c>
      <c r="F334" s="121">
        <f t="shared" si="6"/>
        <v>8.0837812919601966</v>
      </c>
      <c r="G334" s="120">
        <v>30167.96</v>
      </c>
      <c r="H334" s="120">
        <v>39421.800000000003</v>
      </c>
      <c r="J334" t="s">
        <v>334</v>
      </c>
      <c r="K334" t="s">
        <v>459</v>
      </c>
      <c r="L334" t="s">
        <v>458</v>
      </c>
      <c r="M334">
        <v>24051.33</v>
      </c>
      <c r="N334">
        <v>3220.8719999999998</v>
      </c>
      <c r="O334" s="122">
        <v>13.391658590190229</v>
      </c>
      <c r="P334">
        <v>17606.38</v>
      </c>
      <c r="Q334">
        <v>30496.28</v>
      </c>
      <c r="R334" s="124"/>
      <c r="S334" t="s">
        <v>614</v>
      </c>
      <c r="T334" t="s">
        <v>764</v>
      </c>
      <c r="U334" t="s">
        <v>763</v>
      </c>
      <c r="V334" s="122">
        <v>9600.2250000000004</v>
      </c>
      <c r="W334" s="122">
        <v>720.17399999999998</v>
      </c>
      <c r="X334" s="122">
        <v>7.5016366803903027</v>
      </c>
      <c r="Y334" s="122">
        <v>8154.415</v>
      </c>
      <c r="Z334" s="122">
        <v>11046.03</v>
      </c>
    </row>
    <row r="335" spans="1:26" ht="15" customHeight="1" x14ac:dyDescent="0.35">
      <c r="A335" s="139">
        <v>3115</v>
      </c>
      <c r="B335" s="3"/>
      <c r="C335" s="131" t="s">
        <v>1213</v>
      </c>
      <c r="D335" s="120">
        <v>25923.51</v>
      </c>
      <c r="E335" s="120">
        <v>2535.8879999999999</v>
      </c>
      <c r="F335" s="121">
        <f t="shared" si="6"/>
        <v>9.7821938464351472</v>
      </c>
      <c r="G335" s="120">
        <v>21752.01</v>
      </c>
      <c r="H335" s="120">
        <v>30095.01</v>
      </c>
      <c r="J335" t="s">
        <v>334</v>
      </c>
      <c r="K335" t="s">
        <v>440</v>
      </c>
      <c r="L335" t="s">
        <v>632</v>
      </c>
      <c r="M335">
        <v>30166.95</v>
      </c>
      <c r="N335">
        <v>2917.9</v>
      </c>
      <c r="O335" s="122">
        <v>9.6725058383429552</v>
      </c>
      <c r="P335">
        <v>24328.240000000002</v>
      </c>
      <c r="Q335">
        <v>36005.65</v>
      </c>
      <c r="R335" s="124"/>
      <c r="S335" t="s">
        <v>402</v>
      </c>
      <c r="T335" t="s">
        <v>171</v>
      </c>
      <c r="U335" t="s">
        <v>675</v>
      </c>
      <c r="V335" s="122">
        <v>44210.1</v>
      </c>
      <c r="W335" s="122">
        <v>3317.7710000000002</v>
      </c>
      <c r="X335" s="122">
        <v>7.5045543891554196</v>
      </c>
      <c r="Y335" s="122">
        <v>37651.089999999997</v>
      </c>
      <c r="Z335" s="122">
        <v>50769.1</v>
      </c>
    </row>
    <row r="336" spans="1:26" ht="15" customHeight="1" x14ac:dyDescent="0.35">
      <c r="A336" s="117">
        <v>3122</v>
      </c>
      <c r="B336" s="130"/>
      <c r="C336" s="131" t="s">
        <v>729</v>
      </c>
      <c r="D336" s="120">
        <v>42037.79</v>
      </c>
      <c r="E336" s="120">
        <v>8399.3580000000002</v>
      </c>
      <c r="F336" s="121">
        <f t="shared" si="6"/>
        <v>19.980493741464525</v>
      </c>
      <c r="G336" s="120">
        <v>28220.97</v>
      </c>
      <c r="H336" s="120">
        <v>55854.62</v>
      </c>
      <c r="J336" t="s">
        <v>334</v>
      </c>
      <c r="K336" t="s">
        <v>320</v>
      </c>
      <c r="L336" t="s">
        <v>537</v>
      </c>
      <c r="M336">
        <v>21813.25</v>
      </c>
      <c r="N336">
        <v>2575.2220000000002</v>
      </c>
      <c r="O336" s="122">
        <v>11.805769429131377</v>
      </c>
      <c r="P336">
        <v>16660.240000000002</v>
      </c>
      <c r="Q336">
        <v>26966.26</v>
      </c>
      <c r="R336" s="124"/>
      <c r="S336" t="s">
        <v>664</v>
      </c>
      <c r="T336" t="s">
        <v>762</v>
      </c>
      <c r="U336" t="s">
        <v>761</v>
      </c>
      <c r="V336" s="122">
        <v>9551.3439999999991</v>
      </c>
      <c r="W336" s="122">
        <v>720.00890000000004</v>
      </c>
      <c r="X336" s="122">
        <v>7.5382993220639962</v>
      </c>
      <c r="Y336" s="122">
        <v>8135.88</v>
      </c>
      <c r="Z336" s="122">
        <v>10966.81</v>
      </c>
    </row>
    <row r="337" spans="1:26" ht="15" customHeight="1" x14ac:dyDescent="0.35">
      <c r="A337" s="139">
        <v>3257</v>
      </c>
      <c r="B337" s="3"/>
      <c r="C337" s="129" t="s">
        <v>727</v>
      </c>
      <c r="D337" s="120">
        <v>22811.24</v>
      </c>
      <c r="E337" s="120">
        <v>1266.5129999999999</v>
      </c>
      <c r="F337" s="121">
        <f t="shared" si="6"/>
        <v>5.5521444691301296</v>
      </c>
      <c r="G337" s="120">
        <v>20727.84</v>
      </c>
      <c r="H337" s="120">
        <v>24894.63</v>
      </c>
      <c r="J337" t="s">
        <v>334</v>
      </c>
      <c r="K337" t="s">
        <v>14</v>
      </c>
      <c r="L337" t="s">
        <v>760</v>
      </c>
      <c r="M337">
        <v>23258.04</v>
      </c>
      <c r="N337">
        <v>1364.616</v>
      </c>
      <c r="O337" s="122">
        <v>5.8672871832708164</v>
      </c>
      <c r="P337">
        <v>20527.45</v>
      </c>
      <c r="Q337">
        <v>25988.63</v>
      </c>
      <c r="R337" s="124"/>
      <c r="S337" t="s">
        <v>150</v>
      </c>
      <c r="T337" t="s">
        <v>14</v>
      </c>
      <c r="U337" t="s">
        <v>151</v>
      </c>
      <c r="V337" s="122">
        <v>23455.09</v>
      </c>
      <c r="W337" s="122">
        <v>1770.4169999999999</v>
      </c>
      <c r="X337" s="122">
        <v>7.5481142899046647</v>
      </c>
      <c r="Y337" s="122">
        <v>19966.86</v>
      </c>
      <c r="Z337" s="122">
        <v>26943.31</v>
      </c>
    </row>
    <row r="338" spans="1:26" ht="15" customHeight="1" x14ac:dyDescent="0.35">
      <c r="A338" s="139">
        <v>4110</v>
      </c>
      <c r="B338" s="3"/>
      <c r="C338" s="129" t="s">
        <v>1156</v>
      </c>
      <c r="D338" s="120">
        <v>22879.55</v>
      </c>
      <c r="E338" s="120">
        <v>3203.7910000000002</v>
      </c>
      <c r="F338" s="121">
        <f t="shared" si="6"/>
        <v>14.002858447827865</v>
      </c>
      <c r="G338" s="120">
        <v>17609.36</v>
      </c>
      <c r="H338" s="120">
        <v>28149.74</v>
      </c>
      <c r="O338" s="122"/>
      <c r="R338" s="124"/>
    </row>
    <row r="339" spans="1:26" ht="15" customHeight="1" x14ac:dyDescent="0.35">
      <c r="A339" s="139">
        <v>7213</v>
      </c>
      <c r="B339" s="3"/>
      <c r="C339" s="129" t="s">
        <v>759</v>
      </c>
      <c r="D339" s="120">
        <v>20995.61</v>
      </c>
      <c r="E339" s="120">
        <v>2348.9870000000001</v>
      </c>
      <c r="F339" s="121">
        <f t="shared" si="6"/>
        <v>11.187991203875477</v>
      </c>
      <c r="G339" s="120">
        <v>17131.560000000001</v>
      </c>
      <c r="H339" s="120">
        <v>24859.66</v>
      </c>
      <c r="J339" t="s">
        <v>334</v>
      </c>
      <c r="K339" t="s">
        <v>408</v>
      </c>
      <c r="L339" t="s">
        <v>407</v>
      </c>
      <c r="M339">
        <v>20687.41</v>
      </c>
      <c r="N339">
        <v>3227.232</v>
      </c>
      <c r="O339" s="122">
        <v>15.599980857922766</v>
      </c>
      <c r="P339">
        <v>14229.74</v>
      </c>
      <c r="Q339">
        <v>27145.09</v>
      </c>
      <c r="R339" s="124"/>
      <c r="S339" t="s">
        <v>330</v>
      </c>
      <c r="T339" t="s">
        <v>440</v>
      </c>
      <c r="U339" t="s">
        <v>758</v>
      </c>
      <c r="V339" s="122">
        <v>28044.6</v>
      </c>
      <c r="W339" s="122">
        <v>2131.5450000000001</v>
      </c>
      <c r="X339" s="122">
        <v>7.6005541173701898</v>
      </c>
      <c r="Y339" s="122">
        <v>23858.12</v>
      </c>
      <c r="Z339" s="122">
        <v>32231.07</v>
      </c>
    </row>
    <row r="340" spans="1:26" ht="15" customHeight="1" x14ac:dyDescent="0.35">
      <c r="A340" s="117">
        <v>7231</v>
      </c>
      <c r="B340" s="130"/>
      <c r="C340" s="131" t="s">
        <v>504</v>
      </c>
      <c r="D340" s="120">
        <v>22143.279999999999</v>
      </c>
      <c r="E340" s="120">
        <v>3571.78</v>
      </c>
      <c r="F340" s="121">
        <f t="shared" si="6"/>
        <v>16.130311317925802</v>
      </c>
      <c r="G340" s="120">
        <v>16267.75</v>
      </c>
      <c r="H340" s="120">
        <v>28018.799999999999</v>
      </c>
      <c r="J340" t="s">
        <v>334</v>
      </c>
      <c r="K340" t="s">
        <v>333</v>
      </c>
      <c r="L340" t="s">
        <v>332</v>
      </c>
      <c r="M340">
        <v>19515.580000000002</v>
      </c>
      <c r="N340">
        <v>4404.625</v>
      </c>
      <c r="O340" s="122">
        <v>22.569787831056008</v>
      </c>
      <c r="P340">
        <v>10701.94</v>
      </c>
      <c r="Q340">
        <v>28329.21</v>
      </c>
      <c r="R340" s="124"/>
      <c r="S340" t="s">
        <v>441</v>
      </c>
      <c r="T340" t="s">
        <v>304</v>
      </c>
      <c r="U340" t="s">
        <v>757</v>
      </c>
      <c r="V340" s="122">
        <v>15834.09</v>
      </c>
      <c r="W340" s="122">
        <v>1206.652</v>
      </c>
      <c r="X340" s="122">
        <v>7.6205958157368068</v>
      </c>
      <c r="Y340" s="122">
        <v>13432.31</v>
      </c>
      <c r="Z340" s="122">
        <v>18235.87</v>
      </c>
    </row>
    <row r="341" spans="1:26" ht="15" customHeight="1" x14ac:dyDescent="0.35">
      <c r="A341" s="139">
        <v>8211</v>
      </c>
      <c r="B341" s="3"/>
      <c r="C341" s="129" t="s">
        <v>756</v>
      </c>
      <c r="D341" s="120">
        <v>17244.919999999998</v>
      </c>
      <c r="E341" s="120">
        <v>1672.7049999999999</v>
      </c>
      <c r="F341" s="121">
        <f t="shared" si="6"/>
        <v>9.6996970702096625</v>
      </c>
      <c r="G341" s="120">
        <v>14493.35</v>
      </c>
      <c r="H341" s="120">
        <v>19996.5</v>
      </c>
      <c r="J341" t="s">
        <v>334</v>
      </c>
      <c r="K341" t="s">
        <v>755</v>
      </c>
      <c r="L341" t="s">
        <v>754</v>
      </c>
      <c r="M341">
        <v>16324.23</v>
      </c>
      <c r="N341">
        <v>1064.394</v>
      </c>
      <c r="O341" s="122">
        <v>6.5203320462894734</v>
      </c>
      <c r="P341">
        <v>14194.38</v>
      </c>
      <c r="Q341">
        <v>18454.080000000002</v>
      </c>
      <c r="R341" s="124"/>
      <c r="S341" t="s">
        <v>120</v>
      </c>
      <c r="T341" t="s">
        <v>112</v>
      </c>
      <c r="U341" t="s">
        <v>130</v>
      </c>
      <c r="V341" s="122">
        <v>42114.84</v>
      </c>
      <c r="W341" s="122">
        <v>3215.9250000000002</v>
      </c>
      <c r="X341" s="122">
        <v>7.636085047455957</v>
      </c>
      <c r="Y341" s="122">
        <v>35806.07</v>
      </c>
      <c r="Z341" s="122">
        <v>48423.61</v>
      </c>
    </row>
    <row r="342" spans="1:26" ht="15" customHeight="1" x14ac:dyDescent="0.35">
      <c r="A342" s="117">
        <v>9000</v>
      </c>
      <c r="B342" s="118" t="s">
        <v>1350</v>
      </c>
      <c r="C342" s="131" t="s">
        <v>1207</v>
      </c>
      <c r="D342" s="120">
        <v>14954.35</v>
      </c>
      <c r="E342" s="120">
        <v>545.75199999999995</v>
      </c>
      <c r="F342" s="121">
        <f t="shared" si="6"/>
        <v>3.6494531691447634</v>
      </c>
      <c r="G342" s="120">
        <v>14056.6</v>
      </c>
      <c r="H342" s="120">
        <v>15852.1</v>
      </c>
      <c r="J342" t="s">
        <v>334</v>
      </c>
      <c r="K342" t="s">
        <v>5</v>
      </c>
      <c r="L342" t="s">
        <v>658</v>
      </c>
      <c r="M342">
        <v>14230.9</v>
      </c>
      <c r="N342">
        <v>1330.2449999999999</v>
      </c>
      <c r="O342" s="122">
        <v>9.347581670871131</v>
      </c>
      <c r="P342">
        <v>11569.09</v>
      </c>
      <c r="Q342">
        <v>16892.72</v>
      </c>
      <c r="R342" s="124"/>
      <c r="S342" t="s">
        <v>554</v>
      </c>
      <c r="T342" t="s">
        <v>440</v>
      </c>
      <c r="U342" t="s">
        <v>753</v>
      </c>
      <c r="V342" s="122">
        <v>32700.17</v>
      </c>
      <c r="W342" s="122">
        <v>2498.989</v>
      </c>
      <c r="X342" s="122">
        <v>7.6421284659988018</v>
      </c>
      <c r="Y342" s="122">
        <v>27748.26</v>
      </c>
      <c r="Z342" s="122">
        <v>37652.089999999997</v>
      </c>
    </row>
    <row r="343" spans="1:26" ht="15" customHeight="1" x14ac:dyDescent="0.35">
      <c r="A343" s="170"/>
      <c r="B343" s="171"/>
      <c r="C343" s="171"/>
      <c r="D343" s="120"/>
      <c r="E343" s="120"/>
      <c r="F343" s="121"/>
      <c r="G343" s="120"/>
      <c r="H343" s="120"/>
      <c r="S343" t="s">
        <v>349</v>
      </c>
      <c r="T343" t="s">
        <v>304</v>
      </c>
      <c r="U343" t="s">
        <v>752</v>
      </c>
      <c r="V343" s="122">
        <v>16863.21</v>
      </c>
      <c r="W343" s="122">
        <v>1298.317</v>
      </c>
      <c r="X343" s="122">
        <v>7.6991094815281329</v>
      </c>
      <c r="Y343" s="122">
        <v>14295.01</v>
      </c>
      <c r="Z343" s="122">
        <v>19431.41</v>
      </c>
    </row>
    <row r="344" spans="1:26" ht="30" customHeight="1" x14ac:dyDescent="0.35">
      <c r="A344" s="6" t="s">
        <v>1182</v>
      </c>
      <c r="B344" s="172"/>
      <c r="C344" s="173" t="s">
        <v>1326</v>
      </c>
      <c r="D344" s="120"/>
      <c r="E344" s="120"/>
      <c r="F344" s="121"/>
      <c r="G344" s="120"/>
      <c r="H344" s="120"/>
    </row>
    <row r="345" spans="1:26" ht="15" customHeight="1" x14ac:dyDescent="0.35">
      <c r="A345" s="139">
        <v>4110</v>
      </c>
      <c r="B345" s="171"/>
      <c r="C345" s="116" t="s">
        <v>1156</v>
      </c>
      <c r="D345" s="120">
        <v>16178.68</v>
      </c>
      <c r="E345" s="120">
        <v>1323.2729999999999</v>
      </c>
      <c r="F345" s="121">
        <f t="shared" ref="F345:F346" si="7">E345/D345*100</f>
        <v>8.1791159723784634</v>
      </c>
      <c r="G345" s="120">
        <v>14001.91</v>
      </c>
      <c r="H345" s="120">
        <v>18355.439999999999</v>
      </c>
    </row>
    <row r="346" spans="1:26" ht="15" customHeight="1" x14ac:dyDescent="0.35">
      <c r="A346" s="139">
        <v>9000</v>
      </c>
      <c r="B346" s="118" t="s">
        <v>1350</v>
      </c>
      <c r="C346" s="116" t="s">
        <v>1207</v>
      </c>
      <c r="D346" s="120">
        <v>13692.81</v>
      </c>
      <c r="E346" s="120">
        <v>266.62049999999999</v>
      </c>
      <c r="F346" s="121">
        <f t="shared" si="7"/>
        <v>1.9471569385684895</v>
      </c>
      <c r="G346" s="120">
        <v>13254.22</v>
      </c>
      <c r="H346" s="120">
        <v>14131.39</v>
      </c>
    </row>
    <row r="347" spans="1:26" ht="15" customHeight="1" x14ac:dyDescent="0.35">
      <c r="A347" s="170"/>
      <c r="B347" s="171"/>
      <c r="C347" s="171"/>
      <c r="D347" s="120"/>
      <c r="E347" s="120"/>
      <c r="F347" s="121"/>
      <c r="G347" s="120"/>
      <c r="H347" s="120"/>
    </row>
    <row r="348" spans="1:26" ht="15" customHeight="1" x14ac:dyDescent="0.35">
      <c r="A348" s="6" t="s">
        <v>385</v>
      </c>
      <c r="B348" s="136"/>
      <c r="C348" s="126" t="s">
        <v>751</v>
      </c>
      <c r="D348" s="120"/>
      <c r="E348" s="120"/>
      <c r="F348" s="121"/>
      <c r="G348" s="120"/>
      <c r="H348" s="120"/>
      <c r="S348" t="s">
        <v>598</v>
      </c>
      <c r="T348" t="s">
        <v>492</v>
      </c>
      <c r="U348" t="s">
        <v>750</v>
      </c>
      <c r="V348" s="122">
        <v>16461.830000000002</v>
      </c>
      <c r="W348" s="122">
        <v>1268.2809999999999</v>
      </c>
      <c r="X348" s="122">
        <v>7.7043743010345738</v>
      </c>
      <c r="Y348" s="122">
        <v>13942.91</v>
      </c>
      <c r="Z348" s="122">
        <v>18980.740000000002</v>
      </c>
    </row>
    <row r="349" spans="1:26" ht="15" customHeight="1" x14ac:dyDescent="0.35">
      <c r="A349" s="139">
        <v>2144</v>
      </c>
      <c r="B349" s="3"/>
      <c r="C349" s="116" t="s">
        <v>1214</v>
      </c>
      <c r="D349" s="120">
        <v>29409.74</v>
      </c>
      <c r="E349" s="120">
        <v>1309.827</v>
      </c>
      <c r="F349" s="121">
        <f t="shared" ref="F349:F360" si="8">E349/D349*100</f>
        <v>4.4537183939742411</v>
      </c>
      <c r="G349" s="120">
        <v>27255.1</v>
      </c>
      <c r="H349" s="120">
        <v>31564.39</v>
      </c>
      <c r="J349" t="s">
        <v>385</v>
      </c>
      <c r="K349" t="s">
        <v>404</v>
      </c>
      <c r="L349" t="s">
        <v>749</v>
      </c>
      <c r="M349">
        <v>28147.03</v>
      </c>
      <c r="N349">
        <v>1662.768</v>
      </c>
      <c r="O349" s="122">
        <v>5.9074367704159201</v>
      </c>
      <c r="P349">
        <v>24602.93</v>
      </c>
      <c r="Q349">
        <v>31691.14</v>
      </c>
      <c r="R349" s="124"/>
      <c r="S349" t="s">
        <v>402</v>
      </c>
      <c r="T349" t="s">
        <v>101</v>
      </c>
      <c r="U349" t="s">
        <v>661</v>
      </c>
      <c r="V349" s="122">
        <v>23611.09</v>
      </c>
      <c r="W349" s="122">
        <v>1821.252</v>
      </c>
      <c r="X349" s="122">
        <v>7.7135447791694496</v>
      </c>
      <c r="Y349" s="122">
        <v>20010.599999999999</v>
      </c>
      <c r="Z349" s="122">
        <v>27211.58</v>
      </c>
    </row>
    <row r="350" spans="1:26" ht="15" customHeight="1" x14ac:dyDescent="0.35">
      <c r="A350" s="139">
        <v>3115</v>
      </c>
      <c r="B350" s="3"/>
      <c r="C350" s="116" t="s">
        <v>1215</v>
      </c>
      <c r="D350" s="120">
        <v>22937.96</v>
      </c>
      <c r="E350" s="120">
        <v>1390.1469999999999</v>
      </c>
      <c r="F350" s="121">
        <f t="shared" si="8"/>
        <v>6.0604648364545062</v>
      </c>
      <c r="G350" s="120">
        <v>20651.189999999999</v>
      </c>
      <c r="H350" s="120">
        <v>25224.73</v>
      </c>
      <c r="J350" t="s">
        <v>385</v>
      </c>
      <c r="K350" t="s">
        <v>440</v>
      </c>
      <c r="L350" t="s">
        <v>748</v>
      </c>
      <c r="M350">
        <v>30699.8</v>
      </c>
      <c r="N350">
        <v>1059.7539999999999</v>
      </c>
      <c r="O350" s="122">
        <v>3.4519899152437472</v>
      </c>
      <c r="P350">
        <v>28440.99</v>
      </c>
      <c r="Q350">
        <v>32958.620000000003</v>
      </c>
      <c r="R350" s="124"/>
      <c r="S350" t="s">
        <v>6</v>
      </c>
      <c r="T350" t="s">
        <v>5</v>
      </c>
      <c r="U350" t="s">
        <v>4</v>
      </c>
      <c r="V350" s="122">
        <v>13135.7</v>
      </c>
      <c r="W350" s="122">
        <v>1016.123</v>
      </c>
      <c r="X350" s="122">
        <v>7.7355831817109104</v>
      </c>
      <c r="Y350" s="122">
        <v>11111.04</v>
      </c>
      <c r="Z350" s="122">
        <v>15160.37</v>
      </c>
    </row>
    <row r="351" spans="1:26" ht="15" customHeight="1" x14ac:dyDescent="0.35">
      <c r="A351" s="117">
        <v>3122</v>
      </c>
      <c r="B351" s="130"/>
      <c r="C351" s="116" t="s">
        <v>729</v>
      </c>
      <c r="D351" s="120">
        <v>32562.81</v>
      </c>
      <c r="E351" s="120">
        <v>4286.317</v>
      </c>
      <c r="F351" s="121">
        <f t="shared" si="8"/>
        <v>13.163228234909703</v>
      </c>
      <c r="G351" s="120">
        <v>25511.88</v>
      </c>
      <c r="H351" s="120">
        <v>39613.74</v>
      </c>
      <c r="J351" t="s">
        <v>385</v>
      </c>
      <c r="K351" t="s">
        <v>320</v>
      </c>
      <c r="L351" t="s">
        <v>747</v>
      </c>
      <c r="M351">
        <v>22114.560000000001</v>
      </c>
      <c r="N351">
        <v>1321.0909999999999</v>
      </c>
      <c r="O351" s="122">
        <v>5.9738516163107009</v>
      </c>
      <c r="P351">
        <v>19298.72</v>
      </c>
      <c r="Q351">
        <v>24930.400000000001</v>
      </c>
      <c r="R351" s="124"/>
      <c r="S351" t="s">
        <v>598</v>
      </c>
      <c r="T351" t="s">
        <v>168</v>
      </c>
      <c r="U351" t="s">
        <v>746</v>
      </c>
      <c r="V351" s="122">
        <v>31551.96</v>
      </c>
      <c r="W351" s="122">
        <v>2441.8580000000002</v>
      </c>
      <c r="X351" s="122">
        <v>7.7391642230783759</v>
      </c>
      <c r="Y351" s="122">
        <v>26702.22</v>
      </c>
      <c r="Z351" s="122">
        <v>36401.699999999997</v>
      </c>
    </row>
    <row r="352" spans="1:26" ht="15" customHeight="1" x14ac:dyDescent="0.35">
      <c r="A352" s="139">
        <v>3257</v>
      </c>
      <c r="B352" s="3"/>
      <c r="C352" s="116" t="s">
        <v>727</v>
      </c>
      <c r="D352" s="120">
        <v>25761.55</v>
      </c>
      <c r="E352" s="120">
        <v>3000.95</v>
      </c>
      <c r="F352" s="121">
        <f t="shared" si="8"/>
        <v>11.648949694408914</v>
      </c>
      <c r="G352" s="120">
        <v>20825.03</v>
      </c>
      <c r="H352" s="120">
        <v>30698.07</v>
      </c>
      <c r="J352" t="s">
        <v>385</v>
      </c>
      <c r="K352" t="s">
        <v>14</v>
      </c>
      <c r="L352" t="s">
        <v>694</v>
      </c>
      <c r="M352">
        <v>21586.15</v>
      </c>
      <c r="N352">
        <v>1837.183</v>
      </c>
      <c r="O352" s="122">
        <v>8.5109340943151057</v>
      </c>
      <c r="P352">
        <v>17670.29</v>
      </c>
      <c r="Q352">
        <v>25502.01</v>
      </c>
      <c r="R352" s="124"/>
      <c r="S352" t="s">
        <v>554</v>
      </c>
      <c r="T352" t="s">
        <v>14</v>
      </c>
      <c r="U352" t="s">
        <v>745</v>
      </c>
      <c r="V352" s="122">
        <v>21596.32</v>
      </c>
      <c r="W352" s="122">
        <v>1671.87</v>
      </c>
      <c r="X352" s="122">
        <v>7.7414578039221498</v>
      </c>
      <c r="Y352" s="122">
        <v>18283.400000000001</v>
      </c>
      <c r="Z352" s="122">
        <v>24909.24</v>
      </c>
    </row>
    <row r="353" spans="1:26" ht="15" customHeight="1" x14ac:dyDescent="0.35">
      <c r="A353" s="139">
        <v>4110</v>
      </c>
      <c r="B353" s="3"/>
      <c r="C353" s="116" t="s">
        <v>1156</v>
      </c>
      <c r="D353" s="120">
        <v>25681.61</v>
      </c>
      <c r="E353" s="120">
        <v>1789.21</v>
      </c>
      <c r="F353" s="121">
        <f t="shared" si="8"/>
        <v>6.9668918732119982</v>
      </c>
      <c r="G353" s="120">
        <v>22738.39</v>
      </c>
      <c r="H353" s="120">
        <v>28624.84</v>
      </c>
      <c r="J353" t="s">
        <v>385</v>
      </c>
      <c r="K353" t="s">
        <v>304</v>
      </c>
      <c r="L353" t="s">
        <v>744</v>
      </c>
      <c r="M353">
        <v>19609.59</v>
      </c>
      <c r="N353">
        <v>745.70899999999995</v>
      </c>
      <c r="O353" s="122">
        <v>3.8027771105872175</v>
      </c>
      <c r="P353">
        <v>18020.150000000001</v>
      </c>
      <c r="Q353">
        <v>21199.03</v>
      </c>
      <c r="R353" s="124"/>
      <c r="S353" t="s">
        <v>279</v>
      </c>
      <c r="T353" t="s">
        <v>255</v>
      </c>
      <c r="U353" t="s">
        <v>281</v>
      </c>
      <c r="V353" s="122">
        <v>24127.06</v>
      </c>
      <c r="W353" s="122">
        <v>1877.4290000000001</v>
      </c>
      <c r="X353" s="122">
        <v>7.7814246742039845</v>
      </c>
      <c r="Y353" s="122">
        <v>20434.490000000002</v>
      </c>
      <c r="Z353" s="122">
        <v>27819.64</v>
      </c>
    </row>
    <row r="354" spans="1:26" ht="15" customHeight="1" x14ac:dyDescent="0.35">
      <c r="A354" s="139">
        <v>4322</v>
      </c>
      <c r="B354" s="3"/>
      <c r="C354" s="116" t="s">
        <v>720</v>
      </c>
      <c r="D354" s="120">
        <v>19173.400000000001</v>
      </c>
      <c r="E354" s="120">
        <v>2944.5419999999999</v>
      </c>
      <c r="F354" s="121">
        <f t="shared" si="8"/>
        <v>15.357432693210384</v>
      </c>
      <c r="G354" s="120">
        <v>14329.68</v>
      </c>
      <c r="H354" s="120">
        <v>24017.13</v>
      </c>
      <c r="O354" s="122"/>
      <c r="R354" s="124"/>
    </row>
    <row r="355" spans="1:26" ht="15" customHeight="1" x14ac:dyDescent="0.35">
      <c r="A355" s="139">
        <v>7126</v>
      </c>
      <c r="B355" s="3"/>
      <c r="C355" s="116" t="s">
        <v>631</v>
      </c>
      <c r="D355" s="120">
        <v>16882.55</v>
      </c>
      <c r="E355" s="120">
        <v>736.5462</v>
      </c>
      <c r="F355" s="121">
        <f t="shared" si="8"/>
        <v>4.3627662882680642</v>
      </c>
      <c r="G355" s="120">
        <v>15670.94</v>
      </c>
      <c r="H355" s="120">
        <v>18094.150000000001</v>
      </c>
      <c r="J355" t="s">
        <v>385</v>
      </c>
      <c r="K355" t="s">
        <v>630</v>
      </c>
      <c r="L355" t="s">
        <v>743</v>
      </c>
      <c r="M355">
        <v>12514.87</v>
      </c>
      <c r="N355">
        <v>853.24649999999997</v>
      </c>
      <c r="O355" s="122">
        <v>6.8178614719929174</v>
      </c>
      <c r="P355">
        <v>10696.21</v>
      </c>
      <c r="Q355">
        <v>14333.52</v>
      </c>
      <c r="R355" s="124"/>
      <c r="S355" t="s">
        <v>96</v>
      </c>
      <c r="T355" t="s">
        <v>112</v>
      </c>
      <c r="U355" t="s">
        <v>111</v>
      </c>
      <c r="V355" s="122">
        <v>41069.32</v>
      </c>
      <c r="W355" s="122">
        <v>3196.9430000000002</v>
      </c>
      <c r="X355" s="122">
        <v>7.784260854574657</v>
      </c>
      <c r="Y355" s="122">
        <v>34797.78</v>
      </c>
      <c r="Z355" s="122">
        <v>47340.85</v>
      </c>
    </row>
    <row r="356" spans="1:26" ht="15" customHeight="1" x14ac:dyDescent="0.35">
      <c r="A356" s="139">
        <v>7212</v>
      </c>
      <c r="B356" s="3"/>
      <c r="C356" s="116" t="s">
        <v>718</v>
      </c>
      <c r="D356" s="120">
        <v>15136.88</v>
      </c>
      <c r="E356" s="120">
        <v>870.64409999999998</v>
      </c>
      <c r="F356" s="121">
        <f t="shared" si="8"/>
        <v>5.751806845267982</v>
      </c>
      <c r="G356" s="120">
        <v>13704.68</v>
      </c>
      <c r="H356" s="120">
        <v>16569.07</v>
      </c>
      <c r="J356" t="s">
        <v>385</v>
      </c>
      <c r="K356" t="s">
        <v>580</v>
      </c>
      <c r="L356" t="s">
        <v>742</v>
      </c>
      <c r="M356">
        <v>13055.75</v>
      </c>
      <c r="N356">
        <v>872.25220000000002</v>
      </c>
      <c r="O356" s="122">
        <v>6.6809811768760898</v>
      </c>
      <c r="P356">
        <v>11196.59</v>
      </c>
      <c r="Q356">
        <v>14914.92</v>
      </c>
      <c r="R356" s="124"/>
      <c r="S356" t="s">
        <v>474</v>
      </c>
      <c r="T356" t="s">
        <v>320</v>
      </c>
      <c r="U356" t="s">
        <v>741</v>
      </c>
      <c r="V356" s="122">
        <v>17063.77</v>
      </c>
      <c r="W356" s="122">
        <v>1332.336</v>
      </c>
      <c r="X356" s="122">
        <v>7.8079814718552809</v>
      </c>
      <c r="Y356" s="122">
        <v>14425.15</v>
      </c>
      <c r="Z356" s="122">
        <v>19702.39</v>
      </c>
    </row>
    <row r="357" spans="1:26" ht="15" customHeight="1" x14ac:dyDescent="0.35">
      <c r="A357" s="117">
        <v>7214</v>
      </c>
      <c r="B357" s="130"/>
      <c r="C357" s="116" t="s">
        <v>1216</v>
      </c>
      <c r="D357" s="120">
        <v>17369.560000000001</v>
      </c>
      <c r="E357" s="120">
        <v>195.5933</v>
      </c>
      <c r="F357" s="121">
        <f t="shared" si="8"/>
        <v>1.1260693995702826</v>
      </c>
      <c r="G357" s="120">
        <v>17047.810000000001</v>
      </c>
      <c r="H357" s="120">
        <v>17691.3</v>
      </c>
      <c r="J357" t="s">
        <v>385</v>
      </c>
      <c r="K357" t="s">
        <v>384</v>
      </c>
      <c r="L357" t="s">
        <v>383</v>
      </c>
      <c r="M357">
        <v>16025.01</v>
      </c>
      <c r="N357">
        <v>2692.1680000000001</v>
      </c>
      <c r="O357" s="122">
        <v>16.79978982852429</v>
      </c>
      <c r="P357">
        <v>10286.790000000001</v>
      </c>
      <c r="Q357">
        <v>21763.23</v>
      </c>
      <c r="R357" s="124"/>
      <c r="S357" t="s">
        <v>496</v>
      </c>
      <c r="T357" t="s">
        <v>445</v>
      </c>
      <c r="U357" t="s">
        <v>524</v>
      </c>
      <c r="V357" s="122">
        <v>18902.37</v>
      </c>
      <c r="W357" s="122">
        <v>1482.079</v>
      </c>
      <c r="X357" s="122">
        <v>7.8407046312182027</v>
      </c>
      <c r="Y357" s="122">
        <v>15990.75</v>
      </c>
      <c r="Z357" s="122">
        <v>21813.99</v>
      </c>
    </row>
    <row r="358" spans="1:26" ht="15" customHeight="1" x14ac:dyDescent="0.35">
      <c r="A358" s="139">
        <v>7215</v>
      </c>
      <c r="B358" s="3"/>
      <c r="C358" s="116" t="s">
        <v>740</v>
      </c>
      <c r="D358" s="120">
        <v>20123.73</v>
      </c>
      <c r="E358" s="120">
        <v>3893.0369999999998</v>
      </c>
      <c r="F358" s="121">
        <f t="shared" si="8"/>
        <v>19.345504039261112</v>
      </c>
      <c r="G358" s="120">
        <v>13719.74</v>
      </c>
      <c r="H358" s="120">
        <v>26527.72</v>
      </c>
      <c r="J358" t="s">
        <v>385</v>
      </c>
      <c r="K358" t="s">
        <v>734</v>
      </c>
      <c r="L358" t="s">
        <v>733</v>
      </c>
      <c r="M358">
        <v>13433.34</v>
      </c>
      <c r="N358">
        <v>1070.8979999999999</v>
      </c>
      <c r="O358" s="122">
        <v>7.9719414531307917</v>
      </c>
      <c r="P358">
        <v>11150.77</v>
      </c>
      <c r="Q358">
        <v>15715.9</v>
      </c>
      <c r="R358" s="124"/>
      <c r="S358" t="s">
        <v>474</v>
      </c>
      <c r="T358" t="s">
        <v>14</v>
      </c>
      <c r="U358" t="s">
        <v>739</v>
      </c>
      <c r="V358" s="122">
        <v>21304.51</v>
      </c>
      <c r="W358" s="122">
        <v>1673.7190000000001</v>
      </c>
      <c r="X358" s="122">
        <v>7.8561722377092931</v>
      </c>
      <c r="Y358" s="122">
        <v>17989.79</v>
      </c>
      <c r="Z358" s="122">
        <v>24619.22</v>
      </c>
    </row>
    <row r="359" spans="1:26" ht="30" customHeight="1" x14ac:dyDescent="0.35">
      <c r="A359" s="117">
        <v>7233</v>
      </c>
      <c r="B359" s="3"/>
      <c r="C359" s="41" t="s">
        <v>1002</v>
      </c>
      <c r="D359" s="120">
        <v>22195.42</v>
      </c>
      <c r="E359" s="120">
        <v>5103.9960000000001</v>
      </c>
      <c r="F359" s="121">
        <f t="shared" si="8"/>
        <v>22.995717134435843</v>
      </c>
      <c r="G359" s="120">
        <v>13799.42</v>
      </c>
      <c r="H359" s="120">
        <v>30591.42</v>
      </c>
      <c r="J359" t="s">
        <v>385</v>
      </c>
      <c r="K359" t="s">
        <v>462</v>
      </c>
      <c r="L359" t="s">
        <v>461</v>
      </c>
      <c r="M359">
        <v>13298.44</v>
      </c>
      <c r="N359">
        <v>1774.1030000000001</v>
      </c>
      <c r="O359" s="122">
        <v>13.340685072835612</v>
      </c>
      <c r="P359">
        <v>9517.0310000000009</v>
      </c>
      <c r="Q359">
        <v>17079.849999999999</v>
      </c>
      <c r="R359" s="124"/>
      <c r="S359" t="s">
        <v>664</v>
      </c>
      <c r="T359" t="s">
        <v>738</v>
      </c>
      <c r="U359" t="s">
        <v>737</v>
      </c>
      <c r="V359" s="122">
        <v>12657.99</v>
      </c>
      <c r="W359" s="122">
        <v>998.69529999999997</v>
      </c>
      <c r="X359" s="122">
        <v>7.8898411201146459</v>
      </c>
      <c r="Y359" s="122">
        <v>10694.66</v>
      </c>
      <c r="Z359" s="122">
        <v>14621.33</v>
      </c>
    </row>
    <row r="360" spans="1:26" ht="15" customHeight="1" x14ac:dyDescent="0.35">
      <c r="A360" s="117">
        <v>9000</v>
      </c>
      <c r="B360" s="118" t="s">
        <v>1350</v>
      </c>
      <c r="C360" s="116" t="s">
        <v>1207</v>
      </c>
      <c r="D360" s="120">
        <v>15929.39</v>
      </c>
      <c r="E360" s="120">
        <v>1826.2619999999999</v>
      </c>
      <c r="F360" s="121">
        <f t="shared" si="8"/>
        <v>11.464732798933293</v>
      </c>
      <c r="G360" s="120">
        <v>12925.22</v>
      </c>
      <c r="H360" s="120">
        <v>18933.57</v>
      </c>
      <c r="J360" t="s">
        <v>385</v>
      </c>
      <c r="K360" t="s">
        <v>5</v>
      </c>
      <c r="L360" t="s">
        <v>456</v>
      </c>
      <c r="M360">
        <v>14308.07</v>
      </c>
      <c r="N360">
        <v>1923.2470000000001</v>
      </c>
      <c r="O360" s="122">
        <v>13.441694092914</v>
      </c>
      <c r="P360">
        <v>10208.76</v>
      </c>
      <c r="Q360">
        <v>18407.37</v>
      </c>
      <c r="R360" s="124"/>
      <c r="S360" t="s">
        <v>581</v>
      </c>
      <c r="T360" t="s">
        <v>736</v>
      </c>
      <c r="U360" t="s">
        <v>735</v>
      </c>
      <c r="V360" s="122">
        <v>13639.7</v>
      </c>
      <c r="W360" s="122">
        <v>1077.546</v>
      </c>
      <c r="X360" s="122">
        <v>7.9000711159336348</v>
      </c>
      <c r="Y360" s="122">
        <v>11511.56</v>
      </c>
      <c r="Z360" s="122">
        <v>15767.85</v>
      </c>
    </row>
    <row r="361" spans="1:26" ht="15" customHeight="1" x14ac:dyDescent="0.35">
      <c r="A361" s="174"/>
      <c r="B361" s="160"/>
      <c r="C361" s="160"/>
      <c r="D361" s="120"/>
      <c r="E361" s="120"/>
      <c r="F361" s="163"/>
      <c r="G361" s="120"/>
      <c r="H361" s="120"/>
      <c r="S361" t="s">
        <v>405</v>
      </c>
      <c r="T361" t="s">
        <v>732</v>
      </c>
      <c r="U361" t="s">
        <v>731</v>
      </c>
      <c r="V361" s="122">
        <v>11974.61</v>
      </c>
      <c r="W361" s="122">
        <v>973.84190000000001</v>
      </c>
      <c r="X361" s="122">
        <v>8.1325563003722046</v>
      </c>
      <c r="Y361" s="122">
        <v>10037.33</v>
      </c>
      <c r="Z361" s="122">
        <v>13911.89</v>
      </c>
    </row>
    <row r="362" spans="1:26" ht="15" customHeight="1" x14ac:dyDescent="0.35">
      <c r="A362" s="135" t="s">
        <v>487</v>
      </c>
      <c r="B362" s="136"/>
      <c r="C362" s="148" t="s">
        <v>730</v>
      </c>
      <c r="D362" s="120"/>
      <c r="E362" s="120"/>
      <c r="F362" s="163"/>
      <c r="G362" s="120"/>
      <c r="H362" s="120"/>
      <c r="S362" t="s">
        <v>438</v>
      </c>
      <c r="T362" t="s">
        <v>144</v>
      </c>
      <c r="U362" t="s">
        <v>460</v>
      </c>
      <c r="V362" s="122">
        <v>29201.4</v>
      </c>
      <c r="W362" s="122">
        <v>2387.2759999999998</v>
      </c>
      <c r="X362" s="122">
        <v>8.175210777565459</v>
      </c>
      <c r="Y362" s="122">
        <v>24511.47</v>
      </c>
      <c r="Z362" s="122">
        <v>33891.33</v>
      </c>
    </row>
    <row r="363" spans="1:26" ht="15" customHeight="1" x14ac:dyDescent="0.35">
      <c r="A363" s="139">
        <v>3122</v>
      </c>
      <c r="B363" s="3"/>
      <c r="C363" s="116" t="s">
        <v>729</v>
      </c>
      <c r="D363" s="120">
        <v>21442.43</v>
      </c>
      <c r="E363" s="120">
        <v>2021.3440000000001</v>
      </c>
      <c r="F363" s="121">
        <f t="shared" ref="F363:F376" si="9">E363/D363*100</f>
        <v>9.4268420137083346</v>
      </c>
      <c r="G363" s="120">
        <v>18117.349999999999</v>
      </c>
      <c r="H363" s="120">
        <v>24767.51</v>
      </c>
      <c r="J363" t="s">
        <v>487</v>
      </c>
      <c r="K363" t="s">
        <v>440</v>
      </c>
      <c r="L363" t="s">
        <v>728</v>
      </c>
      <c r="M363">
        <v>21588.66</v>
      </c>
      <c r="N363">
        <v>1054.807</v>
      </c>
      <c r="O363" s="122">
        <v>4.8859308544393212</v>
      </c>
      <c r="P363">
        <v>19489.53</v>
      </c>
      <c r="Q363">
        <v>23687.79</v>
      </c>
      <c r="R363" s="124"/>
      <c r="S363" t="s">
        <v>279</v>
      </c>
      <c r="T363" t="s">
        <v>14</v>
      </c>
      <c r="U363" t="s">
        <v>280</v>
      </c>
      <c r="V363" s="122">
        <v>36887.360000000001</v>
      </c>
      <c r="W363" s="122">
        <v>3016.221</v>
      </c>
      <c r="X363" s="122">
        <v>8.1768416064473026</v>
      </c>
      <c r="Y363" s="122">
        <v>30954.98</v>
      </c>
      <c r="Z363" s="122">
        <v>42819.73</v>
      </c>
    </row>
    <row r="364" spans="1:26" ht="15" customHeight="1" x14ac:dyDescent="0.35">
      <c r="A364" s="117">
        <v>3432</v>
      </c>
      <c r="B364" s="130"/>
      <c r="C364" s="116" t="s">
        <v>1217</v>
      </c>
      <c r="D364" s="120">
        <v>22878.77</v>
      </c>
      <c r="E364" s="120">
        <v>1746.068</v>
      </c>
      <c r="F364" s="121">
        <f t="shared" si="9"/>
        <v>7.6318263612947721</v>
      </c>
      <c r="G364" s="120">
        <v>20006.52</v>
      </c>
      <c r="H364" s="120">
        <v>25751.03</v>
      </c>
      <c r="J364" t="s">
        <v>487</v>
      </c>
      <c r="K364" t="s">
        <v>320</v>
      </c>
      <c r="L364" t="s">
        <v>726</v>
      </c>
      <c r="M364">
        <v>15175.72</v>
      </c>
      <c r="N364">
        <v>953.66780000000006</v>
      </c>
      <c r="O364" s="122">
        <v>6.2841683953051328</v>
      </c>
      <c r="P364">
        <v>13277.86</v>
      </c>
      <c r="Q364">
        <v>17073.580000000002</v>
      </c>
      <c r="R364" s="124"/>
      <c r="S364" t="s">
        <v>554</v>
      </c>
      <c r="T364" t="s">
        <v>725</v>
      </c>
      <c r="U364" t="s">
        <v>724</v>
      </c>
      <c r="V364" s="122">
        <v>13377.9</v>
      </c>
      <c r="W364" s="122">
        <v>1098.6869999999999</v>
      </c>
      <c r="X364" s="122">
        <v>8.2127015450855509</v>
      </c>
      <c r="Y364" s="122">
        <v>11200.78</v>
      </c>
      <c r="Z364" s="122">
        <v>15555.02</v>
      </c>
    </row>
    <row r="365" spans="1:26" ht="15" customHeight="1" x14ac:dyDescent="0.35">
      <c r="A365" s="139">
        <v>4110</v>
      </c>
      <c r="B365" s="3"/>
      <c r="C365" s="116" t="s">
        <v>1156</v>
      </c>
      <c r="D365" s="120">
        <v>19386.240000000002</v>
      </c>
      <c r="E365" s="120">
        <v>637.68619999999999</v>
      </c>
      <c r="F365" s="121">
        <f t="shared" si="9"/>
        <v>3.2893753507642529</v>
      </c>
      <c r="G365" s="120">
        <v>18337.259999999998</v>
      </c>
      <c r="H365" s="120">
        <v>20435.23</v>
      </c>
      <c r="J365" t="s">
        <v>487</v>
      </c>
      <c r="K365" t="s">
        <v>723</v>
      </c>
      <c r="L365" t="s">
        <v>722</v>
      </c>
      <c r="M365">
        <v>16872.95</v>
      </c>
      <c r="N365">
        <v>959.58069999999998</v>
      </c>
      <c r="O365" s="122">
        <v>5.6870950248770962</v>
      </c>
      <c r="P365">
        <v>14963.32</v>
      </c>
      <c r="Q365">
        <v>18782.57</v>
      </c>
      <c r="R365" s="124"/>
      <c r="S365" t="s">
        <v>229</v>
      </c>
      <c r="T365" t="s">
        <v>101</v>
      </c>
      <c r="U365" t="s">
        <v>232</v>
      </c>
      <c r="V365" s="122">
        <v>17973.98</v>
      </c>
      <c r="W365" s="122">
        <v>1484.8230000000001</v>
      </c>
      <c r="X365" s="122">
        <v>8.2609583408905554</v>
      </c>
      <c r="Y365" s="122">
        <v>15055.57</v>
      </c>
      <c r="Z365" s="122">
        <v>20892.400000000001</v>
      </c>
    </row>
    <row r="366" spans="1:26" ht="15" customHeight="1" x14ac:dyDescent="0.35">
      <c r="A366" s="139">
        <v>4322</v>
      </c>
      <c r="B366" s="3"/>
      <c r="C366" s="116" t="s">
        <v>720</v>
      </c>
      <c r="D366" s="120">
        <v>15625.5</v>
      </c>
      <c r="E366" s="120">
        <v>360.40800000000002</v>
      </c>
      <c r="F366" s="121">
        <f t="shared" si="9"/>
        <v>2.3065373908034941</v>
      </c>
      <c r="G366" s="120">
        <v>15032.63</v>
      </c>
      <c r="H366" s="120">
        <v>16218.36</v>
      </c>
      <c r="J366" t="s">
        <v>487</v>
      </c>
      <c r="K366" t="s">
        <v>14</v>
      </c>
      <c r="L366" t="s">
        <v>624</v>
      </c>
      <c r="M366">
        <v>19074.990000000002</v>
      </c>
      <c r="N366">
        <v>1889.4480000000001</v>
      </c>
      <c r="O366" s="122">
        <v>9.9053682334826902</v>
      </c>
      <c r="P366">
        <v>15314.87</v>
      </c>
      <c r="Q366">
        <v>22835.11</v>
      </c>
      <c r="R366" s="124"/>
      <c r="S366" t="s">
        <v>396</v>
      </c>
      <c r="T366" t="s">
        <v>404</v>
      </c>
      <c r="U366" t="s">
        <v>721</v>
      </c>
      <c r="V366" s="122">
        <v>30883.47</v>
      </c>
      <c r="W366" s="122">
        <v>2552.9830000000002</v>
      </c>
      <c r="X366" s="122">
        <v>8.2665030840122569</v>
      </c>
      <c r="Y366" s="122">
        <v>25802.87</v>
      </c>
      <c r="Z366" s="122">
        <v>35964.07</v>
      </c>
    </row>
    <row r="367" spans="1:26" ht="15" customHeight="1" x14ac:dyDescent="0.35">
      <c r="A367" s="139">
        <v>7115</v>
      </c>
      <c r="B367" s="3"/>
      <c r="C367" s="116" t="s">
        <v>635</v>
      </c>
      <c r="D367" s="120">
        <v>15690.01</v>
      </c>
      <c r="E367" s="120">
        <v>159.73400000000001</v>
      </c>
      <c r="F367" s="121">
        <f t="shared" si="9"/>
        <v>1.0180618113054103</v>
      </c>
      <c r="G367" s="120">
        <v>15427.25</v>
      </c>
      <c r="H367" s="120">
        <v>15952.77</v>
      </c>
      <c r="J367" t="s">
        <v>487</v>
      </c>
      <c r="K367" t="s">
        <v>304</v>
      </c>
      <c r="L367" t="s">
        <v>486</v>
      </c>
      <c r="M367">
        <v>16208.78</v>
      </c>
      <c r="N367">
        <v>2068.4250000000002</v>
      </c>
      <c r="O367" s="122">
        <v>12.761139333126861</v>
      </c>
      <c r="P367">
        <v>12092.49</v>
      </c>
      <c r="Q367">
        <v>20325.080000000002</v>
      </c>
      <c r="R367" s="124"/>
      <c r="S367" t="s">
        <v>568</v>
      </c>
      <c r="T367" t="s">
        <v>300</v>
      </c>
      <c r="U367" t="s">
        <v>719</v>
      </c>
      <c r="V367" s="122">
        <v>12860.55</v>
      </c>
      <c r="W367" s="122">
        <v>1065.3969999999999</v>
      </c>
      <c r="X367" s="122">
        <v>8.2842257912764232</v>
      </c>
      <c r="Y367" s="122">
        <v>10744.58</v>
      </c>
      <c r="Z367" s="122">
        <v>14976.52</v>
      </c>
    </row>
    <row r="368" spans="1:26" ht="15" customHeight="1" x14ac:dyDescent="0.35">
      <c r="A368" s="139">
        <v>7132</v>
      </c>
      <c r="B368" s="3"/>
      <c r="C368" s="116" t="s">
        <v>1218</v>
      </c>
      <c r="D368" s="120">
        <v>15865.47</v>
      </c>
      <c r="E368" s="120">
        <v>522.29600000000005</v>
      </c>
      <c r="F368" s="121">
        <f t="shared" si="9"/>
        <v>3.2920297980456934</v>
      </c>
      <c r="G368" s="120">
        <v>15006.3</v>
      </c>
      <c r="H368" s="120">
        <v>16724.64</v>
      </c>
      <c r="J368" t="s">
        <v>487</v>
      </c>
      <c r="K368" t="s">
        <v>580</v>
      </c>
      <c r="L368" t="s">
        <v>655</v>
      </c>
      <c r="M368">
        <v>13926.36</v>
      </c>
      <c r="N368">
        <v>1311.3119999999999</v>
      </c>
      <c r="O368" s="122">
        <v>9.4160426701593227</v>
      </c>
      <c r="P368">
        <v>11316.77</v>
      </c>
      <c r="Q368">
        <v>16535.95</v>
      </c>
      <c r="R368" s="124"/>
      <c r="S368" t="s">
        <v>441</v>
      </c>
      <c r="T368" t="s">
        <v>14</v>
      </c>
      <c r="U368" t="s">
        <v>717</v>
      </c>
      <c r="V368" s="122">
        <v>19929.759999999998</v>
      </c>
      <c r="W368" s="122">
        <v>1652.297</v>
      </c>
      <c r="X368" s="122">
        <v>8.2906015927938927</v>
      </c>
      <c r="Y368" s="122">
        <v>16640.95</v>
      </c>
      <c r="Z368" s="122">
        <v>23218.58</v>
      </c>
    </row>
    <row r="369" spans="1:26" ht="15" customHeight="1" x14ac:dyDescent="0.35">
      <c r="A369" s="139">
        <v>7212</v>
      </c>
      <c r="B369" s="3"/>
      <c r="C369" s="116" t="s">
        <v>718</v>
      </c>
      <c r="D369" s="120">
        <v>14234.65</v>
      </c>
      <c r="E369" s="120">
        <v>274.27550000000002</v>
      </c>
      <c r="F369" s="121">
        <f t="shared" si="9"/>
        <v>1.9268159034468708</v>
      </c>
      <c r="G369" s="120">
        <v>13783.48</v>
      </c>
      <c r="H369" s="120">
        <v>14685.83</v>
      </c>
      <c r="O369" s="122"/>
      <c r="R369" s="124"/>
    </row>
    <row r="370" spans="1:26" ht="15" customHeight="1" x14ac:dyDescent="0.35">
      <c r="A370" s="139">
        <v>7317</v>
      </c>
      <c r="B370" s="3"/>
      <c r="C370" s="116" t="s">
        <v>1219</v>
      </c>
      <c r="D370" s="120">
        <v>14490.79</v>
      </c>
      <c r="E370" s="120">
        <v>352.96769999999998</v>
      </c>
      <c r="F370" s="121">
        <f t="shared" si="9"/>
        <v>2.4358071575117708</v>
      </c>
      <c r="G370" s="120">
        <v>13910.17</v>
      </c>
      <c r="H370" s="120">
        <v>15071.42</v>
      </c>
      <c r="O370" s="122"/>
      <c r="R370" s="124"/>
    </row>
    <row r="371" spans="1:26" ht="15" customHeight="1" x14ac:dyDescent="0.35">
      <c r="A371" s="139">
        <v>7522</v>
      </c>
      <c r="B371" s="3"/>
      <c r="C371" s="116" t="s">
        <v>713</v>
      </c>
      <c r="D371" s="120">
        <v>13704.98</v>
      </c>
      <c r="E371" s="120">
        <v>462.30860000000001</v>
      </c>
      <c r="F371" s="121">
        <f t="shared" si="9"/>
        <v>3.3732891255587387</v>
      </c>
      <c r="G371" s="120">
        <v>12944.49</v>
      </c>
      <c r="H371" s="120">
        <v>14465.47</v>
      </c>
      <c r="J371" t="s">
        <v>487</v>
      </c>
      <c r="K371" t="s">
        <v>716</v>
      </c>
      <c r="L371" t="s">
        <v>715</v>
      </c>
      <c r="M371">
        <v>11810.47</v>
      </c>
      <c r="N371">
        <v>150.33080000000001</v>
      </c>
      <c r="O371" s="122">
        <v>1.2728604365448626</v>
      </c>
      <c r="P371">
        <v>11511.31</v>
      </c>
      <c r="Q371">
        <v>12109.64</v>
      </c>
      <c r="R371" s="124"/>
      <c r="S371" t="s">
        <v>614</v>
      </c>
      <c r="T371" t="s">
        <v>5</v>
      </c>
      <c r="U371" t="s">
        <v>714</v>
      </c>
      <c r="V371" s="122">
        <v>11182.93</v>
      </c>
      <c r="W371" s="122">
        <v>928.18780000000004</v>
      </c>
      <c r="X371" s="122">
        <v>8.3000412235433814</v>
      </c>
      <c r="Y371" s="122">
        <v>9319.52</v>
      </c>
      <c r="Z371" s="122">
        <v>13046.35</v>
      </c>
    </row>
    <row r="372" spans="1:26" ht="15" customHeight="1" x14ac:dyDescent="0.35">
      <c r="A372" s="139">
        <v>7523</v>
      </c>
      <c r="B372" s="3"/>
      <c r="C372" s="116" t="s">
        <v>710</v>
      </c>
      <c r="D372" s="120">
        <v>16027.5</v>
      </c>
      <c r="E372" s="120">
        <v>393.3492</v>
      </c>
      <c r="F372" s="121">
        <f t="shared" si="9"/>
        <v>2.45421431913898</v>
      </c>
      <c r="G372" s="120">
        <v>15380.45</v>
      </c>
      <c r="H372" s="120">
        <v>16674.560000000001</v>
      </c>
      <c r="J372" t="s">
        <v>487</v>
      </c>
      <c r="K372" t="s">
        <v>712</v>
      </c>
      <c r="L372" t="s">
        <v>711</v>
      </c>
      <c r="M372">
        <v>12982.62</v>
      </c>
      <c r="N372">
        <v>401.21699999999998</v>
      </c>
      <c r="O372" s="122">
        <v>3.0904162642055302</v>
      </c>
      <c r="P372">
        <v>12184.17</v>
      </c>
      <c r="Q372">
        <v>13781.07</v>
      </c>
      <c r="R372" s="124"/>
      <c r="S372" t="s">
        <v>471</v>
      </c>
      <c r="T372" t="s">
        <v>485</v>
      </c>
      <c r="U372" t="s">
        <v>484</v>
      </c>
      <c r="V372" s="122">
        <v>27270.240000000002</v>
      </c>
      <c r="W372" s="122">
        <v>2267.4569999999999</v>
      </c>
      <c r="X372" s="122">
        <v>8.3147673067783767</v>
      </c>
      <c r="Y372" s="122">
        <v>22815.7</v>
      </c>
      <c r="Z372" s="122">
        <v>31724.79</v>
      </c>
    </row>
    <row r="373" spans="1:26" ht="15" customHeight="1" x14ac:dyDescent="0.35">
      <c r="A373" s="139">
        <v>7534</v>
      </c>
      <c r="B373" s="3"/>
      <c r="C373" s="116" t="s">
        <v>707</v>
      </c>
      <c r="D373" s="120">
        <v>16745.41</v>
      </c>
      <c r="E373" s="120">
        <v>754.06569999999999</v>
      </c>
      <c r="F373" s="121">
        <f t="shared" si="9"/>
        <v>4.5031187650824913</v>
      </c>
      <c r="G373" s="120">
        <v>15504.98</v>
      </c>
      <c r="H373" s="120">
        <v>17985.830000000002</v>
      </c>
      <c r="J373" t="s">
        <v>487</v>
      </c>
      <c r="K373" t="s">
        <v>709</v>
      </c>
      <c r="L373" t="s">
        <v>708</v>
      </c>
      <c r="M373">
        <v>12166.84</v>
      </c>
      <c r="N373">
        <v>268.7869</v>
      </c>
      <c r="O373" s="122">
        <v>2.2091759240690267</v>
      </c>
      <c r="P373">
        <v>11631.93</v>
      </c>
      <c r="Q373">
        <v>12701.74</v>
      </c>
      <c r="R373" s="124"/>
      <c r="S373" t="s">
        <v>192</v>
      </c>
      <c r="T373" t="s">
        <v>171</v>
      </c>
      <c r="U373" t="s">
        <v>205</v>
      </c>
      <c r="V373" s="122">
        <v>39022.71</v>
      </c>
      <c r="W373" s="122">
        <v>3259.518</v>
      </c>
      <c r="X373" s="122">
        <v>8.3528745184534863</v>
      </c>
      <c r="Y373" s="122">
        <v>32594.48</v>
      </c>
      <c r="Z373" s="122">
        <v>45450.94</v>
      </c>
    </row>
    <row r="374" spans="1:26" ht="15" customHeight="1" x14ac:dyDescent="0.35">
      <c r="A374" s="139">
        <v>7543</v>
      </c>
      <c r="B374" s="3"/>
      <c r="C374" s="116" t="s">
        <v>1180</v>
      </c>
      <c r="D374" s="120">
        <v>19660.080000000002</v>
      </c>
      <c r="E374" s="120">
        <v>631.81799999999998</v>
      </c>
      <c r="F374" s="121">
        <f t="shared" si="9"/>
        <v>3.2137102188800859</v>
      </c>
      <c r="G374" s="120">
        <v>18620.75</v>
      </c>
      <c r="H374" s="120">
        <v>20699.41</v>
      </c>
      <c r="J374" t="s">
        <v>487</v>
      </c>
      <c r="K374" t="s">
        <v>706</v>
      </c>
      <c r="L374" t="s">
        <v>705</v>
      </c>
      <c r="M374">
        <v>12825.92</v>
      </c>
      <c r="N374">
        <v>224.1987</v>
      </c>
      <c r="O374" s="122">
        <v>1.7480126181981488</v>
      </c>
      <c r="P374">
        <v>12379.75</v>
      </c>
      <c r="Q374">
        <v>13272.09</v>
      </c>
      <c r="R374" s="124"/>
      <c r="S374" t="s">
        <v>704</v>
      </c>
      <c r="T374" t="s">
        <v>703</v>
      </c>
      <c r="U374" t="s">
        <v>702</v>
      </c>
      <c r="V374" s="122">
        <v>10176.89</v>
      </c>
      <c r="W374" s="122">
        <v>852.34860000000003</v>
      </c>
      <c r="X374" s="122">
        <v>8.3753347044136284</v>
      </c>
      <c r="Y374" s="122">
        <v>8501.2559999999994</v>
      </c>
      <c r="Z374" s="122">
        <v>11852.52</v>
      </c>
    </row>
    <row r="375" spans="1:26" ht="15" customHeight="1" x14ac:dyDescent="0.35">
      <c r="A375" s="139">
        <v>8142</v>
      </c>
      <c r="B375" s="3"/>
      <c r="C375" s="116" t="s">
        <v>701</v>
      </c>
      <c r="D375" s="120">
        <v>15064.65</v>
      </c>
      <c r="E375" s="120">
        <v>638.63189999999997</v>
      </c>
      <c r="F375" s="121">
        <f t="shared" si="9"/>
        <v>4.2392747259312369</v>
      </c>
      <c r="G375" s="120">
        <v>14014.11</v>
      </c>
      <c r="H375" s="120">
        <v>16115.19</v>
      </c>
      <c r="J375" t="s">
        <v>487</v>
      </c>
      <c r="K375" t="s">
        <v>700</v>
      </c>
      <c r="L375" t="s">
        <v>699</v>
      </c>
      <c r="M375">
        <v>13800.3</v>
      </c>
      <c r="N375">
        <v>453.73919999999998</v>
      </c>
      <c r="O375" s="122">
        <v>3.2878937414404037</v>
      </c>
      <c r="P375">
        <v>12897.33</v>
      </c>
      <c r="Q375">
        <v>14703.27</v>
      </c>
      <c r="R375" s="124"/>
      <c r="S375" t="s">
        <v>349</v>
      </c>
      <c r="T375" t="s">
        <v>588</v>
      </c>
      <c r="U375" t="s">
        <v>698</v>
      </c>
      <c r="V375" s="122">
        <v>31888.77</v>
      </c>
      <c r="W375" s="122">
        <v>2677.4540000000002</v>
      </c>
      <c r="X375" s="122">
        <v>8.396228515555789</v>
      </c>
      <c r="Y375" s="122">
        <v>26592.5</v>
      </c>
      <c r="Z375" s="122">
        <v>37185.040000000001</v>
      </c>
    </row>
    <row r="376" spans="1:26" ht="15" customHeight="1" x14ac:dyDescent="0.35">
      <c r="A376" s="166">
        <v>9000</v>
      </c>
      <c r="B376" s="167" t="s">
        <v>1350</v>
      </c>
      <c r="C376" s="212" t="s">
        <v>1207</v>
      </c>
      <c r="D376" s="149">
        <v>14244.77</v>
      </c>
      <c r="E376" s="149">
        <v>241.24520000000001</v>
      </c>
      <c r="F376" s="150">
        <f t="shared" si="9"/>
        <v>1.6935703419570833</v>
      </c>
      <c r="G376" s="149">
        <v>13847.93</v>
      </c>
      <c r="H376" s="149">
        <v>14641.62</v>
      </c>
      <c r="J376" t="s">
        <v>487</v>
      </c>
      <c r="K376" t="s">
        <v>5</v>
      </c>
      <c r="L376" t="s">
        <v>697</v>
      </c>
      <c r="M376">
        <v>12391.34</v>
      </c>
      <c r="N376">
        <v>285.30369999999999</v>
      </c>
      <c r="O376" s="122">
        <v>2.3024442877041547</v>
      </c>
      <c r="P376">
        <v>11823.57</v>
      </c>
      <c r="Q376">
        <v>12959.11</v>
      </c>
      <c r="R376" s="124"/>
      <c r="S376" t="s">
        <v>405</v>
      </c>
      <c r="T376" t="s">
        <v>14</v>
      </c>
      <c r="U376" t="s">
        <v>696</v>
      </c>
      <c r="V376" s="122">
        <v>20304.46</v>
      </c>
      <c r="W376" s="122">
        <v>1715.07</v>
      </c>
      <c r="X376" s="122">
        <v>8.4467648979583796</v>
      </c>
      <c r="Y376" s="122">
        <v>16892.64</v>
      </c>
      <c r="Z376" s="122">
        <v>23716.28</v>
      </c>
    </row>
    <row r="377" spans="1:26" ht="15" customHeight="1" x14ac:dyDescent="0.35">
      <c r="A377" s="151"/>
      <c r="B377" s="118"/>
      <c r="C377" s="116"/>
      <c r="D377" s="154"/>
      <c r="E377" s="154"/>
      <c r="F377" s="213"/>
      <c r="G377" s="154"/>
      <c r="H377" s="154"/>
      <c r="O377" s="122"/>
      <c r="R377" s="124"/>
    </row>
    <row r="378" spans="1:26" ht="15" customHeight="1" x14ac:dyDescent="0.35">
      <c r="A378" s="2" t="s">
        <v>94</v>
      </c>
      <c r="B378" s="118"/>
      <c r="C378" s="116"/>
      <c r="D378" s="161"/>
      <c r="E378" s="161"/>
      <c r="F378" s="214"/>
      <c r="G378" s="161"/>
      <c r="H378" s="161"/>
      <c r="O378" s="122"/>
      <c r="R378" s="124"/>
    </row>
    <row r="379" spans="1:26" ht="15" customHeight="1" x14ac:dyDescent="0.35">
      <c r="A379" s="2" t="s">
        <v>93</v>
      </c>
      <c r="B379" s="118"/>
      <c r="C379" s="116"/>
      <c r="D379" s="161"/>
      <c r="E379" s="161"/>
      <c r="F379" s="214"/>
      <c r="G379" s="161"/>
      <c r="H379" s="161"/>
      <c r="O379" s="122"/>
      <c r="R379" s="124"/>
    </row>
    <row r="380" spans="1:26" ht="15" customHeight="1" x14ac:dyDescent="0.35">
      <c r="A380" s="159" t="s">
        <v>965</v>
      </c>
      <c r="B380" s="118"/>
      <c r="C380" s="116"/>
      <c r="D380" s="161"/>
      <c r="E380" s="161"/>
      <c r="F380" s="214"/>
      <c r="G380" s="161"/>
      <c r="H380" s="161"/>
      <c r="O380" s="122"/>
      <c r="R380" s="124"/>
    </row>
    <row r="381" spans="1:26" ht="15" customHeight="1" x14ac:dyDescent="0.35">
      <c r="A381" s="159" t="s">
        <v>0</v>
      </c>
      <c r="B381" s="118"/>
      <c r="C381" s="116"/>
      <c r="D381" s="161"/>
      <c r="E381" s="161"/>
      <c r="F381" s="214"/>
      <c r="G381" s="161"/>
      <c r="H381" s="161"/>
      <c r="O381" s="122"/>
      <c r="R381" s="124"/>
    </row>
    <row r="382" spans="1:26" ht="30" customHeight="1" x14ac:dyDescent="0.35">
      <c r="A382" s="403" t="s">
        <v>1349</v>
      </c>
      <c r="B382" s="403"/>
      <c r="C382" s="403"/>
      <c r="D382" s="403"/>
      <c r="E382" s="403"/>
      <c r="F382" s="403"/>
      <c r="G382" s="403"/>
      <c r="H382" s="403"/>
      <c r="O382" s="122"/>
      <c r="R382" s="124"/>
    </row>
    <row r="383" spans="1:26" ht="15" customHeight="1" x14ac:dyDescent="0.35">
      <c r="A383" s="404" t="s">
        <v>1336</v>
      </c>
      <c r="B383" s="404"/>
      <c r="C383" s="404"/>
      <c r="D383" s="404"/>
      <c r="E383" s="404"/>
      <c r="F383" s="404"/>
      <c r="G383" s="404"/>
      <c r="H383" s="404"/>
      <c r="O383" s="122"/>
      <c r="R383" s="124"/>
    </row>
    <row r="384" spans="1:26" ht="15" customHeight="1" x14ac:dyDescent="0.35">
      <c r="A384" s="123"/>
      <c r="B384" s="123"/>
      <c r="C384" s="123"/>
      <c r="D384" s="123"/>
      <c r="O384" s="122"/>
      <c r="R384" s="124"/>
    </row>
    <row r="385" spans="1:26" ht="25" customHeight="1" x14ac:dyDescent="0.35">
      <c r="A385" s="405" t="s">
        <v>993</v>
      </c>
      <c r="B385" s="406"/>
      <c r="C385" s="409" t="s">
        <v>92</v>
      </c>
      <c r="D385" s="419" t="s">
        <v>91</v>
      </c>
      <c r="E385" s="419" t="s">
        <v>90</v>
      </c>
      <c r="F385" s="420" t="s">
        <v>89</v>
      </c>
      <c r="G385" s="419" t="s">
        <v>1186</v>
      </c>
      <c r="H385" s="419"/>
      <c r="O385" s="122"/>
      <c r="R385" s="124"/>
    </row>
    <row r="386" spans="1:26" ht="25" customHeight="1" x14ac:dyDescent="0.35">
      <c r="A386" s="407"/>
      <c r="B386" s="408"/>
      <c r="C386" s="410"/>
      <c r="D386" s="419"/>
      <c r="E386" s="419"/>
      <c r="F386" s="420"/>
      <c r="G386" s="5" t="s">
        <v>88</v>
      </c>
      <c r="H386" s="5" t="s">
        <v>87</v>
      </c>
      <c r="O386" s="122"/>
      <c r="R386" s="124"/>
    </row>
    <row r="387" spans="1:26" ht="15" customHeight="1" x14ac:dyDescent="0.35">
      <c r="A387" s="132"/>
      <c r="B387" s="130"/>
      <c r="C387" s="131"/>
      <c r="D387" s="120"/>
      <c r="E387" s="120"/>
      <c r="F387" s="121"/>
      <c r="G387" s="120"/>
      <c r="H387" s="120"/>
      <c r="S387" t="s">
        <v>295</v>
      </c>
      <c r="T387" t="s">
        <v>308</v>
      </c>
      <c r="U387" t="s">
        <v>307</v>
      </c>
      <c r="V387" s="122">
        <v>19252.93</v>
      </c>
      <c r="W387" s="122">
        <v>1634.9349999999999</v>
      </c>
      <c r="X387" s="122">
        <v>8.4918763014252878</v>
      </c>
      <c r="Y387" s="122">
        <v>16037.3</v>
      </c>
      <c r="Z387" s="122">
        <v>22468.55</v>
      </c>
    </row>
    <row r="388" spans="1:26" ht="15" customHeight="1" x14ac:dyDescent="0.35">
      <c r="A388" s="417" t="s">
        <v>1052</v>
      </c>
      <c r="B388" s="418"/>
      <c r="C388" s="164" t="s">
        <v>1183</v>
      </c>
      <c r="D388" s="120"/>
      <c r="E388" s="120"/>
      <c r="F388" s="121"/>
      <c r="G388" s="120"/>
      <c r="H388" s="120"/>
    </row>
    <row r="389" spans="1:26" ht="15" customHeight="1" x14ac:dyDescent="0.35">
      <c r="A389" s="139">
        <v>3122</v>
      </c>
      <c r="B389" s="176"/>
      <c r="C389" s="131" t="s">
        <v>729</v>
      </c>
      <c r="D389" s="120">
        <v>23408.23</v>
      </c>
      <c r="E389" s="120">
        <v>1880.9290000000001</v>
      </c>
      <c r="F389" s="121">
        <f t="shared" ref="F389:F394" si="10">E389/D389*100</f>
        <v>8.0353320178415881</v>
      </c>
      <c r="G389" s="120">
        <v>20314.13</v>
      </c>
      <c r="H389" s="120">
        <v>26502.33</v>
      </c>
    </row>
    <row r="390" spans="1:26" ht="15" customHeight="1" x14ac:dyDescent="0.35">
      <c r="A390" s="139">
        <v>4110</v>
      </c>
      <c r="B390" s="176"/>
      <c r="C390" s="131" t="s">
        <v>1156</v>
      </c>
      <c r="D390" s="120">
        <v>21265.01</v>
      </c>
      <c r="E390" s="120">
        <v>981.58519999999999</v>
      </c>
      <c r="F390" s="121">
        <f t="shared" si="10"/>
        <v>4.6159639708610536</v>
      </c>
      <c r="G390" s="120">
        <v>19650.32</v>
      </c>
      <c r="H390" s="120">
        <v>22879.71</v>
      </c>
    </row>
    <row r="391" spans="1:26" ht="15" customHeight="1" x14ac:dyDescent="0.35">
      <c r="A391" s="139">
        <v>4322</v>
      </c>
      <c r="B391" s="176"/>
      <c r="C391" s="131" t="s">
        <v>1220</v>
      </c>
      <c r="D391" s="120">
        <v>14366.08</v>
      </c>
      <c r="E391" s="120">
        <v>266.3544</v>
      </c>
      <c r="F391" s="121">
        <f t="shared" si="10"/>
        <v>1.8540506526484608</v>
      </c>
      <c r="G391" s="120">
        <v>13927.94</v>
      </c>
      <c r="H391" s="120">
        <v>14804.23</v>
      </c>
    </row>
    <row r="392" spans="1:26" ht="15" customHeight="1" x14ac:dyDescent="0.35">
      <c r="A392" s="139">
        <v>7543</v>
      </c>
      <c r="B392" s="130"/>
      <c r="C392" s="131" t="s">
        <v>1176</v>
      </c>
      <c r="D392" s="120">
        <v>16424.91</v>
      </c>
      <c r="E392" s="120">
        <v>1450.114</v>
      </c>
      <c r="F392" s="121">
        <f t="shared" si="10"/>
        <v>8.8287485289112713</v>
      </c>
      <c r="G392" s="120">
        <v>14039.49</v>
      </c>
      <c r="H392" s="120">
        <v>18810.330000000002</v>
      </c>
    </row>
    <row r="393" spans="1:26" ht="15" customHeight="1" x14ac:dyDescent="0.35">
      <c r="A393" s="139">
        <v>8000</v>
      </c>
      <c r="B393" s="130"/>
      <c r="C393" s="131" t="s">
        <v>1221</v>
      </c>
      <c r="D393" s="120">
        <v>16545.5</v>
      </c>
      <c r="E393" s="120">
        <v>1008.078</v>
      </c>
      <c r="F393" s="121">
        <f t="shared" si="10"/>
        <v>6.0927623825209265</v>
      </c>
      <c r="G393" s="120">
        <v>14887.23</v>
      </c>
      <c r="H393" s="120">
        <v>18203.78</v>
      </c>
    </row>
    <row r="394" spans="1:26" ht="15" customHeight="1" x14ac:dyDescent="0.35">
      <c r="A394" s="117">
        <v>9000</v>
      </c>
      <c r="B394" s="118" t="s">
        <v>1350</v>
      </c>
      <c r="C394" s="131" t="s">
        <v>1207</v>
      </c>
      <c r="D394" s="120">
        <v>15768.23</v>
      </c>
      <c r="E394" s="120">
        <v>1086.489</v>
      </c>
      <c r="F394" s="121">
        <f t="shared" si="10"/>
        <v>6.8903675301539877</v>
      </c>
      <c r="G394" s="120">
        <v>13980.97</v>
      </c>
      <c r="H394" s="120">
        <v>17555.48</v>
      </c>
    </row>
    <row r="395" spans="1:26" ht="15" customHeight="1" x14ac:dyDescent="0.35">
      <c r="A395" s="132"/>
      <c r="B395" s="130"/>
      <c r="C395" s="131"/>
      <c r="D395" s="120"/>
      <c r="E395" s="120"/>
      <c r="F395" s="121"/>
      <c r="G395" s="120"/>
      <c r="H395" s="120"/>
    </row>
    <row r="396" spans="1:26" ht="15" customHeight="1" x14ac:dyDescent="0.35">
      <c r="A396" s="417" t="s">
        <v>1184</v>
      </c>
      <c r="B396" s="418"/>
      <c r="C396" s="164" t="s">
        <v>1185</v>
      </c>
      <c r="D396" s="120"/>
      <c r="E396" s="120"/>
      <c r="F396" s="121"/>
      <c r="G396" s="120"/>
      <c r="H396" s="120"/>
    </row>
    <row r="397" spans="1:26" ht="15" customHeight="1" x14ac:dyDescent="0.35">
      <c r="A397" s="139">
        <v>4110</v>
      </c>
      <c r="B397" s="130"/>
      <c r="C397" s="131" t="s">
        <v>1156</v>
      </c>
      <c r="D397" s="120">
        <v>17809.490000000002</v>
      </c>
      <c r="E397" s="120">
        <v>333.51870000000002</v>
      </c>
      <c r="F397" s="121">
        <f t="shared" ref="F397:F403" si="11">E397/D397*100</f>
        <v>1.8727021380174278</v>
      </c>
      <c r="G397" s="120">
        <v>17260.86</v>
      </c>
      <c r="H397" s="120">
        <v>18358.13</v>
      </c>
    </row>
    <row r="398" spans="1:26" ht="15" customHeight="1" x14ac:dyDescent="0.35">
      <c r="A398" s="139">
        <v>7212</v>
      </c>
      <c r="B398" s="130"/>
      <c r="C398" s="131" t="s">
        <v>718</v>
      </c>
      <c r="D398" s="120">
        <v>17643.53</v>
      </c>
      <c r="E398" s="120">
        <v>2110.6840000000002</v>
      </c>
      <c r="F398" s="121">
        <f t="shared" si="11"/>
        <v>11.962934854873149</v>
      </c>
      <c r="G398" s="120">
        <v>14171.49</v>
      </c>
      <c r="H398" s="120">
        <v>21115.58</v>
      </c>
    </row>
    <row r="399" spans="1:26" ht="15" customHeight="1" x14ac:dyDescent="0.35">
      <c r="A399" s="139">
        <v>7231</v>
      </c>
      <c r="B399" s="130"/>
      <c r="C399" s="131" t="s">
        <v>504</v>
      </c>
      <c r="D399" s="120">
        <v>19968.650000000001</v>
      </c>
      <c r="E399" s="120">
        <v>1400.8530000000001</v>
      </c>
      <c r="F399" s="121">
        <f t="shared" si="11"/>
        <v>7.0152614222794227</v>
      </c>
      <c r="G399" s="120">
        <v>17664.27</v>
      </c>
      <c r="H399" s="120">
        <v>22273.03</v>
      </c>
    </row>
    <row r="400" spans="1:26" ht="15" customHeight="1" x14ac:dyDescent="0.35">
      <c r="A400" s="139">
        <v>7412</v>
      </c>
      <c r="B400" s="130"/>
      <c r="C400" s="131" t="s">
        <v>683</v>
      </c>
      <c r="D400" s="120">
        <v>16086.11</v>
      </c>
      <c r="E400" s="120">
        <v>531.14890000000003</v>
      </c>
      <c r="F400" s="121">
        <f t="shared" si="11"/>
        <v>3.3019101572723302</v>
      </c>
      <c r="G400" s="120">
        <v>15212.37</v>
      </c>
      <c r="H400" s="120">
        <v>16959.84</v>
      </c>
    </row>
    <row r="401" spans="1:26" ht="15" customHeight="1" x14ac:dyDescent="0.35">
      <c r="A401" s="139">
        <v>8211</v>
      </c>
      <c r="B401" s="130"/>
      <c r="C401" s="131" t="s">
        <v>1222</v>
      </c>
      <c r="D401" s="120">
        <v>17103.77</v>
      </c>
      <c r="E401" s="120">
        <v>725.58309999999994</v>
      </c>
      <c r="F401" s="121">
        <f t="shared" si="11"/>
        <v>4.2422407457537137</v>
      </c>
      <c r="G401" s="120">
        <v>15910.2</v>
      </c>
      <c r="H401" s="120">
        <v>18297.349999999999</v>
      </c>
    </row>
    <row r="402" spans="1:26" ht="15" customHeight="1" x14ac:dyDescent="0.35">
      <c r="A402" s="139">
        <v>8212</v>
      </c>
      <c r="B402" s="130"/>
      <c r="C402" s="131" t="s">
        <v>791</v>
      </c>
      <c r="D402" s="120">
        <v>21304.42</v>
      </c>
      <c r="E402" s="120">
        <v>1374.087</v>
      </c>
      <c r="F402" s="121">
        <f t="shared" si="11"/>
        <v>6.4497742721932827</v>
      </c>
      <c r="G402" s="120">
        <v>19044.07</v>
      </c>
      <c r="H402" s="120">
        <v>23564.77</v>
      </c>
    </row>
    <row r="403" spans="1:26" ht="15" customHeight="1" x14ac:dyDescent="0.35">
      <c r="A403" s="117">
        <v>9000</v>
      </c>
      <c r="B403" s="118" t="s">
        <v>1350</v>
      </c>
      <c r="C403" s="131" t="s">
        <v>1207</v>
      </c>
      <c r="D403" s="120">
        <v>14599.12</v>
      </c>
      <c r="E403" s="120">
        <v>556.39790000000005</v>
      </c>
      <c r="F403" s="121">
        <f t="shared" si="11"/>
        <v>3.8111742351593794</v>
      </c>
      <c r="G403" s="120">
        <v>13683.85</v>
      </c>
      <c r="H403" s="120">
        <v>15514.38</v>
      </c>
    </row>
    <row r="404" spans="1:26" ht="15" customHeight="1" x14ac:dyDescent="0.35">
      <c r="A404" s="132"/>
      <c r="B404" s="130"/>
      <c r="C404" s="131"/>
      <c r="D404" s="120"/>
      <c r="E404" s="120"/>
      <c r="F404" s="121"/>
      <c r="G404" s="120"/>
      <c r="H404" s="120"/>
    </row>
    <row r="405" spans="1:26" ht="15" customHeight="1" x14ac:dyDescent="0.35">
      <c r="A405" s="4" t="s">
        <v>391</v>
      </c>
      <c r="B405" s="125"/>
      <c r="C405" s="148" t="s">
        <v>695</v>
      </c>
      <c r="D405" s="120"/>
      <c r="E405" s="120"/>
      <c r="F405" s="121"/>
      <c r="G405" s="120"/>
      <c r="H405" s="120"/>
      <c r="S405" t="s">
        <v>385</v>
      </c>
      <c r="T405" t="s">
        <v>14</v>
      </c>
      <c r="U405" t="s">
        <v>694</v>
      </c>
      <c r="V405" s="122">
        <v>21586.15</v>
      </c>
      <c r="W405" s="122">
        <v>1837.183</v>
      </c>
      <c r="X405" s="122">
        <v>8.5109340943151057</v>
      </c>
      <c r="Y405" s="122">
        <v>17670.29</v>
      </c>
      <c r="Z405" s="122">
        <v>25502.01</v>
      </c>
    </row>
    <row r="406" spans="1:26" ht="15" customHeight="1" x14ac:dyDescent="0.35">
      <c r="A406" s="139">
        <v>2141</v>
      </c>
      <c r="B406" s="118"/>
      <c r="C406" s="129" t="s">
        <v>1223</v>
      </c>
      <c r="D406" s="120">
        <v>65805.7</v>
      </c>
      <c r="E406" s="120">
        <v>12618.33</v>
      </c>
      <c r="F406" s="121">
        <f t="shared" ref="F406:F416" si="12">E406/D406*100</f>
        <v>19.175132245383001</v>
      </c>
      <c r="G406" s="120">
        <v>45048.72</v>
      </c>
      <c r="H406" s="120">
        <v>86562.67</v>
      </c>
      <c r="J406" t="s">
        <v>391</v>
      </c>
      <c r="K406" t="s">
        <v>369</v>
      </c>
      <c r="L406" t="s">
        <v>502</v>
      </c>
      <c r="M406">
        <v>63017.29</v>
      </c>
      <c r="N406">
        <v>7841.3019999999997</v>
      </c>
      <c r="O406" s="122">
        <v>12.443096172494881</v>
      </c>
      <c r="P406">
        <v>47549.58</v>
      </c>
      <c r="Q406">
        <v>78485.009999999995</v>
      </c>
      <c r="R406" s="124"/>
      <c r="S406" t="s">
        <v>606</v>
      </c>
      <c r="T406" t="s">
        <v>630</v>
      </c>
      <c r="U406" t="s">
        <v>629</v>
      </c>
      <c r="V406" s="122">
        <v>16586.509999999998</v>
      </c>
      <c r="W406" s="122">
        <v>1412.4010000000001</v>
      </c>
      <c r="X406" s="122">
        <v>8.5153597712840146</v>
      </c>
      <c r="Y406" s="122">
        <v>13812.15</v>
      </c>
      <c r="Z406" s="122">
        <v>19360.87</v>
      </c>
    </row>
    <row r="407" spans="1:26" ht="15" customHeight="1" x14ac:dyDescent="0.35">
      <c r="A407" s="139">
        <v>2144</v>
      </c>
      <c r="B407" s="3"/>
      <c r="C407" s="129" t="s">
        <v>1224</v>
      </c>
      <c r="D407" s="120">
        <v>65629.16</v>
      </c>
      <c r="E407" s="120">
        <v>6310.8280000000004</v>
      </c>
      <c r="F407" s="121">
        <f t="shared" si="12"/>
        <v>9.615890253661636</v>
      </c>
      <c r="G407" s="120">
        <v>55247.94</v>
      </c>
      <c r="H407" s="120">
        <v>76010.38</v>
      </c>
      <c r="J407" t="s">
        <v>391</v>
      </c>
      <c r="K407" t="s">
        <v>168</v>
      </c>
      <c r="L407" t="s">
        <v>693</v>
      </c>
      <c r="M407">
        <v>45391.48</v>
      </c>
      <c r="N407">
        <v>2503.67</v>
      </c>
      <c r="O407" s="122">
        <v>5.5157267399080174</v>
      </c>
      <c r="P407">
        <v>40452.76</v>
      </c>
      <c r="Q407">
        <v>50330.21</v>
      </c>
      <c r="R407" s="124"/>
      <c r="S407" t="s">
        <v>311</v>
      </c>
      <c r="T407" t="s">
        <v>202</v>
      </c>
      <c r="U407" t="s">
        <v>555</v>
      </c>
      <c r="V407" s="122">
        <v>24639.24</v>
      </c>
      <c r="W407" s="122">
        <v>2109.4189999999999</v>
      </c>
      <c r="X407" s="122">
        <v>8.5612177973021879</v>
      </c>
      <c r="Y407" s="122">
        <v>20502.97</v>
      </c>
      <c r="Z407" s="122">
        <v>28775.51</v>
      </c>
    </row>
    <row r="408" spans="1:26" ht="15" customHeight="1" x14ac:dyDescent="0.35">
      <c r="A408" s="139">
        <v>2151</v>
      </c>
      <c r="B408" s="3"/>
      <c r="C408" s="129" t="s">
        <v>169</v>
      </c>
      <c r="D408" s="120">
        <v>56355.5</v>
      </c>
      <c r="E408" s="120">
        <v>7455.8890000000001</v>
      </c>
      <c r="F408" s="121">
        <f t="shared" si="12"/>
        <v>13.230099990240527</v>
      </c>
      <c r="G408" s="120">
        <v>44090.67</v>
      </c>
      <c r="H408" s="120">
        <v>68620.33</v>
      </c>
      <c r="J408" t="s">
        <v>391</v>
      </c>
      <c r="K408" t="s">
        <v>156</v>
      </c>
      <c r="L408" t="s">
        <v>692</v>
      </c>
      <c r="M408">
        <v>32926.74</v>
      </c>
      <c r="N408">
        <v>1898.2049999999999</v>
      </c>
      <c r="O408" s="122">
        <v>5.7649345182669158</v>
      </c>
      <c r="P408">
        <v>29182.35</v>
      </c>
      <c r="Q408">
        <v>36671.129999999997</v>
      </c>
      <c r="R408" s="124"/>
      <c r="S408" t="s">
        <v>54</v>
      </c>
      <c r="T408" t="s">
        <v>73</v>
      </c>
      <c r="U408" t="s">
        <v>72</v>
      </c>
      <c r="V408" s="122">
        <v>22111.8</v>
      </c>
      <c r="W408" s="122">
        <v>1903.3019999999999</v>
      </c>
      <c r="X408" s="122">
        <v>8.6076303150354114</v>
      </c>
      <c r="Y408" s="122">
        <v>18376.419999999998</v>
      </c>
      <c r="Z408" s="122">
        <v>25847.18</v>
      </c>
    </row>
    <row r="409" spans="1:26" ht="15" customHeight="1" x14ac:dyDescent="0.35">
      <c r="A409" s="139">
        <v>3113</v>
      </c>
      <c r="B409" s="3"/>
      <c r="C409" s="129" t="s">
        <v>157</v>
      </c>
      <c r="D409" s="120">
        <v>38802.76</v>
      </c>
      <c r="E409" s="120">
        <v>5733.2879999999996</v>
      </c>
      <c r="F409" s="121">
        <f t="shared" si="12"/>
        <v>14.775464425726415</v>
      </c>
      <c r="G409" s="120">
        <v>29371.58</v>
      </c>
      <c r="H409" s="120">
        <v>48233.93</v>
      </c>
      <c r="O409" s="122"/>
      <c r="R409" s="124"/>
    </row>
    <row r="410" spans="1:26" ht="15" customHeight="1" x14ac:dyDescent="0.35">
      <c r="A410" s="139">
        <v>3131</v>
      </c>
      <c r="B410" s="3"/>
      <c r="C410" s="129" t="s">
        <v>691</v>
      </c>
      <c r="D410" s="120">
        <v>33605.040000000001</v>
      </c>
      <c r="E410" s="120">
        <v>1716.078</v>
      </c>
      <c r="F410" s="121">
        <f t="shared" si="12"/>
        <v>5.1066090086487028</v>
      </c>
      <c r="G410" s="120">
        <v>30782.12</v>
      </c>
      <c r="H410" s="120">
        <v>36427.96</v>
      </c>
      <c r="J410" t="s">
        <v>391</v>
      </c>
      <c r="K410" t="s">
        <v>690</v>
      </c>
      <c r="L410" t="s">
        <v>689</v>
      </c>
      <c r="M410">
        <v>36750.660000000003</v>
      </c>
      <c r="N410">
        <v>1906.7529999999999</v>
      </c>
      <c r="O410" s="122">
        <v>5.1883503588779076</v>
      </c>
      <c r="P410">
        <v>32989.410000000003</v>
      </c>
      <c r="Q410">
        <v>40511.919999999998</v>
      </c>
      <c r="R410" s="124"/>
      <c r="S410" t="s">
        <v>22</v>
      </c>
      <c r="T410" t="s">
        <v>30</v>
      </c>
      <c r="U410" t="s">
        <v>29</v>
      </c>
      <c r="V410" s="122">
        <v>20279.2</v>
      </c>
      <c r="W410" s="122">
        <v>1750.2729999999999</v>
      </c>
      <c r="X410" s="122">
        <v>8.630877943903112</v>
      </c>
      <c r="Y410" s="122">
        <v>16841.55</v>
      </c>
      <c r="Z410" s="122">
        <v>23716.84</v>
      </c>
    </row>
    <row r="411" spans="1:26" ht="15" customHeight="1" x14ac:dyDescent="0.35">
      <c r="A411" s="139">
        <v>4110</v>
      </c>
      <c r="B411" s="3"/>
      <c r="C411" s="129" t="s">
        <v>1156</v>
      </c>
      <c r="D411" s="120">
        <v>30397.62</v>
      </c>
      <c r="E411" s="120">
        <v>982.26070000000004</v>
      </c>
      <c r="F411" s="121">
        <f t="shared" si="12"/>
        <v>3.2313737062309484</v>
      </c>
      <c r="G411" s="120">
        <v>28781.82</v>
      </c>
      <c r="H411" s="120">
        <v>32013.43</v>
      </c>
      <c r="J411" t="s">
        <v>391</v>
      </c>
      <c r="K411" t="s">
        <v>196</v>
      </c>
      <c r="L411" t="s">
        <v>688</v>
      </c>
      <c r="M411">
        <v>26876.6</v>
      </c>
      <c r="N411">
        <v>976.90629999999999</v>
      </c>
      <c r="O411" s="122">
        <v>3.6347837896162463</v>
      </c>
      <c r="P411">
        <v>24949.56</v>
      </c>
      <c r="Q411">
        <v>28803.64</v>
      </c>
      <c r="R411" s="124"/>
      <c r="S411" t="s">
        <v>474</v>
      </c>
      <c r="T411" t="s">
        <v>687</v>
      </c>
      <c r="U411" t="s">
        <v>686</v>
      </c>
      <c r="V411" s="122">
        <v>13108.51</v>
      </c>
      <c r="W411" s="122">
        <v>1132.71</v>
      </c>
      <c r="X411" s="122">
        <v>8.641027851372888</v>
      </c>
      <c r="Y411" s="122">
        <v>10865.24</v>
      </c>
      <c r="Z411" s="122">
        <v>15351.79</v>
      </c>
    </row>
    <row r="412" spans="1:26" ht="15" customHeight="1" x14ac:dyDescent="0.35">
      <c r="A412" s="139">
        <v>4214</v>
      </c>
      <c r="B412" s="3"/>
      <c r="C412" s="129" t="s">
        <v>214</v>
      </c>
      <c r="D412" s="120">
        <v>29134.37</v>
      </c>
      <c r="E412" s="120">
        <v>1145.431</v>
      </c>
      <c r="F412" s="121">
        <f t="shared" si="12"/>
        <v>3.9315454564488617</v>
      </c>
      <c r="G412" s="120">
        <v>27250.15</v>
      </c>
      <c r="H412" s="120">
        <v>31018.59</v>
      </c>
      <c r="J412" t="s">
        <v>391</v>
      </c>
      <c r="K412" t="s">
        <v>101</v>
      </c>
      <c r="L412" t="s">
        <v>685</v>
      </c>
      <c r="M412">
        <v>28176.99</v>
      </c>
      <c r="N412">
        <v>1789.7670000000001</v>
      </c>
      <c r="O412" s="122">
        <v>6.3518743485375824</v>
      </c>
      <c r="P412">
        <v>24646.51</v>
      </c>
      <c r="Q412">
        <v>31707.48</v>
      </c>
      <c r="R412" s="124"/>
      <c r="S412" t="s">
        <v>446</v>
      </c>
      <c r="T412" t="s">
        <v>416</v>
      </c>
      <c r="U412" t="s">
        <v>532</v>
      </c>
      <c r="V412" s="122">
        <v>10609.67</v>
      </c>
      <c r="W412" s="122">
        <v>918.75530000000003</v>
      </c>
      <c r="X412" s="122">
        <v>8.6596029848242217</v>
      </c>
      <c r="Y412" s="122">
        <v>8804.723</v>
      </c>
      <c r="Z412" s="122">
        <v>12414.61</v>
      </c>
    </row>
    <row r="413" spans="1:26" ht="15" customHeight="1" x14ac:dyDescent="0.35">
      <c r="A413" s="139">
        <v>4222</v>
      </c>
      <c r="B413" s="3"/>
      <c r="C413" s="129" t="s">
        <v>102</v>
      </c>
      <c r="D413" s="120">
        <v>30217.99</v>
      </c>
      <c r="E413" s="120">
        <v>937.89570000000003</v>
      </c>
      <c r="F413" s="121">
        <f t="shared" si="12"/>
        <v>3.1037660016433919</v>
      </c>
      <c r="G413" s="120">
        <v>28675.16</v>
      </c>
      <c r="H413" s="120">
        <v>31760.81</v>
      </c>
      <c r="J413" t="s">
        <v>391</v>
      </c>
      <c r="K413" t="s">
        <v>14</v>
      </c>
      <c r="L413" t="s">
        <v>684</v>
      </c>
      <c r="M413">
        <v>30675.77</v>
      </c>
      <c r="N413">
        <v>1350.7070000000001</v>
      </c>
      <c r="O413" s="122">
        <v>4.4031722757081564</v>
      </c>
      <c r="P413">
        <v>28011.37</v>
      </c>
      <c r="Q413">
        <v>33340.160000000003</v>
      </c>
      <c r="R413" s="124"/>
      <c r="S413" t="s">
        <v>428</v>
      </c>
      <c r="T413" t="s">
        <v>202</v>
      </c>
      <c r="U413" t="s">
        <v>585</v>
      </c>
      <c r="V413" s="122">
        <v>31816</v>
      </c>
      <c r="W413" s="122">
        <v>2777.7359999999999</v>
      </c>
      <c r="X413" s="122">
        <v>8.7306261000754333</v>
      </c>
      <c r="Y413" s="122">
        <v>26369.26</v>
      </c>
      <c r="Z413" s="122">
        <v>37262.74</v>
      </c>
    </row>
    <row r="414" spans="1:26" ht="15" customHeight="1" x14ac:dyDescent="0.35">
      <c r="A414" s="139">
        <v>7412</v>
      </c>
      <c r="B414" s="3"/>
      <c r="C414" s="129" t="s">
        <v>683</v>
      </c>
      <c r="D414" s="120">
        <v>26133.39</v>
      </c>
      <c r="E414" s="120">
        <v>1086.1320000000001</v>
      </c>
      <c r="F414" s="121">
        <f t="shared" si="12"/>
        <v>4.1561083349691721</v>
      </c>
      <c r="G414" s="120">
        <v>24346.720000000001</v>
      </c>
      <c r="H414" s="120">
        <v>27920.06</v>
      </c>
      <c r="J414" t="s">
        <v>391</v>
      </c>
      <c r="K414" t="s">
        <v>492</v>
      </c>
      <c r="L414" t="s">
        <v>491</v>
      </c>
      <c r="M414">
        <v>25929.91</v>
      </c>
      <c r="N414">
        <v>3290.4470000000001</v>
      </c>
      <c r="O414" s="122">
        <v>12.689774087144922</v>
      </c>
      <c r="P414">
        <v>19439.189999999999</v>
      </c>
      <c r="Q414">
        <v>32420.63</v>
      </c>
      <c r="R414" s="124"/>
      <c r="S414" t="s">
        <v>96</v>
      </c>
      <c r="T414" t="s">
        <v>110</v>
      </c>
      <c r="U414" t="s">
        <v>109</v>
      </c>
      <c r="V414" s="122">
        <v>41171.47</v>
      </c>
      <c r="W414" s="122">
        <v>3632.194</v>
      </c>
      <c r="X414" s="122">
        <v>8.8221139541532025</v>
      </c>
      <c r="Y414" s="122">
        <v>34046.089999999997</v>
      </c>
      <c r="Z414" s="122">
        <v>48296.84</v>
      </c>
    </row>
    <row r="415" spans="1:26" ht="15" customHeight="1" x14ac:dyDescent="0.35">
      <c r="A415" s="139">
        <v>7413</v>
      </c>
      <c r="B415" s="3"/>
      <c r="C415" s="129" t="s">
        <v>682</v>
      </c>
      <c r="D415" s="120">
        <v>27883.439999999999</v>
      </c>
      <c r="E415" s="120">
        <v>708.79880000000003</v>
      </c>
      <c r="F415" s="121">
        <f t="shared" si="12"/>
        <v>2.5420062947756805</v>
      </c>
      <c r="G415" s="120">
        <v>26717.48</v>
      </c>
      <c r="H415" s="120">
        <v>29049.41</v>
      </c>
      <c r="J415" t="s">
        <v>391</v>
      </c>
      <c r="K415" t="s">
        <v>681</v>
      </c>
      <c r="L415" t="s">
        <v>680</v>
      </c>
      <c r="M415">
        <v>27208.15</v>
      </c>
      <c r="N415">
        <v>1039.489</v>
      </c>
      <c r="O415" s="122">
        <v>3.8205059880954786</v>
      </c>
      <c r="P415">
        <v>25157.66</v>
      </c>
      <c r="Q415">
        <v>29258.639999999999</v>
      </c>
      <c r="R415" s="124"/>
      <c r="S415" t="s">
        <v>405</v>
      </c>
      <c r="T415" t="s">
        <v>459</v>
      </c>
      <c r="U415" t="s">
        <v>679</v>
      </c>
      <c r="V415" s="122">
        <v>20909.580000000002</v>
      </c>
      <c r="W415" s="122">
        <v>1846.4939999999999</v>
      </c>
      <c r="X415" s="122">
        <v>8.8308516957298995</v>
      </c>
      <c r="Y415" s="122">
        <v>17236.310000000001</v>
      </c>
      <c r="Z415" s="122">
        <v>24582.84</v>
      </c>
    </row>
    <row r="416" spans="1:26" ht="15" customHeight="1" x14ac:dyDescent="0.35">
      <c r="A416" s="139">
        <v>9000</v>
      </c>
      <c r="B416" s="118" t="s">
        <v>1350</v>
      </c>
      <c r="C416" s="129" t="s">
        <v>1207</v>
      </c>
      <c r="D416" s="120">
        <v>22258.57</v>
      </c>
      <c r="E416" s="120">
        <v>726.18269999999995</v>
      </c>
      <c r="F416" s="121">
        <f t="shared" si="12"/>
        <v>3.2624858649949213</v>
      </c>
      <c r="G416" s="120">
        <v>21064.01</v>
      </c>
      <c r="H416" s="120">
        <v>23453.13</v>
      </c>
      <c r="J416" t="s">
        <v>391</v>
      </c>
      <c r="K416" t="s">
        <v>5</v>
      </c>
      <c r="L416" t="s">
        <v>390</v>
      </c>
      <c r="M416">
        <v>20770.57</v>
      </c>
      <c r="N416">
        <v>3454.1370000000002</v>
      </c>
      <c r="O416" s="122">
        <v>16.629957675692097</v>
      </c>
      <c r="P416">
        <v>13956.96</v>
      </c>
      <c r="Q416">
        <v>27584.18</v>
      </c>
      <c r="R416" s="124"/>
      <c r="S416" t="s">
        <v>6</v>
      </c>
      <c r="T416" t="s">
        <v>19</v>
      </c>
      <c r="U416" t="s">
        <v>18</v>
      </c>
      <c r="V416" s="122">
        <v>12757.02</v>
      </c>
      <c r="W416" s="122">
        <v>1147.4739999999999</v>
      </c>
      <c r="X416" s="122">
        <v>8.9948436233540434</v>
      </c>
      <c r="Y416" s="122">
        <v>10470.629999999999</v>
      </c>
      <c r="Z416" s="122">
        <v>15043.42</v>
      </c>
    </row>
    <row r="417" spans="1:26" ht="15" customHeight="1" x14ac:dyDescent="0.35">
      <c r="A417" s="132"/>
      <c r="B417" s="130"/>
      <c r="C417" s="131"/>
      <c r="D417" s="120"/>
      <c r="E417" s="120"/>
      <c r="F417" s="121"/>
      <c r="G417" s="120"/>
      <c r="H417" s="120"/>
      <c r="S417" t="s">
        <v>396</v>
      </c>
      <c r="T417" t="s">
        <v>440</v>
      </c>
      <c r="U417" t="s">
        <v>678</v>
      </c>
      <c r="V417" s="122">
        <v>29448.69</v>
      </c>
      <c r="W417" s="122">
        <v>2657.3910000000001</v>
      </c>
      <c r="X417" s="122">
        <v>9.0238003795754587</v>
      </c>
      <c r="Y417" s="122">
        <v>24160.32</v>
      </c>
      <c r="Z417" s="122">
        <v>34737.07</v>
      </c>
    </row>
    <row r="418" spans="1:26" ht="15" customHeight="1" x14ac:dyDescent="0.35">
      <c r="A418" s="135" t="s">
        <v>402</v>
      </c>
      <c r="B418" s="136"/>
      <c r="C418" s="136" t="s">
        <v>677</v>
      </c>
      <c r="D418" s="120"/>
      <c r="E418" s="120"/>
      <c r="F418" s="121"/>
      <c r="G418" s="120"/>
      <c r="H418" s="120"/>
      <c r="S418" t="s">
        <v>252</v>
      </c>
      <c r="T418" t="s">
        <v>110</v>
      </c>
      <c r="U418" t="s">
        <v>262</v>
      </c>
      <c r="V418" s="122">
        <v>19576.740000000002</v>
      </c>
      <c r="W418" s="122">
        <v>1771.4369999999999</v>
      </c>
      <c r="X418" s="122">
        <v>9.0486822627260715</v>
      </c>
      <c r="Y418" s="122">
        <v>16092.64</v>
      </c>
      <c r="Z418" s="122">
        <v>23060.85</v>
      </c>
    </row>
    <row r="419" spans="1:26" ht="15" customHeight="1" x14ac:dyDescent="0.35">
      <c r="A419" s="139">
        <v>2141</v>
      </c>
      <c r="B419" s="118"/>
      <c r="C419" s="129" t="s">
        <v>1223</v>
      </c>
      <c r="D419" s="120">
        <v>36601.15</v>
      </c>
      <c r="E419" s="120">
        <v>2560.8629999999998</v>
      </c>
      <c r="F419" s="121">
        <f t="shared" ref="F419:F430" si="13">E419/D419*100</f>
        <v>6.9966736017857354</v>
      </c>
      <c r="G419" s="120">
        <v>32388.57</v>
      </c>
      <c r="H419" s="120">
        <v>40813.74</v>
      </c>
      <c r="J419" t="s">
        <v>402</v>
      </c>
      <c r="K419" t="s">
        <v>369</v>
      </c>
      <c r="L419" t="s">
        <v>676</v>
      </c>
      <c r="M419">
        <v>41818.68</v>
      </c>
      <c r="N419">
        <v>2476.136</v>
      </c>
      <c r="O419" s="122">
        <v>5.9211242439981371</v>
      </c>
      <c r="P419">
        <v>36923.519999999997</v>
      </c>
      <c r="Q419">
        <v>46713.83</v>
      </c>
      <c r="R419" s="124"/>
      <c r="S419" t="s">
        <v>209</v>
      </c>
      <c r="T419" t="s">
        <v>216</v>
      </c>
      <c r="U419" t="s">
        <v>215</v>
      </c>
      <c r="V419" s="122">
        <v>31468.82</v>
      </c>
      <c r="W419" s="122">
        <v>2867.8760000000002</v>
      </c>
      <c r="X419" s="122">
        <v>9.1133890625705067</v>
      </c>
      <c r="Y419" s="122">
        <v>25832.02</v>
      </c>
      <c r="Z419" s="122">
        <v>37105.620000000003</v>
      </c>
    </row>
    <row r="420" spans="1:26" ht="15" customHeight="1" x14ac:dyDescent="0.35">
      <c r="A420" s="139">
        <v>2142</v>
      </c>
      <c r="B420" s="3"/>
      <c r="C420" s="129" t="s">
        <v>206</v>
      </c>
      <c r="D420" s="120">
        <v>42509.99</v>
      </c>
      <c r="E420" s="120">
        <v>4479.3919999999998</v>
      </c>
      <c r="F420" s="121">
        <f t="shared" si="13"/>
        <v>10.537269004297578</v>
      </c>
      <c r="G420" s="120">
        <v>35141.46</v>
      </c>
      <c r="H420" s="120">
        <v>49878.53</v>
      </c>
      <c r="J420" t="s">
        <v>402</v>
      </c>
      <c r="K420" t="s">
        <v>171</v>
      </c>
      <c r="L420" t="s">
        <v>675</v>
      </c>
      <c r="M420">
        <v>44210.1</v>
      </c>
      <c r="N420">
        <v>3317.7710000000002</v>
      </c>
      <c r="O420" s="122">
        <v>7.5045543891554196</v>
      </c>
      <c r="P420">
        <v>37651.089999999997</v>
      </c>
      <c r="Q420">
        <v>50769.1</v>
      </c>
      <c r="R420" s="124"/>
      <c r="S420" t="s">
        <v>301</v>
      </c>
      <c r="T420" t="s">
        <v>271</v>
      </c>
      <c r="U420" t="s">
        <v>365</v>
      </c>
      <c r="V420" s="122">
        <v>28587.22</v>
      </c>
      <c r="W420" s="122">
        <v>2617.415</v>
      </c>
      <c r="X420" s="122">
        <v>9.1558920384703377</v>
      </c>
      <c r="Y420" s="122">
        <v>23439.23</v>
      </c>
      <c r="Z420" s="122">
        <v>33735.22</v>
      </c>
    </row>
    <row r="421" spans="1:26" ht="15" customHeight="1" x14ac:dyDescent="0.35">
      <c r="A421" s="139">
        <v>2149</v>
      </c>
      <c r="B421" s="3"/>
      <c r="C421" s="129" t="s">
        <v>674</v>
      </c>
      <c r="D421" s="120">
        <v>26396.55</v>
      </c>
      <c r="E421" s="120">
        <v>1512.105</v>
      </c>
      <c r="F421" s="121">
        <f t="shared" si="13"/>
        <v>5.7284190547628384</v>
      </c>
      <c r="G421" s="120">
        <v>23909.15</v>
      </c>
      <c r="H421" s="120">
        <v>28883.94</v>
      </c>
      <c r="J421" t="s">
        <v>402</v>
      </c>
      <c r="K421" t="s">
        <v>511</v>
      </c>
      <c r="L421" t="s">
        <v>510</v>
      </c>
      <c r="M421">
        <v>30257.98</v>
      </c>
      <c r="N421">
        <v>3752.0610000000001</v>
      </c>
      <c r="O421" s="122">
        <v>12.400236235201426</v>
      </c>
      <c r="P421">
        <v>22840.42</v>
      </c>
      <c r="Q421">
        <v>37675.550000000003</v>
      </c>
      <c r="R421" s="124"/>
      <c r="S421" t="s">
        <v>327</v>
      </c>
      <c r="T421" t="s">
        <v>673</v>
      </c>
      <c r="U421" t="s">
        <v>672</v>
      </c>
      <c r="V421" s="122">
        <v>15781.58</v>
      </c>
      <c r="W421" s="122">
        <v>1452.49</v>
      </c>
      <c r="X421" s="122">
        <v>9.2037045720390473</v>
      </c>
      <c r="Y421" s="122">
        <v>12895.06</v>
      </c>
      <c r="Z421" s="122">
        <v>18668.099999999999</v>
      </c>
    </row>
    <row r="422" spans="1:26" ht="15" customHeight="1" x14ac:dyDescent="0.35">
      <c r="A422" s="139">
        <v>3112</v>
      </c>
      <c r="B422" s="3"/>
      <c r="C422" s="129" t="s">
        <v>160</v>
      </c>
      <c r="D422" s="120">
        <v>29349.919999999998</v>
      </c>
      <c r="E422" s="120">
        <v>2979.5219999999999</v>
      </c>
      <c r="F422" s="121">
        <f t="shared" si="13"/>
        <v>10.151721026837553</v>
      </c>
      <c r="G422" s="120">
        <v>24448.65</v>
      </c>
      <c r="H422" s="120">
        <v>34251.19</v>
      </c>
      <c r="J422" t="s">
        <v>402</v>
      </c>
      <c r="K422" t="s">
        <v>159</v>
      </c>
      <c r="L422" t="s">
        <v>671</v>
      </c>
      <c r="M422">
        <v>23749.25</v>
      </c>
      <c r="N422">
        <v>1520.7239999999999</v>
      </c>
      <c r="O422" s="122">
        <v>6.4032506289672302</v>
      </c>
      <c r="P422">
        <v>20742.88</v>
      </c>
      <c r="Q422">
        <v>26755.62</v>
      </c>
      <c r="R422" s="124"/>
      <c r="S422" t="s">
        <v>471</v>
      </c>
      <c r="T422" t="s">
        <v>419</v>
      </c>
      <c r="U422" t="s">
        <v>480</v>
      </c>
      <c r="V422" s="122">
        <v>15755.17</v>
      </c>
      <c r="W422" s="122">
        <v>1453.8219999999999</v>
      </c>
      <c r="X422" s="122">
        <v>9.2275868810047754</v>
      </c>
      <c r="Y422" s="122">
        <v>12899.06</v>
      </c>
      <c r="Z422" s="122">
        <v>18611.28</v>
      </c>
    </row>
    <row r="423" spans="1:26" ht="15" customHeight="1" x14ac:dyDescent="0.35">
      <c r="A423" s="139">
        <v>3132</v>
      </c>
      <c r="C423" s="129" t="s">
        <v>670</v>
      </c>
      <c r="D423" s="120">
        <v>19517.009999999998</v>
      </c>
      <c r="E423" s="120">
        <v>464.58710000000002</v>
      </c>
      <c r="F423" s="121">
        <f t="shared" si="13"/>
        <v>2.3804214887423845</v>
      </c>
      <c r="G423" s="120">
        <v>18752.77</v>
      </c>
      <c r="H423" s="120">
        <v>20281.25</v>
      </c>
      <c r="J423" t="s">
        <v>402</v>
      </c>
      <c r="K423" t="s">
        <v>669</v>
      </c>
      <c r="L423" t="s">
        <v>668</v>
      </c>
      <c r="M423">
        <v>18534.310000000001</v>
      </c>
      <c r="N423">
        <v>1036.3030000000001</v>
      </c>
      <c r="O423" s="122">
        <v>5.591268301868265</v>
      </c>
      <c r="P423">
        <v>16485.61</v>
      </c>
      <c r="Q423">
        <v>20583.009999999998</v>
      </c>
      <c r="R423" s="124"/>
      <c r="S423" t="s">
        <v>496</v>
      </c>
      <c r="T423" t="s">
        <v>144</v>
      </c>
      <c r="U423" t="s">
        <v>521</v>
      </c>
      <c r="V423" s="122">
        <v>14098.48</v>
      </c>
      <c r="W423" s="122">
        <v>1308.923</v>
      </c>
      <c r="X423" s="122">
        <v>9.2841426877223654</v>
      </c>
      <c r="Y423" s="122">
        <v>11527.03</v>
      </c>
      <c r="Z423" s="122">
        <v>16669.93</v>
      </c>
    </row>
    <row r="424" spans="1:26" ht="15" customHeight="1" x14ac:dyDescent="0.35">
      <c r="A424" s="139">
        <v>3257</v>
      </c>
      <c r="C424" s="129" t="s">
        <v>1225</v>
      </c>
      <c r="D424" s="120">
        <v>28989.01</v>
      </c>
      <c r="E424" s="120">
        <v>1975.2139999999999</v>
      </c>
      <c r="F424" s="121">
        <f t="shared" si="13"/>
        <v>6.8136649026648373</v>
      </c>
      <c r="G424" s="120">
        <v>25739.81</v>
      </c>
      <c r="H424" s="120">
        <v>32238.21</v>
      </c>
      <c r="O424" s="122"/>
      <c r="R424" s="124"/>
    </row>
    <row r="425" spans="1:26" ht="15" customHeight="1" x14ac:dyDescent="0.35">
      <c r="A425" s="117">
        <v>4110</v>
      </c>
      <c r="B425" s="3"/>
      <c r="C425" s="131" t="s">
        <v>1156</v>
      </c>
      <c r="D425" s="120">
        <v>22540.400000000001</v>
      </c>
      <c r="E425" s="120">
        <v>431.67660000000001</v>
      </c>
      <c r="F425" s="121">
        <f t="shared" si="13"/>
        <v>1.9151239552093129</v>
      </c>
      <c r="G425" s="120">
        <v>21830.3</v>
      </c>
      <c r="H425" s="120">
        <v>23250.5</v>
      </c>
      <c r="J425" t="s">
        <v>402</v>
      </c>
      <c r="K425" t="s">
        <v>320</v>
      </c>
      <c r="L425" t="s">
        <v>401</v>
      </c>
      <c r="M425">
        <v>25326.9</v>
      </c>
      <c r="N425">
        <v>4042.8870000000002</v>
      </c>
      <c r="O425" s="122">
        <v>15.962818189355982</v>
      </c>
      <c r="P425">
        <v>17334.39</v>
      </c>
      <c r="Q425">
        <v>33319.410000000003</v>
      </c>
      <c r="R425" s="124"/>
      <c r="S425" t="s">
        <v>667</v>
      </c>
      <c r="T425" t="s">
        <v>440</v>
      </c>
      <c r="U425" t="s">
        <v>666</v>
      </c>
      <c r="V425" s="122">
        <v>19995.14</v>
      </c>
      <c r="W425" s="122">
        <v>1858.2270000000001</v>
      </c>
      <c r="X425" s="122">
        <v>9.2933932945705813</v>
      </c>
      <c r="Y425" s="122">
        <v>16239.52</v>
      </c>
      <c r="Z425" s="122">
        <v>23750.76</v>
      </c>
    </row>
    <row r="426" spans="1:26" ht="15" customHeight="1" x14ac:dyDescent="0.35">
      <c r="A426" s="139">
        <v>4214</v>
      </c>
      <c r="B426" s="3"/>
      <c r="C426" s="129" t="s">
        <v>214</v>
      </c>
      <c r="D426" s="120">
        <v>19653.7</v>
      </c>
      <c r="E426" s="120">
        <v>531.50229999999999</v>
      </c>
      <c r="F426" s="121">
        <f t="shared" si="13"/>
        <v>2.7043370968316398</v>
      </c>
      <c r="G426" s="120">
        <v>18779.39</v>
      </c>
      <c r="H426" s="120">
        <v>20528.009999999998</v>
      </c>
      <c r="J426" t="s">
        <v>402</v>
      </c>
      <c r="K426" t="s">
        <v>196</v>
      </c>
      <c r="L426" t="s">
        <v>665</v>
      </c>
      <c r="M426">
        <v>18504</v>
      </c>
      <c r="N426">
        <v>1073.845</v>
      </c>
      <c r="O426" s="122">
        <v>5.8033127972330307</v>
      </c>
      <c r="P426">
        <v>16381.09</v>
      </c>
      <c r="Q426">
        <v>20626.919999999998</v>
      </c>
      <c r="R426" s="124"/>
      <c r="S426" t="s">
        <v>664</v>
      </c>
      <c r="T426" t="s">
        <v>663</v>
      </c>
      <c r="U426" t="s">
        <v>662</v>
      </c>
      <c r="V426" s="122">
        <v>11254.4</v>
      </c>
      <c r="W426" s="122">
        <v>1047.742</v>
      </c>
      <c r="X426" s="122">
        <v>9.3096211259596249</v>
      </c>
      <c r="Y426" s="122">
        <v>9194.6450000000004</v>
      </c>
      <c r="Z426" s="122">
        <v>13314.15</v>
      </c>
    </row>
    <row r="427" spans="1:26" ht="15" customHeight="1" x14ac:dyDescent="0.35">
      <c r="A427" s="117">
        <v>4222</v>
      </c>
      <c r="B427" s="130"/>
      <c r="C427" s="131" t="s">
        <v>102</v>
      </c>
      <c r="D427" s="120">
        <v>23590.48</v>
      </c>
      <c r="E427" s="120">
        <v>576.39520000000005</v>
      </c>
      <c r="F427" s="121">
        <f t="shared" si="13"/>
        <v>2.443338160139175</v>
      </c>
      <c r="G427" s="120">
        <v>22642.32</v>
      </c>
      <c r="H427" s="120">
        <v>24538.639999999999</v>
      </c>
      <c r="J427" t="s">
        <v>402</v>
      </c>
      <c r="K427" t="s">
        <v>101</v>
      </c>
      <c r="L427" t="s">
        <v>661</v>
      </c>
      <c r="M427">
        <v>23611.09</v>
      </c>
      <c r="N427">
        <v>1821.252</v>
      </c>
      <c r="O427" s="122">
        <v>7.7135447791694496</v>
      </c>
      <c r="P427">
        <v>20010.599999999999</v>
      </c>
      <c r="Q427">
        <v>27211.58</v>
      </c>
      <c r="R427" s="124"/>
      <c r="S427" t="s">
        <v>349</v>
      </c>
      <c r="T427" t="s">
        <v>329</v>
      </c>
      <c r="U427" t="s">
        <v>660</v>
      </c>
      <c r="V427" s="122">
        <v>20068.64</v>
      </c>
      <c r="W427" s="122">
        <v>1872.114</v>
      </c>
      <c r="X427" s="122">
        <v>9.3285544012947579</v>
      </c>
      <c r="Y427" s="122">
        <v>16365.41</v>
      </c>
      <c r="Z427" s="122">
        <v>23771.87</v>
      </c>
    </row>
    <row r="428" spans="1:26" ht="15" customHeight="1" x14ac:dyDescent="0.35">
      <c r="A428" s="139">
        <v>7126</v>
      </c>
      <c r="B428" s="3"/>
      <c r="C428" s="129" t="s">
        <v>631</v>
      </c>
      <c r="D428" s="120">
        <v>16887.759999999998</v>
      </c>
      <c r="E428" s="120">
        <v>329.14859999999999</v>
      </c>
      <c r="F428" s="121">
        <f t="shared" si="13"/>
        <v>1.9490364619108753</v>
      </c>
      <c r="G428" s="120">
        <v>16346.31</v>
      </c>
      <c r="H428" s="120">
        <v>17429.2</v>
      </c>
      <c r="J428" t="s">
        <v>402</v>
      </c>
      <c r="K428" t="s">
        <v>14</v>
      </c>
      <c r="L428" t="s">
        <v>659</v>
      </c>
      <c r="M428">
        <v>24926.19</v>
      </c>
      <c r="N428">
        <v>1058.3810000000001</v>
      </c>
      <c r="O428" s="122">
        <v>4.2460600677440077</v>
      </c>
      <c r="P428">
        <v>22833.84</v>
      </c>
      <c r="Q428">
        <v>27018.53</v>
      </c>
      <c r="R428" s="124"/>
      <c r="S428" t="s">
        <v>334</v>
      </c>
      <c r="T428" t="s">
        <v>5</v>
      </c>
      <c r="U428" t="s">
        <v>658</v>
      </c>
      <c r="V428" s="122">
        <v>14230.9</v>
      </c>
      <c r="W428" s="122">
        <v>1330.2449999999999</v>
      </c>
      <c r="X428" s="122">
        <v>9.347581670871131</v>
      </c>
      <c r="Y428" s="122">
        <v>11569.09</v>
      </c>
      <c r="Z428" s="122">
        <v>16892.72</v>
      </c>
    </row>
    <row r="429" spans="1:26" ht="15" customHeight="1" x14ac:dyDescent="0.35">
      <c r="A429" s="139">
        <v>7233</v>
      </c>
      <c r="B429" s="3"/>
      <c r="C429" s="129" t="s">
        <v>775</v>
      </c>
      <c r="D429" s="120">
        <v>17903.41</v>
      </c>
      <c r="E429" s="120">
        <v>708.84280000000001</v>
      </c>
      <c r="F429" s="121">
        <f t="shared" si="13"/>
        <v>3.9592613921035156</v>
      </c>
      <c r="G429" s="120">
        <v>16737.37</v>
      </c>
      <c r="H429" s="120">
        <v>19069.45</v>
      </c>
      <c r="J429" t="s">
        <v>402</v>
      </c>
      <c r="K429" t="s">
        <v>630</v>
      </c>
      <c r="L429" t="s">
        <v>657</v>
      </c>
      <c r="M429">
        <v>16313.71</v>
      </c>
      <c r="N429">
        <v>578.51139999999998</v>
      </c>
      <c r="O429" s="122">
        <v>3.5461669969614515</v>
      </c>
      <c r="P429">
        <v>15170.03</v>
      </c>
      <c r="Q429">
        <v>17457.39</v>
      </c>
      <c r="R429" s="124"/>
      <c r="S429" t="s">
        <v>592</v>
      </c>
      <c r="T429" t="s">
        <v>190</v>
      </c>
      <c r="U429" t="s">
        <v>615</v>
      </c>
      <c r="V429" s="122">
        <v>22629.599999999999</v>
      </c>
      <c r="W429" s="122">
        <v>2121.8449999999998</v>
      </c>
      <c r="X429" s="122">
        <v>9.376414077137909</v>
      </c>
      <c r="Y429" s="122">
        <v>18468.96</v>
      </c>
      <c r="Z429" s="122">
        <v>26790.23</v>
      </c>
    </row>
    <row r="430" spans="1:26" ht="15" customHeight="1" x14ac:dyDescent="0.35">
      <c r="A430" s="117">
        <v>9000</v>
      </c>
      <c r="B430" s="118" t="s">
        <v>1350</v>
      </c>
      <c r="C430" s="131" t="s">
        <v>1207</v>
      </c>
      <c r="D430" s="120">
        <v>15325.75</v>
      </c>
      <c r="E430" s="120">
        <v>271.4289</v>
      </c>
      <c r="F430" s="121">
        <f t="shared" si="13"/>
        <v>1.7710643851035022</v>
      </c>
      <c r="G430" s="120">
        <v>14879.25</v>
      </c>
      <c r="H430" s="120">
        <v>15772.25</v>
      </c>
      <c r="J430" t="s">
        <v>402</v>
      </c>
      <c r="K430" t="s">
        <v>5</v>
      </c>
      <c r="L430" t="s">
        <v>656</v>
      </c>
      <c r="M430">
        <v>13474.12</v>
      </c>
      <c r="N430">
        <v>750.95140000000004</v>
      </c>
      <c r="O430" s="122">
        <v>5.5732871608683903</v>
      </c>
      <c r="P430">
        <v>11989.54</v>
      </c>
      <c r="Q430">
        <v>14958.7</v>
      </c>
      <c r="R430" s="124"/>
      <c r="S430" t="s">
        <v>487</v>
      </c>
      <c r="T430" t="s">
        <v>580</v>
      </c>
      <c r="U430" t="s">
        <v>655</v>
      </c>
      <c r="V430" s="122">
        <v>13926.36</v>
      </c>
      <c r="W430" s="122">
        <v>1311.3119999999999</v>
      </c>
      <c r="X430" s="122">
        <v>9.4160426701593227</v>
      </c>
      <c r="Y430" s="122">
        <v>11316.77</v>
      </c>
      <c r="Z430" s="122">
        <v>16535.95</v>
      </c>
    </row>
    <row r="431" spans="1:26" ht="15" customHeight="1" x14ac:dyDescent="0.35">
      <c r="A431" s="132"/>
      <c r="B431" s="130"/>
      <c r="C431" s="131"/>
      <c r="D431" s="120"/>
      <c r="E431" s="120"/>
      <c r="F431" s="121"/>
      <c r="G431" s="120"/>
      <c r="H431" s="120"/>
      <c r="S431" t="s">
        <v>252</v>
      </c>
      <c r="T431" t="s">
        <v>14</v>
      </c>
      <c r="U431" t="s">
        <v>253</v>
      </c>
      <c r="V431" s="122">
        <v>32149.49</v>
      </c>
      <c r="W431" s="122">
        <v>3027.3589999999999</v>
      </c>
      <c r="X431" s="122">
        <v>9.4165070736736407</v>
      </c>
      <c r="Y431" s="122">
        <v>26195.200000000001</v>
      </c>
      <c r="Z431" s="122">
        <v>38103.769999999997</v>
      </c>
    </row>
    <row r="432" spans="1:26" ht="40" customHeight="1" x14ac:dyDescent="0.35">
      <c r="A432" s="4" t="s">
        <v>1110</v>
      </c>
      <c r="B432" s="130"/>
      <c r="C432" s="126" t="s">
        <v>1226</v>
      </c>
      <c r="D432" s="120"/>
      <c r="E432" s="120"/>
      <c r="F432" s="121"/>
      <c r="G432" s="120"/>
      <c r="H432" s="120"/>
    </row>
    <row r="433" spans="1:26" ht="15" customHeight="1" x14ac:dyDescent="0.35">
      <c r="A433" s="139">
        <v>4110</v>
      </c>
      <c r="B433" s="130"/>
      <c r="C433" s="131" t="s">
        <v>1156</v>
      </c>
      <c r="D433" s="120">
        <v>20251.419999999998</v>
      </c>
      <c r="E433" s="120">
        <v>242.77420000000001</v>
      </c>
      <c r="F433" s="121">
        <f t="shared" ref="F433:F434" si="14">E433/D433*100</f>
        <v>1.1988008742103025</v>
      </c>
      <c r="G433" s="120">
        <v>19852.060000000001</v>
      </c>
      <c r="H433" s="120">
        <v>20650.78</v>
      </c>
    </row>
    <row r="434" spans="1:26" ht="15" customHeight="1" x14ac:dyDescent="0.35">
      <c r="A434" s="117">
        <v>9000</v>
      </c>
      <c r="B434" s="118" t="s">
        <v>1350</v>
      </c>
      <c r="C434" s="131" t="s">
        <v>1207</v>
      </c>
      <c r="D434" s="120">
        <v>15989.89</v>
      </c>
      <c r="E434" s="120">
        <v>230.63749999999999</v>
      </c>
      <c r="F434" s="121">
        <f t="shared" si="14"/>
        <v>1.4423957888390726</v>
      </c>
      <c r="G434" s="120">
        <v>15610.5</v>
      </c>
      <c r="H434" s="120">
        <v>16369.29</v>
      </c>
    </row>
    <row r="435" spans="1:26" ht="15" customHeight="1" x14ac:dyDescent="0.35">
      <c r="A435" s="132"/>
      <c r="B435" s="130"/>
      <c r="C435" s="131"/>
      <c r="D435" s="120"/>
      <c r="E435" s="120"/>
      <c r="F435" s="121"/>
      <c r="G435" s="120"/>
      <c r="H435" s="120"/>
    </row>
    <row r="436" spans="1:26" ht="15" customHeight="1" x14ac:dyDescent="0.35">
      <c r="A436" s="175" t="s">
        <v>1044</v>
      </c>
      <c r="B436" s="136"/>
      <c r="C436" s="126" t="s">
        <v>653</v>
      </c>
      <c r="D436" s="120"/>
      <c r="E436" s="120"/>
      <c r="F436" s="121"/>
      <c r="G436" s="120"/>
      <c r="H436" s="120"/>
      <c r="S436" t="s">
        <v>96</v>
      </c>
      <c r="T436" t="s">
        <v>101</v>
      </c>
      <c r="U436" t="s">
        <v>100</v>
      </c>
      <c r="V436" s="122">
        <v>27441.040000000001</v>
      </c>
      <c r="W436" s="122">
        <v>2589.6480000000001</v>
      </c>
      <c r="X436" s="122">
        <v>9.4371350356983559</v>
      </c>
      <c r="Y436" s="122">
        <v>22360.85</v>
      </c>
      <c r="Z436" s="122">
        <v>32521.22</v>
      </c>
    </row>
    <row r="437" spans="1:26" ht="15" customHeight="1" x14ac:dyDescent="0.35">
      <c r="A437" s="139">
        <v>2142</v>
      </c>
      <c r="B437" s="3"/>
      <c r="C437" s="129" t="s">
        <v>206</v>
      </c>
      <c r="D437" s="120">
        <v>29309.38</v>
      </c>
      <c r="E437" s="120">
        <v>1100.693</v>
      </c>
      <c r="F437" s="121">
        <f t="shared" ref="F437:F448" si="15">E437/D437*100</f>
        <v>3.7554291493030556</v>
      </c>
      <c r="G437" s="120">
        <v>27498.76</v>
      </c>
      <c r="H437" s="120">
        <v>31120</v>
      </c>
      <c r="J437" t="s">
        <v>606</v>
      </c>
      <c r="K437" t="s">
        <v>171</v>
      </c>
      <c r="L437" t="s">
        <v>652</v>
      </c>
      <c r="M437">
        <v>28339.39</v>
      </c>
      <c r="N437">
        <v>1095.6579999999999</v>
      </c>
      <c r="O437" s="122">
        <v>3.8662017778082021</v>
      </c>
      <c r="P437">
        <v>26187.200000000001</v>
      </c>
      <c r="Q437">
        <v>30491.57</v>
      </c>
      <c r="R437" s="124"/>
      <c r="S437" t="s">
        <v>279</v>
      </c>
      <c r="T437" t="s">
        <v>83</v>
      </c>
      <c r="U437" t="s">
        <v>282</v>
      </c>
      <c r="V437" s="122">
        <v>34000.39</v>
      </c>
      <c r="W437" s="122">
        <v>3210.88</v>
      </c>
      <c r="X437" s="122">
        <v>9.4436563815885659</v>
      </c>
      <c r="Y437" s="122">
        <v>27685.15</v>
      </c>
      <c r="Z437" s="122">
        <v>40315.629999999997</v>
      </c>
    </row>
    <row r="438" spans="1:26" ht="15" customHeight="1" x14ac:dyDescent="0.35">
      <c r="A438" s="139">
        <v>2161</v>
      </c>
      <c r="B438" s="3"/>
      <c r="C438" s="131" t="s">
        <v>166</v>
      </c>
      <c r="D438" s="120">
        <v>31946.29</v>
      </c>
      <c r="E438" s="120">
        <v>2496.1770000000001</v>
      </c>
      <c r="F438" s="121">
        <f t="shared" si="15"/>
        <v>7.813667878179281</v>
      </c>
      <c r="G438" s="120">
        <v>27840.12</v>
      </c>
      <c r="H438" s="120">
        <v>36052.47</v>
      </c>
      <c r="J438" t="s">
        <v>606</v>
      </c>
      <c r="K438" t="s">
        <v>165</v>
      </c>
      <c r="L438" t="s">
        <v>651</v>
      </c>
      <c r="M438">
        <v>25210.31</v>
      </c>
      <c r="N438">
        <v>1595.1969999999999</v>
      </c>
      <c r="O438" s="122">
        <v>6.3275580506546723</v>
      </c>
      <c r="P438">
        <v>22076.880000000001</v>
      </c>
      <c r="Q438">
        <v>28343.73</v>
      </c>
      <c r="R438" s="124"/>
      <c r="S438" t="s">
        <v>650</v>
      </c>
      <c r="T438" t="s">
        <v>329</v>
      </c>
      <c r="U438" t="s">
        <v>649</v>
      </c>
      <c r="V438" s="122">
        <v>18998.04</v>
      </c>
      <c r="W438" s="122">
        <v>1800.848</v>
      </c>
      <c r="X438" s="122">
        <v>9.4791252150221794</v>
      </c>
      <c r="Y438" s="122">
        <v>15445.7</v>
      </c>
      <c r="Z438" s="122">
        <v>22550.38</v>
      </c>
    </row>
    <row r="439" spans="1:26" ht="15" customHeight="1" x14ac:dyDescent="0.35">
      <c r="A439" s="139">
        <v>3123</v>
      </c>
      <c r="B439" s="3"/>
      <c r="C439" s="129" t="s">
        <v>648</v>
      </c>
      <c r="D439" s="120">
        <v>27550.14</v>
      </c>
      <c r="E439" s="120">
        <v>1713.894</v>
      </c>
      <c r="F439" s="121">
        <f t="shared" si="15"/>
        <v>6.2209992399312668</v>
      </c>
      <c r="G439" s="120">
        <v>24730.81</v>
      </c>
      <c r="H439" s="120">
        <v>30369.47</v>
      </c>
      <c r="J439" t="s">
        <v>606</v>
      </c>
      <c r="K439" t="s">
        <v>647</v>
      </c>
      <c r="L439" t="s">
        <v>646</v>
      </c>
      <c r="M439">
        <v>23737.37</v>
      </c>
      <c r="N439">
        <v>1316.1</v>
      </c>
      <c r="O439" s="122">
        <v>5.5444221495473167</v>
      </c>
      <c r="P439">
        <v>21152.18</v>
      </c>
      <c r="Q439">
        <v>26322.57</v>
      </c>
      <c r="R439" s="124"/>
      <c r="S439" t="s">
        <v>405</v>
      </c>
      <c r="T439" t="s">
        <v>645</v>
      </c>
      <c r="U439" t="s">
        <v>644</v>
      </c>
      <c r="V439" s="122">
        <v>16160.51</v>
      </c>
      <c r="W439" s="122">
        <v>1532.9749999999999</v>
      </c>
      <c r="X439" s="122">
        <v>9.4859320652627908</v>
      </c>
      <c r="Y439" s="122">
        <v>13110.94</v>
      </c>
      <c r="Z439" s="122">
        <v>19210.09</v>
      </c>
    </row>
    <row r="440" spans="1:26" ht="15" customHeight="1" x14ac:dyDescent="0.35">
      <c r="A440" s="139">
        <v>4110</v>
      </c>
      <c r="B440" s="3"/>
      <c r="C440" s="129" t="s">
        <v>1156</v>
      </c>
      <c r="D440" s="120">
        <v>18642.53</v>
      </c>
      <c r="E440" s="120">
        <v>277.87709999999998</v>
      </c>
      <c r="F440" s="121">
        <f t="shared" si="15"/>
        <v>1.4905546618404262</v>
      </c>
      <c r="G440" s="120">
        <v>18185.419999999998</v>
      </c>
      <c r="H440" s="120">
        <v>19099.63</v>
      </c>
      <c r="J440" t="s">
        <v>606</v>
      </c>
      <c r="K440" t="s">
        <v>14</v>
      </c>
      <c r="L440" t="s">
        <v>643</v>
      </c>
      <c r="M440">
        <v>19998.740000000002</v>
      </c>
      <c r="N440">
        <v>477.45359999999999</v>
      </c>
      <c r="O440" s="122">
        <v>2.3874184073596636</v>
      </c>
      <c r="P440">
        <v>19060.89</v>
      </c>
      <c r="Q440">
        <v>20936.599999999999</v>
      </c>
      <c r="R440" s="124"/>
      <c r="S440" t="s">
        <v>474</v>
      </c>
      <c r="T440" t="s">
        <v>642</v>
      </c>
      <c r="U440" t="s">
        <v>641</v>
      </c>
      <c r="V440" s="122">
        <v>16908.580000000002</v>
      </c>
      <c r="W440" s="122">
        <v>1612.8219999999999</v>
      </c>
      <c r="X440" s="122">
        <v>9.5384828294274246</v>
      </c>
      <c r="Y440" s="122">
        <v>13714.47</v>
      </c>
      <c r="Z440" s="122">
        <v>20102.689999999999</v>
      </c>
    </row>
    <row r="441" spans="1:26" ht="15" customHeight="1" x14ac:dyDescent="0.35">
      <c r="A441" s="139">
        <v>7110</v>
      </c>
      <c r="B441" s="3"/>
      <c r="C441" s="129" t="s">
        <v>1227</v>
      </c>
      <c r="D441" s="120">
        <v>15234.98</v>
      </c>
      <c r="E441" s="120">
        <v>446.2928</v>
      </c>
      <c r="F441" s="121">
        <f t="shared" si="15"/>
        <v>2.9293953782676447</v>
      </c>
      <c r="G441" s="120">
        <v>14500.84</v>
      </c>
      <c r="H441" s="120">
        <v>15969.13</v>
      </c>
      <c r="J441" t="s">
        <v>606</v>
      </c>
      <c r="K441" t="s">
        <v>640</v>
      </c>
      <c r="L441" t="s">
        <v>639</v>
      </c>
      <c r="M441">
        <v>14103.19</v>
      </c>
      <c r="N441">
        <v>480.5231</v>
      </c>
      <c r="O441" s="122">
        <v>3.4071944006994164</v>
      </c>
      <c r="P441">
        <v>13159.3</v>
      </c>
      <c r="Q441">
        <v>15047.07</v>
      </c>
      <c r="R441" s="124"/>
      <c r="S441" t="s">
        <v>568</v>
      </c>
      <c r="T441" t="s">
        <v>440</v>
      </c>
      <c r="U441" t="s">
        <v>638</v>
      </c>
      <c r="V441" s="122">
        <v>23421.9</v>
      </c>
      <c r="W441" s="122">
        <v>2251.7820000000002</v>
      </c>
      <c r="X441" s="122">
        <v>9.6140022799175142</v>
      </c>
      <c r="Y441" s="122">
        <v>18949.66</v>
      </c>
      <c r="Z441" s="122">
        <v>27894.13</v>
      </c>
    </row>
    <row r="442" spans="1:26" ht="15" customHeight="1" x14ac:dyDescent="0.35">
      <c r="A442" s="139">
        <v>7120</v>
      </c>
      <c r="B442" s="3"/>
      <c r="C442" s="129" t="s">
        <v>1228</v>
      </c>
      <c r="D442" s="120">
        <v>15572.95</v>
      </c>
      <c r="E442" s="120">
        <v>317.19060000000002</v>
      </c>
      <c r="F442" s="121">
        <f t="shared" si="15"/>
        <v>2.0368048442973232</v>
      </c>
      <c r="G442" s="120">
        <v>15051.18</v>
      </c>
      <c r="H442" s="120">
        <v>16094.72</v>
      </c>
      <c r="J442" t="s">
        <v>606</v>
      </c>
      <c r="K442" t="s">
        <v>637</v>
      </c>
      <c r="L442" t="s">
        <v>636</v>
      </c>
      <c r="M442">
        <v>13897.69</v>
      </c>
      <c r="N442">
        <v>313.42860000000002</v>
      </c>
      <c r="O442" s="122">
        <v>2.2552568088653584</v>
      </c>
      <c r="P442">
        <v>13282.03</v>
      </c>
      <c r="Q442">
        <v>14513.36</v>
      </c>
      <c r="R442" s="124"/>
      <c r="S442" t="s">
        <v>135</v>
      </c>
      <c r="T442" t="s">
        <v>144</v>
      </c>
      <c r="U442" t="s">
        <v>143</v>
      </c>
      <c r="V442" s="122">
        <v>23352.639999999999</v>
      </c>
      <c r="W442" s="122">
        <v>2255.1559999999999</v>
      </c>
      <c r="X442" s="122">
        <v>9.6569638379215359</v>
      </c>
      <c r="Y442" s="122">
        <v>18928.64</v>
      </c>
      <c r="Z442" s="122">
        <v>27776.65</v>
      </c>
    </row>
    <row r="443" spans="1:26" ht="15" customHeight="1" x14ac:dyDescent="0.35">
      <c r="A443" s="139">
        <v>7130</v>
      </c>
      <c r="B443" s="3"/>
      <c r="C443" s="129" t="s">
        <v>1229</v>
      </c>
      <c r="D443" s="120">
        <v>15420.23</v>
      </c>
      <c r="E443" s="120">
        <v>248.91</v>
      </c>
      <c r="F443" s="121">
        <f t="shared" si="15"/>
        <v>1.6141782580415467</v>
      </c>
      <c r="G443" s="120">
        <v>15010.77</v>
      </c>
      <c r="H443" s="120">
        <v>15829.68</v>
      </c>
      <c r="J443" t="s">
        <v>606</v>
      </c>
      <c r="K443" t="s">
        <v>634</v>
      </c>
      <c r="L443" t="s">
        <v>633</v>
      </c>
      <c r="M443">
        <v>13883.53</v>
      </c>
      <c r="N443">
        <v>376.47699999999998</v>
      </c>
      <c r="O443" s="122">
        <v>2.7116806748715923</v>
      </c>
      <c r="P443">
        <v>13144.02</v>
      </c>
      <c r="Q443">
        <v>14623.04</v>
      </c>
      <c r="R443" s="124"/>
      <c r="S443" t="s">
        <v>334</v>
      </c>
      <c r="T443" t="s">
        <v>440</v>
      </c>
      <c r="U443" t="s">
        <v>632</v>
      </c>
      <c r="V443" s="122">
        <v>30166.95</v>
      </c>
      <c r="W443" s="122">
        <v>2917.9</v>
      </c>
      <c r="X443" s="122">
        <v>9.6725058383429552</v>
      </c>
      <c r="Y443" s="122">
        <v>24328.240000000002</v>
      </c>
      <c r="Z443" s="122">
        <v>36005.65</v>
      </c>
    </row>
    <row r="444" spans="1:26" ht="30" customHeight="1" x14ac:dyDescent="0.35">
      <c r="A444" s="139">
        <v>7210</v>
      </c>
      <c r="B444" s="3"/>
      <c r="C444" s="140" t="s">
        <v>1230</v>
      </c>
      <c r="D444" s="120">
        <v>17003.900000000001</v>
      </c>
      <c r="E444" s="120">
        <v>1272.1610000000001</v>
      </c>
      <c r="F444" s="121">
        <f t="shared" si="15"/>
        <v>7.4815836366951105</v>
      </c>
      <c r="G444" s="120">
        <v>14911.21</v>
      </c>
      <c r="H444" s="120">
        <v>19096.59</v>
      </c>
      <c r="J444" t="s">
        <v>606</v>
      </c>
      <c r="K444" t="s">
        <v>605</v>
      </c>
      <c r="L444" t="s">
        <v>604</v>
      </c>
      <c r="M444">
        <v>17856.009999999998</v>
      </c>
      <c r="N444">
        <v>1816.586</v>
      </c>
      <c r="O444" s="122">
        <v>10.173527008553423</v>
      </c>
      <c r="P444">
        <v>14287.72</v>
      </c>
      <c r="Q444">
        <v>21424.31</v>
      </c>
      <c r="R444" s="124"/>
      <c r="S444" t="s">
        <v>279</v>
      </c>
      <c r="T444" t="s">
        <v>5</v>
      </c>
      <c r="U444" t="s">
        <v>278</v>
      </c>
      <c r="V444" s="122">
        <v>15321.63</v>
      </c>
      <c r="W444" s="122">
        <v>1492.4349999999999</v>
      </c>
      <c r="X444" s="122">
        <v>9.7407064391973961</v>
      </c>
      <c r="Y444" s="122">
        <v>12386.28</v>
      </c>
      <c r="Z444" s="122">
        <v>18256.990000000002</v>
      </c>
    </row>
    <row r="445" spans="1:26" ht="30" customHeight="1" x14ac:dyDescent="0.35">
      <c r="A445" s="139">
        <v>7233</v>
      </c>
      <c r="B445" s="3"/>
      <c r="C445" s="140" t="s">
        <v>1231</v>
      </c>
      <c r="D445" s="120">
        <v>15725.15</v>
      </c>
      <c r="E445" s="120">
        <v>330.46190000000001</v>
      </c>
      <c r="F445" s="121">
        <f t="shared" si="15"/>
        <v>2.1014864723071005</v>
      </c>
      <c r="G445" s="120">
        <v>15181.55</v>
      </c>
      <c r="H445" s="120">
        <v>16268.76</v>
      </c>
      <c r="J445" t="s">
        <v>606</v>
      </c>
      <c r="K445" t="s">
        <v>630</v>
      </c>
      <c r="L445" t="s">
        <v>629</v>
      </c>
      <c r="M445">
        <v>16586.509999999998</v>
      </c>
      <c r="N445">
        <v>1412.4010000000001</v>
      </c>
      <c r="O445" s="122">
        <v>8.5153597712840146</v>
      </c>
      <c r="P445">
        <v>13812.15</v>
      </c>
      <c r="Q445">
        <v>19360.87</v>
      </c>
      <c r="R445" s="124"/>
      <c r="S445" t="s">
        <v>443</v>
      </c>
      <c r="T445" t="s">
        <v>440</v>
      </c>
      <c r="U445" t="s">
        <v>628</v>
      </c>
      <c r="V445" s="122">
        <v>36397.82</v>
      </c>
      <c r="W445" s="122">
        <v>3559.65</v>
      </c>
      <c r="X445" s="122">
        <v>9.7798439576875751</v>
      </c>
      <c r="Y445" s="122">
        <v>29284.42</v>
      </c>
      <c r="Z445" s="122">
        <v>43511.21</v>
      </c>
    </row>
    <row r="446" spans="1:26" ht="15" customHeight="1" x14ac:dyDescent="0.35">
      <c r="A446" s="117">
        <v>7411</v>
      </c>
      <c r="B446" s="130"/>
      <c r="C446" s="131" t="s">
        <v>623</v>
      </c>
      <c r="D446" s="120">
        <v>16882.240000000002</v>
      </c>
      <c r="E446" s="120">
        <v>508.90280000000001</v>
      </c>
      <c r="F446" s="121">
        <f t="shared" si="15"/>
        <v>3.0144269954697953</v>
      </c>
      <c r="G446" s="120">
        <v>16045.11</v>
      </c>
      <c r="H446" s="120">
        <v>17719.38</v>
      </c>
      <c r="J446" t="s">
        <v>606</v>
      </c>
      <c r="K446" t="s">
        <v>384</v>
      </c>
      <c r="L446" t="s">
        <v>626</v>
      </c>
      <c r="M446">
        <v>14270.53</v>
      </c>
      <c r="N446">
        <v>424.22300000000001</v>
      </c>
      <c r="O446" s="122">
        <v>2.9727207048371715</v>
      </c>
      <c r="P446">
        <v>13437.24</v>
      </c>
      <c r="Q446">
        <v>15103.83</v>
      </c>
      <c r="R446" s="124"/>
      <c r="S446" t="s">
        <v>428</v>
      </c>
      <c r="T446" t="s">
        <v>122</v>
      </c>
      <c r="U446" t="s">
        <v>569</v>
      </c>
      <c r="V446" s="122">
        <v>18090.990000000002</v>
      </c>
      <c r="W446" s="122">
        <v>1790.508</v>
      </c>
      <c r="X446" s="122">
        <v>9.8972361379891307</v>
      </c>
      <c r="Y446" s="122">
        <v>14580.07</v>
      </c>
      <c r="Z446" s="122">
        <v>21601.919999999998</v>
      </c>
    </row>
    <row r="447" spans="1:26" ht="15" customHeight="1" x14ac:dyDescent="0.35">
      <c r="A447" s="117">
        <v>8332</v>
      </c>
      <c r="B447" s="3"/>
      <c r="C447" s="140" t="s">
        <v>411</v>
      </c>
      <c r="D447" s="120">
        <v>15381.85</v>
      </c>
      <c r="E447" s="120">
        <v>273.46839999999997</v>
      </c>
      <c r="F447" s="121">
        <f t="shared" si="15"/>
        <v>1.777864171084752</v>
      </c>
      <c r="G447" s="120">
        <v>14931.99</v>
      </c>
      <c r="H447" s="120">
        <v>15831.7</v>
      </c>
      <c r="J447" t="s">
        <v>606</v>
      </c>
      <c r="K447" t="s">
        <v>462</v>
      </c>
      <c r="L447" t="s">
        <v>625</v>
      </c>
      <c r="M447">
        <v>16376.19</v>
      </c>
      <c r="N447">
        <v>975.77189999999996</v>
      </c>
      <c r="O447" s="122">
        <v>5.95847935325616</v>
      </c>
      <c r="P447">
        <v>14459.49</v>
      </c>
      <c r="Q447">
        <v>18292.88</v>
      </c>
      <c r="R447" s="124"/>
      <c r="S447" t="s">
        <v>487</v>
      </c>
      <c r="T447" t="s">
        <v>14</v>
      </c>
      <c r="U447" t="s">
        <v>624</v>
      </c>
      <c r="V447" s="122">
        <v>19074.990000000002</v>
      </c>
      <c r="W447" s="122">
        <v>1889.4480000000001</v>
      </c>
      <c r="X447" s="122">
        <v>9.9053682334826902</v>
      </c>
      <c r="Y447" s="122">
        <v>15314.87</v>
      </c>
      <c r="Z447" s="122">
        <v>22835.11</v>
      </c>
    </row>
    <row r="448" spans="1:26" ht="15" customHeight="1" x14ac:dyDescent="0.35">
      <c r="A448" s="166">
        <v>9000</v>
      </c>
      <c r="B448" s="167" t="s">
        <v>1350</v>
      </c>
      <c r="C448" s="168" t="s">
        <v>1207</v>
      </c>
      <c r="D448" s="149">
        <v>14014.57</v>
      </c>
      <c r="E448" s="149">
        <v>219.67769999999999</v>
      </c>
      <c r="F448" s="150">
        <f t="shared" si="15"/>
        <v>1.5674951140134872</v>
      </c>
      <c r="G448" s="149">
        <v>13653.21</v>
      </c>
      <c r="H448" s="149">
        <v>14375.94</v>
      </c>
      <c r="J448" t="s">
        <v>606</v>
      </c>
      <c r="K448" t="s">
        <v>5</v>
      </c>
      <c r="L448" t="s">
        <v>619</v>
      </c>
      <c r="M448">
        <v>12206.47</v>
      </c>
      <c r="N448">
        <v>343.26350000000002</v>
      </c>
      <c r="O448" s="122">
        <v>2.8121438876268079</v>
      </c>
      <c r="P448">
        <v>11532.2</v>
      </c>
      <c r="Q448">
        <v>12880.73</v>
      </c>
      <c r="R448" s="124"/>
      <c r="S448" t="s">
        <v>327</v>
      </c>
      <c r="T448" t="s">
        <v>618</v>
      </c>
      <c r="U448" t="s">
        <v>617</v>
      </c>
      <c r="V448" s="122">
        <v>12624.53</v>
      </c>
      <c r="W448" s="122">
        <v>1261.7850000000001</v>
      </c>
      <c r="X448" s="122">
        <v>9.9947087139085582</v>
      </c>
      <c r="Y448" s="122">
        <v>10117</v>
      </c>
      <c r="Z448" s="122">
        <v>15132.06</v>
      </c>
    </row>
    <row r="449" spans="1:26" ht="15" customHeight="1" x14ac:dyDescent="0.35">
      <c r="A449" s="117"/>
      <c r="B449" s="118"/>
      <c r="C449" s="131"/>
      <c r="D449" s="161"/>
      <c r="E449" s="161"/>
      <c r="F449" s="214"/>
      <c r="G449" s="161"/>
      <c r="H449" s="161"/>
      <c r="O449" s="122"/>
      <c r="R449" s="124"/>
    </row>
    <row r="450" spans="1:26" ht="15" customHeight="1" x14ac:dyDescent="0.35">
      <c r="A450" s="2" t="s">
        <v>94</v>
      </c>
      <c r="B450" s="118"/>
      <c r="C450" s="131"/>
      <c r="D450" s="161"/>
      <c r="E450" s="161"/>
      <c r="F450" s="214"/>
      <c r="G450" s="161"/>
      <c r="H450" s="161"/>
      <c r="O450" s="122"/>
      <c r="R450" s="124"/>
    </row>
    <row r="451" spans="1:26" ht="15" customHeight="1" x14ac:dyDescent="0.35">
      <c r="A451" s="2" t="s">
        <v>93</v>
      </c>
      <c r="B451" s="118"/>
      <c r="C451" s="131"/>
      <c r="D451" s="161"/>
      <c r="E451" s="161"/>
      <c r="F451" s="214"/>
      <c r="G451" s="161"/>
      <c r="H451" s="161"/>
      <c r="O451" s="122"/>
      <c r="R451" s="124"/>
    </row>
    <row r="452" spans="1:26" ht="15" customHeight="1" x14ac:dyDescent="0.35">
      <c r="A452" s="159" t="s">
        <v>965</v>
      </c>
      <c r="B452" s="118"/>
      <c r="C452" s="131"/>
      <c r="D452" s="161"/>
      <c r="E452" s="161"/>
      <c r="F452" s="214"/>
      <c r="G452" s="161"/>
      <c r="H452" s="161"/>
      <c r="O452" s="122"/>
      <c r="R452" s="124"/>
    </row>
    <row r="453" spans="1:26" ht="15" customHeight="1" x14ac:dyDescent="0.35">
      <c r="A453" s="159" t="s">
        <v>0</v>
      </c>
      <c r="B453" s="118"/>
      <c r="C453" s="131"/>
      <c r="D453" s="161"/>
      <c r="E453" s="161"/>
      <c r="F453" s="214"/>
      <c r="G453" s="161"/>
      <c r="H453" s="161"/>
      <c r="O453" s="122"/>
      <c r="R453" s="124"/>
    </row>
    <row r="454" spans="1:26" ht="30" customHeight="1" x14ac:dyDescent="0.35">
      <c r="A454" s="403" t="s">
        <v>1349</v>
      </c>
      <c r="B454" s="403"/>
      <c r="C454" s="403"/>
      <c r="D454" s="403"/>
      <c r="E454" s="403"/>
      <c r="F454" s="403"/>
      <c r="G454" s="403"/>
      <c r="H454" s="403"/>
      <c r="O454" s="122"/>
      <c r="R454" s="124"/>
    </row>
    <row r="455" spans="1:26" ht="15" customHeight="1" x14ac:dyDescent="0.35">
      <c r="A455" s="404" t="s">
        <v>1336</v>
      </c>
      <c r="B455" s="404"/>
      <c r="C455" s="404"/>
      <c r="D455" s="404"/>
      <c r="E455" s="404"/>
      <c r="F455" s="404"/>
      <c r="G455" s="404"/>
      <c r="H455" s="404"/>
      <c r="O455" s="122"/>
      <c r="R455" s="124"/>
    </row>
    <row r="456" spans="1:26" ht="15" customHeight="1" x14ac:dyDescent="0.35">
      <c r="A456" s="123"/>
      <c r="B456" s="123"/>
      <c r="C456" s="123"/>
      <c r="D456" s="123"/>
      <c r="O456" s="122"/>
      <c r="R456" s="124"/>
    </row>
    <row r="457" spans="1:26" ht="15" customHeight="1" x14ac:dyDescent="0.35">
      <c r="A457" s="405" t="s">
        <v>993</v>
      </c>
      <c r="B457" s="406"/>
      <c r="C457" s="409" t="s">
        <v>92</v>
      </c>
      <c r="D457" s="419" t="s">
        <v>91</v>
      </c>
      <c r="E457" s="419" t="s">
        <v>90</v>
      </c>
      <c r="F457" s="420" t="s">
        <v>89</v>
      </c>
      <c r="G457" s="419" t="s">
        <v>1186</v>
      </c>
      <c r="H457" s="419"/>
      <c r="O457" s="122"/>
      <c r="R457" s="124"/>
    </row>
    <row r="458" spans="1:26" ht="15" customHeight="1" x14ac:dyDescent="0.35">
      <c r="A458" s="407"/>
      <c r="B458" s="408"/>
      <c r="C458" s="410"/>
      <c r="D458" s="419"/>
      <c r="E458" s="419"/>
      <c r="F458" s="420"/>
      <c r="G458" s="5" t="s">
        <v>88</v>
      </c>
      <c r="H458" s="5" t="s">
        <v>87</v>
      </c>
      <c r="O458" s="122"/>
      <c r="R458" s="124"/>
    </row>
    <row r="459" spans="1:26" ht="15" customHeight="1" x14ac:dyDescent="0.35">
      <c r="A459" s="117"/>
      <c r="B459" s="118"/>
      <c r="C459" s="131"/>
      <c r="D459" s="215"/>
      <c r="E459" s="215"/>
      <c r="F459" s="216"/>
      <c r="G459" s="215"/>
      <c r="H459" s="215"/>
      <c r="O459" s="122"/>
      <c r="R459" s="124"/>
    </row>
    <row r="460" spans="1:26" ht="28" customHeight="1" x14ac:dyDescent="0.35">
      <c r="A460" s="4" t="s">
        <v>592</v>
      </c>
      <c r="B460" s="145"/>
      <c r="C460" s="126" t="s">
        <v>1327</v>
      </c>
      <c r="D460" s="120"/>
      <c r="E460" s="120"/>
      <c r="F460" s="121"/>
      <c r="G460" s="120"/>
      <c r="H460" s="120"/>
      <c r="S460" t="s">
        <v>6</v>
      </c>
      <c r="T460" t="s">
        <v>9</v>
      </c>
      <c r="U460" t="s">
        <v>8</v>
      </c>
      <c r="V460" s="122">
        <v>12065.03</v>
      </c>
      <c r="W460" s="122">
        <v>1219.924</v>
      </c>
      <c r="X460" s="122">
        <v>10.111238844826742</v>
      </c>
      <c r="Y460" s="122">
        <v>9634.2819999999992</v>
      </c>
      <c r="Z460" s="122">
        <v>14495.79</v>
      </c>
    </row>
    <row r="461" spans="1:26" ht="15" customHeight="1" x14ac:dyDescent="0.35">
      <c r="A461" s="139">
        <v>2411</v>
      </c>
      <c r="B461" s="3"/>
      <c r="C461" s="129" t="s">
        <v>1232</v>
      </c>
      <c r="D461" s="120">
        <v>17535.78</v>
      </c>
      <c r="E461" s="120">
        <v>357.95979999999997</v>
      </c>
      <c r="F461" s="121">
        <f t="shared" ref="F461:F472" si="16">E461/D461*100</f>
        <v>2.041310965351983</v>
      </c>
      <c r="G461" s="120">
        <v>16946.939999999999</v>
      </c>
      <c r="H461" s="120">
        <v>18124.62</v>
      </c>
      <c r="J461" t="s">
        <v>592</v>
      </c>
      <c r="K461" t="s">
        <v>190</v>
      </c>
      <c r="L461" t="s">
        <v>615</v>
      </c>
      <c r="M461">
        <v>22629.599999999999</v>
      </c>
      <c r="N461">
        <v>2121.8449999999998</v>
      </c>
      <c r="O461" s="122">
        <v>9.376414077137909</v>
      </c>
      <c r="P461">
        <v>18468.96</v>
      </c>
      <c r="Q461">
        <v>26790.23</v>
      </c>
      <c r="R461" s="124"/>
      <c r="S461" t="s">
        <v>614</v>
      </c>
      <c r="T461" t="s">
        <v>440</v>
      </c>
      <c r="U461" t="s">
        <v>613</v>
      </c>
      <c r="V461" s="122">
        <v>18470.759999999998</v>
      </c>
      <c r="W461" s="122">
        <v>1871.729</v>
      </c>
      <c r="X461" s="122">
        <v>10.13347041486111</v>
      </c>
      <c r="Y461" s="122">
        <v>14713.11</v>
      </c>
      <c r="Z461" s="122">
        <v>22228.42</v>
      </c>
    </row>
    <row r="462" spans="1:26" ht="15" customHeight="1" x14ac:dyDescent="0.35">
      <c r="A462" s="139">
        <v>2431</v>
      </c>
      <c r="B462" s="3"/>
      <c r="C462" s="129" t="s">
        <v>203</v>
      </c>
      <c r="D462" s="120">
        <v>17286.86</v>
      </c>
      <c r="E462" s="120">
        <v>503.70499999999998</v>
      </c>
      <c r="F462" s="121">
        <f t="shared" si="16"/>
        <v>2.9138027380333962</v>
      </c>
      <c r="G462" s="120">
        <v>16458.28</v>
      </c>
      <c r="H462" s="120">
        <v>18115.45</v>
      </c>
      <c r="J462" t="s">
        <v>592</v>
      </c>
      <c r="K462" t="s">
        <v>202</v>
      </c>
      <c r="L462" t="s">
        <v>612</v>
      </c>
      <c r="M462">
        <v>15450.73</v>
      </c>
      <c r="N462">
        <v>374.79509999999999</v>
      </c>
      <c r="O462" s="122">
        <v>2.425743638002865</v>
      </c>
      <c r="P462">
        <v>14715.82</v>
      </c>
      <c r="Q462">
        <v>16185.65</v>
      </c>
      <c r="R462" s="124"/>
      <c r="S462" t="s">
        <v>209</v>
      </c>
      <c r="T462" t="s">
        <v>107</v>
      </c>
      <c r="U462" t="s">
        <v>219</v>
      </c>
      <c r="V462" s="122">
        <v>28078.55</v>
      </c>
      <c r="W462" s="122">
        <v>2851.9490000000001</v>
      </c>
      <c r="X462" s="122">
        <v>10.15703802368712</v>
      </c>
      <c r="Y462" s="122">
        <v>22473.05</v>
      </c>
      <c r="Z462" s="122">
        <v>33684.04</v>
      </c>
    </row>
    <row r="463" spans="1:26" ht="15" customHeight="1" x14ac:dyDescent="0.35">
      <c r="A463" s="139">
        <v>2433</v>
      </c>
      <c r="B463" s="3"/>
      <c r="C463" s="129" t="s">
        <v>611</v>
      </c>
      <c r="D463" s="120">
        <v>16496.439999999999</v>
      </c>
      <c r="E463" s="120">
        <v>485.44690000000003</v>
      </c>
      <c r="F463" s="121">
        <f t="shared" si="16"/>
        <v>2.942737342117451</v>
      </c>
      <c r="G463" s="120">
        <v>15697.89</v>
      </c>
      <c r="H463" s="120">
        <v>17295</v>
      </c>
      <c r="J463" t="s">
        <v>592</v>
      </c>
      <c r="K463" t="s">
        <v>610</v>
      </c>
      <c r="L463" t="s">
        <v>609</v>
      </c>
      <c r="M463">
        <v>14537.83</v>
      </c>
      <c r="N463">
        <v>759.32579999999996</v>
      </c>
      <c r="O463" s="122">
        <v>5.2231027601781008</v>
      </c>
      <c r="P463">
        <v>13048.91</v>
      </c>
      <c r="Q463">
        <v>16026.76</v>
      </c>
      <c r="R463" s="124"/>
      <c r="S463" t="s">
        <v>554</v>
      </c>
      <c r="T463" t="s">
        <v>298</v>
      </c>
      <c r="U463" t="s">
        <v>608</v>
      </c>
      <c r="V463" s="122">
        <v>15955.21</v>
      </c>
      <c r="W463" s="122">
        <v>1622.39</v>
      </c>
      <c r="X463" s="122">
        <v>10.168402672230577</v>
      </c>
      <c r="Y463" s="122">
        <v>12740.34</v>
      </c>
      <c r="Z463" s="122">
        <v>19170.09</v>
      </c>
    </row>
    <row r="464" spans="1:26" ht="15" customHeight="1" x14ac:dyDescent="0.35">
      <c r="A464" s="139">
        <v>3322</v>
      </c>
      <c r="B464" s="3"/>
      <c r="C464" s="129" t="s">
        <v>583</v>
      </c>
      <c r="D464" s="120">
        <v>17102.63</v>
      </c>
      <c r="E464" s="120">
        <v>195.7013</v>
      </c>
      <c r="F464" s="121">
        <f t="shared" si="16"/>
        <v>1.1442760557879108</v>
      </c>
      <c r="G464" s="120">
        <v>16780.7</v>
      </c>
      <c r="H464" s="120">
        <v>17424.55</v>
      </c>
      <c r="O464" s="122"/>
      <c r="R464" s="124"/>
    </row>
    <row r="465" spans="1:26" ht="15" customHeight="1" x14ac:dyDescent="0.35">
      <c r="A465" s="139">
        <v>4110</v>
      </c>
      <c r="B465" s="3"/>
      <c r="C465" s="129" t="s">
        <v>1156</v>
      </c>
      <c r="D465" s="120">
        <v>14861.03</v>
      </c>
      <c r="E465" s="120">
        <v>145.54769999999999</v>
      </c>
      <c r="F465" s="121">
        <f t="shared" si="16"/>
        <v>0.97939173798855106</v>
      </c>
      <c r="G465" s="120">
        <v>14621.61</v>
      </c>
      <c r="H465" s="120">
        <v>15100.46</v>
      </c>
      <c r="J465" t="s">
        <v>592</v>
      </c>
      <c r="K465" t="s">
        <v>147</v>
      </c>
      <c r="L465" t="s">
        <v>607</v>
      </c>
      <c r="M465">
        <v>17816.46</v>
      </c>
      <c r="N465">
        <v>1173.761</v>
      </c>
      <c r="O465" s="122">
        <v>6.5880708064340503</v>
      </c>
      <c r="P465">
        <v>15514.88</v>
      </c>
      <c r="Q465">
        <v>20118.03</v>
      </c>
      <c r="R465" s="124"/>
      <c r="S465" t="s">
        <v>606</v>
      </c>
      <c r="T465" t="s">
        <v>605</v>
      </c>
      <c r="U465" t="s">
        <v>604</v>
      </c>
      <c r="V465" s="122">
        <v>17856.009999999998</v>
      </c>
      <c r="W465" s="122">
        <v>1816.586</v>
      </c>
      <c r="X465" s="122">
        <v>10.173527008553423</v>
      </c>
      <c r="Y465" s="122">
        <v>14287.72</v>
      </c>
      <c r="Z465" s="122">
        <v>21424.31</v>
      </c>
    </row>
    <row r="466" spans="1:26" ht="15" customHeight="1" x14ac:dyDescent="0.35">
      <c r="A466" s="139">
        <v>4214</v>
      </c>
      <c r="B466" s="3"/>
      <c r="C466" s="129" t="s">
        <v>214</v>
      </c>
      <c r="D466" s="120">
        <v>15140.23</v>
      </c>
      <c r="E466" s="120">
        <v>213.4725</v>
      </c>
      <c r="F466" s="121">
        <f t="shared" si="16"/>
        <v>1.4099686728669247</v>
      </c>
      <c r="G466" s="120">
        <v>14789.07</v>
      </c>
      <c r="H466" s="120">
        <v>15491.39</v>
      </c>
      <c r="J466" t="s">
        <v>592</v>
      </c>
      <c r="K466" t="s">
        <v>196</v>
      </c>
      <c r="L466" t="s">
        <v>603</v>
      </c>
      <c r="M466">
        <v>13076.74</v>
      </c>
      <c r="N466">
        <v>586.32240000000002</v>
      </c>
      <c r="O466" s="122">
        <v>4.4837046542181005</v>
      </c>
      <c r="P466">
        <v>11927.05</v>
      </c>
      <c r="Q466">
        <v>14226.43</v>
      </c>
      <c r="R466" s="124"/>
      <c r="S466" t="s">
        <v>327</v>
      </c>
      <c r="T466" t="s">
        <v>602</v>
      </c>
      <c r="U466" t="s">
        <v>601</v>
      </c>
      <c r="V466" s="122">
        <v>17280.02</v>
      </c>
      <c r="W466" s="122">
        <v>1760.0219999999999</v>
      </c>
      <c r="X466" s="122">
        <v>10.18530071145751</v>
      </c>
      <c r="Y466" s="122">
        <v>13782.35</v>
      </c>
      <c r="Z466" s="122">
        <v>20777.7</v>
      </c>
    </row>
    <row r="467" spans="1:26" ht="15" customHeight="1" x14ac:dyDescent="0.35">
      <c r="A467" s="139">
        <v>4321</v>
      </c>
      <c r="B467" s="3"/>
      <c r="C467" s="129" t="s">
        <v>547</v>
      </c>
      <c r="D467" s="120">
        <v>15368.62</v>
      </c>
      <c r="E467" s="120">
        <v>213.09350000000001</v>
      </c>
      <c r="F467" s="121">
        <f t="shared" si="16"/>
        <v>1.3865493453543649</v>
      </c>
      <c r="G467" s="120">
        <v>15018.08</v>
      </c>
      <c r="H467" s="120">
        <v>15719.15</v>
      </c>
      <c r="J467" t="s">
        <v>592</v>
      </c>
      <c r="K467" t="s">
        <v>14</v>
      </c>
      <c r="L467" t="s">
        <v>600</v>
      </c>
      <c r="M467">
        <v>16167.55</v>
      </c>
      <c r="N467">
        <v>506.49919999999997</v>
      </c>
      <c r="O467" s="122">
        <v>3.1328135679184541</v>
      </c>
      <c r="P467">
        <v>15174.38</v>
      </c>
      <c r="Q467">
        <v>17160.73</v>
      </c>
      <c r="R467" s="124"/>
      <c r="S467" t="s">
        <v>96</v>
      </c>
      <c r="T467" t="s">
        <v>107</v>
      </c>
      <c r="U467" t="s">
        <v>106</v>
      </c>
      <c r="V467" s="122">
        <v>45547.66</v>
      </c>
      <c r="W467" s="122">
        <v>4664.817</v>
      </c>
      <c r="X467" s="122">
        <v>10.241617242246912</v>
      </c>
      <c r="Y467" s="122">
        <v>36396.559999999998</v>
      </c>
      <c r="Z467" s="122">
        <v>54698.76</v>
      </c>
    </row>
    <row r="468" spans="1:26" ht="15" customHeight="1" x14ac:dyDescent="0.35">
      <c r="A468" s="139">
        <v>5220</v>
      </c>
      <c r="B468" s="3"/>
      <c r="C468" s="129" t="s">
        <v>1233</v>
      </c>
      <c r="D468" s="120">
        <v>15247.02</v>
      </c>
      <c r="E468" s="120">
        <v>173.87039999999999</v>
      </c>
      <c r="F468" s="121">
        <f t="shared" si="16"/>
        <v>1.1403566073895095</v>
      </c>
      <c r="G468" s="120">
        <v>14961.01</v>
      </c>
      <c r="H468" s="120">
        <v>15533.04</v>
      </c>
      <c r="J468" t="s">
        <v>592</v>
      </c>
      <c r="K468" t="s">
        <v>430</v>
      </c>
      <c r="L468" t="s">
        <v>599</v>
      </c>
      <c r="M468">
        <v>12968.13</v>
      </c>
      <c r="N468">
        <v>477.87270000000001</v>
      </c>
      <c r="O468" s="122">
        <v>3.6849777107416415</v>
      </c>
      <c r="P468">
        <v>12031.09</v>
      </c>
      <c r="Q468">
        <v>13905.17</v>
      </c>
      <c r="R468" s="124"/>
      <c r="S468" t="s">
        <v>598</v>
      </c>
      <c r="T468" t="s">
        <v>156</v>
      </c>
      <c r="U468" t="s">
        <v>597</v>
      </c>
      <c r="V468" s="122">
        <v>22424.32</v>
      </c>
      <c r="W468" s="122">
        <v>2313.3470000000002</v>
      </c>
      <c r="X468" s="122">
        <v>10.316241473543011</v>
      </c>
      <c r="Y468" s="122">
        <v>17829.82</v>
      </c>
      <c r="Z468" s="122">
        <v>27018.83</v>
      </c>
    </row>
    <row r="469" spans="1:26" ht="15" customHeight="1" x14ac:dyDescent="0.35">
      <c r="A469" s="139">
        <v>5230</v>
      </c>
      <c r="B469" s="3"/>
      <c r="C469" s="129" t="s">
        <v>1234</v>
      </c>
      <c r="D469" s="120">
        <v>13839.49</v>
      </c>
      <c r="E469" s="120">
        <v>110.953</v>
      </c>
      <c r="F469" s="121">
        <f t="shared" si="16"/>
        <v>0.8017130689064409</v>
      </c>
      <c r="G469" s="120">
        <v>13656.97</v>
      </c>
      <c r="H469" s="120">
        <v>14022.01</v>
      </c>
      <c r="J469" t="s">
        <v>592</v>
      </c>
      <c r="K469" t="s">
        <v>137</v>
      </c>
      <c r="L469" t="s">
        <v>596</v>
      </c>
      <c r="M469">
        <v>14176.61</v>
      </c>
      <c r="N469">
        <v>623.94410000000005</v>
      </c>
      <c r="O469" s="122">
        <v>4.4012221539564109</v>
      </c>
      <c r="P469">
        <v>12953.15</v>
      </c>
      <c r="Q469">
        <v>15400.07</v>
      </c>
      <c r="R469" s="124"/>
      <c r="S469" t="s">
        <v>325</v>
      </c>
      <c r="T469" t="s">
        <v>413</v>
      </c>
      <c r="U469" t="s">
        <v>412</v>
      </c>
      <c r="V469" s="122">
        <v>17371.87</v>
      </c>
      <c r="W469" s="122">
        <v>1794.4559999999999</v>
      </c>
      <c r="X469" s="122">
        <v>10.329665142555177</v>
      </c>
      <c r="Y469" s="122">
        <v>13846.56</v>
      </c>
      <c r="Z469" s="122">
        <v>20897.18</v>
      </c>
    </row>
    <row r="470" spans="1:26" ht="15" customHeight="1" x14ac:dyDescent="0.35">
      <c r="A470" s="139">
        <v>5244</v>
      </c>
      <c r="B470" s="3"/>
      <c r="C470" s="129" t="s">
        <v>123</v>
      </c>
      <c r="D470" s="120">
        <v>15431.54</v>
      </c>
      <c r="E470" s="120">
        <v>468.43329999999997</v>
      </c>
      <c r="F470" s="121">
        <f t="shared" si="16"/>
        <v>3.0355576954730372</v>
      </c>
      <c r="G470" s="120">
        <v>14660.98</v>
      </c>
      <c r="H470" s="120">
        <v>16202.11</v>
      </c>
      <c r="J470" t="s">
        <v>592</v>
      </c>
      <c r="K470" t="s">
        <v>122</v>
      </c>
      <c r="L470" t="s">
        <v>595</v>
      </c>
      <c r="M470">
        <v>13767.27</v>
      </c>
      <c r="N470">
        <v>894.16629999999998</v>
      </c>
      <c r="O470" s="122">
        <v>6.4948700795437295</v>
      </c>
      <c r="P470">
        <v>12013.94</v>
      </c>
      <c r="Q470">
        <v>15520.6</v>
      </c>
      <c r="R470" s="124"/>
      <c r="S470" t="s">
        <v>279</v>
      </c>
      <c r="T470" t="s">
        <v>115</v>
      </c>
      <c r="U470" t="s">
        <v>288</v>
      </c>
      <c r="V470" s="122">
        <v>39652.51</v>
      </c>
      <c r="W470" s="122">
        <v>4102.5519999999997</v>
      </c>
      <c r="X470" s="122">
        <v>10.346260551980189</v>
      </c>
      <c r="Y470" s="122">
        <v>31583.51</v>
      </c>
      <c r="Z470" s="122">
        <v>47721.51</v>
      </c>
    </row>
    <row r="471" spans="1:26" ht="15" customHeight="1" x14ac:dyDescent="0.35">
      <c r="A471" s="117">
        <v>7231</v>
      </c>
      <c r="B471" s="130"/>
      <c r="C471" s="131" t="s">
        <v>504</v>
      </c>
      <c r="D471" s="120">
        <v>14824.13</v>
      </c>
      <c r="E471" s="120">
        <v>102.7448</v>
      </c>
      <c r="F471" s="121">
        <f t="shared" si="16"/>
        <v>0.69309160132837477</v>
      </c>
      <c r="G471" s="120">
        <v>14655.12</v>
      </c>
      <c r="H471" s="120">
        <v>14993.15</v>
      </c>
      <c r="J471" t="s">
        <v>592</v>
      </c>
      <c r="K471" t="s">
        <v>333</v>
      </c>
      <c r="L471" t="s">
        <v>594</v>
      </c>
      <c r="M471">
        <v>13899.21</v>
      </c>
      <c r="N471">
        <v>329.452</v>
      </c>
      <c r="O471" s="122">
        <v>2.3702929878748504</v>
      </c>
      <c r="P471">
        <v>13253.2</v>
      </c>
      <c r="Q471">
        <v>14545.21</v>
      </c>
      <c r="R471" s="124"/>
      <c r="S471" t="s">
        <v>574</v>
      </c>
      <c r="T471" t="s">
        <v>115</v>
      </c>
      <c r="U471" t="s">
        <v>593</v>
      </c>
      <c r="V471" s="122">
        <v>25641.919999999998</v>
      </c>
      <c r="W471" s="122">
        <v>2661.42</v>
      </c>
      <c r="X471" s="122">
        <v>10.379175974342015</v>
      </c>
      <c r="Y471" s="122">
        <v>20238.95</v>
      </c>
      <c r="Z471" s="122">
        <v>31044.89</v>
      </c>
    </row>
    <row r="472" spans="1:26" ht="15" customHeight="1" x14ac:dyDescent="0.35">
      <c r="A472" s="117">
        <v>9000</v>
      </c>
      <c r="B472" s="118" t="s">
        <v>1350</v>
      </c>
      <c r="C472" s="131" t="s">
        <v>1207</v>
      </c>
      <c r="D472" s="120">
        <v>12600.67</v>
      </c>
      <c r="E472" s="120">
        <v>100.9692</v>
      </c>
      <c r="F472" s="121">
        <f t="shared" si="16"/>
        <v>0.80130024832012903</v>
      </c>
      <c r="G472" s="120">
        <v>12434.58</v>
      </c>
      <c r="H472" s="120">
        <v>12766.76</v>
      </c>
      <c r="J472" t="s">
        <v>592</v>
      </c>
      <c r="K472" t="s">
        <v>5</v>
      </c>
      <c r="L472" t="s">
        <v>591</v>
      </c>
      <c r="M472">
        <v>12496.22</v>
      </c>
      <c r="N472">
        <v>474.12079999999997</v>
      </c>
      <c r="O472" s="122">
        <v>3.7941137399949745</v>
      </c>
      <c r="P472">
        <v>11566.54</v>
      </c>
      <c r="Q472">
        <v>13425.91</v>
      </c>
      <c r="R472" s="124"/>
      <c r="S472" t="s">
        <v>96</v>
      </c>
      <c r="T472" t="s">
        <v>118</v>
      </c>
      <c r="U472" t="s">
        <v>117</v>
      </c>
      <c r="V472" s="122">
        <v>34555.440000000002</v>
      </c>
      <c r="W472" s="122">
        <v>3632.3989999999999</v>
      </c>
      <c r="X472" s="122">
        <v>10.511800746857801</v>
      </c>
      <c r="Y472" s="122">
        <v>27429.67</v>
      </c>
      <c r="Z472" s="122">
        <v>41681.22</v>
      </c>
    </row>
    <row r="473" spans="1:26" ht="15" customHeight="1" x14ac:dyDescent="0.35">
      <c r="A473" s="170"/>
      <c r="B473" s="171"/>
      <c r="C473" s="171"/>
      <c r="D473" s="120"/>
      <c r="E473" s="120"/>
      <c r="F473" s="163"/>
      <c r="G473" s="120"/>
      <c r="H473" s="120"/>
      <c r="S473" t="s">
        <v>252</v>
      </c>
      <c r="T473" t="s">
        <v>271</v>
      </c>
      <c r="U473" t="s">
        <v>270</v>
      </c>
      <c r="V473" s="122">
        <v>28038.65</v>
      </c>
      <c r="W473" s="122">
        <v>3050.0650000000001</v>
      </c>
      <c r="X473" s="122">
        <v>10.878073659038504</v>
      </c>
      <c r="Y473" s="122">
        <v>22039.71</v>
      </c>
      <c r="Z473" s="122">
        <v>34037.589999999997</v>
      </c>
    </row>
    <row r="474" spans="1:26" ht="15" customHeight="1" x14ac:dyDescent="0.35">
      <c r="A474" s="4" t="s">
        <v>428</v>
      </c>
      <c r="B474" s="145"/>
      <c r="C474" s="126" t="s">
        <v>1041</v>
      </c>
      <c r="D474" s="120"/>
      <c r="E474" s="120"/>
      <c r="F474" s="163"/>
      <c r="G474" s="120"/>
      <c r="H474" s="120"/>
      <c r="S474" t="s">
        <v>229</v>
      </c>
      <c r="T474" t="s">
        <v>190</v>
      </c>
      <c r="U474" t="s">
        <v>247</v>
      </c>
      <c r="V474" s="122">
        <v>41852.44</v>
      </c>
      <c r="W474" s="122">
        <v>4561.7650000000003</v>
      </c>
      <c r="X474" s="122">
        <v>10.899639304183937</v>
      </c>
      <c r="Y474" s="122">
        <v>32886.31</v>
      </c>
      <c r="Z474" s="122">
        <v>50818.57</v>
      </c>
    </row>
    <row r="475" spans="1:26" ht="15" customHeight="1" x14ac:dyDescent="0.35">
      <c r="A475" s="139">
        <v>2121</v>
      </c>
      <c r="B475" s="145"/>
      <c r="C475" s="129" t="s">
        <v>133</v>
      </c>
      <c r="D475" s="120">
        <v>33851.74</v>
      </c>
      <c r="E475" s="120">
        <v>2502.3980000000001</v>
      </c>
      <c r="F475" s="121">
        <f t="shared" ref="F475:F485" si="17">E475/D475*100</f>
        <v>7.3922285826371112</v>
      </c>
      <c r="G475" s="120">
        <v>29735.33</v>
      </c>
      <c r="H475" s="120">
        <v>37968.15</v>
      </c>
      <c r="J475" t="s">
        <v>428</v>
      </c>
      <c r="K475" t="s">
        <v>118</v>
      </c>
      <c r="L475" t="s">
        <v>427</v>
      </c>
      <c r="M475">
        <v>21463.41</v>
      </c>
      <c r="N475">
        <v>2958.7869999999998</v>
      </c>
      <c r="O475" s="122">
        <v>13.785260589999446</v>
      </c>
      <c r="P475">
        <v>15661.66</v>
      </c>
      <c r="Q475">
        <v>27265.17</v>
      </c>
      <c r="R475" s="124"/>
      <c r="S475" t="s">
        <v>135</v>
      </c>
      <c r="T475" t="s">
        <v>140</v>
      </c>
      <c r="U475" t="s">
        <v>139</v>
      </c>
      <c r="V475" s="122">
        <v>25680.05</v>
      </c>
      <c r="W475" s="122">
        <v>2804.069</v>
      </c>
      <c r="X475" s="122">
        <v>10.919250546630556</v>
      </c>
      <c r="Y475" s="122">
        <v>20179.23</v>
      </c>
      <c r="Z475" s="122">
        <v>31180.880000000001</v>
      </c>
    </row>
    <row r="476" spans="1:26" ht="15" customHeight="1" x14ac:dyDescent="0.35">
      <c r="A476" s="139">
        <v>2122</v>
      </c>
      <c r="B476" s="3"/>
      <c r="C476" s="129" t="s">
        <v>116</v>
      </c>
      <c r="D476" s="120">
        <v>24637.99</v>
      </c>
      <c r="E476" s="120">
        <v>3231.123</v>
      </c>
      <c r="F476" s="121">
        <f t="shared" si="17"/>
        <v>13.114393666041751</v>
      </c>
      <c r="G476" s="120">
        <v>19322.84</v>
      </c>
      <c r="H476" s="120">
        <v>29953.14</v>
      </c>
      <c r="J476" t="s">
        <v>428</v>
      </c>
      <c r="K476" t="s">
        <v>115</v>
      </c>
      <c r="L476" t="s">
        <v>538</v>
      </c>
      <c r="M476">
        <v>23892.400000000001</v>
      </c>
      <c r="N476">
        <v>2803.788</v>
      </c>
      <c r="O476" s="122">
        <v>11.735062195509869</v>
      </c>
      <c r="P476">
        <v>18394.57</v>
      </c>
      <c r="Q476">
        <v>29390.22</v>
      </c>
      <c r="R476" s="124"/>
      <c r="S476" t="s">
        <v>301</v>
      </c>
      <c r="T476" t="s">
        <v>345</v>
      </c>
      <c r="U476" t="s">
        <v>344</v>
      </c>
      <c r="V476" s="122">
        <v>16933.21</v>
      </c>
      <c r="W476" s="122">
        <v>1854.3520000000001</v>
      </c>
      <c r="X476" s="122">
        <v>10.950977398851135</v>
      </c>
      <c r="Y476" s="122">
        <v>13286.03</v>
      </c>
      <c r="Z476" s="122">
        <v>20580.400000000001</v>
      </c>
    </row>
    <row r="477" spans="1:26" ht="15" customHeight="1" x14ac:dyDescent="0.35">
      <c r="A477" s="139">
        <v>2411</v>
      </c>
      <c r="B477" s="3"/>
      <c r="C477" s="129" t="s">
        <v>1232</v>
      </c>
      <c r="D477" s="120">
        <v>25429.11</v>
      </c>
      <c r="E477" s="120">
        <v>459.20639999999997</v>
      </c>
      <c r="F477" s="121">
        <f t="shared" si="17"/>
        <v>1.805829618103032</v>
      </c>
      <c r="G477" s="120">
        <v>24673.72</v>
      </c>
      <c r="H477" s="120">
        <v>26184.5</v>
      </c>
      <c r="J477" t="s">
        <v>428</v>
      </c>
      <c r="K477" t="s">
        <v>190</v>
      </c>
      <c r="L477" t="s">
        <v>586</v>
      </c>
      <c r="M477">
        <v>32406.16</v>
      </c>
      <c r="N477">
        <v>1748.8589999999999</v>
      </c>
      <c r="O477" s="122">
        <v>5.396686926189342</v>
      </c>
      <c r="P477">
        <v>28976.9</v>
      </c>
      <c r="Q477">
        <v>35835.42</v>
      </c>
      <c r="R477" s="124"/>
      <c r="S477" t="s">
        <v>22</v>
      </c>
      <c r="T477" t="s">
        <v>51</v>
      </c>
      <c r="U477" t="s">
        <v>50</v>
      </c>
      <c r="V477" s="122">
        <v>51251.22</v>
      </c>
      <c r="W477" s="122">
        <v>5685.585</v>
      </c>
      <c r="X477" s="122">
        <v>11.093560309393609</v>
      </c>
      <c r="Y477" s="122">
        <v>40084.379999999997</v>
      </c>
      <c r="Z477" s="122">
        <v>62418.07</v>
      </c>
    </row>
    <row r="478" spans="1:26" ht="15" customHeight="1" x14ac:dyDescent="0.35">
      <c r="A478" s="139">
        <v>2431</v>
      </c>
      <c r="B478" s="3"/>
      <c r="C478" s="129" t="s">
        <v>203</v>
      </c>
      <c r="D478" s="120">
        <v>32554.23</v>
      </c>
      <c r="E478" s="120">
        <v>3604.636</v>
      </c>
      <c r="F478" s="121">
        <f t="shared" si="17"/>
        <v>11.072711595390215</v>
      </c>
      <c r="G478" s="120">
        <v>26624.66</v>
      </c>
      <c r="H478" s="120">
        <v>38483.81</v>
      </c>
      <c r="J478" t="s">
        <v>428</v>
      </c>
      <c r="K478" t="s">
        <v>202</v>
      </c>
      <c r="L478" t="s">
        <v>585</v>
      </c>
      <c r="M478">
        <v>31816</v>
      </c>
      <c r="N478">
        <v>2777.7359999999999</v>
      </c>
      <c r="O478" s="122">
        <v>8.7306261000754333</v>
      </c>
      <c r="P478">
        <v>26369.26</v>
      </c>
      <c r="Q478">
        <v>37262.74</v>
      </c>
      <c r="R478" s="124"/>
      <c r="S478" t="s">
        <v>574</v>
      </c>
      <c r="T478" t="s">
        <v>348</v>
      </c>
      <c r="U478" t="s">
        <v>584</v>
      </c>
      <c r="V478" s="122">
        <v>19266.919999999998</v>
      </c>
      <c r="W478" s="122">
        <v>2138.3159999999998</v>
      </c>
      <c r="X478" s="122">
        <v>11.098380021300757</v>
      </c>
      <c r="Y478" s="122">
        <v>14925.91</v>
      </c>
      <c r="Z478" s="122">
        <v>23607.94</v>
      </c>
    </row>
    <row r="479" spans="1:26" ht="15" customHeight="1" x14ac:dyDescent="0.35">
      <c r="A479" s="139">
        <v>3322</v>
      </c>
      <c r="B479" s="3"/>
      <c r="C479" s="129" t="s">
        <v>583</v>
      </c>
      <c r="D479" s="120">
        <v>23546.62</v>
      </c>
      <c r="E479" s="120">
        <v>564.13580000000002</v>
      </c>
      <c r="F479" s="121">
        <f t="shared" si="17"/>
        <v>2.3958249634130078</v>
      </c>
      <c r="G479" s="120">
        <v>22618.62</v>
      </c>
      <c r="H479" s="120">
        <v>24474.61</v>
      </c>
      <c r="J479" t="s">
        <v>428</v>
      </c>
      <c r="K479" t="s">
        <v>147</v>
      </c>
      <c r="L479" t="s">
        <v>582</v>
      </c>
      <c r="M479">
        <v>21931.69</v>
      </c>
      <c r="N479">
        <v>851.25789999999995</v>
      </c>
      <c r="O479" s="122">
        <v>3.8814058560922571</v>
      </c>
      <c r="P479">
        <v>20262.5</v>
      </c>
      <c r="Q479">
        <v>23600.89</v>
      </c>
      <c r="R479" s="124"/>
      <c r="S479" t="s">
        <v>581</v>
      </c>
      <c r="T479" t="s">
        <v>580</v>
      </c>
      <c r="U479" t="s">
        <v>579</v>
      </c>
      <c r="V479" s="122">
        <v>15807.19</v>
      </c>
      <c r="W479" s="122">
        <v>1761.2639999999999</v>
      </c>
      <c r="X479" s="122">
        <v>11.142170113726726</v>
      </c>
      <c r="Y479" s="122">
        <v>12328.7</v>
      </c>
      <c r="Z479" s="122">
        <v>19285.68</v>
      </c>
    </row>
    <row r="480" spans="1:26" ht="15" customHeight="1" x14ac:dyDescent="0.35">
      <c r="A480" s="139">
        <v>4110</v>
      </c>
      <c r="B480" s="3"/>
      <c r="C480" s="129" t="s">
        <v>1156</v>
      </c>
      <c r="D480" s="120">
        <v>19159.62</v>
      </c>
      <c r="E480" s="120">
        <v>174.16040000000001</v>
      </c>
      <c r="F480" s="121">
        <f t="shared" si="17"/>
        <v>0.90899715130049563</v>
      </c>
      <c r="G480" s="120">
        <v>18873.13</v>
      </c>
      <c r="H480" s="120">
        <v>19446.11</v>
      </c>
      <c r="J480" t="s">
        <v>428</v>
      </c>
      <c r="K480" t="s">
        <v>14</v>
      </c>
      <c r="L480" t="s">
        <v>578</v>
      </c>
      <c r="M480">
        <v>19638.18</v>
      </c>
      <c r="N480">
        <v>1226.5740000000001</v>
      </c>
      <c r="O480" s="122">
        <v>6.2458639242536735</v>
      </c>
      <c r="P480">
        <v>17233.05</v>
      </c>
      <c r="Q480">
        <v>22043.32</v>
      </c>
      <c r="R480" s="124"/>
      <c r="S480" t="s">
        <v>443</v>
      </c>
      <c r="T480" t="s">
        <v>577</v>
      </c>
      <c r="U480" t="s">
        <v>576</v>
      </c>
      <c r="V480" s="122">
        <v>17440.63</v>
      </c>
      <c r="W480" s="122">
        <v>1956.1379999999999</v>
      </c>
      <c r="X480" s="122">
        <v>11.21598245017525</v>
      </c>
      <c r="Y480" s="122">
        <v>13531.6</v>
      </c>
      <c r="Z480" s="122">
        <v>21349.66</v>
      </c>
    </row>
    <row r="481" spans="1:26" ht="15" customHeight="1" x14ac:dyDescent="0.35">
      <c r="A481" s="139">
        <v>4321</v>
      </c>
      <c r="B481" s="3"/>
      <c r="C481" s="129" t="s">
        <v>547</v>
      </c>
      <c r="D481" s="120">
        <v>17192.05</v>
      </c>
      <c r="E481" s="120">
        <v>228.08</v>
      </c>
      <c r="F481" s="121">
        <f t="shared" si="17"/>
        <v>1.3266597060850802</v>
      </c>
      <c r="G481" s="120">
        <v>16816.87</v>
      </c>
      <c r="H481" s="120">
        <v>17567.240000000002</v>
      </c>
      <c r="J481" t="s">
        <v>428</v>
      </c>
      <c r="K481" t="s">
        <v>430</v>
      </c>
      <c r="L481" t="s">
        <v>575</v>
      </c>
      <c r="M481">
        <v>14963.84</v>
      </c>
      <c r="N481">
        <v>399.92270000000002</v>
      </c>
      <c r="O481" s="122">
        <v>2.6725940667636117</v>
      </c>
      <c r="P481">
        <v>14179.65</v>
      </c>
      <c r="Q481">
        <v>15748.03</v>
      </c>
      <c r="R481" s="124"/>
      <c r="S481" t="s">
        <v>574</v>
      </c>
      <c r="T481" t="s">
        <v>358</v>
      </c>
      <c r="U481" t="s">
        <v>573</v>
      </c>
      <c r="V481" s="122">
        <v>28852.51</v>
      </c>
      <c r="W481" s="122">
        <v>3242.3130000000001</v>
      </c>
      <c r="X481" s="122">
        <v>11.237542245024784</v>
      </c>
      <c r="Y481" s="122">
        <v>22270.27</v>
      </c>
      <c r="Z481" s="122">
        <v>35434.76</v>
      </c>
    </row>
    <row r="482" spans="1:26" ht="15" customHeight="1" x14ac:dyDescent="0.35">
      <c r="A482" s="139">
        <v>5220</v>
      </c>
      <c r="B482" s="3"/>
      <c r="C482" s="129" t="s">
        <v>1233</v>
      </c>
      <c r="D482" s="120">
        <v>15269.24</v>
      </c>
      <c r="E482" s="120">
        <v>140.3211</v>
      </c>
      <c r="F482" s="121">
        <f t="shared" si="17"/>
        <v>0.91897894066764285</v>
      </c>
      <c r="G482" s="120">
        <v>15038.41</v>
      </c>
      <c r="H482" s="120">
        <v>15500.06</v>
      </c>
      <c r="J482" t="s">
        <v>428</v>
      </c>
      <c r="K482" t="s">
        <v>137</v>
      </c>
      <c r="L482" t="s">
        <v>572</v>
      </c>
      <c r="M482">
        <v>14670.01</v>
      </c>
      <c r="N482">
        <v>490.21780000000001</v>
      </c>
      <c r="O482" s="122">
        <v>3.3416323506255279</v>
      </c>
      <c r="P482">
        <v>13708.76</v>
      </c>
      <c r="Q482">
        <v>15631.25</v>
      </c>
      <c r="R482" s="124"/>
      <c r="S482" t="s">
        <v>571</v>
      </c>
      <c r="T482" t="s">
        <v>320</v>
      </c>
      <c r="U482" t="s">
        <v>570</v>
      </c>
      <c r="V482" s="122">
        <v>15096.42</v>
      </c>
      <c r="W482" s="122">
        <v>1696.69</v>
      </c>
      <c r="X482" s="122">
        <v>11.239022231760908</v>
      </c>
      <c r="Y482" s="122">
        <v>11707.89</v>
      </c>
      <c r="Z482" s="122">
        <v>18484.939999999999</v>
      </c>
    </row>
    <row r="483" spans="1:26" ht="15" customHeight="1" x14ac:dyDescent="0.35">
      <c r="A483" s="139">
        <v>5230</v>
      </c>
      <c r="B483" s="3"/>
      <c r="C483" s="129" t="s">
        <v>1234</v>
      </c>
      <c r="D483" s="120">
        <v>16633.36</v>
      </c>
      <c r="E483" s="120">
        <v>211.40790000000001</v>
      </c>
      <c r="F483" s="121">
        <f t="shared" si="17"/>
        <v>1.270987341102459</v>
      </c>
      <c r="G483" s="120">
        <v>16285.6</v>
      </c>
      <c r="H483" s="120">
        <v>16981.13</v>
      </c>
      <c r="J483" t="s">
        <v>428</v>
      </c>
      <c r="K483" t="s">
        <v>122</v>
      </c>
      <c r="L483" t="s">
        <v>569</v>
      </c>
      <c r="M483">
        <v>18090.990000000002</v>
      </c>
      <c r="N483">
        <v>1790.508</v>
      </c>
      <c r="O483" s="122">
        <v>9.8972361379891307</v>
      </c>
      <c r="P483">
        <v>14580.07</v>
      </c>
      <c r="Q483">
        <v>21601.919999999998</v>
      </c>
      <c r="R483" s="124"/>
      <c r="S483" t="s">
        <v>568</v>
      </c>
      <c r="T483" t="s">
        <v>354</v>
      </c>
      <c r="U483" t="s">
        <v>567</v>
      </c>
      <c r="V483" s="122">
        <v>18210.830000000002</v>
      </c>
      <c r="W483" s="122">
        <v>2046.7539999999999</v>
      </c>
      <c r="X483" s="122">
        <v>11.239213149537939</v>
      </c>
      <c r="Y483" s="122">
        <v>14145.8</v>
      </c>
      <c r="Z483" s="122">
        <v>22275.86</v>
      </c>
    </row>
    <row r="484" spans="1:26" ht="15" customHeight="1" x14ac:dyDescent="0.35">
      <c r="A484" s="139">
        <v>5244</v>
      </c>
      <c r="B484" s="118"/>
      <c r="C484" s="129" t="s">
        <v>123</v>
      </c>
      <c r="D484" s="120">
        <v>17321.21</v>
      </c>
      <c r="E484" s="120">
        <v>476.9624</v>
      </c>
      <c r="F484" s="121">
        <f t="shared" si="17"/>
        <v>2.7536321076876273</v>
      </c>
      <c r="G484" s="120">
        <v>16536.62</v>
      </c>
      <c r="H484" s="120">
        <v>18105.810000000001</v>
      </c>
      <c r="J484" t="s">
        <v>428</v>
      </c>
      <c r="K484" t="s">
        <v>541</v>
      </c>
      <c r="L484" t="s">
        <v>566</v>
      </c>
      <c r="M484">
        <v>13499.22</v>
      </c>
      <c r="N484">
        <v>524.07259999999997</v>
      </c>
      <c r="O484" s="122">
        <v>3.8822435666653332</v>
      </c>
      <c r="P484">
        <v>12471.59</v>
      </c>
      <c r="Q484">
        <v>14526.86</v>
      </c>
      <c r="R484" s="124"/>
      <c r="S484" t="s">
        <v>301</v>
      </c>
      <c r="T484" t="s">
        <v>364</v>
      </c>
      <c r="U484" t="s">
        <v>363</v>
      </c>
      <c r="V484" s="122">
        <v>25164.32</v>
      </c>
      <c r="W484" s="122">
        <v>2837.0329999999999</v>
      </c>
      <c r="X484" s="122">
        <v>11.274030055252835</v>
      </c>
      <c r="Y484" s="122">
        <v>19584.37</v>
      </c>
      <c r="Z484" s="122">
        <v>30744.26</v>
      </c>
    </row>
    <row r="485" spans="1:26" ht="15" customHeight="1" x14ac:dyDescent="0.35">
      <c r="A485" s="117">
        <v>9000</v>
      </c>
      <c r="B485" s="118" t="s">
        <v>1350</v>
      </c>
      <c r="C485" s="131" t="s">
        <v>1207</v>
      </c>
      <c r="D485" s="120">
        <v>13579.34</v>
      </c>
      <c r="E485" s="120">
        <v>92.109269999999995</v>
      </c>
      <c r="F485" s="121">
        <f t="shared" si="17"/>
        <v>0.67830446840568093</v>
      </c>
      <c r="G485" s="120">
        <v>13427.82</v>
      </c>
      <c r="H485" s="120">
        <v>13730.86</v>
      </c>
      <c r="J485" t="s">
        <v>428</v>
      </c>
      <c r="K485" t="s">
        <v>5</v>
      </c>
      <c r="L485" t="s">
        <v>565</v>
      </c>
      <c r="M485">
        <v>12737.54</v>
      </c>
      <c r="N485">
        <v>487.24930000000001</v>
      </c>
      <c r="O485" s="122">
        <v>3.8253014318306358</v>
      </c>
      <c r="P485">
        <v>11782.11</v>
      </c>
      <c r="Q485">
        <v>13692.96</v>
      </c>
      <c r="R485" s="124"/>
      <c r="S485" t="s">
        <v>135</v>
      </c>
      <c r="T485" t="s">
        <v>147</v>
      </c>
      <c r="U485" t="s">
        <v>146</v>
      </c>
      <c r="V485" s="122">
        <v>20972.37</v>
      </c>
      <c r="W485" s="122">
        <v>2369.5610000000001</v>
      </c>
      <c r="X485" s="122">
        <v>11.298489393425733</v>
      </c>
      <c r="Y485" s="122">
        <v>16323.93</v>
      </c>
      <c r="Z485" s="122">
        <v>25620.799999999999</v>
      </c>
    </row>
    <row r="486" spans="1:26" ht="15" customHeight="1" x14ac:dyDescent="0.35">
      <c r="A486" s="132"/>
      <c r="B486" s="130"/>
      <c r="C486" s="131"/>
      <c r="D486" s="120"/>
      <c r="E486" s="120"/>
      <c r="F486" s="121"/>
      <c r="G486" s="120"/>
      <c r="H486" s="120"/>
      <c r="S486" t="s">
        <v>405</v>
      </c>
      <c r="T486" t="s">
        <v>320</v>
      </c>
      <c r="U486" t="s">
        <v>564</v>
      </c>
      <c r="V486" s="122">
        <v>17071.55</v>
      </c>
      <c r="W486" s="122">
        <v>1935.67</v>
      </c>
      <c r="X486" s="122">
        <v>11.338572068734241</v>
      </c>
      <c r="Y486" s="122">
        <v>13220.88</v>
      </c>
      <c r="Z486" s="122">
        <v>20922.21</v>
      </c>
    </row>
    <row r="487" spans="1:26" ht="15" customHeight="1" x14ac:dyDescent="0.35">
      <c r="A487" s="4" t="s">
        <v>311</v>
      </c>
      <c r="B487" s="145"/>
      <c r="C487" s="126" t="s">
        <v>563</v>
      </c>
      <c r="D487" s="120"/>
      <c r="E487" s="120"/>
      <c r="F487" s="121"/>
      <c r="G487" s="120"/>
      <c r="H487" s="120"/>
      <c r="S487" t="s">
        <v>396</v>
      </c>
      <c r="T487" t="s">
        <v>320</v>
      </c>
      <c r="U487" t="s">
        <v>562</v>
      </c>
      <c r="V487" s="122">
        <v>17239.259999999998</v>
      </c>
      <c r="W487" s="122">
        <v>1954.7460000000001</v>
      </c>
      <c r="X487" s="122">
        <v>11.338920580117708</v>
      </c>
      <c r="Y487" s="122">
        <v>13349.19</v>
      </c>
      <c r="Z487" s="122">
        <v>21129.33</v>
      </c>
    </row>
    <row r="488" spans="1:26" ht="15" customHeight="1" x14ac:dyDescent="0.35">
      <c r="A488" s="139">
        <v>2121</v>
      </c>
      <c r="B488" s="145"/>
      <c r="C488" s="129" t="s">
        <v>133</v>
      </c>
      <c r="D488" s="120">
        <v>24684.37</v>
      </c>
      <c r="E488" s="120">
        <v>3325.8220000000001</v>
      </c>
      <c r="F488" s="121">
        <f t="shared" ref="F488:F498" si="18">E488/D488*100</f>
        <v>13.473392272113893</v>
      </c>
      <c r="G488" s="120">
        <v>19213.439999999999</v>
      </c>
      <c r="H488" s="120">
        <v>30155.3</v>
      </c>
      <c r="J488" t="s">
        <v>311</v>
      </c>
      <c r="K488" t="s">
        <v>118</v>
      </c>
      <c r="L488" t="s">
        <v>466</v>
      </c>
      <c r="M488">
        <v>21016.42</v>
      </c>
      <c r="N488">
        <v>2794.5279999999998</v>
      </c>
      <c r="O488" s="122">
        <v>13.296879297235209</v>
      </c>
      <c r="P488">
        <v>15536.75</v>
      </c>
      <c r="Q488">
        <v>26496.080000000002</v>
      </c>
      <c r="R488" s="124"/>
      <c r="S488" t="s">
        <v>441</v>
      </c>
      <c r="T488" t="s">
        <v>561</v>
      </c>
      <c r="U488" t="s">
        <v>560</v>
      </c>
      <c r="V488" s="122">
        <v>16518.3</v>
      </c>
      <c r="W488" s="122">
        <v>1882.021</v>
      </c>
      <c r="X488" s="122">
        <v>11.393551394513963</v>
      </c>
      <c r="Y488" s="122">
        <v>12772.23</v>
      </c>
      <c r="Z488" s="122">
        <v>20264.37</v>
      </c>
    </row>
    <row r="489" spans="1:26" ht="15" customHeight="1" x14ac:dyDescent="0.35">
      <c r="A489" s="139">
        <v>2122</v>
      </c>
      <c r="B489" s="3"/>
      <c r="C489" s="129" t="s">
        <v>116</v>
      </c>
      <c r="D489" s="120">
        <v>23122.5</v>
      </c>
      <c r="E489" s="120">
        <v>1051.0139999999999</v>
      </c>
      <c r="F489" s="121">
        <f t="shared" si="18"/>
        <v>4.5454168018164118</v>
      </c>
      <c r="G489" s="120">
        <v>21393.599999999999</v>
      </c>
      <c r="H489" s="120">
        <v>24851.41</v>
      </c>
      <c r="J489" t="s">
        <v>311</v>
      </c>
      <c r="K489" t="s">
        <v>115</v>
      </c>
      <c r="L489" t="s">
        <v>310</v>
      </c>
      <c r="M489">
        <v>21675.03</v>
      </c>
      <c r="N489">
        <v>6894.723</v>
      </c>
      <c r="O489" s="122">
        <v>31.809519986823549</v>
      </c>
      <c r="P489">
        <v>8155.4690000000001</v>
      </c>
      <c r="Q489">
        <v>35194.58</v>
      </c>
      <c r="R489" s="124"/>
      <c r="S489" t="s">
        <v>375</v>
      </c>
      <c r="T489" t="s">
        <v>559</v>
      </c>
      <c r="U489" t="s">
        <v>558</v>
      </c>
      <c r="V489" s="122">
        <v>15090.83</v>
      </c>
      <c r="W489" s="122">
        <v>1731.8409999999999</v>
      </c>
      <c r="X489" s="122">
        <v>11.476114965180841</v>
      </c>
      <c r="Y489" s="122">
        <v>11602.72</v>
      </c>
      <c r="Z489" s="122">
        <v>18578.939999999999</v>
      </c>
    </row>
    <row r="490" spans="1:26" ht="15" customHeight="1" x14ac:dyDescent="0.35">
      <c r="A490" s="139">
        <v>2411</v>
      </c>
      <c r="B490" s="3"/>
      <c r="C490" s="129" t="s">
        <v>1235</v>
      </c>
      <c r="D490" s="120">
        <v>18827.66</v>
      </c>
      <c r="E490" s="120">
        <v>358.24509999999998</v>
      </c>
      <c r="F490" s="121">
        <f t="shared" si="18"/>
        <v>1.9027595569497218</v>
      </c>
      <c r="G490" s="120">
        <v>18238.349999999999</v>
      </c>
      <c r="H490" s="120">
        <v>19416.96</v>
      </c>
      <c r="J490" t="s">
        <v>311</v>
      </c>
      <c r="K490" t="s">
        <v>190</v>
      </c>
      <c r="L490" t="s">
        <v>557</v>
      </c>
      <c r="M490">
        <v>24154.15</v>
      </c>
      <c r="N490">
        <v>1721.5740000000001</v>
      </c>
      <c r="O490" s="122">
        <v>7.1274460082428899</v>
      </c>
      <c r="P490">
        <v>20778.39</v>
      </c>
      <c r="Q490">
        <v>27529.91</v>
      </c>
      <c r="R490" s="124"/>
      <c r="S490" t="s">
        <v>375</v>
      </c>
      <c r="T490" t="s">
        <v>304</v>
      </c>
      <c r="U490" t="s">
        <v>556</v>
      </c>
      <c r="V490" s="122">
        <v>15825.23</v>
      </c>
      <c r="W490" s="122">
        <v>1820.701</v>
      </c>
      <c r="X490" s="122">
        <v>11.505052375226143</v>
      </c>
      <c r="Y490" s="122">
        <v>12158.15</v>
      </c>
      <c r="Z490" s="122">
        <v>19492.32</v>
      </c>
    </row>
    <row r="491" spans="1:26" ht="15" customHeight="1" x14ac:dyDescent="0.35">
      <c r="A491" s="139">
        <v>2431</v>
      </c>
      <c r="B491" s="3"/>
      <c r="C491" s="129" t="s">
        <v>203</v>
      </c>
      <c r="D491" s="120">
        <v>21114.28</v>
      </c>
      <c r="E491" s="120">
        <v>372.3211</v>
      </c>
      <c r="F491" s="121">
        <f t="shared" si="18"/>
        <v>1.7633615733048915</v>
      </c>
      <c r="G491" s="120">
        <v>20501.810000000001</v>
      </c>
      <c r="H491" s="120">
        <v>21726.74</v>
      </c>
      <c r="J491" t="s">
        <v>311</v>
      </c>
      <c r="K491" t="s">
        <v>202</v>
      </c>
      <c r="L491" t="s">
        <v>555</v>
      </c>
      <c r="M491">
        <v>24639.24</v>
      </c>
      <c r="N491">
        <v>2109.4189999999999</v>
      </c>
      <c r="O491" s="122">
        <v>8.5612177973021879</v>
      </c>
      <c r="P491">
        <v>20502.97</v>
      </c>
      <c r="Q491">
        <v>28775.51</v>
      </c>
      <c r="R491" s="124"/>
      <c r="S491" t="s">
        <v>554</v>
      </c>
      <c r="T491" t="s">
        <v>553</v>
      </c>
      <c r="U491" t="s">
        <v>552</v>
      </c>
      <c r="V491" s="122">
        <v>34471.33</v>
      </c>
      <c r="W491" s="122">
        <v>3977.0369999999998</v>
      </c>
      <c r="X491" s="122">
        <v>11.537231084498334</v>
      </c>
      <c r="Y491" s="122">
        <v>26590.560000000001</v>
      </c>
      <c r="Z491" s="122">
        <v>42352.09</v>
      </c>
    </row>
    <row r="492" spans="1:26" ht="15" customHeight="1" x14ac:dyDescent="0.35">
      <c r="A492" s="139">
        <v>3322</v>
      </c>
      <c r="B492" s="3"/>
      <c r="C492" s="129" t="s">
        <v>551</v>
      </c>
      <c r="D492" s="120">
        <v>17187.54</v>
      </c>
      <c r="E492" s="120">
        <v>155.85910000000001</v>
      </c>
      <c r="F492" s="121">
        <f t="shared" si="18"/>
        <v>0.90681447141359384</v>
      </c>
      <c r="G492" s="120">
        <v>16931.150000000001</v>
      </c>
      <c r="H492" s="120">
        <v>17443.919999999998</v>
      </c>
      <c r="J492" t="s">
        <v>311</v>
      </c>
      <c r="K492" t="s">
        <v>147</v>
      </c>
      <c r="L492" t="s">
        <v>550</v>
      </c>
      <c r="M492">
        <v>17189.68</v>
      </c>
      <c r="N492">
        <v>559.39260000000002</v>
      </c>
      <c r="O492" s="122">
        <v>3.2542350991990543</v>
      </c>
      <c r="P492">
        <v>16092.79</v>
      </c>
      <c r="Q492">
        <v>18286.57</v>
      </c>
      <c r="R492" s="124"/>
      <c r="S492" t="s">
        <v>80</v>
      </c>
      <c r="T492" t="s">
        <v>14</v>
      </c>
      <c r="U492" t="s">
        <v>81</v>
      </c>
      <c r="V492" s="122">
        <v>25631.35</v>
      </c>
      <c r="W492" s="122">
        <v>2971.4290000000001</v>
      </c>
      <c r="X492" s="122">
        <v>11.592947698814148</v>
      </c>
      <c r="Y492" s="122">
        <v>19802.21</v>
      </c>
      <c r="Z492" s="122">
        <v>31460.48</v>
      </c>
    </row>
    <row r="493" spans="1:26" ht="15" customHeight="1" x14ac:dyDescent="0.35">
      <c r="A493" s="139">
        <v>4110</v>
      </c>
      <c r="B493" s="3"/>
      <c r="C493" s="129" t="s">
        <v>1156</v>
      </c>
      <c r="D493" s="120">
        <v>15702.21</v>
      </c>
      <c r="E493" s="120">
        <v>150.71690000000001</v>
      </c>
      <c r="F493" s="121">
        <f t="shared" si="18"/>
        <v>0.95984514281747602</v>
      </c>
      <c r="G493" s="120">
        <v>15454.28</v>
      </c>
      <c r="H493" s="120">
        <v>15950.14</v>
      </c>
      <c r="J493" t="s">
        <v>311</v>
      </c>
      <c r="K493" t="s">
        <v>14</v>
      </c>
      <c r="L493" t="s">
        <v>549</v>
      </c>
      <c r="M493">
        <v>15490.57</v>
      </c>
      <c r="N493">
        <v>245.40559999999999</v>
      </c>
      <c r="O493" s="122">
        <v>1.5842257579934114</v>
      </c>
      <c r="P493">
        <v>15009.37</v>
      </c>
      <c r="Q493">
        <v>15971.78</v>
      </c>
      <c r="R493" s="124"/>
      <c r="S493" t="s">
        <v>474</v>
      </c>
      <c r="T493" t="s">
        <v>404</v>
      </c>
      <c r="U493" t="s">
        <v>548</v>
      </c>
      <c r="V493" s="122">
        <v>35477.31</v>
      </c>
      <c r="W493" s="122">
        <v>4133.4610000000002</v>
      </c>
      <c r="X493" s="122">
        <v>11.650998906061369</v>
      </c>
      <c r="Y493" s="122">
        <v>27291.21</v>
      </c>
      <c r="Z493" s="122">
        <v>43663.41</v>
      </c>
    </row>
    <row r="494" spans="1:26" ht="15" customHeight="1" x14ac:dyDescent="0.35">
      <c r="A494" s="139">
        <v>4321</v>
      </c>
      <c r="B494" s="3"/>
      <c r="C494" s="129" t="s">
        <v>547</v>
      </c>
      <c r="D494" s="120">
        <v>13210.37</v>
      </c>
      <c r="E494" s="120">
        <v>66.767449999999997</v>
      </c>
      <c r="F494" s="121">
        <f t="shared" si="18"/>
        <v>0.5054169565273342</v>
      </c>
      <c r="G494" s="120">
        <v>13100.54</v>
      </c>
      <c r="H494" s="120">
        <v>13320.2</v>
      </c>
      <c r="J494" t="s">
        <v>311</v>
      </c>
      <c r="K494" t="s">
        <v>430</v>
      </c>
      <c r="L494" t="s">
        <v>546</v>
      </c>
      <c r="M494">
        <v>12315.36</v>
      </c>
      <c r="N494">
        <v>245.91290000000001</v>
      </c>
      <c r="O494" s="122">
        <v>1.9967983071546427</v>
      </c>
      <c r="P494">
        <v>11833.16</v>
      </c>
      <c r="Q494">
        <v>12797.56</v>
      </c>
      <c r="R494" s="124"/>
      <c r="S494" t="s">
        <v>229</v>
      </c>
      <c r="T494" t="s">
        <v>179</v>
      </c>
      <c r="U494" t="s">
        <v>230</v>
      </c>
      <c r="V494" s="122">
        <v>20862.419999999998</v>
      </c>
      <c r="W494" s="122">
        <v>2434.047</v>
      </c>
      <c r="X494" s="122">
        <v>11.667136410828659</v>
      </c>
      <c r="Y494" s="122">
        <v>16078.31</v>
      </c>
      <c r="Z494" s="122">
        <v>25646.53</v>
      </c>
    </row>
    <row r="495" spans="1:26" ht="15" customHeight="1" x14ac:dyDescent="0.35">
      <c r="A495" s="139">
        <v>5220</v>
      </c>
      <c r="B495" s="3"/>
      <c r="C495" s="129" t="s">
        <v>1233</v>
      </c>
      <c r="D495" s="120">
        <v>13216.29</v>
      </c>
      <c r="E495" s="120">
        <v>54.765860000000004</v>
      </c>
      <c r="F495" s="121">
        <f t="shared" si="18"/>
        <v>0.41438149435280247</v>
      </c>
      <c r="G495" s="120">
        <v>13126.2</v>
      </c>
      <c r="H495" s="120">
        <v>13306.38</v>
      </c>
      <c r="J495" t="s">
        <v>311</v>
      </c>
      <c r="K495" t="s">
        <v>137</v>
      </c>
      <c r="L495" t="s">
        <v>544</v>
      </c>
      <c r="M495">
        <v>12641.05</v>
      </c>
      <c r="N495">
        <v>140.82660000000001</v>
      </c>
      <c r="O495" s="122">
        <v>1.1140419506291015</v>
      </c>
      <c r="P495">
        <v>12364.91</v>
      </c>
      <c r="Q495">
        <v>12917.2</v>
      </c>
      <c r="R495" s="124"/>
      <c r="S495" t="s">
        <v>334</v>
      </c>
      <c r="T495" t="s">
        <v>404</v>
      </c>
      <c r="U495" t="s">
        <v>543</v>
      </c>
      <c r="V495" s="122">
        <v>23792.59</v>
      </c>
      <c r="W495" s="122">
        <v>2778.3049999999998</v>
      </c>
      <c r="X495" s="122">
        <v>11.677186048261245</v>
      </c>
      <c r="Y495" s="122">
        <v>18233.21</v>
      </c>
      <c r="Z495" s="122">
        <v>29351.96</v>
      </c>
    </row>
    <row r="496" spans="1:26" ht="15" customHeight="1" x14ac:dyDescent="0.35">
      <c r="A496" s="139">
        <v>5230</v>
      </c>
      <c r="B496" s="3"/>
      <c r="C496" s="129" t="s">
        <v>545</v>
      </c>
      <c r="D496" s="120">
        <v>14154.91</v>
      </c>
      <c r="E496" s="120">
        <v>80.065880000000007</v>
      </c>
      <c r="F496" s="121">
        <f t="shared" si="18"/>
        <v>0.5656403325771765</v>
      </c>
      <c r="G496" s="120">
        <v>14023.21</v>
      </c>
      <c r="H496" s="120">
        <v>14286.62</v>
      </c>
      <c r="J496" t="s">
        <v>311</v>
      </c>
      <c r="K496" t="s">
        <v>122</v>
      </c>
      <c r="L496" t="s">
        <v>424</v>
      </c>
      <c r="M496">
        <v>17433.68</v>
      </c>
      <c r="N496">
        <v>2428.2730000000001</v>
      </c>
      <c r="O496" s="122">
        <v>13.92863124710331</v>
      </c>
      <c r="P496">
        <v>12672.19</v>
      </c>
      <c r="Q496">
        <v>22195.18</v>
      </c>
      <c r="R496" s="124"/>
      <c r="S496" t="s">
        <v>474</v>
      </c>
      <c r="T496" t="s">
        <v>440</v>
      </c>
      <c r="U496" t="s">
        <v>542</v>
      </c>
      <c r="V496" s="122">
        <v>33831.08</v>
      </c>
      <c r="W496" s="122">
        <v>3959.2330000000002</v>
      </c>
      <c r="X496" s="122">
        <v>11.702945930192001</v>
      </c>
      <c r="Y496" s="122">
        <v>25990.03</v>
      </c>
      <c r="Z496" s="122">
        <v>41672.14</v>
      </c>
    </row>
    <row r="497" spans="1:26" ht="15" customHeight="1" x14ac:dyDescent="0.35">
      <c r="A497" s="139">
        <v>5244</v>
      </c>
      <c r="B497" s="118"/>
      <c r="C497" s="129" t="s">
        <v>123</v>
      </c>
      <c r="D497" s="120">
        <v>17307.55</v>
      </c>
      <c r="E497" s="120">
        <v>276.10890000000001</v>
      </c>
      <c r="F497" s="121">
        <f t="shared" si="18"/>
        <v>1.5953089836516436</v>
      </c>
      <c r="G497" s="120">
        <v>16853.349999999999</v>
      </c>
      <c r="H497" s="120">
        <v>17761.740000000002</v>
      </c>
      <c r="J497" t="s">
        <v>311</v>
      </c>
      <c r="K497" t="s">
        <v>541</v>
      </c>
      <c r="L497" t="s">
        <v>540</v>
      </c>
      <c r="M497">
        <v>12196.84</v>
      </c>
      <c r="N497">
        <v>164.73580000000001</v>
      </c>
      <c r="O497" s="122">
        <v>1.3506432813745199</v>
      </c>
      <c r="P497">
        <v>11873.82</v>
      </c>
      <c r="Q497">
        <v>12519.87</v>
      </c>
      <c r="R497" s="124"/>
      <c r="S497" t="s">
        <v>96</v>
      </c>
      <c r="T497" t="s">
        <v>14</v>
      </c>
      <c r="U497" t="s">
        <v>97</v>
      </c>
      <c r="V497" s="122">
        <v>24072.799999999999</v>
      </c>
      <c r="W497" s="122">
        <v>2818.0450000000001</v>
      </c>
      <c r="X497" s="122">
        <v>11.706344920408096</v>
      </c>
      <c r="Y497" s="122">
        <v>18544.560000000001</v>
      </c>
      <c r="Z497" s="122">
        <v>29601.040000000001</v>
      </c>
    </row>
    <row r="498" spans="1:26" ht="15" customHeight="1" x14ac:dyDescent="0.35">
      <c r="A498" s="117">
        <v>9000</v>
      </c>
      <c r="B498" s="118" t="s">
        <v>1350</v>
      </c>
      <c r="C498" s="131" t="s">
        <v>1207</v>
      </c>
      <c r="D498" s="120">
        <v>12689.99</v>
      </c>
      <c r="E498" s="120">
        <v>82.122919999999993</v>
      </c>
      <c r="F498" s="121">
        <f t="shared" si="18"/>
        <v>0.64714723967473575</v>
      </c>
      <c r="G498" s="120">
        <v>12554.89</v>
      </c>
      <c r="H498" s="120">
        <v>12825.08</v>
      </c>
      <c r="J498" t="s">
        <v>311</v>
      </c>
      <c r="K498" t="s">
        <v>5</v>
      </c>
      <c r="L498" t="s">
        <v>539</v>
      </c>
      <c r="M498">
        <v>11072.43</v>
      </c>
      <c r="N498">
        <v>171.91730000000001</v>
      </c>
      <c r="O498" s="122">
        <v>1.5526609786650265</v>
      </c>
      <c r="P498">
        <v>10735.33</v>
      </c>
      <c r="Q498">
        <v>11409.54</v>
      </c>
      <c r="R498" s="124"/>
      <c r="S498" t="s">
        <v>428</v>
      </c>
      <c r="T498" t="s">
        <v>115</v>
      </c>
      <c r="U498" t="s">
        <v>538</v>
      </c>
      <c r="V498" s="122">
        <v>23892.400000000001</v>
      </c>
      <c r="W498" s="122">
        <v>2803.788</v>
      </c>
      <c r="X498" s="122">
        <v>11.735062195509869</v>
      </c>
      <c r="Y498" s="122">
        <v>18394.57</v>
      </c>
      <c r="Z498" s="122">
        <v>29390.22</v>
      </c>
    </row>
    <row r="499" spans="1:26" ht="15" customHeight="1" x14ac:dyDescent="0.35">
      <c r="A499" s="132"/>
      <c r="B499" s="130"/>
      <c r="C499" s="131"/>
      <c r="D499" s="120"/>
      <c r="E499" s="120"/>
      <c r="F499" s="121"/>
      <c r="G499" s="120"/>
      <c r="H499" s="120"/>
      <c r="S499" t="s">
        <v>334</v>
      </c>
      <c r="T499" t="s">
        <v>320</v>
      </c>
      <c r="U499" t="s">
        <v>537</v>
      </c>
      <c r="V499" s="122">
        <v>21813.25</v>
      </c>
      <c r="W499" s="122">
        <v>2575.2220000000002</v>
      </c>
      <c r="X499" s="122">
        <v>11.805769429131377</v>
      </c>
      <c r="Y499" s="122">
        <v>16660.240000000002</v>
      </c>
      <c r="Z499" s="122">
        <v>26966.26</v>
      </c>
    </row>
    <row r="500" spans="1:26" ht="28" customHeight="1" x14ac:dyDescent="0.35">
      <c r="A500" s="421" t="s">
        <v>1187</v>
      </c>
      <c r="B500" s="422"/>
      <c r="C500" s="126" t="s">
        <v>1329</v>
      </c>
      <c r="D500" s="120"/>
      <c r="E500" s="120"/>
      <c r="F500" s="121"/>
      <c r="G500" s="120"/>
      <c r="H500" s="120"/>
      <c r="S500" t="s">
        <v>301</v>
      </c>
      <c r="T500" t="s">
        <v>340</v>
      </c>
      <c r="U500" t="s">
        <v>366</v>
      </c>
      <c r="V500" s="122">
        <v>26100.1</v>
      </c>
      <c r="W500" s="122">
        <v>3110.93</v>
      </c>
      <c r="X500" s="122">
        <v>11.919226363117383</v>
      </c>
      <c r="Y500" s="122">
        <v>19981.45</v>
      </c>
      <c r="Z500" s="122">
        <v>32218.75</v>
      </c>
    </row>
    <row r="501" spans="1:26" ht="15" customHeight="1" x14ac:dyDescent="0.35">
      <c r="A501" s="139">
        <v>4110</v>
      </c>
      <c r="B501" s="118"/>
      <c r="C501" s="129" t="s">
        <v>1156</v>
      </c>
      <c r="D501" s="120">
        <v>17144.97</v>
      </c>
      <c r="E501" s="120">
        <v>519.78610000000003</v>
      </c>
      <c r="F501" s="121">
        <f t="shared" ref="F501:F508" si="19">E501/D501*100</f>
        <v>3.0317119248385969</v>
      </c>
      <c r="G501" s="120">
        <v>16289.93</v>
      </c>
      <c r="H501" s="120">
        <v>18000.009999999998</v>
      </c>
      <c r="J501" t="s">
        <v>446</v>
      </c>
      <c r="K501" t="s">
        <v>445</v>
      </c>
      <c r="L501" t="s">
        <v>444</v>
      </c>
      <c r="M501">
        <v>23016.34</v>
      </c>
      <c r="N501">
        <v>3275.3789999999999</v>
      </c>
      <c r="O501" s="122">
        <v>14.230668299130095</v>
      </c>
      <c r="P501">
        <v>16581.68</v>
      </c>
      <c r="Q501">
        <v>29451</v>
      </c>
      <c r="R501" s="124"/>
      <c r="S501" t="s">
        <v>301</v>
      </c>
      <c r="T501" t="s">
        <v>360</v>
      </c>
      <c r="U501" t="s">
        <v>359</v>
      </c>
      <c r="V501" s="122">
        <v>26376.19</v>
      </c>
      <c r="W501" s="122">
        <v>3157.0659999999998</v>
      </c>
      <c r="X501" s="122">
        <v>11.969378443209576</v>
      </c>
      <c r="Y501" s="122">
        <v>20166.79</v>
      </c>
      <c r="Z501" s="122">
        <v>32585.58</v>
      </c>
    </row>
    <row r="502" spans="1:26" ht="15" customHeight="1" x14ac:dyDescent="0.35">
      <c r="A502" s="139">
        <v>4323</v>
      </c>
      <c r="B502" s="3"/>
      <c r="C502" s="129" t="s">
        <v>420</v>
      </c>
      <c r="D502" s="120">
        <v>18800.560000000001</v>
      </c>
      <c r="E502" s="120">
        <v>2074.3020000000001</v>
      </c>
      <c r="F502" s="121">
        <f t="shared" si="19"/>
        <v>11.03319262830469</v>
      </c>
      <c r="G502" s="120">
        <v>15388.36</v>
      </c>
      <c r="H502" s="120">
        <v>22212.76</v>
      </c>
      <c r="J502" t="s">
        <v>446</v>
      </c>
      <c r="K502" t="s">
        <v>14</v>
      </c>
      <c r="L502" t="s">
        <v>535</v>
      </c>
      <c r="M502">
        <v>15997.67</v>
      </c>
      <c r="N502">
        <v>567.6</v>
      </c>
      <c r="O502" s="122">
        <v>3.5480166799290149</v>
      </c>
      <c r="P502">
        <v>14882.59</v>
      </c>
      <c r="Q502">
        <v>17112.75</v>
      </c>
      <c r="R502" s="124"/>
      <c r="S502" t="s">
        <v>252</v>
      </c>
      <c r="T502" t="s">
        <v>267</v>
      </c>
      <c r="U502" t="s">
        <v>266</v>
      </c>
      <c r="V502" s="122">
        <v>39963.21</v>
      </c>
      <c r="W502" s="122">
        <v>4819.6030000000001</v>
      </c>
      <c r="X502" s="122">
        <v>12.060099776769684</v>
      </c>
      <c r="Y502" s="122">
        <v>30483.9</v>
      </c>
      <c r="Z502" s="122">
        <v>49442.53</v>
      </c>
    </row>
    <row r="503" spans="1:26" ht="15" customHeight="1" x14ac:dyDescent="0.35">
      <c r="A503" s="139">
        <v>7231</v>
      </c>
      <c r="B503" s="3"/>
      <c r="C503" s="129" t="s">
        <v>504</v>
      </c>
      <c r="D503" s="120">
        <v>15369.72</v>
      </c>
      <c r="E503" s="120">
        <v>257.28030000000001</v>
      </c>
      <c r="F503" s="121">
        <f t="shared" si="19"/>
        <v>1.673942661284656</v>
      </c>
      <c r="G503" s="120">
        <v>14946.49</v>
      </c>
      <c r="H503" s="120">
        <v>15792.94</v>
      </c>
      <c r="J503" t="s">
        <v>446</v>
      </c>
      <c r="K503" t="s">
        <v>419</v>
      </c>
      <c r="L503" t="s">
        <v>534</v>
      </c>
      <c r="M503">
        <v>15027.58</v>
      </c>
      <c r="N503">
        <v>1103.375</v>
      </c>
      <c r="O503" s="122">
        <v>7.3423332299678332</v>
      </c>
      <c r="P503">
        <v>12859.94</v>
      </c>
      <c r="Q503">
        <v>17195.22</v>
      </c>
      <c r="R503" s="124"/>
      <c r="S503" t="s">
        <v>229</v>
      </c>
      <c r="T503" t="s">
        <v>118</v>
      </c>
      <c r="U503" t="s">
        <v>249</v>
      </c>
      <c r="V503" s="122">
        <v>32547.360000000001</v>
      </c>
      <c r="W503" s="122">
        <v>3927.4839999999999</v>
      </c>
      <c r="X503" s="122">
        <v>12.066981776709387</v>
      </c>
      <c r="Y503" s="122">
        <v>24827.91</v>
      </c>
      <c r="Z503" s="122">
        <v>40266.82</v>
      </c>
    </row>
    <row r="504" spans="1:26" ht="15" customHeight="1" x14ac:dyDescent="0.35">
      <c r="A504" s="139">
        <v>8321</v>
      </c>
      <c r="B504" s="3"/>
      <c r="C504" s="129" t="s">
        <v>417</v>
      </c>
      <c r="D504" s="120">
        <v>11742.07</v>
      </c>
      <c r="E504" s="120">
        <v>764.63909999999998</v>
      </c>
      <c r="F504" s="121">
        <f t="shared" si="19"/>
        <v>6.5119616898894312</v>
      </c>
      <c r="G504" s="120">
        <v>10484.25</v>
      </c>
      <c r="H504" s="120">
        <v>12999.89</v>
      </c>
      <c r="J504" t="s">
        <v>446</v>
      </c>
      <c r="K504" t="s">
        <v>333</v>
      </c>
      <c r="L504" t="s">
        <v>533</v>
      </c>
      <c r="M504">
        <v>14181.76</v>
      </c>
      <c r="N504">
        <v>551.20190000000002</v>
      </c>
      <c r="O504" s="122">
        <v>3.8866960095220908</v>
      </c>
      <c r="P504">
        <v>13098.9</v>
      </c>
      <c r="Q504">
        <v>15264.63</v>
      </c>
      <c r="R504" s="124"/>
      <c r="S504" t="s">
        <v>22</v>
      </c>
      <c r="T504" t="s">
        <v>41</v>
      </c>
      <c r="U504" t="s">
        <v>40</v>
      </c>
      <c r="V504" s="122">
        <v>29884.79</v>
      </c>
      <c r="W504" s="122">
        <v>3608.1210000000001</v>
      </c>
      <c r="X504" s="122">
        <v>12.073436018790829</v>
      </c>
      <c r="Y504" s="122">
        <v>22798.22</v>
      </c>
      <c r="Z504" s="122">
        <v>36971.370000000003</v>
      </c>
    </row>
    <row r="505" spans="1:26" ht="15" customHeight="1" x14ac:dyDescent="0.35">
      <c r="A505" s="139">
        <v>8322</v>
      </c>
      <c r="B505" s="3"/>
      <c r="C505" s="129" t="s">
        <v>531</v>
      </c>
      <c r="D505" s="120">
        <v>17087.84</v>
      </c>
      <c r="E505" s="120">
        <v>401.43669999999997</v>
      </c>
      <c r="F505" s="121">
        <f t="shared" si="19"/>
        <v>2.3492536212885886</v>
      </c>
      <c r="G505" s="120">
        <v>16427.48</v>
      </c>
      <c r="H505" s="120">
        <v>17748.2</v>
      </c>
      <c r="J505" t="s">
        <v>446</v>
      </c>
      <c r="K505" t="s">
        <v>416</v>
      </c>
      <c r="L505" t="s">
        <v>532</v>
      </c>
      <c r="M505">
        <v>10609.67</v>
      </c>
      <c r="N505">
        <v>918.75530000000003</v>
      </c>
      <c r="O505" s="122">
        <v>8.6596029848242217</v>
      </c>
      <c r="P505">
        <v>8804.723</v>
      </c>
      <c r="Q505">
        <v>12414.61</v>
      </c>
      <c r="R505" s="124"/>
      <c r="S505" t="s">
        <v>423</v>
      </c>
      <c r="T505" t="s">
        <v>14</v>
      </c>
      <c r="U505" t="s">
        <v>432</v>
      </c>
      <c r="V505" s="122">
        <v>20725.080000000002</v>
      </c>
      <c r="W505" s="122">
        <v>2502.6019999999999</v>
      </c>
      <c r="X505" s="122">
        <v>12.075234450240963</v>
      </c>
      <c r="Y505" s="122">
        <v>15808.58</v>
      </c>
      <c r="Z505" s="122">
        <v>25641.58</v>
      </c>
    </row>
    <row r="506" spans="1:26" ht="15" customHeight="1" x14ac:dyDescent="0.35">
      <c r="A506" s="139">
        <v>8332</v>
      </c>
      <c r="B506" s="3"/>
      <c r="C506" s="129" t="s">
        <v>411</v>
      </c>
      <c r="D506" s="120">
        <v>17412.8</v>
      </c>
      <c r="E506" s="120">
        <v>463.1687</v>
      </c>
      <c r="F506" s="121">
        <f t="shared" si="19"/>
        <v>2.6599323486171094</v>
      </c>
      <c r="G506" s="120">
        <v>16650.89</v>
      </c>
      <c r="H506" s="120">
        <v>18174.71</v>
      </c>
      <c r="J506" t="s">
        <v>446</v>
      </c>
      <c r="K506" t="s">
        <v>413</v>
      </c>
      <c r="L506" t="s">
        <v>530</v>
      </c>
      <c r="M506">
        <v>15209.05</v>
      </c>
      <c r="N506">
        <v>858.44050000000004</v>
      </c>
      <c r="O506" s="122">
        <v>5.6442742972112008</v>
      </c>
      <c r="P506">
        <v>13522.6</v>
      </c>
      <c r="Q506">
        <v>16895.509999999998</v>
      </c>
      <c r="R506" s="124"/>
      <c r="S506" t="s">
        <v>252</v>
      </c>
      <c r="T506" t="s">
        <v>275</v>
      </c>
      <c r="U506" t="s">
        <v>274</v>
      </c>
      <c r="V506" s="122">
        <v>34448.1</v>
      </c>
      <c r="W506" s="122">
        <v>4164.5820000000003</v>
      </c>
      <c r="X506" s="122">
        <v>12.0894388950334</v>
      </c>
      <c r="Y506" s="122">
        <v>26257.1</v>
      </c>
      <c r="Z506" s="122">
        <v>42639.1</v>
      </c>
    </row>
    <row r="507" spans="1:26" ht="15" customHeight="1" x14ac:dyDescent="0.35">
      <c r="A507" s="139">
        <v>8344</v>
      </c>
      <c r="B507" s="3"/>
      <c r="C507" s="129" t="s">
        <v>1236</v>
      </c>
      <c r="D507" s="120">
        <v>14233.1</v>
      </c>
      <c r="E507" s="120">
        <v>385.5231</v>
      </c>
      <c r="F507" s="121">
        <f t="shared" si="19"/>
        <v>2.7086376123261973</v>
      </c>
      <c r="G507" s="120">
        <v>13598.92</v>
      </c>
      <c r="H507" s="120">
        <v>14867.27</v>
      </c>
      <c r="J507" t="s">
        <v>446</v>
      </c>
      <c r="K507" t="s">
        <v>410</v>
      </c>
      <c r="L507" t="s">
        <v>529</v>
      </c>
      <c r="M507">
        <v>13322.77</v>
      </c>
      <c r="N507">
        <v>498.98660000000001</v>
      </c>
      <c r="O507" s="122">
        <v>3.7453667668210135</v>
      </c>
      <c r="P507">
        <v>12342.49</v>
      </c>
      <c r="Q507">
        <v>14303.06</v>
      </c>
      <c r="R507" s="124"/>
      <c r="S507" t="s">
        <v>349</v>
      </c>
      <c r="T507" t="s">
        <v>528</v>
      </c>
      <c r="U507" t="s">
        <v>527</v>
      </c>
      <c r="V507" s="122">
        <v>19723.060000000001</v>
      </c>
      <c r="W507" s="122">
        <v>2390.337</v>
      </c>
      <c r="X507" s="122">
        <v>12.11950376868498</v>
      </c>
      <c r="Y507" s="122">
        <v>14994.74</v>
      </c>
      <c r="Z507" s="122">
        <v>24451.38</v>
      </c>
    </row>
    <row r="508" spans="1:26" ht="15" customHeight="1" x14ac:dyDescent="0.35">
      <c r="A508" s="117">
        <v>9000</v>
      </c>
      <c r="B508" s="118" t="s">
        <v>1350</v>
      </c>
      <c r="C508" s="131" t="s">
        <v>1207</v>
      </c>
      <c r="D508" s="120">
        <v>12847.18</v>
      </c>
      <c r="E508" s="120">
        <v>551.31240000000003</v>
      </c>
      <c r="F508" s="121">
        <f t="shared" si="19"/>
        <v>4.2913106222532882</v>
      </c>
      <c r="G508" s="120">
        <v>11940.28</v>
      </c>
      <c r="H508" s="120">
        <v>13754.08</v>
      </c>
      <c r="J508" t="s">
        <v>446</v>
      </c>
      <c r="K508" t="s">
        <v>5</v>
      </c>
      <c r="L508" t="s">
        <v>526</v>
      </c>
      <c r="M508">
        <v>12666.65</v>
      </c>
      <c r="N508">
        <v>823.51919999999996</v>
      </c>
      <c r="O508" s="122">
        <v>6.5014759229946355</v>
      </c>
      <c r="P508">
        <v>11048.8</v>
      </c>
      <c r="Q508">
        <v>14284.49</v>
      </c>
      <c r="R508" s="124"/>
      <c r="S508" t="s">
        <v>229</v>
      </c>
      <c r="T508" t="s">
        <v>235</v>
      </c>
      <c r="U508" t="s">
        <v>234</v>
      </c>
      <c r="V508" s="122">
        <v>22328.59</v>
      </c>
      <c r="W508" s="122">
        <v>2710.1840000000002</v>
      </c>
      <c r="X508" s="122">
        <v>12.137730147761234</v>
      </c>
      <c r="Y508" s="122">
        <v>17001.73</v>
      </c>
      <c r="Z508" s="122">
        <v>27655.439999999999</v>
      </c>
    </row>
    <row r="509" spans="1:26" ht="15" customHeight="1" x14ac:dyDescent="0.35">
      <c r="A509" s="132"/>
      <c r="B509" s="130"/>
      <c r="C509" s="131"/>
      <c r="D509" s="120"/>
      <c r="E509" s="120"/>
      <c r="F509" s="121"/>
      <c r="G509" s="120"/>
      <c r="H509" s="120"/>
      <c r="S509" t="s">
        <v>279</v>
      </c>
      <c r="T509" t="s">
        <v>275</v>
      </c>
      <c r="U509" t="s">
        <v>287</v>
      </c>
      <c r="V509" s="122">
        <v>43956.3</v>
      </c>
      <c r="W509" s="122">
        <v>5357.3879999999999</v>
      </c>
      <c r="X509" s="122">
        <v>12.187986704977442</v>
      </c>
      <c r="Y509" s="122">
        <v>33419.26</v>
      </c>
      <c r="Z509" s="122">
        <v>54493.34</v>
      </c>
    </row>
    <row r="510" spans="1:26" ht="15" customHeight="1" x14ac:dyDescent="0.35">
      <c r="A510" s="135" t="s">
        <v>496</v>
      </c>
      <c r="B510" s="136"/>
      <c r="C510" s="148" t="s">
        <v>525</v>
      </c>
      <c r="D510" s="120"/>
      <c r="E510" s="120"/>
      <c r="F510" s="121"/>
      <c r="G510" s="120"/>
      <c r="H510" s="120"/>
      <c r="S510" t="s">
        <v>209</v>
      </c>
      <c r="T510" t="s">
        <v>196</v>
      </c>
      <c r="U510" t="s">
        <v>213</v>
      </c>
      <c r="V510" s="122">
        <v>20825.060000000001</v>
      </c>
      <c r="W510" s="122">
        <v>2541.5450000000001</v>
      </c>
      <c r="X510" s="122">
        <v>12.204262556746535</v>
      </c>
      <c r="Y510" s="122">
        <v>15829.66</v>
      </c>
      <c r="Z510" s="122">
        <v>25820.45</v>
      </c>
    </row>
    <row r="511" spans="1:26" ht="15" customHeight="1" x14ac:dyDescent="0.35">
      <c r="A511" s="139">
        <v>4110</v>
      </c>
      <c r="B511" s="118"/>
      <c r="C511" s="129" t="s">
        <v>1156</v>
      </c>
      <c r="D511" s="120">
        <v>16243.74</v>
      </c>
      <c r="E511" s="120">
        <v>794.18690000000004</v>
      </c>
      <c r="F511" s="121">
        <f t="shared" ref="F511:F518" si="20">E511/D511*100</f>
        <v>4.8891874654482281</v>
      </c>
      <c r="G511" s="120">
        <v>14937.31</v>
      </c>
      <c r="H511" s="120">
        <v>17550.169999999998</v>
      </c>
      <c r="J511" t="s">
        <v>496</v>
      </c>
      <c r="K511" t="s">
        <v>445</v>
      </c>
      <c r="L511" t="s">
        <v>524</v>
      </c>
      <c r="M511">
        <v>18902.37</v>
      </c>
      <c r="N511">
        <v>1482.079</v>
      </c>
      <c r="O511" s="122">
        <v>7.8407046312182027</v>
      </c>
      <c r="P511">
        <v>15990.75</v>
      </c>
      <c r="Q511">
        <v>21813.99</v>
      </c>
      <c r="R511" s="124"/>
      <c r="S511" t="s">
        <v>443</v>
      </c>
      <c r="T511" t="s">
        <v>523</v>
      </c>
      <c r="U511" t="s">
        <v>522</v>
      </c>
      <c r="V511" s="122">
        <v>18138.990000000002</v>
      </c>
      <c r="W511" s="122">
        <v>2224.96</v>
      </c>
      <c r="X511" s="122">
        <v>12.266173585188591</v>
      </c>
      <c r="Y511" s="122">
        <v>13692.76</v>
      </c>
      <c r="Z511" s="122">
        <v>22585.22</v>
      </c>
    </row>
    <row r="512" spans="1:26" ht="15" customHeight="1" x14ac:dyDescent="0.35">
      <c r="A512" s="139">
        <v>4221</v>
      </c>
      <c r="B512" s="3"/>
      <c r="C512" s="129" t="s">
        <v>483</v>
      </c>
      <c r="D512" s="120">
        <v>14149.8</v>
      </c>
      <c r="E512" s="120">
        <v>213.69239999999999</v>
      </c>
      <c r="F512" s="121">
        <f t="shared" si="20"/>
        <v>1.510214985370818</v>
      </c>
      <c r="G512" s="120">
        <v>13798.28</v>
      </c>
      <c r="H512" s="120">
        <v>14501.32</v>
      </c>
      <c r="J512" t="s">
        <v>496</v>
      </c>
      <c r="K512" t="s">
        <v>144</v>
      </c>
      <c r="L512" t="s">
        <v>521</v>
      </c>
      <c r="M512">
        <v>14098.48</v>
      </c>
      <c r="N512">
        <v>1308.923</v>
      </c>
      <c r="O512" s="122">
        <v>9.2841426877223654</v>
      </c>
      <c r="P512">
        <v>11527.03</v>
      </c>
      <c r="Q512">
        <v>16669.93</v>
      </c>
      <c r="R512" s="124"/>
      <c r="S512" t="s">
        <v>229</v>
      </c>
      <c r="T512" t="s">
        <v>239</v>
      </c>
      <c r="U512" t="s">
        <v>238</v>
      </c>
      <c r="V512" s="122">
        <v>21859.5</v>
      </c>
      <c r="W512" s="122">
        <v>2683.8710000000001</v>
      </c>
      <c r="X512" s="122">
        <v>12.277824286923305</v>
      </c>
      <c r="Y512" s="122">
        <v>16584.36</v>
      </c>
      <c r="Z512" s="122">
        <v>27134.639999999999</v>
      </c>
    </row>
    <row r="513" spans="1:26" ht="15" customHeight="1" x14ac:dyDescent="0.35">
      <c r="A513" s="139">
        <v>4323</v>
      </c>
      <c r="B513" s="3"/>
      <c r="C513" s="129" t="s">
        <v>420</v>
      </c>
      <c r="D513" s="120">
        <v>15483.99</v>
      </c>
      <c r="E513" s="120">
        <v>1095.6659999999999</v>
      </c>
      <c r="F513" s="121">
        <f t="shared" si="20"/>
        <v>7.0761218523132605</v>
      </c>
      <c r="G513" s="120">
        <v>13681.63</v>
      </c>
      <c r="H513" s="120">
        <v>17286.34</v>
      </c>
      <c r="J513" t="s">
        <v>496</v>
      </c>
      <c r="K513" t="s">
        <v>14</v>
      </c>
      <c r="L513" t="s">
        <v>520</v>
      </c>
      <c r="M513">
        <v>16605.43</v>
      </c>
      <c r="N513">
        <v>994.65160000000003</v>
      </c>
      <c r="O513" s="122">
        <v>5.9899177558184284</v>
      </c>
      <c r="P513">
        <v>14651.38</v>
      </c>
      <c r="Q513">
        <v>18559.48</v>
      </c>
      <c r="R513" s="124"/>
      <c r="S513" t="s">
        <v>506</v>
      </c>
      <c r="T513" t="s">
        <v>519</v>
      </c>
      <c r="U513" t="s">
        <v>518</v>
      </c>
      <c r="V513" s="122">
        <v>34630.199999999997</v>
      </c>
      <c r="W513" s="122">
        <v>4252.8990000000003</v>
      </c>
      <c r="X513" s="122">
        <v>12.28089644298907</v>
      </c>
      <c r="Y513" s="122">
        <v>26178.46</v>
      </c>
      <c r="Z513" s="122">
        <v>43081.94</v>
      </c>
    </row>
    <row r="514" spans="1:26" ht="15" customHeight="1" x14ac:dyDescent="0.35">
      <c r="A514" s="139">
        <v>5110</v>
      </c>
      <c r="B514" s="118"/>
      <c r="C514" s="129" t="s">
        <v>514</v>
      </c>
      <c r="D514" s="120">
        <v>13390.47</v>
      </c>
      <c r="E514" s="120">
        <v>232.77510000000001</v>
      </c>
      <c r="F514" s="121">
        <f t="shared" si="20"/>
        <v>1.7383639259861681</v>
      </c>
      <c r="G514" s="120">
        <v>13007.55</v>
      </c>
      <c r="H514" s="120">
        <v>13773.38</v>
      </c>
      <c r="J514" t="s">
        <v>496</v>
      </c>
      <c r="K514" t="s">
        <v>513</v>
      </c>
      <c r="L514" t="s">
        <v>512</v>
      </c>
      <c r="M514">
        <v>14489.84</v>
      </c>
      <c r="N514">
        <v>1066.704</v>
      </c>
      <c r="O514" s="122">
        <v>7.3617376037278524</v>
      </c>
      <c r="P514">
        <v>12394.24</v>
      </c>
      <c r="Q514">
        <v>16585.439999999999</v>
      </c>
      <c r="R514" s="124"/>
      <c r="S514" t="s">
        <v>402</v>
      </c>
      <c r="T514" t="s">
        <v>511</v>
      </c>
      <c r="U514" t="s">
        <v>510</v>
      </c>
      <c r="V514" s="122">
        <v>30257.98</v>
      </c>
      <c r="W514" s="122">
        <v>3752.0610000000001</v>
      </c>
      <c r="X514" s="122">
        <v>12.400236235201426</v>
      </c>
      <c r="Y514" s="122">
        <v>22840.42</v>
      </c>
      <c r="Z514" s="122">
        <v>37675.550000000003</v>
      </c>
    </row>
    <row r="515" spans="1:26" ht="15" customHeight="1" x14ac:dyDescent="0.35">
      <c r="A515" s="139">
        <v>5112</v>
      </c>
      <c r="B515" s="3"/>
      <c r="C515" s="129" t="s">
        <v>509</v>
      </c>
      <c r="D515" s="120">
        <v>13940.61</v>
      </c>
      <c r="E515" s="120">
        <v>254.44810000000001</v>
      </c>
      <c r="F515" s="121">
        <f t="shared" si="20"/>
        <v>1.8252293120602325</v>
      </c>
      <c r="G515" s="120">
        <v>13522.04</v>
      </c>
      <c r="H515" s="120">
        <v>14359.17</v>
      </c>
      <c r="J515" t="s">
        <v>496</v>
      </c>
      <c r="K515" t="s">
        <v>508</v>
      </c>
      <c r="L515" t="s">
        <v>507</v>
      </c>
      <c r="M515">
        <v>14589.42</v>
      </c>
      <c r="N515">
        <v>1003.8680000000001</v>
      </c>
      <c r="O515" s="122">
        <v>6.8807944387096951</v>
      </c>
      <c r="P515">
        <v>12617.27</v>
      </c>
      <c r="Q515">
        <v>16561.57</v>
      </c>
      <c r="R515" s="124"/>
      <c r="S515" t="s">
        <v>506</v>
      </c>
      <c r="T515" t="s">
        <v>5</v>
      </c>
      <c r="U515" t="s">
        <v>505</v>
      </c>
      <c r="V515" s="122">
        <v>15294.69</v>
      </c>
      <c r="W515" s="122">
        <v>1901.845</v>
      </c>
      <c r="X515" s="122">
        <v>12.434675040814819</v>
      </c>
      <c r="Y515" s="122">
        <v>11515.18</v>
      </c>
      <c r="Z515" s="122">
        <v>19074.21</v>
      </c>
    </row>
    <row r="516" spans="1:26" ht="15" customHeight="1" x14ac:dyDescent="0.35">
      <c r="A516" s="139">
        <v>7231</v>
      </c>
      <c r="B516" s="3"/>
      <c r="C516" s="129" t="s">
        <v>504</v>
      </c>
      <c r="D516" s="120">
        <v>14612.47</v>
      </c>
      <c r="E516" s="120">
        <v>127.94450000000001</v>
      </c>
      <c r="F516" s="121">
        <f t="shared" si="20"/>
        <v>0.87558434679421082</v>
      </c>
      <c r="G516" s="120">
        <v>14402</v>
      </c>
      <c r="H516" s="120">
        <v>14822.94</v>
      </c>
      <c r="J516" t="s">
        <v>496</v>
      </c>
      <c r="K516" t="s">
        <v>333</v>
      </c>
      <c r="L516" t="s">
        <v>503</v>
      </c>
      <c r="M516">
        <v>15548.31</v>
      </c>
      <c r="N516">
        <v>646.5136</v>
      </c>
      <c r="O516" s="122">
        <v>4.1580956386899928</v>
      </c>
      <c r="P516">
        <v>14278.2</v>
      </c>
      <c r="Q516">
        <v>16818.43</v>
      </c>
      <c r="R516" s="124"/>
      <c r="S516" t="s">
        <v>391</v>
      </c>
      <c r="T516" t="s">
        <v>369</v>
      </c>
      <c r="U516" t="s">
        <v>502</v>
      </c>
      <c r="V516" s="122">
        <v>63017.29</v>
      </c>
      <c r="W516" s="122">
        <v>7841.3019999999997</v>
      </c>
      <c r="X516" s="122">
        <v>12.443096172494881</v>
      </c>
      <c r="Y516" s="122">
        <v>47549.58</v>
      </c>
      <c r="Z516" s="122">
        <v>78485.009999999995</v>
      </c>
    </row>
    <row r="517" spans="1:26" ht="15" customHeight="1" x14ac:dyDescent="0.35">
      <c r="A517" s="139">
        <v>8331</v>
      </c>
      <c r="B517" s="3"/>
      <c r="C517" s="129" t="s">
        <v>501</v>
      </c>
      <c r="D517" s="120">
        <v>14770.69</v>
      </c>
      <c r="E517" s="120">
        <v>347.67439999999999</v>
      </c>
      <c r="F517" s="121">
        <f t="shared" si="20"/>
        <v>2.3538128550528103</v>
      </c>
      <c r="G517" s="120">
        <v>14198.77</v>
      </c>
      <c r="H517" s="120">
        <v>15342.61</v>
      </c>
      <c r="J517" t="s">
        <v>496</v>
      </c>
      <c r="K517" t="s">
        <v>500</v>
      </c>
      <c r="L517" t="s">
        <v>499</v>
      </c>
      <c r="M517">
        <v>15169.95</v>
      </c>
      <c r="N517">
        <v>934.86059999999998</v>
      </c>
      <c r="O517" s="122">
        <v>6.1625819465456377</v>
      </c>
      <c r="P517">
        <v>13333.36</v>
      </c>
      <c r="Q517">
        <v>17006.53</v>
      </c>
      <c r="R517" s="124"/>
      <c r="S517" t="s">
        <v>474</v>
      </c>
      <c r="T517" t="s">
        <v>498</v>
      </c>
      <c r="U517" t="s">
        <v>497</v>
      </c>
      <c r="V517" s="122">
        <v>13082.25</v>
      </c>
      <c r="W517" s="122">
        <v>1641.769</v>
      </c>
      <c r="X517" s="122">
        <v>12.549592004433489</v>
      </c>
      <c r="Y517" s="122">
        <v>9830.8169999999991</v>
      </c>
      <c r="Z517" s="122">
        <v>16333.69</v>
      </c>
    </row>
    <row r="518" spans="1:26" ht="15" customHeight="1" x14ac:dyDescent="0.35">
      <c r="A518" s="117">
        <v>9000</v>
      </c>
      <c r="B518" s="118" t="s">
        <v>1350</v>
      </c>
      <c r="C518" s="131" t="s">
        <v>1207</v>
      </c>
      <c r="D518" s="120">
        <v>15527.4</v>
      </c>
      <c r="E518" s="120">
        <v>1943.6769999999999</v>
      </c>
      <c r="F518" s="121">
        <f t="shared" si="20"/>
        <v>12.517723508121129</v>
      </c>
      <c r="G518" s="120">
        <v>12330.08</v>
      </c>
      <c r="H518" s="120">
        <v>18724.72</v>
      </c>
      <c r="J518" t="s">
        <v>496</v>
      </c>
      <c r="K518" t="s">
        <v>5</v>
      </c>
      <c r="L518" t="s">
        <v>495</v>
      </c>
      <c r="M518">
        <v>12152.44</v>
      </c>
      <c r="N518">
        <v>800.89340000000004</v>
      </c>
      <c r="O518" s="122">
        <v>6.5903917238019698</v>
      </c>
      <c r="P518">
        <v>10579.04</v>
      </c>
      <c r="Q518">
        <v>13725.84</v>
      </c>
      <c r="R518" s="124"/>
      <c r="S518" t="s">
        <v>192</v>
      </c>
      <c r="T518" t="s">
        <v>190</v>
      </c>
      <c r="U518" t="s">
        <v>204</v>
      </c>
      <c r="V518" s="122">
        <v>35171.089999999997</v>
      </c>
      <c r="W518" s="122">
        <v>4450.2629999999999</v>
      </c>
      <c r="X518" s="122">
        <v>12.65318476055192</v>
      </c>
      <c r="Y518" s="122">
        <v>26394.54</v>
      </c>
      <c r="Z518" s="122">
        <v>43947.63</v>
      </c>
    </row>
    <row r="519" spans="1:26" ht="15" customHeight="1" x14ac:dyDescent="0.35">
      <c r="A519" s="132"/>
      <c r="B519" s="130"/>
      <c r="C519" s="131"/>
      <c r="D519" s="120"/>
      <c r="E519" s="120"/>
      <c r="F519" s="121"/>
      <c r="G519" s="120"/>
      <c r="H519" s="120"/>
      <c r="S519" t="s">
        <v>443</v>
      </c>
      <c r="T519" t="s">
        <v>5</v>
      </c>
      <c r="U519" t="s">
        <v>494</v>
      </c>
      <c r="V519" s="122">
        <v>16793.259999999998</v>
      </c>
      <c r="W519" s="122">
        <v>2128.2370000000001</v>
      </c>
      <c r="X519" s="122">
        <v>12.673161732742781</v>
      </c>
      <c r="Y519" s="122">
        <v>12540.32</v>
      </c>
      <c r="Z519" s="122">
        <v>21046.21</v>
      </c>
    </row>
    <row r="520" spans="1:26" ht="15" customHeight="1" x14ac:dyDescent="0.35">
      <c r="A520" s="135" t="s">
        <v>471</v>
      </c>
      <c r="B520" s="136"/>
      <c r="C520" s="136" t="s">
        <v>493</v>
      </c>
      <c r="D520" s="120"/>
      <c r="E520" s="120"/>
      <c r="F520" s="121"/>
      <c r="G520" s="120"/>
      <c r="H520" s="120"/>
      <c r="S520" t="s">
        <v>391</v>
      </c>
      <c r="T520" t="s">
        <v>492</v>
      </c>
      <c r="U520" t="s">
        <v>491</v>
      </c>
      <c r="V520" s="122">
        <v>25929.91</v>
      </c>
      <c r="W520" s="122">
        <v>3290.4470000000001</v>
      </c>
      <c r="X520" s="122">
        <v>12.689774087144922</v>
      </c>
      <c r="Y520" s="122">
        <v>19439.189999999999</v>
      </c>
      <c r="Z520" s="122">
        <v>32420.63</v>
      </c>
    </row>
    <row r="521" spans="1:26" ht="15" customHeight="1" x14ac:dyDescent="0.35">
      <c r="A521" s="139">
        <v>3151</v>
      </c>
      <c r="B521" s="3"/>
      <c r="C521" s="129" t="s">
        <v>490</v>
      </c>
      <c r="D521" s="120">
        <v>27478.43</v>
      </c>
      <c r="E521" s="120">
        <v>1749.7629999999999</v>
      </c>
      <c r="F521" s="121">
        <f t="shared" ref="F521:F530" si="21">E521/D521*100</f>
        <v>6.3677691920535491</v>
      </c>
      <c r="G521" s="120">
        <v>24600.1</v>
      </c>
      <c r="H521" s="120">
        <v>30356.77</v>
      </c>
      <c r="J521" t="s">
        <v>471</v>
      </c>
      <c r="K521" t="s">
        <v>489</v>
      </c>
      <c r="L521" t="s">
        <v>488</v>
      </c>
      <c r="M521">
        <v>28266.54</v>
      </c>
      <c r="N521">
        <v>1803.33</v>
      </c>
      <c r="O521" s="122">
        <v>6.379733777108906</v>
      </c>
      <c r="P521">
        <v>24723.8</v>
      </c>
      <c r="Q521">
        <v>31809.279999999999</v>
      </c>
      <c r="R521" s="124"/>
      <c r="S521" t="s">
        <v>487</v>
      </c>
      <c r="T521" t="s">
        <v>304</v>
      </c>
      <c r="U521" t="s">
        <v>486</v>
      </c>
      <c r="V521" s="122">
        <v>16208.78</v>
      </c>
      <c r="W521" s="122">
        <v>2068.4250000000002</v>
      </c>
      <c r="X521" s="122">
        <v>12.761139333126861</v>
      </c>
      <c r="Y521" s="122">
        <v>12092.49</v>
      </c>
      <c r="Z521" s="122">
        <v>20325.080000000002</v>
      </c>
    </row>
    <row r="522" spans="1:26" ht="15" customHeight="1" x14ac:dyDescent="0.35">
      <c r="A522" s="139">
        <v>3152</v>
      </c>
      <c r="B522" s="3"/>
      <c r="C522" s="129" t="s">
        <v>1237</v>
      </c>
      <c r="D522" s="120">
        <v>28132.560000000001</v>
      </c>
      <c r="E522" s="120">
        <v>1225.1369999999999</v>
      </c>
      <c r="F522" s="121">
        <f t="shared" si="21"/>
        <v>4.354872077052355</v>
      </c>
      <c r="G522" s="120">
        <v>26117.23</v>
      </c>
      <c r="H522" s="120">
        <v>30147.89</v>
      </c>
      <c r="J522" t="s">
        <v>471</v>
      </c>
      <c r="K522" t="s">
        <v>485</v>
      </c>
      <c r="L522" t="s">
        <v>484</v>
      </c>
      <c r="M522">
        <v>27270.240000000002</v>
      </c>
      <c r="N522">
        <v>2267.4569999999999</v>
      </c>
      <c r="O522" s="122">
        <v>8.3147673067783767</v>
      </c>
      <c r="P522">
        <v>22815.7</v>
      </c>
      <c r="Q522">
        <v>31724.79</v>
      </c>
      <c r="R522" s="124"/>
      <c r="S522" t="s">
        <v>96</v>
      </c>
      <c r="T522" t="s">
        <v>105</v>
      </c>
      <c r="U522" t="s">
        <v>104</v>
      </c>
      <c r="V522" s="122">
        <v>27589.1</v>
      </c>
      <c r="W522" s="122">
        <v>3541.78</v>
      </c>
      <c r="X522" s="122">
        <v>12.837606156054385</v>
      </c>
      <c r="Y522" s="122">
        <v>20641.09</v>
      </c>
      <c r="Z522" s="122">
        <v>34537.11</v>
      </c>
    </row>
    <row r="523" spans="1:26" ht="15" customHeight="1" x14ac:dyDescent="0.35">
      <c r="A523" s="139">
        <v>4110</v>
      </c>
      <c r="B523" s="3"/>
      <c r="C523" s="129" t="s">
        <v>1156</v>
      </c>
      <c r="D523" s="120">
        <v>18380.46</v>
      </c>
      <c r="E523" s="120">
        <v>1613.924</v>
      </c>
      <c r="F523" s="121">
        <f t="shared" si="21"/>
        <v>8.78065075629228</v>
      </c>
      <c r="G523" s="120">
        <v>15725.57</v>
      </c>
      <c r="H523" s="120">
        <v>21035.34</v>
      </c>
      <c r="J523" t="s">
        <v>471</v>
      </c>
      <c r="K523" t="s">
        <v>144</v>
      </c>
      <c r="L523" t="s">
        <v>482</v>
      </c>
      <c r="M523">
        <v>13175.1</v>
      </c>
      <c r="N523">
        <v>804.77359999999999</v>
      </c>
      <c r="O523" s="122">
        <v>6.1082921571752777</v>
      </c>
      <c r="P523">
        <v>11594.08</v>
      </c>
      <c r="Q523">
        <v>14756.12</v>
      </c>
      <c r="R523" s="124"/>
      <c r="S523" t="s">
        <v>80</v>
      </c>
      <c r="T523" t="s">
        <v>85</v>
      </c>
      <c r="U523" t="s">
        <v>84</v>
      </c>
      <c r="V523" s="122">
        <v>18891.55</v>
      </c>
      <c r="W523" s="122">
        <v>2433.9079999999999</v>
      </c>
      <c r="X523" s="122">
        <v>12.883580225021241</v>
      </c>
      <c r="Y523" s="122">
        <v>14116.89</v>
      </c>
      <c r="Z523" s="122">
        <v>23666.22</v>
      </c>
    </row>
    <row r="524" spans="1:26" ht="15" customHeight="1" x14ac:dyDescent="0.35">
      <c r="A524" s="139">
        <v>4221</v>
      </c>
      <c r="B524" s="3"/>
      <c r="C524" s="129" t="s">
        <v>483</v>
      </c>
      <c r="D524" s="120">
        <v>17509.41</v>
      </c>
      <c r="E524" s="120">
        <v>2099.864</v>
      </c>
      <c r="F524" s="121">
        <f t="shared" si="21"/>
        <v>11.992774171145687</v>
      </c>
      <c r="G524" s="120">
        <v>14055.16</v>
      </c>
      <c r="H524" s="120">
        <v>20963.650000000001</v>
      </c>
      <c r="J524" t="s">
        <v>471</v>
      </c>
      <c r="K524" t="s">
        <v>14</v>
      </c>
      <c r="L524" t="s">
        <v>481</v>
      </c>
      <c r="M524">
        <v>20090.13</v>
      </c>
      <c r="N524">
        <v>1470.615</v>
      </c>
      <c r="O524" s="122">
        <v>7.3200870278091772</v>
      </c>
      <c r="P524">
        <v>17201.03</v>
      </c>
      <c r="Q524">
        <v>22979.23</v>
      </c>
      <c r="R524" s="124"/>
      <c r="S524" t="s">
        <v>177</v>
      </c>
      <c r="T524" t="s">
        <v>107</v>
      </c>
      <c r="U524" t="s">
        <v>185</v>
      </c>
      <c r="V524" s="122">
        <v>27154.06</v>
      </c>
      <c r="W524" s="122">
        <v>3503.8049999999998</v>
      </c>
      <c r="X524" s="122">
        <v>12.903429542396236</v>
      </c>
      <c r="Y524" s="122">
        <v>20250.57</v>
      </c>
      <c r="Z524" s="122">
        <v>34057.56</v>
      </c>
    </row>
    <row r="525" spans="1:26" ht="15" customHeight="1" x14ac:dyDescent="0.35">
      <c r="A525" s="139">
        <v>4323</v>
      </c>
      <c r="B525" s="3"/>
      <c r="C525" s="129" t="s">
        <v>420</v>
      </c>
      <c r="D525" s="120">
        <v>16413.32</v>
      </c>
      <c r="E525" s="120">
        <v>836.61670000000004</v>
      </c>
      <c r="F525" s="121">
        <f t="shared" si="21"/>
        <v>5.0971814355657479</v>
      </c>
      <c r="G525" s="120">
        <v>15037.1</v>
      </c>
      <c r="H525" s="120">
        <v>17789.55</v>
      </c>
      <c r="O525" s="122"/>
      <c r="R525" s="124"/>
    </row>
    <row r="526" spans="1:26" ht="15" customHeight="1" x14ac:dyDescent="0.35">
      <c r="A526" s="139">
        <v>5111</v>
      </c>
      <c r="B526" s="3"/>
      <c r="C526" s="129" t="s">
        <v>453</v>
      </c>
      <c r="D526" s="120">
        <v>14785.44</v>
      </c>
      <c r="E526" s="120">
        <v>2029.309</v>
      </c>
      <c r="F526" s="121">
        <f t="shared" si="21"/>
        <v>13.725049778701209</v>
      </c>
      <c r="G526" s="120">
        <v>11447.25</v>
      </c>
      <c r="H526" s="120">
        <v>18123.62</v>
      </c>
      <c r="J526" t="s">
        <v>471</v>
      </c>
      <c r="K526" t="s">
        <v>419</v>
      </c>
      <c r="L526" t="s">
        <v>480</v>
      </c>
      <c r="M526">
        <v>15755.17</v>
      </c>
      <c r="N526">
        <v>1453.8219999999999</v>
      </c>
      <c r="O526" s="122">
        <v>9.2275868810047754</v>
      </c>
      <c r="P526">
        <v>12899.06</v>
      </c>
      <c r="Q526">
        <v>18611.28</v>
      </c>
      <c r="R526" s="124"/>
      <c r="S526" t="s">
        <v>209</v>
      </c>
      <c r="T526" t="s">
        <v>5</v>
      </c>
      <c r="U526" t="s">
        <v>208</v>
      </c>
      <c r="V526" s="122">
        <v>13451.07</v>
      </c>
      <c r="W526" s="122">
        <v>1736.1420000000001</v>
      </c>
      <c r="X526" s="122">
        <v>12.907092149546468</v>
      </c>
      <c r="Y526" s="122">
        <v>10038.69</v>
      </c>
      <c r="Z526" s="122">
        <v>16863.45</v>
      </c>
    </row>
    <row r="527" spans="1:26" ht="15" customHeight="1" x14ac:dyDescent="0.35">
      <c r="A527" s="139">
        <v>7233</v>
      </c>
      <c r="B527" s="3"/>
      <c r="C527" s="129" t="s">
        <v>1238</v>
      </c>
      <c r="D527" s="120">
        <v>16752.759999999998</v>
      </c>
      <c r="E527" s="120">
        <v>745.23270000000002</v>
      </c>
      <c r="F527" s="121">
        <f t="shared" si="21"/>
        <v>4.4484174547955089</v>
      </c>
      <c r="G527" s="120">
        <v>15526.86</v>
      </c>
      <c r="H527" s="120">
        <v>17978.650000000001</v>
      </c>
      <c r="J527" t="s">
        <v>471</v>
      </c>
      <c r="K527" t="s">
        <v>452</v>
      </c>
      <c r="L527" t="s">
        <v>479</v>
      </c>
      <c r="M527">
        <v>13008.67</v>
      </c>
      <c r="N527">
        <v>876.65089999999998</v>
      </c>
      <c r="O527" s="122">
        <v>6.7389740842069168</v>
      </c>
      <c r="P527">
        <v>11286.44</v>
      </c>
      <c r="Q527">
        <v>14730.89</v>
      </c>
      <c r="R527" s="124"/>
      <c r="S527" t="s">
        <v>120</v>
      </c>
      <c r="T527" t="s">
        <v>128</v>
      </c>
      <c r="U527" t="s">
        <v>127</v>
      </c>
      <c r="V527" s="122">
        <v>45348.45</v>
      </c>
      <c r="W527" s="122">
        <v>5904.0739999999996</v>
      </c>
      <c r="X527" s="122">
        <v>13.019351267794157</v>
      </c>
      <c r="Y527" s="122">
        <v>33766.26</v>
      </c>
      <c r="Z527" s="122">
        <v>56930.64</v>
      </c>
    </row>
    <row r="528" spans="1:26" ht="15" customHeight="1" x14ac:dyDescent="0.35">
      <c r="A528" s="139">
        <v>8182</v>
      </c>
      <c r="B528" s="3"/>
      <c r="C528" s="129" t="s">
        <v>1239</v>
      </c>
      <c r="D528" s="120">
        <v>18985.150000000001</v>
      </c>
      <c r="E528" s="120">
        <v>3316.0390000000002</v>
      </c>
      <c r="F528" s="121">
        <f t="shared" si="21"/>
        <v>17.466488281630642</v>
      </c>
      <c r="G528" s="120">
        <v>13530.31</v>
      </c>
      <c r="H528" s="120">
        <v>24439.98</v>
      </c>
      <c r="J528" t="s">
        <v>471</v>
      </c>
      <c r="K528" t="s">
        <v>462</v>
      </c>
      <c r="L528" t="s">
        <v>478</v>
      </c>
      <c r="M528">
        <v>15348.39</v>
      </c>
      <c r="N528">
        <v>875.74310000000003</v>
      </c>
      <c r="O528" s="122">
        <v>5.7057652300990531</v>
      </c>
      <c r="P528">
        <v>13627.94</v>
      </c>
      <c r="Q528">
        <v>17068.830000000002</v>
      </c>
      <c r="R528" s="124"/>
      <c r="S528" t="s">
        <v>229</v>
      </c>
      <c r="T528" t="s">
        <v>107</v>
      </c>
      <c r="U528" t="s">
        <v>237</v>
      </c>
      <c r="V528" s="122">
        <v>24605.96</v>
      </c>
      <c r="W528" s="122">
        <v>3222.82</v>
      </c>
      <c r="X528" s="122">
        <v>13.097721039943169</v>
      </c>
      <c r="Y528" s="122">
        <v>18271.52</v>
      </c>
      <c r="Z528" s="122">
        <v>30940.400000000001</v>
      </c>
    </row>
    <row r="529" spans="1:26" ht="15" customHeight="1" x14ac:dyDescent="0.35">
      <c r="A529" s="139">
        <v>8350</v>
      </c>
      <c r="B529" s="3"/>
      <c r="C529" s="129" t="s">
        <v>477</v>
      </c>
      <c r="D529" s="120">
        <v>17154.37</v>
      </c>
      <c r="E529" s="120">
        <v>931.48050000000001</v>
      </c>
      <c r="F529" s="121">
        <f t="shared" si="21"/>
        <v>5.4299895595116583</v>
      </c>
      <c r="G529" s="120">
        <v>15622.1</v>
      </c>
      <c r="H529" s="120">
        <v>18686.64</v>
      </c>
      <c r="J529" t="s">
        <v>471</v>
      </c>
      <c r="K529" t="s">
        <v>476</v>
      </c>
      <c r="L529" t="s">
        <v>475</v>
      </c>
      <c r="M529">
        <v>15313.77</v>
      </c>
      <c r="N529">
        <v>783.06719999999996</v>
      </c>
      <c r="O529" s="122">
        <v>5.113484138784897</v>
      </c>
      <c r="P529">
        <v>13775.39</v>
      </c>
      <c r="Q529">
        <v>16852.150000000001</v>
      </c>
      <c r="R529" s="124"/>
      <c r="S529" t="s">
        <v>474</v>
      </c>
      <c r="T529" t="s">
        <v>473</v>
      </c>
      <c r="U529" t="s">
        <v>472</v>
      </c>
      <c r="V529" s="122">
        <v>13891.88</v>
      </c>
      <c r="W529" s="122">
        <v>1825.1780000000001</v>
      </c>
      <c r="X529" s="122">
        <v>13.138452102955108</v>
      </c>
      <c r="Y529" s="122">
        <v>10277.209999999999</v>
      </c>
      <c r="Z529" s="122">
        <v>17506.55</v>
      </c>
    </row>
    <row r="530" spans="1:26" ht="15" customHeight="1" x14ac:dyDescent="0.35">
      <c r="A530" s="166">
        <v>9000</v>
      </c>
      <c r="B530" s="167" t="s">
        <v>1350</v>
      </c>
      <c r="C530" s="168" t="s">
        <v>1207</v>
      </c>
      <c r="D530" s="149">
        <v>13209.66</v>
      </c>
      <c r="E530" s="149">
        <v>841.14559999999994</v>
      </c>
      <c r="F530" s="150">
        <f t="shared" si="21"/>
        <v>6.3676551856747254</v>
      </c>
      <c r="G530" s="149">
        <v>11825.99</v>
      </c>
      <c r="H530" s="149">
        <v>14593.34</v>
      </c>
      <c r="J530" t="s">
        <v>471</v>
      </c>
      <c r="K530" t="s">
        <v>5</v>
      </c>
      <c r="L530" t="s">
        <v>470</v>
      </c>
      <c r="M530">
        <v>12710.21</v>
      </c>
      <c r="N530">
        <v>643.43079999999998</v>
      </c>
      <c r="O530" s="122">
        <v>5.0623144700205582</v>
      </c>
      <c r="P530">
        <v>11446.16</v>
      </c>
      <c r="Q530">
        <v>13974.27</v>
      </c>
      <c r="R530" s="124"/>
      <c r="S530" t="s">
        <v>135</v>
      </c>
      <c r="T530" t="s">
        <v>137</v>
      </c>
      <c r="U530" t="s">
        <v>136</v>
      </c>
      <c r="V530" s="122">
        <v>14229.01</v>
      </c>
      <c r="W530" s="122">
        <v>1870.5709999999999</v>
      </c>
      <c r="X530" s="122">
        <v>13.14617812483089</v>
      </c>
      <c r="Y530" s="122">
        <v>10559.46</v>
      </c>
      <c r="Z530" s="122">
        <v>17898.560000000001</v>
      </c>
    </row>
    <row r="531" spans="1:26" ht="5.15" customHeight="1" x14ac:dyDescent="0.35">
      <c r="A531" s="151"/>
      <c r="B531" s="118"/>
      <c r="C531" s="131"/>
      <c r="D531" s="161"/>
      <c r="E531" s="161"/>
      <c r="F531" s="214"/>
      <c r="G531" s="161"/>
      <c r="H531" s="161"/>
      <c r="O531" s="122"/>
      <c r="R531" s="124"/>
    </row>
    <row r="532" spans="1:26" ht="15" customHeight="1" x14ac:dyDescent="0.35">
      <c r="A532" s="2" t="s">
        <v>94</v>
      </c>
      <c r="B532" s="118"/>
      <c r="C532" s="131"/>
      <c r="D532" s="161"/>
      <c r="E532" s="161"/>
      <c r="F532" s="214"/>
      <c r="G532" s="161"/>
      <c r="H532" s="161"/>
      <c r="O532" s="122"/>
      <c r="R532" s="124"/>
    </row>
    <row r="533" spans="1:26" ht="15" customHeight="1" x14ac:dyDescent="0.35">
      <c r="A533" s="2" t="s">
        <v>93</v>
      </c>
      <c r="B533" s="118"/>
      <c r="C533" s="131"/>
      <c r="D533" s="161"/>
      <c r="E533" s="161"/>
      <c r="F533" s="214"/>
      <c r="G533" s="161"/>
      <c r="H533" s="161"/>
      <c r="O533" s="122"/>
      <c r="R533" s="124"/>
    </row>
    <row r="534" spans="1:26" ht="15" customHeight="1" x14ac:dyDescent="0.35">
      <c r="A534" s="159" t="s">
        <v>965</v>
      </c>
      <c r="B534" s="118"/>
      <c r="C534" s="131"/>
      <c r="D534" s="161"/>
      <c r="E534" s="161"/>
      <c r="F534" s="214"/>
      <c r="G534" s="161"/>
      <c r="H534" s="161"/>
      <c r="O534" s="122"/>
      <c r="R534" s="124"/>
    </row>
    <row r="535" spans="1:26" ht="15" customHeight="1" x14ac:dyDescent="0.35">
      <c r="A535" s="159" t="s">
        <v>0</v>
      </c>
      <c r="B535" s="118"/>
      <c r="C535" s="131"/>
      <c r="D535" s="161"/>
      <c r="E535" s="161"/>
      <c r="F535" s="214"/>
      <c r="G535" s="161"/>
      <c r="H535" s="161"/>
      <c r="O535" s="122"/>
      <c r="R535" s="124"/>
    </row>
    <row r="536" spans="1:26" ht="25" customHeight="1" x14ac:dyDescent="0.35">
      <c r="A536" s="403" t="s">
        <v>1349</v>
      </c>
      <c r="B536" s="403"/>
      <c r="C536" s="403"/>
      <c r="D536" s="403"/>
      <c r="E536" s="403"/>
      <c r="F536" s="403"/>
      <c r="G536" s="403"/>
      <c r="H536" s="403"/>
      <c r="O536" s="122"/>
      <c r="R536" s="124"/>
    </row>
    <row r="537" spans="1:26" ht="15" customHeight="1" x14ac:dyDescent="0.35">
      <c r="A537" s="404" t="s">
        <v>1336</v>
      </c>
      <c r="B537" s="404"/>
      <c r="C537" s="404"/>
      <c r="D537" s="404"/>
      <c r="E537" s="404"/>
      <c r="F537" s="404"/>
      <c r="G537" s="404"/>
      <c r="H537" s="404"/>
      <c r="O537" s="122"/>
      <c r="R537" s="124"/>
    </row>
    <row r="538" spans="1:26" ht="15" customHeight="1" x14ac:dyDescent="0.35">
      <c r="A538" s="123"/>
      <c r="B538" s="123"/>
      <c r="C538" s="123"/>
      <c r="D538" s="123"/>
      <c r="O538" s="122"/>
      <c r="R538" s="124"/>
    </row>
    <row r="539" spans="1:26" ht="15" customHeight="1" x14ac:dyDescent="0.35">
      <c r="A539" s="405" t="s">
        <v>993</v>
      </c>
      <c r="B539" s="406"/>
      <c r="C539" s="409" t="s">
        <v>92</v>
      </c>
      <c r="D539" s="419" t="s">
        <v>91</v>
      </c>
      <c r="E539" s="419" t="s">
        <v>90</v>
      </c>
      <c r="F539" s="420" t="s">
        <v>89</v>
      </c>
      <c r="G539" s="419" t="s">
        <v>1186</v>
      </c>
      <c r="H539" s="419"/>
      <c r="O539" s="122"/>
      <c r="R539" s="124"/>
    </row>
    <row r="540" spans="1:26" ht="15" customHeight="1" x14ac:dyDescent="0.35">
      <c r="A540" s="407"/>
      <c r="B540" s="408"/>
      <c r="C540" s="410"/>
      <c r="D540" s="419"/>
      <c r="E540" s="419"/>
      <c r="F540" s="420"/>
      <c r="G540" s="5" t="s">
        <v>88</v>
      </c>
      <c r="H540" s="5" t="s">
        <v>87</v>
      </c>
      <c r="O540" s="122"/>
      <c r="R540" s="124"/>
    </row>
    <row r="541" spans="1:26" ht="15" customHeight="1" x14ac:dyDescent="0.35">
      <c r="A541" s="132"/>
      <c r="B541" s="130"/>
      <c r="C541" s="131"/>
      <c r="D541" s="120"/>
      <c r="E541" s="120"/>
      <c r="F541" s="121"/>
      <c r="G541" s="120"/>
      <c r="H541" s="120"/>
      <c r="S541" t="s">
        <v>150</v>
      </c>
      <c r="T541" t="s">
        <v>168</v>
      </c>
      <c r="U541" t="s">
        <v>167</v>
      </c>
      <c r="V541" s="122">
        <v>40734.559999999998</v>
      </c>
      <c r="W541" s="122">
        <v>5355.2629999999999</v>
      </c>
      <c r="X541" s="122">
        <v>13.146730933143749</v>
      </c>
      <c r="Y541" s="122">
        <v>30183.16</v>
      </c>
      <c r="Z541" s="122">
        <v>51285.97</v>
      </c>
    </row>
    <row r="542" spans="1:26" ht="15" customHeight="1" x14ac:dyDescent="0.35">
      <c r="A542" s="135" t="s">
        <v>438</v>
      </c>
      <c r="B542" s="136"/>
      <c r="C542" s="126" t="s">
        <v>469</v>
      </c>
      <c r="D542" s="120"/>
      <c r="E542" s="120"/>
      <c r="F542" s="121"/>
      <c r="G542" s="120"/>
      <c r="H542" s="120"/>
      <c r="S542" t="s">
        <v>177</v>
      </c>
      <c r="T542" t="s">
        <v>5</v>
      </c>
      <c r="U542" t="s">
        <v>176</v>
      </c>
      <c r="V542" s="122">
        <v>16810.7</v>
      </c>
      <c r="W542" s="122">
        <v>2226.076</v>
      </c>
      <c r="X542" s="122">
        <v>13.242018476327576</v>
      </c>
      <c r="Y542" s="122">
        <v>12424.69</v>
      </c>
      <c r="Z542" s="122">
        <v>21196.71</v>
      </c>
    </row>
    <row r="543" spans="1:26" ht="15" customHeight="1" x14ac:dyDescent="0.35">
      <c r="A543" s="139">
        <v>3153</v>
      </c>
      <c r="B543" s="177"/>
      <c r="C543" s="129" t="s">
        <v>465</v>
      </c>
      <c r="D543" s="120">
        <v>137999.1</v>
      </c>
      <c r="E543" s="120">
        <v>2552.4059999999999</v>
      </c>
      <c r="F543" s="121">
        <f t="shared" ref="F543:F551" si="22">E543/D543*100</f>
        <v>1.8495816277062676</v>
      </c>
      <c r="G543" s="120">
        <v>133800.4</v>
      </c>
      <c r="H543" s="120">
        <v>142197.79999999999</v>
      </c>
      <c r="J543" t="s">
        <v>438</v>
      </c>
      <c r="K543" t="s">
        <v>468</v>
      </c>
      <c r="L543" t="s">
        <v>467</v>
      </c>
      <c r="M543">
        <v>35136.92</v>
      </c>
      <c r="N543">
        <v>1415.6110000000001</v>
      </c>
      <c r="O543" s="122">
        <v>4.0288420271327148</v>
      </c>
      <c r="P543">
        <v>32355.87</v>
      </c>
      <c r="Q543">
        <v>37917.96</v>
      </c>
      <c r="R543" s="124"/>
      <c r="S543" t="s">
        <v>311</v>
      </c>
      <c r="T543" t="s">
        <v>118</v>
      </c>
      <c r="U543" t="s">
        <v>466</v>
      </c>
      <c r="V543" s="122">
        <v>21016.42</v>
      </c>
      <c r="W543" s="122">
        <v>2794.5279999999998</v>
      </c>
      <c r="X543" s="122">
        <v>13.296879297235209</v>
      </c>
      <c r="Y543" s="122">
        <v>15536.75</v>
      </c>
      <c r="Z543" s="122">
        <v>26496.080000000002</v>
      </c>
    </row>
    <row r="544" spans="1:26" ht="15" customHeight="1" x14ac:dyDescent="0.35">
      <c r="A544" s="139">
        <v>3154</v>
      </c>
      <c r="B544" s="3"/>
      <c r="C544" s="129" t="s">
        <v>1240</v>
      </c>
      <c r="D544" s="120">
        <v>58174.55</v>
      </c>
      <c r="E544" s="120" t="s">
        <v>289</v>
      </c>
      <c r="F544" s="120" t="s">
        <v>289</v>
      </c>
      <c r="G544" s="120" t="s">
        <v>289</v>
      </c>
      <c r="H544" s="120" t="s">
        <v>289</v>
      </c>
      <c r="J544" t="s">
        <v>438</v>
      </c>
      <c r="K544" t="s">
        <v>464</v>
      </c>
      <c r="L544" t="s">
        <v>463</v>
      </c>
      <c r="M544">
        <v>135362.9</v>
      </c>
      <c r="N544">
        <v>8396.3719999999994</v>
      </c>
      <c r="O544" s="122">
        <v>6.2028606065620631</v>
      </c>
      <c r="P544">
        <v>118867.8</v>
      </c>
      <c r="Q544">
        <v>151858.1</v>
      </c>
      <c r="R544" s="124"/>
      <c r="S544" t="s">
        <v>385</v>
      </c>
      <c r="T544" t="s">
        <v>462</v>
      </c>
      <c r="U544" t="s">
        <v>461</v>
      </c>
      <c r="V544" s="122">
        <v>13298.44</v>
      </c>
      <c r="W544" s="122">
        <v>1774.1030000000001</v>
      </c>
      <c r="X544" s="122">
        <v>13.340685072835612</v>
      </c>
      <c r="Y544" s="122">
        <v>9517.0310000000009</v>
      </c>
      <c r="Z544" s="122">
        <v>17079.849999999999</v>
      </c>
    </row>
    <row r="545" spans="1:26" ht="15" customHeight="1" x14ac:dyDescent="0.35">
      <c r="A545" s="139">
        <v>3155</v>
      </c>
      <c r="B545" s="3"/>
      <c r="C545" s="129" t="s">
        <v>1241</v>
      </c>
      <c r="D545" s="120">
        <v>131536.29999999999</v>
      </c>
      <c r="E545" s="120">
        <v>73820.86</v>
      </c>
      <c r="F545" s="121">
        <f t="shared" si="22"/>
        <v>56.122043876861369</v>
      </c>
      <c r="G545" s="120">
        <v>10102.040000000001</v>
      </c>
      <c r="H545" s="120">
        <v>252970.5</v>
      </c>
      <c r="J545" t="s">
        <v>438</v>
      </c>
      <c r="K545" t="s">
        <v>144</v>
      </c>
      <c r="L545" t="s">
        <v>460</v>
      </c>
      <c r="M545">
        <v>29201.4</v>
      </c>
      <c r="N545">
        <v>2387.2759999999998</v>
      </c>
      <c r="O545" s="122">
        <v>8.175210777565459</v>
      </c>
      <c r="P545">
        <v>24511.47</v>
      </c>
      <c r="Q545">
        <v>33891.33</v>
      </c>
      <c r="R545" s="124"/>
      <c r="S545" t="s">
        <v>334</v>
      </c>
      <c r="T545" t="s">
        <v>459</v>
      </c>
      <c r="U545" t="s">
        <v>458</v>
      </c>
      <c r="V545" s="122">
        <v>24051.33</v>
      </c>
      <c r="W545" s="122">
        <v>3220.8719999999998</v>
      </c>
      <c r="X545" s="122">
        <v>13.391658590190229</v>
      </c>
      <c r="Y545" s="122">
        <v>17606.38</v>
      </c>
      <c r="Z545" s="122">
        <v>30496.28</v>
      </c>
    </row>
    <row r="546" spans="1:26" ht="15" customHeight="1" x14ac:dyDescent="0.35">
      <c r="A546" s="139">
        <v>4110</v>
      </c>
      <c r="B546" s="3"/>
      <c r="C546" s="129" t="s">
        <v>1156</v>
      </c>
      <c r="D546" s="120">
        <v>31047.52</v>
      </c>
      <c r="E546" s="120">
        <v>8110.2489999999998</v>
      </c>
      <c r="F546" s="121">
        <f t="shared" si="22"/>
        <v>26.12205097218715</v>
      </c>
      <c r="G546" s="120">
        <v>17706.28</v>
      </c>
      <c r="H546" s="120">
        <v>44388.76</v>
      </c>
      <c r="J546" t="s">
        <v>438</v>
      </c>
      <c r="K546" t="s">
        <v>14</v>
      </c>
      <c r="L546" t="s">
        <v>457</v>
      </c>
      <c r="M546">
        <v>22207.68</v>
      </c>
      <c r="N546">
        <v>1357.441</v>
      </c>
      <c r="O546" s="122">
        <v>6.1124845098632541</v>
      </c>
      <c r="P546">
        <v>19540.919999999998</v>
      </c>
      <c r="Q546">
        <v>24874.45</v>
      </c>
      <c r="R546" s="124"/>
      <c r="S546" t="s">
        <v>385</v>
      </c>
      <c r="T546" t="s">
        <v>5</v>
      </c>
      <c r="U546" t="s">
        <v>456</v>
      </c>
      <c r="V546" s="122">
        <v>14308.07</v>
      </c>
      <c r="W546" s="122">
        <v>1923.2470000000001</v>
      </c>
      <c r="X546" s="122">
        <v>13.441694092914</v>
      </c>
      <c r="Y546" s="122">
        <v>10208.76</v>
      </c>
      <c r="Z546" s="122">
        <v>18407.37</v>
      </c>
    </row>
    <row r="547" spans="1:26" ht="15" customHeight="1" x14ac:dyDescent="0.35">
      <c r="A547" s="139">
        <v>4221</v>
      </c>
      <c r="B547" s="3"/>
      <c r="C547" s="129" t="s">
        <v>145</v>
      </c>
      <c r="D547" s="120">
        <v>43104.36</v>
      </c>
      <c r="E547" s="120">
        <v>9248.4349999999995</v>
      </c>
      <c r="F547" s="121">
        <f t="shared" si="22"/>
        <v>21.455915364478209</v>
      </c>
      <c r="G547" s="120">
        <v>27890.82</v>
      </c>
      <c r="H547" s="120">
        <v>58317.9</v>
      </c>
      <c r="O547" s="122"/>
      <c r="R547" s="124"/>
    </row>
    <row r="548" spans="1:26" ht="15" customHeight="1" x14ac:dyDescent="0.35">
      <c r="A548" s="139">
        <v>4323</v>
      </c>
      <c r="B548" s="3"/>
      <c r="C548" s="129" t="s">
        <v>420</v>
      </c>
      <c r="D548" s="120">
        <v>24988.95</v>
      </c>
      <c r="E548" s="120">
        <v>2865.1559999999999</v>
      </c>
      <c r="F548" s="121">
        <f t="shared" si="22"/>
        <v>11.46569183579142</v>
      </c>
      <c r="G548" s="120">
        <v>20275.810000000001</v>
      </c>
      <c r="H548" s="120">
        <v>29702.09</v>
      </c>
      <c r="J548" t="s">
        <v>438</v>
      </c>
      <c r="K548" t="s">
        <v>419</v>
      </c>
      <c r="L548" t="s">
        <v>455</v>
      </c>
      <c r="M548">
        <v>21160.33</v>
      </c>
      <c r="N548">
        <v>11.884449999999999</v>
      </c>
      <c r="O548" s="122">
        <v>5.6163821641722969E-2</v>
      </c>
      <c r="P548">
        <v>21136.98</v>
      </c>
      <c r="Q548">
        <v>21183.67</v>
      </c>
      <c r="R548" s="124"/>
      <c r="S548" t="s">
        <v>305</v>
      </c>
      <c r="T548" t="s">
        <v>14</v>
      </c>
      <c r="U548" t="s">
        <v>454</v>
      </c>
      <c r="V548" s="122">
        <v>22765.33</v>
      </c>
      <c r="W548" s="122">
        <v>3067.875</v>
      </c>
      <c r="X548" s="122">
        <v>13.47608402777381</v>
      </c>
      <c r="Y548" s="122">
        <v>15690.79</v>
      </c>
      <c r="Z548" s="122">
        <v>29839.86</v>
      </c>
    </row>
    <row r="549" spans="1:26" ht="15" customHeight="1" x14ac:dyDescent="0.35">
      <c r="A549" s="139">
        <v>5111</v>
      </c>
      <c r="B549" s="3"/>
      <c r="C549" s="129" t="s">
        <v>453</v>
      </c>
      <c r="D549" s="120">
        <v>19665.2</v>
      </c>
      <c r="E549" s="120">
        <v>1151.1949999999999</v>
      </c>
      <c r="F549" s="121">
        <f t="shared" si="22"/>
        <v>5.8539704655940437</v>
      </c>
      <c r="G549" s="120">
        <v>17771.5</v>
      </c>
      <c r="H549" s="120">
        <v>21558.9</v>
      </c>
      <c r="J549" t="s">
        <v>438</v>
      </c>
      <c r="K549" t="s">
        <v>452</v>
      </c>
      <c r="L549" t="s">
        <v>451</v>
      </c>
      <c r="M549">
        <v>20449.330000000002</v>
      </c>
      <c r="N549">
        <v>138.32589999999999</v>
      </c>
      <c r="O549" s="122">
        <v>0.67643243079357596</v>
      </c>
      <c r="P549">
        <v>20177.580000000002</v>
      </c>
      <c r="Q549">
        <v>20721.080000000002</v>
      </c>
      <c r="R549" s="124"/>
      <c r="S549" t="s">
        <v>375</v>
      </c>
      <c r="T549" t="s">
        <v>440</v>
      </c>
      <c r="U549" t="s">
        <v>450</v>
      </c>
      <c r="V549" s="122">
        <v>27347.69</v>
      </c>
      <c r="W549" s="122">
        <v>3685.529</v>
      </c>
      <c r="X549" s="122">
        <v>13.476564199755082</v>
      </c>
      <c r="Y549" s="122">
        <v>19924.650000000001</v>
      </c>
      <c r="Z549" s="122">
        <v>34770.720000000001</v>
      </c>
    </row>
    <row r="550" spans="1:26" ht="15" customHeight="1" x14ac:dyDescent="0.35">
      <c r="A550" s="139">
        <v>7232</v>
      </c>
      <c r="B550" s="3"/>
      <c r="C550" s="129" t="s">
        <v>449</v>
      </c>
      <c r="D550" s="120">
        <v>53584.17</v>
      </c>
      <c r="E550" s="120">
        <v>6950.9449999999997</v>
      </c>
      <c r="F550" s="121">
        <f t="shared" si="22"/>
        <v>12.972012069982608</v>
      </c>
      <c r="G550" s="120">
        <v>42149.97</v>
      </c>
      <c r="H550" s="120">
        <v>65018.37</v>
      </c>
      <c r="J550" t="s">
        <v>438</v>
      </c>
      <c r="K550" t="s">
        <v>448</v>
      </c>
      <c r="L550" t="s">
        <v>447</v>
      </c>
      <c r="M550">
        <v>29099.32</v>
      </c>
      <c r="N550">
        <v>654.78489999999999</v>
      </c>
      <c r="O550" s="122">
        <v>2.2501725126222878</v>
      </c>
      <c r="P550">
        <v>27812.959999999999</v>
      </c>
      <c r="Q550">
        <v>30385.68</v>
      </c>
      <c r="R550" s="124"/>
      <c r="S550" t="s">
        <v>177</v>
      </c>
      <c r="T550" t="s">
        <v>190</v>
      </c>
      <c r="U550" t="s">
        <v>189</v>
      </c>
      <c r="V550" s="122">
        <v>33056.089999999997</v>
      </c>
      <c r="W550" s="122">
        <v>4493.1859999999997</v>
      </c>
      <c r="X550" s="122">
        <v>13.592611830376795</v>
      </c>
      <c r="Y550" s="122">
        <v>24203.23</v>
      </c>
      <c r="Z550" s="122">
        <v>41908.959999999999</v>
      </c>
    </row>
    <row r="551" spans="1:26" ht="15" customHeight="1" x14ac:dyDescent="0.35">
      <c r="A551" s="117">
        <v>9000</v>
      </c>
      <c r="B551" s="177" t="s">
        <v>1350</v>
      </c>
      <c r="C551" s="131" t="s">
        <v>1207</v>
      </c>
      <c r="D551" s="120">
        <v>19172.16</v>
      </c>
      <c r="E551" s="120">
        <v>75.045150000000007</v>
      </c>
      <c r="F551" s="121">
        <f t="shared" si="22"/>
        <v>0.39142772645335738</v>
      </c>
      <c r="G551" s="120">
        <v>19048.72</v>
      </c>
      <c r="H551" s="120">
        <v>19295.61</v>
      </c>
      <c r="J551" t="s">
        <v>438</v>
      </c>
      <c r="K551" t="s">
        <v>5</v>
      </c>
      <c r="L551" t="s">
        <v>437</v>
      </c>
      <c r="M551">
        <v>13435.5</v>
      </c>
      <c r="N551">
        <v>1986.453</v>
      </c>
      <c r="O551" s="122">
        <v>14.785106620520263</v>
      </c>
      <c r="P551">
        <v>9533.0049999999992</v>
      </c>
      <c r="Q551">
        <v>17337.990000000002</v>
      </c>
      <c r="R551" s="124"/>
      <c r="S551" t="s">
        <v>301</v>
      </c>
      <c r="T551" t="s">
        <v>14</v>
      </c>
      <c r="U551" t="s">
        <v>362</v>
      </c>
      <c r="V551" s="122">
        <v>27267.41</v>
      </c>
      <c r="W551" s="122">
        <v>3715.0419999999999</v>
      </c>
      <c r="X551" s="122">
        <v>13.624476985529613</v>
      </c>
      <c r="Y551" s="122">
        <v>19960.57</v>
      </c>
      <c r="Z551" s="122">
        <v>34574.239999999998</v>
      </c>
    </row>
    <row r="552" spans="1:26" ht="11.15" customHeight="1" x14ac:dyDescent="0.35">
      <c r="A552" s="130"/>
      <c r="B552" s="130"/>
      <c r="C552" s="131"/>
      <c r="D552" s="120"/>
      <c r="E552" s="120"/>
      <c r="F552" s="163"/>
      <c r="G552" s="120"/>
      <c r="H552" s="120"/>
      <c r="S552" t="s">
        <v>446</v>
      </c>
      <c r="T552" t="s">
        <v>445</v>
      </c>
      <c r="U552" t="s">
        <v>444</v>
      </c>
      <c r="V552" s="122">
        <v>23016.34</v>
      </c>
      <c r="W552" s="122">
        <v>3275.3789999999999</v>
      </c>
      <c r="X552" s="122">
        <v>14.230668299130095</v>
      </c>
      <c r="Y552" s="122">
        <v>16581.68</v>
      </c>
      <c r="Z552" s="122">
        <v>29451</v>
      </c>
    </row>
    <row r="553" spans="1:26" ht="15" customHeight="1" x14ac:dyDescent="0.35">
      <c r="A553" s="4" t="s">
        <v>423</v>
      </c>
      <c r="B553" s="145"/>
      <c r="C553" s="126" t="s">
        <v>436</v>
      </c>
      <c r="D553" s="120"/>
      <c r="E553" s="120"/>
      <c r="F553" s="163"/>
      <c r="G553" s="120"/>
      <c r="H553" s="120"/>
      <c r="S553" t="s">
        <v>252</v>
      </c>
      <c r="T553" t="s">
        <v>258</v>
      </c>
      <c r="U553" t="s">
        <v>257</v>
      </c>
      <c r="V553" s="122">
        <v>26954.82</v>
      </c>
      <c r="W553" s="122">
        <v>3680.5459999999998</v>
      </c>
      <c r="X553" s="122">
        <v>13.654500382491888</v>
      </c>
      <c r="Y553" s="122">
        <v>19715.84</v>
      </c>
      <c r="Z553" s="122">
        <v>34193.81</v>
      </c>
    </row>
    <row r="554" spans="1:26" ht="15" customHeight="1" x14ac:dyDescent="0.35">
      <c r="A554" s="139">
        <v>3331</v>
      </c>
      <c r="B554" s="3"/>
      <c r="C554" s="129" t="s">
        <v>435</v>
      </c>
      <c r="D554" s="120">
        <v>24573.38</v>
      </c>
      <c r="E554" s="120">
        <v>1865.9960000000001</v>
      </c>
      <c r="F554" s="121">
        <f t="shared" ref="F554:F628" si="23">E554/D554*100</f>
        <v>7.5935666969704618</v>
      </c>
      <c r="G554" s="120">
        <v>21503.84</v>
      </c>
      <c r="H554" s="120">
        <v>27642.92</v>
      </c>
      <c r="J554" t="s">
        <v>423</v>
      </c>
      <c r="K554" t="s">
        <v>434</v>
      </c>
      <c r="L554" t="s">
        <v>433</v>
      </c>
      <c r="M554">
        <v>20834.38</v>
      </c>
      <c r="N554">
        <v>1063.307</v>
      </c>
      <c r="O554" s="122">
        <v>5.1036171942721591</v>
      </c>
      <c r="P554">
        <v>18745.45</v>
      </c>
      <c r="Q554">
        <v>22923.3</v>
      </c>
      <c r="R554" s="124"/>
      <c r="S554" t="s">
        <v>295</v>
      </c>
      <c r="T554" t="s">
        <v>298</v>
      </c>
      <c r="U554" t="s">
        <v>297</v>
      </c>
      <c r="V554" s="122">
        <v>28863.73</v>
      </c>
      <c r="W554" s="122">
        <v>3955.4290000000001</v>
      </c>
      <c r="X554" s="122">
        <v>13.70380404750183</v>
      </c>
      <c r="Y554" s="122">
        <v>21084.1</v>
      </c>
      <c r="Z554" s="122">
        <v>36643.360000000001</v>
      </c>
    </row>
    <row r="555" spans="1:26" ht="15" customHeight="1" x14ac:dyDescent="0.35">
      <c r="A555" s="139">
        <v>4110</v>
      </c>
      <c r="B555" s="3"/>
      <c r="C555" s="129" t="s">
        <v>1156</v>
      </c>
      <c r="D555" s="120">
        <v>20966.349999999999</v>
      </c>
      <c r="E555" s="120">
        <v>661.59379999999999</v>
      </c>
      <c r="F555" s="121">
        <f t="shared" si="23"/>
        <v>3.1555029845442819</v>
      </c>
      <c r="G555" s="120">
        <v>19878.04</v>
      </c>
      <c r="H555" s="120">
        <v>22054.66</v>
      </c>
      <c r="J555" t="s">
        <v>423</v>
      </c>
      <c r="K555" t="s">
        <v>14</v>
      </c>
      <c r="L555" t="s">
        <v>432</v>
      </c>
      <c r="M555">
        <v>20725.080000000002</v>
      </c>
      <c r="N555">
        <v>2502.6019999999999</v>
      </c>
      <c r="O555" s="122">
        <v>12.075234450240963</v>
      </c>
      <c r="P555">
        <v>15808.58</v>
      </c>
      <c r="Q555">
        <v>25641.58</v>
      </c>
      <c r="R555" s="124"/>
      <c r="S555" t="s">
        <v>301</v>
      </c>
      <c r="T555" t="s">
        <v>351</v>
      </c>
      <c r="U555" t="s">
        <v>350</v>
      </c>
      <c r="V555" s="122">
        <v>20358.009999999998</v>
      </c>
      <c r="W555" s="122">
        <v>2803.4769999999999</v>
      </c>
      <c r="X555" s="122">
        <v>13.770879373769834</v>
      </c>
      <c r="Y555" s="122">
        <v>14844.06</v>
      </c>
      <c r="Z555" s="122">
        <v>25871.96</v>
      </c>
    </row>
    <row r="556" spans="1:26" ht="15" customHeight="1" x14ac:dyDescent="0.35">
      <c r="A556" s="139">
        <v>4321</v>
      </c>
      <c r="B556" s="3"/>
      <c r="C556" s="129" t="s">
        <v>431</v>
      </c>
      <c r="D556" s="120">
        <v>18412.3</v>
      </c>
      <c r="E556" s="120">
        <v>1810.2449999999999</v>
      </c>
      <c r="F556" s="121">
        <f t="shared" si="23"/>
        <v>9.8317157552288403</v>
      </c>
      <c r="G556" s="120">
        <v>15434.47</v>
      </c>
      <c r="H556" s="120">
        <v>21390.12</v>
      </c>
      <c r="O556" s="122"/>
      <c r="R556" s="124"/>
    </row>
    <row r="557" spans="1:26" ht="15" customHeight="1" x14ac:dyDescent="0.35">
      <c r="A557" s="139">
        <v>5153</v>
      </c>
      <c r="B557" s="3"/>
      <c r="C557" s="129" t="s">
        <v>1242</v>
      </c>
      <c r="D557" s="120">
        <v>18102.13</v>
      </c>
      <c r="E557" s="120">
        <v>1080.2349999999999</v>
      </c>
      <c r="F557" s="121">
        <f t="shared" si="23"/>
        <v>5.9674469247541575</v>
      </c>
      <c r="G557" s="120">
        <v>16325.16</v>
      </c>
      <c r="H557" s="120">
        <v>19879.099999999999</v>
      </c>
      <c r="O557" s="122"/>
      <c r="R557" s="124"/>
    </row>
    <row r="558" spans="1:26" ht="15" customHeight="1" x14ac:dyDescent="0.35">
      <c r="A558" s="139">
        <v>8322</v>
      </c>
      <c r="B558" s="3"/>
      <c r="C558" s="129" t="s">
        <v>531</v>
      </c>
      <c r="D558" s="120">
        <v>17714.07</v>
      </c>
      <c r="E558" s="120">
        <v>924.40710000000001</v>
      </c>
      <c r="F558" s="121">
        <f t="shared" si="23"/>
        <v>5.2184907251693149</v>
      </c>
      <c r="G558" s="120">
        <v>16193.43</v>
      </c>
      <c r="H558" s="120">
        <v>19234.71</v>
      </c>
      <c r="J558" t="s">
        <v>423</v>
      </c>
      <c r="K558" t="s">
        <v>430</v>
      </c>
      <c r="L558" t="s">
        <v>429</v>
      </c>
      <c r="M558">
        <v>14674.62</v>
      </c>
      <c r="N558">
        <v>485.24590000000001</v>
      </c>
      <c r="O558" s="122">
        <v>3.3067016386114254</v>
      </c>
      <c r="P558">
        <v>13721.33</v>
      </c>
      <c r="Q558">
        <v>15627.92</v>
      </c>
      <c r="R558" s="124"/>
      <c r="S558" t="s">
        <v>428</v>
      </c>
      <c r="T558" t="s">
        <v>118</v>
      </c>
      <c r="U558" t="s">
        <v>427</v>
      </c>
      <c r="V558" s="122">
        <v>21463.41</v>
      </c>
      <c r="W558" s="122">
        <v>2958.7869999999998</v>
      </c>
      <c r="X558" s="122">
        <v>13.785260589999446</v>
      </c>
      <c r="Y558" s="122">
        <v>15661.66</v>
      </c>
      <c r="Z558" s="122">
        <v>27265.17</v>
      </c>
    </row>
    <row r="559" spans="1:26" ht="15" customHeight="1" x14ac:dyDescent="0.35">
      <c r="A559" s="139">
        <v>8332</v>
      </c>
      <c r="B559" s="3"/>
      <c r="C559" s="129" t="s">
        <v>411</v>
      </c>
      <c r="D559" s="120">
        <v>15835.45</v>
      </c>
      <c r="E559" s="120">
        <v>340.03320000000002</v>
      </c>
      <c r="F559" s="121">
        <f t="shared" si="23"/>
        <v>2.147291046354856</v>
      </c>
      <c r="G559" s="120">
        <v>15276.1</v>
      </c>
      <c r="H559" s="120">
        <v>16394.8</v>
      </c>
      <c r="J559" t="s">
        <v>423</v>
      </c>
      <c r="K559" t="s">
        <v>413</v>
      </c>
      <c r="L559" t="s">
        <v>426</v>
      </c>
      <c r="M559">
        <v>17192.150000000001</v>
      </c>
      <c r="N559">
        <v>1051.951</v>
      </c>
      <c r="O559" s="122">
        <v>6.1187867718697193</v>
      </c>
      <c r="P559">
        <v>15125.53</v>
      </c>
      <c r="Q559">
        <v>19258.759999999998</v>
      </c>
      <c r="R559" s="124"/>
      <c r="S559" t="s">
        <v>192</v>
      </c>
      <c r="T559" t="s">
        <v>101</v>
      </c>
      <c r="U559" t="s">
        <v>194</v>
      </c>
      <c r="V559" s="122">
        <v>25629.4</v>
      </c>
      <c r="W559" s="122">
        <v>3553.7339999999999</v>
      </c>
      <c r="X559" s="122">
        <v>13.865849376107125</v>
      </c>
      <c r="Y559" s="122">
        <v>18620.93</v>
      </c>
      <c r="Z559" s="122">
        <v>32637.86</v>
      </c>
    </row>
    <row r="560" spans="1:26" ht="15" customHeight="1" x14ac:dyDescent="0.35">
      <c r="A560" s="139">
        <v>8344</v>
      </c>
      <c r="B560" s="3"/>
      <c r="C560" s="129" t="s">
        <v>1236</v>
      </c>
      <c r="D560" s="120">
        <v>18820.93</v>
      </c>
      <c r="E560" s="120">
        <v>1712.0260000000001</v>
      </c>
      <c r="F560" s="121">
        <f t="shared" si="23"/>
        <v>9.0963942801976305</v>
      </c>
      <c r="G560" s="120">
        <v>16004.67</v>
      </c>
      <c r="H560" s="120">
        <v>21637.19</v>
      </c>
      <c r="J560" t="s">
        <v>423</v>
      </c>
      <c r="K560" t="s">
        <v>410</v>
      </c>
      <c r="L560" t="s">
        <v>425</v>
      </c>
      <c r="M560">
        <v>16033.74</v>
      </c>
      <c r="N560">
        <v>1048.5640000000001</v>
      </c>
      <c r="O560" s="122">
        <v>6.5397343352206043</v>
      </c>
      <c r="P560">
        <v>13973.78</v>
      </c>
      <c r="Q560">
        <v>18093.7</v>
      </c>
      <c r="R560" s="124"/>
      <c r="S560" t="s">
        <v>311</v>
      </c>
      <c r="T560" t="s">
        <v>122</v>
      </c>
      <c r="U560" t="s">
        <v>424</v>
      </c>
      <c r="V560" s="122">
        <v>17433.68</v>
      </c>
      <c r="W560" s="122">
        <v>2428.2730000000001</v>
      </c>
      <c r="X560" s="122">
        <v>13.92863124710331</v>
      </c>
      <c r="Y560" s="122">
        <v>12672.19</v>
      </c>
      <c r="Z560" s="122">
        <v>22195.18</v>
      </c>
    </row>
    <row r="561" spans="1:26" ht="15" customHeight="1" x14ac:dyDescent="0.35">
      <c r="A561" s="117">
        <v>9000</v>
      </c>
      <c r="B561" s="118" t="s">
        <v>1350</v>
      </c>
      <c r="C561" s="131" t="s">
        <v>1207</v>
      </c>
      <c r="D561" s="120">
        <v>14872.56</v>
      </c>
      <c r="E561" s="120">
        <v>361.82940000000002</v>
      </c>
      <c r="F561" s="121">
        <f t="shared" si="23"/>
        <v>2.432865626361568</v>
      </c>
      <c r="G561" s="120">
        <v>14277.35</v>
      </c>
      <c r="H561" s="120">
        <v>15467.76</v>
      </c>
      <c r="J561" t="s">
        <v>423</v>
      </c>
      <c r="K561" t="s">
        <v>5</v>
      </c>
      <c r="L561" t="s">
        <v>422</v>
      </c>
      <c r="M561">
        <v>13415.38</v>
      </c>
      <c r="N561">
        <v>556.27710000000002</v>
      </c>
      <c r="O561" s="122">
        <v>4.1465623784044885</v>
      </c>
      <c r="P561">
        <v>12322.55</v>
      </c>
      <c r="Q561">
        <v>14508.22</v>
      </c>
      <c r="R561" s="124"/>
      <c r="S561" t="s">
        <v>150</v>
      </c>
      <c r="T561" t="s">
        <v>165</v>
      </c>
      <c r="U561" t="s">
        <v>164</v>
      </c>
      <c r="V561" s="122">
        <v>40765.300000000003</v>
      </c>
      <c r="W561" s="122">
        <v>5707.0590000000002</v>
      </c>
      <c r="X561" s="122">
        <v>13.999796395463788</v>
      </c>
      <c r="Y561" s="122">
        <v>29520.76</v>
      </c>
      <c r="Z561" s="122">
        <v>52009.84</v>
      </c>
    </row>
    <row r="562" spans="1:26" ht="15" customHeight="1" x14ac:dyDescent="0.35">
      <c r="A562" s="117"/>
      <c r="B562" s="118"/>
      <c r="C562" s="131"/>
      <c r="D562" s="120"/>
      <c r="E562" s="120"/>
      <c r="F562" s="121"/>
      <c r="G562" s="120"/>
      <c r="H562" s="120"/>
      <c r="O562" s="122"/>
      <c r="R562" s="124"/>
    </row>
    <row r="563" spans="1:26" ht="15" customHeight="1" x14ac:dyDescent="0.35">
      <c r="A563" s="4" t="s">
        <v>325</v>
      </c>
      <c r="B563" s="145"/>
      <c r="C563" s="126" t="s">
        <v>421</v>
      </c>
      <c r="D563" s="120"/>
      <c r="E563" s="120"/>
      <c r="F563" s="121"/>
      <c r="G563" s="120"/>
      <c r="H563" s="120"/>
      <c r="S563" t="s">
        <v>150</v>
      </c>
      <c r="T563" t="s">
        <v>153</v>
      </c>
      <c r="U563" t="s">
        <v>152</v>
      </c>
      <c r="V563" s="122">
        <v>17703.53</v>
      </c>
      <c r="W563" s="122">
        <v>2628.7950000000001</v>
      </c>
      <c r="X563" s="122">
        <v>14.848987744252137</v>
      </c>
      <c r="Y563" s="122">
        <v>12524.05</v>
      </c>
      <c r="Z563" s="122">
        <v>22883.01</v>
      </c>
    </row>
    <row r="564" spans="1:26" ht="15" customHeight="1" x14ac:dyDescent="0.35">
      <c r="A564" s="139">
        <v>4110</v>
      </c>
      <c r="B564" s="3"/>
      <c r="C564" s="129" t="s">
        <v>1156</v>
      </c>
      <c r="D564" s="120">
        <v>18033.919999999998</v>
      </c>
      <c r="E564" s="120">
        <v>2315.2710000000002</v>
      </c>
      <c r="F564" s="121">
        <f t="shared" si="23"/>
        <v>12.838423371069632</v>
      </c>
      <c r="G564" s="120">
        <v>14225.33</v>
      </c>
      <c r="H564" s="120">
        <v>21842.51</v>
      </c>
      <c r="J564" t="s">
        <v>325</v>
      </c>
      <c r="K564" t="s">
        <v>101</v>
      </c>
      <c r="L564" t="s">
        <v>324</v>
      </c>
      <c r="M564">
        <v>28073.52</v>
      </c>
      <c r="N564">
        <v>7391.8220000000001</v>
      </c>
      <c r="O564" s="122">
        <v>26.330228628258944</v>
      </c>
      <c r="P564">
        <v>13551.88</v>
      </c>
      <c r="Q564">
        <v>42595.15</v>
      </c>
      <c r="R564" s="124"/>
      <c r="S564" t="s">
        <v>295</v>
      </c>
      <c r="T564" t="s">
        <v>313</v>
      </c>
      <c r="U564" t="s">
        <v>312</v>
      </c>
      <c r="V564" s="122">
        <v>41297.82</v>
      </c>
      <c r="W564" s="122">
        <v>6136.9319999999998</v>
      </c>
      <c r="X564" s="122">
        <v>14.860183903169707</v>
      </c>
      <c r="Y564" s="122">
        <v>29227.56</v>
      </c>
      <c r="Z564" s="122">
        <v>53368.09</v>
      </c>
    </row>
    <row r="565" spans="1:26" ht="15" customHeight="1" x14ac:dyDescent="0.35">
      <c r="A565" s="139">
        <v>4222</v>
      </c>
      <c r="B565" s="3"/>
      <c r="C565" s="129" t="s">
        <v>102</v>
      </c>
      <c r="D565" s="120">
        <v>26399.26</v>
      </c>
      <c r="E565" s="120">
        <v>675.37310000000002</v>
      </c>
      <c r="F565" s="121">
        <f t="shared" si="23"/>
        <v>2.558303149406461</v>
      </c>
      <c r="G565" s="120">
        <v>25288.28</v>
      </c>
      <c r="H565" s="120">
        <v>27510.240000000002</v>
      </c>
      <c r="J565" t="s">
        <v>325</v>
      </c>
      <c r="K565" t="s">
        <v>14</v>
      </c>
      <c r="L565" t="s">
        <v>398</v>
      </c>
      <c r="M565">
        <v>25884.33</v>
      </c>
      <c r="N565">
        <v>4142.8459999999995</v>
      </c>
      <c r="O565" s="122">
        <v>16.005227873389032</v>
      </c>
      <c r="P565">
        <v>17745.490000000002</v>
      </c>
      <c r="Q565">
        <v>34023.18</v>
      </c>
      <c r="R565" s="124"/>
      <c r="S565" t="s">
        <v>229</v>
      </c>
      <c r="T565" t="s">
        <v>115</v>
      </c>
      <c r="U565" t="s">
        <v>248</v>
      </c>
      <c r="V565" s="122">
        <v>44852.68</v>
      </c>
      <c r="W565" s="122">
        <v>6679.7740000000003</v>
      </c>
      <c r="X565" s="122">
        <v>14.892697604691627</v>
      </c>
      <c r="Y565" s="122">
        <v>31723.61</v>
      </c>
      <c r="Z565" s="122">
        <v>57981.75</v>
      </c>
    </row>
    <row r="566" spans="1:26" ht="15" customHeight="1" x14ac:dyDescent="0.35">
      <c r="A566" s="139">
        <v>4323</v>
      </c>
      <c r="B566" s="3"/>
      <c r="C566" s="129" t="s">
        <v>420</v>
      </c>
      <c r="D566" s="120">
        <v>19278.650000000001</v>
      </c>
      <c r="E566" s="120">
        <v>2929.7739999999999</v>
      </c>
      <c r="F566" s="121">
        <f t="shared" si="23"/>
        <v>15.196987340918581</v>
      </c>
      <c r="G566" s="120">
        <v>14459.21</v>
      </c>
      <c r="H566" s="120">
        <v>24098.080000000002</v>
      </c>
      <c r="O566" s="122"/>
      <c r="R566" s="124"/>
    </row>
    <row r="567" spans="1:26" ht="15" customHeight="1" x14ac:dyDescent="0.35">
      <c r="A567" s="139">
        <v>4412</v>
      </c>
      <c r="B567" s="3"/>
      <c r="C567" s="129" t="s">
        <v>1243</v>
      </c>
      <c r="D567" s="120">
        <v>15849.3</v>
      </c>
      <c r="E567" s="120">
        <v>559.70519999999999</v>
      </c>
      <c r="F567" s="121">
        <f t="shared" si="23"/>
        <v>3.5314190532073972</v>
      </c>
      <c r="G567" s="120">
        <v>14928.6</v>
      </c>
      <c r="H567" s="120">
        <v>16770.009999999998</v>
      </c>
      <c r="J567" t="s">
        <v>325</v>
      </c>
      <c r="K567" t="s">
        <v>419</v>
      </c>
      <c r="L567" t="s">
        <v>418</v>
      </c>
      <c r="M567">
        <v>14108.53</v>
      </c>
      <c r="N567">
        <v>1134.3979999999999</v>
      </c>
      <c r="O567" s="122">
        <v>8.0405116620937811</v>
      </c>
      <c r="P567">
        <v>11879.94</v>
      </c>
      <c r="Q567">
        <v>16337.11</v>
      </c>
      <c r="R567" s="124"/>
      <c r="S567" t="s">
        <v>120</v>
      </c>
      <c r="T567" t="s">
        <v>5</v>
      </c>
      <c r="U567" t="s">
        <v>119</v>
      </c>
      <c r="V567" s="122">
        <v>16337.99</v>
      </c>
      <c r="W567" s="122">
        <v>2438.3339999999998</v>
      </c>
      <c r="X567" s="122">
        <v>14.924320555955781</v>
      </c>
      <c r="Y567" s="122">
        <v>11554.64</v>
      </c>
      <c r="Z567" s="122">
        <v>21121.34</v>
      </c>
    </row>
    <row r="568" spans="1:26" ht="15" customHeight="1" x14ac:dyDescent="0.35">
      <c r="A568" s="139">
        <v>8321</v>
      </c>
      <c r="B568" s="3"/>
      <c r="C568" s="129" t="s">
        <v>417</v>
      </c>
      <c r="D568" s="120">
        <v>12650.02</v>
      </c>
      <c r="E568" s="120">
        <v>219.6354</v>
      </c>
      <c r="F568" s="121">
        <f t="shared" si="23"/>
        <v>1.7362454762917372</v>
      </c>
      <c r="G568" s="120">
        <v>12288.72</v>
      </c>
      <c r="H568" s="120">
        <v>13011.32</v>
      </c>
      <c r="J568" t="s">
        <v>325</v>
      </c>
      <c r="K568" t="s">
        <v>416</v>
      </c>
      <c r="L568" t="s">
        <v>415</v>
      </c>
      <c r="M568">
        <v>12192.43</v>
      </c>
      <c r="N568">
        <v>703.44820000000004</v>
      </c>
      <c r="O568" s="122">
        <v>5.7695488102043644</v>
      </c>
      <c r="P568">
        <v>10810.47</v>
      </c>
      <c r="Q568">
        <v>13574.4</v>
      </c>
      <c r="R568" s="124"/>
      <c r="S568" t="s">
        <v>405</v>
      </c>
      <c r="T568" t="s">
        <v>304</v>
      </c>
      <c r="U568" t="s">
        <v>414</v>
      </c>
      <c r="V568" s="122">
        <v>17908.64</v>
      </c>
      <c r="W568" s="122">
        <v>2740.38</v>
      </c>
      <c r="X568" s="122">
        <v>15.301999481814367</v>
      </c>
      <c r="Y568" s="122">
        <v>12457.15</v>
      </c>
      <c r="Z568" s="122">
        <v>23360.13</v>
      </c>
    </row>
    <row r="569" spans="1:26" ht="15" customHeight="1" x14ac:dyDescent="0.35">
      <c r="A569" s="139">
        <v>8322</v>
      </c>
      <c r="B569" s="3"/>
      <c r="C569" s="129" t="s">
        <v>531</v>
      </c>
      <c r="D569" s="120">
        <v>18562.650000000001</v>
      </c>
      <c r="E569" s="120">
        <v>770.72910000000002</v>
      </c>
      <c r="F569" s="121">
        <f t="shared" si="23"/>
        <v>4.1520424077381195</v>
      </c>
      <c r="G569" s="120">
        <v>17294.810000000001</v>
      </c>
      <c r="H569" s="120">
        <v>19830.48</v>
      </c>
      <c r="J569" t="s">
        <v>325</v>
      </c>
      <c r="K569" t="s">
        <v>413</v>
      </c>
      <c r="L569" t="s">
        <v>412</v>
      </c>
      <c r="M569">
        <v>17371.87</v>
      </c>
      <c r="N569">
        <v>1794.4559999999999</v>
      </c>
      <c r="O569" s="122">
        <v>10.329665142555177</v>
      </c>
      <c r="P569">
        <v>13846.56</v>
      </c>
      <c r="Q569">
        <v>20897.18</v>
      </c>
      <c r="R569" s="124"/>
      <c r="S569" t="s">
        <v>80</v>
      </c>
      <c r="T569" t="s">
        <v>5</v>
      </c>
      <c r="U569" t="s">
        <v>79</v>
      </c>
      <c r="V569" s="122">
        <v>11711.2</v>
      </c>
      <c r="W569" s="122">
        <v>1811.403</v>
      </c>
      <c r="X569" s="122">
        <v>15.46727064690211</v>
      </c>
      <c r="Y569" s="122">
        <v>8157.72</v>
      </c>
      <c r="Z569" s="122">
        <v>15264.68</v>
      </c>
    </row>
    <row r="570" spans="1:26" ht="15" customHeight="1" x14ac:dyDescent="0.35">
      <c r="A570" s="139">
        <v>8332</v>
      </c>
      <c r="B570" s="3"/>
      <c r="C570" s="129" t="s">
        <v>411</v>
      </c>
      <c r="D570" s="120">
        <v>16368.05</v>
      </c>
      <c r="E570" s="120">
        <v>979.91089999999997</v>
      </c>
      <c r="F570" s="121">
        <f t="shared" si="23"/>
        <v>5.9867296348679284</v>
      </c>
      <c r="G570" s="120">
        <v>14756.11</v>
      </c>
      <c r="H570" s="120">
        <v>17979.990000000002</v>
      </c>
      <c r="J570" t="s">
        <v>325</v>
      </c>
      <c r="K570" t="s">
        <v>410</v>
      </c>
      <c r="L570" t="s">
        <v>409</v>
      </c>
      <c r="M570">
        <v>17391.849999999999</v>
      </c>
      <c r="N570">
        <v>899.34029999999996</v>
      </c>
      <c r="O570" s="122">
        <v>5.1710444834793314</v>
      </c>
      <c r="P570">
        <v>15625.04</v>
      </c>
      <c r="Q570">
        <v>19158.650000000001</v>
      </c>
      <c r="R570" s="124"/>
      <c r="S570" t="s">
        <v>334</v>
      </c>
      <c r="T570" t="s">
        <v>408</v>
      </c>
      <c r="U570" t="s">
        <v>407</v>
      </c>
      <c r="V570" s="122">
        <v>20687.41</v>
      </c>
      <c r="W570" s="122">
        <v>3227.232</v>
      </c>
      <c r="X570" s="122">
        <v>15.599980857922766</v>
      </c>
      <c r="Y570" s="122">
        <v>14229.74</v>
      </c>
      <c r="Z570" s="122">
        <v>27145.09</v>
      </c>
    </row>
    <row r="571" spans="1:26" ht="15" customHeight="1" x14ac:dyDescent="0.35">
      <c r="A571" s="117">
        <v>9000</v>
      </c>
      <c r="B571" s="118" t="s">
        <v>1350</v>
      </c>
      <c r="C571" s="131" t="s">
        <v>1207</v>
      </c>
      <c r="D571" s="120">
        <v>14253.77</v>
      </c>
      <c r="E571" s="120">
        <v>959.84320000000002</v>
      </c>
      <c r="F571" s="121">
        <f t="shared" si="23"/>
        <v>6.7339602084220536</v>
      </c>
      <c r="G571" s="120">
        <v>12674.84</v>
      </c>
      <c r="H571" s="120">
        <v>15832.7</v>
      </c>
      <c r="J571" t="s">
        <v>325</v>
      </c>
      <c r="K571" t="s">
        <v>5</v>
      </c>
      <c r="L571" t="s">
        <v>406</v>
      </c>
      <c r="M571">
        <v>17519.8</v>
      </c>
      <c r="N571">
        <v>230.22139999999999</v>
      </c>
      <c r="O571" s="122">
        <v>1.3140640874895833</v>
      </c>
      <c r="P571">
        <v>17067.509999999998</v>
      </c>
      <c r="Q571">
        <v>17972.080000000002</v>
      </c>
      <c r="R571" s="124"/>
      <c r="S571" t="s">
        <v>405</v>
      </c>
      <c r="T571" t="s">
        <v>404</v>
      </c>
      <c r="U571" t="s">
        <v>403</v>
      </c>
      <c r="V571" s="122">
        <v>32629.09</v>
      </c>
      <c r="W571" s="122">
        <v>5173.768</v>
      </c>
      <c r="X571" s="122">
        <v>15.856304910740693</v>
      </c>
      <c r="Y571" s="122">
        <v>22336.82</v>
      </c>
      <c r="Z571" s="122">
        <v>42921.37</v>
      </c>
    </row>
    <row r="572" spans="1:26" ht="15" customHeight="1" x14ac:dyDescent="0.35">
      <c r="A572" s="132"/>
      <c r="B572" s="130"/>
      <c r="C572" s="131"/>
      <c r="D572" s="120"/>
      <c r="E572" s="120"/>
      <c r="F572" s="121"/>
      <c r="G572" s="120"/>
      <c r="H572" s="120"/>
      <c r="S572" t="s">
        <v>402</v>
      </c>
      <c r="T572" t="s">
        <v>320</v>
      </c>
      <c r="U572" t="s">
        <v>401</v>
      </c>
      <c r="V572" s="122">
        <v>25326.9</v>
      </c>
      <c r="W572" s="122">
        <v>4042.8870000000002</v>
      </c>
      <c r="X572" s="122">
        <v>15.962818189355982</v>
      </c>
      <c r="Y572" s="122">
        <v>17334.39</v>
      </c>
      <c r="Z572" s="122">
        <v>33319.410000000003</v>
      </c>
    </row>
    <row r="573" spans="1:26" ht="15" customHeight="1" x14ac:dyDescent="0.35">
      <c r="A573" s="4" t="s">
        <v>400</v>
      </c>
      <c r="B573" s="145"/>
      <c r="C573" s="126" t="s">
        <v>399</v>
      </c>
      <c r="D573" s="120"/>
      <c r="E573" s="120"/>
      <c r="F573" s="121"/>
      <c r="G573" s="120"/>
      <c r="H573" s="120"/>
      <c r="S573" t="s">
        <v>325</v>
      </c>
      <c r="T573" t="s">
        <v>14</v>
      </c>
      <c r="U573" t="s">
        <v>398</v>
      </c>
      <c r="V573" s="122">
        <v>25884.33</v>
      </c>
      <c r="W573" s="122">
        <v>4142.8459999999995</v>
      </c>
      <c r="X573" s="122">
        <v>16.005227873389032</v>
      </c>
      <c r="Y573" s="122">
        <v>17745.490000000002</v>
      </c>
      <c r="Z573" s="122">
        <v>34023.18</v>
      </c>
    </row>
    <row r="574" spans="1:26" ht="15" customHeight="1" x14ac:dyDescent="0.35">
      <c r="A574" s="139">
        <v>2411</v>
      </c>
      <c r="B574" s="3"/>
      <c r="C574" s="129" t="s">
        <v>1235</v>
      </c>
      <c r="D574" s="120">
        <v>19842.580000000002</v>
      </c>
      <c r="E574" s="120">
        <v>306.64150000000001</v>
      </c>
      <c r="F574" s="121">
        <f t="shared" si="23"/>
        <v>1.5453711160544645</v>
      </c>
      <c r="G574" s="120">
        <v>19338.16</v>
      </c>
      <c r="H574" s="120">
        <v>20347</v>
      </c>
      <c r="J574" t="s">
        <v>373</v>
      </c>
      <c r="K574" t="s">
        <v>190</v>
      </c>
      <c r="L574" t="s">
        <v>397</v>
      </c>
      <c r="M574">
        <v>25153.439999999999</v>
      </c>
      <c r="N574">
        <v>1455.6410000000001</v>
      </c>
      <c r="O574" s="122">
        <v>5.7870454299690222</v>
      </c>
      <c r="P574">
        <v>22295.29</v>
      </c>
      <c r="Q574">
        <v>28011.599999999999</v>
      </c>
      <c r="R574" s="124"/>
      <c r="S574" t="s">
        <v>396</v>
      </c>
      <c r="T574" t="s">
        <v>14</v>
      </c>
      <c r="U574" t="s">
        <v>395</v>
      </c>
      <c r="V574" s="122">
        <v>19510.990000000002</v>
      </c>
      <c r="W574" s="122">
        <v>3165.8910000000001</v>
      </c>
      <c r="X574" s="122">
        <v>16.226193545278839</v>
      </c>
      <c r="Y574" s="122">
        <v>13210.67</v>
      </c>
      <c r="Z574" s="122">
        <v>25811.32</v>
      </c>
    </row>
    <row r="575" spans="1:26" ht="15" customHeight="1" x14ac:dyDescent="0.35">
      <c r="A575" s="139">
        <v>4110</v>
      </c>
      <c r="B575" s="3"/>
      <c r="C575" s="129" t="s">
        <v>1156</v>
      </c>
      <c r="D575" s="120">
        <v>17307.87</v>
      </c>
      <c r="E575" s="120">
        <v>157.65520000000001</v>
      </c>
      <c r="F575" s="121">
        <f t="shared" si="23"/>
        <v>0.91088735933422205</v>
      </c>
      <c r="G575" s="120">
        <v>17048.53</v>
      </c>
      <c r="H575" s="120">
        <v>17567.21</v>
      </c>
      <c r="J575" t="s">
        <v>373</v>
      </c>
      <c r="K575" t="s">
        <v>101</v>
      </c>
      <c r="L575" t="s">
        <v>394</v>
      </c>
      <c r="M575">
        <v>15121.97</v>
      </c>
      <c r="N575">
        <v>782.08820000000003</v>
      </c>
      <c r="O575" s="122">
        <v>5.171867157519821</v>
      </c>
      <c r="P575">
        <v>13586.34</v>
      </c>
      <c r="Q575">
        <v>16657.599999999999</v>
      </c>
      <c r="R575" s="124"/>
      <c r="S575" t="s">
        <v>301</v>
      </c>
      <c r="T575" t="s">
        <v>369</v>
      </c>
      <c r="U575" t="s">
        <v>368</v>
      </c>
      <c r="V575" s="122">
        <v>28964.05</v>
      </c>
      <c r="W575" s="122">
        <v>4764.4179999999997</v>
      </c>
      <c r="X575" s="122">
        <v>16.449419193793684</v>
      </c>
      <c r="Y575" s="122">
        <v>19593.28</v>
      </c>
      <c r="Z575" s="122">
        <v>38334.82</v>
      </c>
    </row>
    <row r="576" spans="1:26" ht="15" customHeight="1" x14ac:dyDescent="0.35">
      <c r="A576" s="139">
        <v>4222</v>
      </c>
      <c r="B576" s="3"/>
      <c r="C576" s="129" t="s">
        <v>102</v>
      </c>
      <c r="D576" s="120">
        <v>17876.22</v>
      </c>
      <c r="E576" s="120">
        <v>1872.797</v>
      </c>
      <c r="F576" s="121">
        <f t="shared" si="23"/>
        <v>10.476470976526358</v>
      </c>
      <c r="G576" s="120">
        <v>14795.49</v>
      </c>
      <c r="H576" s="120">
        <v>20956.939999999999</v>
      </c>
      <c r="J576" t="s">
        <v>373</v>
      </c>
      <c r="K576" t="s">
        <v>393</v>
      </c>
      <c r="L576" t="s">
        <v>392</v>
      </c>
      <c r="M576">
        <v>14556.3</v>
      </c>
      <c r="N576">
        <v>469.37549999999999</v>
      </c>
      <c r="O576" s="122">
        <v>3.2245522557243258</v>
      </c>
      <c r="P576">
        <v>13634.68</v>
      </c>
      <c r="Q576">
        <v>15477.92</v>
      </c>
      <c r="R576" s="124"/>
      <c r="S576" t="s">
        <v>391</v>
      </c>
      <c r="T576" t="s">
        <v>5</v>
      </c>
      <c r="U576" t="s">
        <v>390</v>
      </c>
      <c r="V576" s="122">
        <v>20770.57</v>
      </c>
      <c r="W576" s="122">
        <v>3454.1370000000002</v>
      </c>
      <c r="X576" s="122">
        <v>16.629957675692097</v>
      </c>
      <c r="Y576" s="122">
        <v>13956.96</v>
      </c>
      <c r="Z576" s="122">
        <v>27584.18</v>
      </c>
    </row>
    <row r="577" spans="1:26" ht="15" customHeight="1" x14ac:dyDescent="0.35">
      <c r="A577" s="139">
        <v>4226</v>
      </c>
      <c r="B577" s="3"/>
      <c r="C577" s="129" t="s">
        <v>1244</v>
      </c>
      <c r="D577" s="120">
        <v>14026.92</v>
      </c>
      <c r="E577" s="120">
        <v>305.20150000000001</v>
      </c>
      <c r="F577" s="121">
        <f t="shared" si="23"/>
        <v>2.1758269099702572</v>
      </c>
      <c r="G577" s="120">
        <v>13524.87</v>
      </c>
      <c r="H577" s="120">
        <v>14528.97</v>
      </c>
      <c r="O577" s="122"/>
      <c r="R577" s="124"/>
    </row>
    <row r="578" spans="1:26" ht="15" customHeight="1" x14ac:dyDescent="0.35">
      <c r="A578" s="139">
        <v>5120</v>
      </c>
      <c r="B578" s="3"/>
      <c r="C578" s="129" t="s">
        <v>388</v>
      </c>
      <c r="D578" s="120">
        <v>14548.91</v>
      </c>
      <c r="E578" s="120">
        <v>48.519530000000003</v>
      </c>
      <c r="F578" s="121">
        <f t="shared" si="23"/>
        <v>0.333492543427652</v>
      </c>
      <c r="G578" s="120">
        <v>14469.09</v>
      </c>
      <c r="H578" s="120">
        <v>14628.72</v>
      </c>
      <c r="O578" s="122"/>
      <c r="R578" s="124"/>
    </row>
    <row r="579" spans="1:26" ht="15" customHeight="1" x14ac:dyDescent="0.35">
      <c r="A579" s="139">
        <v>5131</v>
      </c>
      <c r="B579" s="3"/>
      <c r="C579" s="129" t="s">
        <v>1245</v>
      </c>
      <c r="D579" s="120">
        <v>13082.05</v>
      </c>
      <c r="E579" s="120">
        <v>41.157130000000002</v>
      </c>
      <c r="F579" s="121">
        <f t="shared" si="23"/>
        <v>0.31460764941274499</v>
      </c>
      <c r="G579" s="120">
        <v>13014.35</v>
      </c>
      <c r="H579" s="120">
        <v>13149.75</v>
      </c>
      <c r="J579" t="s">
        <v>373</v>
      </c>
      <c r="K579" t="s">
        <v>14</v>
      </c>
      <c r="L579" t="s">
        <v>389</v>
      </c>
      <c r="M579">
        <v>17501.09</v>
      </c>
      <c r="N579">
        <v>452.87740000000002</v>
      </c>
      <c r="O579" s="122">
        <v>2.5877096797970869</v>
      </c>
      <c r="P579">
        <v>16611.86</v>
      </c>
      <c r="Q579">
        <v>18390.310000000001</v>
      </c>
      <c r="R579" s="124"/>
      <c r="S579" t="s">
        <v>295</v>
      </c>
      <c r="T579" t="s">
        <v>118</v>
      </c>
      <c r="U579" t="s">
        <v>318</v>
      </c>
      <c r="V579" s="122">
        <v>22643.82</v>
      </c>
      <c r="W579" s="122">
        <v>3804.1019999999999</v>
      </c>
      <c r="X579" s="122">
        <v>16.799736086932331</v>
      </c>
      <c r="Y579" s="122">
        <v>15161.82</v>
      </c>
      <c r="Z579" s="122">
        <v>30125.82</v>
      </c>
    </row>
    <row r="580" spans="1:26" ht="15" customHeight="1" x14ac:dyDescent="0.35">
      <c r="A580" s="139">
        <v>5132</v>
      </c>
      <c r="B580" s="3"/>
      <c r="C580" s="129" t="s">
        <v>1246</v>
      </c>
      <c r="D580" s="120">
        <v>15584</v>
      </c>
      <c r="E580" s="120">
        <v>161.4974</v>
      </c>
      <c r="F580" s="121">
        <f t="shared" si="23"/>
        <v>1.0363026180698152</v>
      </c>
      <c r="G580" s="120">
        <v>15318.34</v>
      </c>
      <c r="H580" s="120">
        <v>15849.66</v>
      </c>
      <c r="J580" t="s">
        <v>373</v>
      </c>
      <c r="K580" t="s">
        <v>387</v>
      </c>
      <c r="L580" t="s">
        <v>386</v>
      </c>
      <c r="M580">
        <v>14799.38</v>
      </c>
      <c r="N580">
        <v>277.4341</v>
      </c>
      <c r="O580" s="122">
        <v>1.8746332616636645</v>
      </c>
      <c r="P580">
        <v>14254.64</v>
      </c>
      <c r="Q580">
        <v>15344.12</v>
      </c>
      <c r="R580" s="124"/>
      <c r="S580" t="s">
        <v>385</v>
      </c>
      <c r="T580" t="s">
        <v>384</v>
      </c>
      <c r="U580" t="s">
        <v>383</v>
      </c>
      <c r="V580" s="122">
        <v>16025.01</v>
      </c>
      <c r="W580" s="122">
        <v>2692.1680000000001</v>
      </c>
      <c r="X580" s="122">
        <v>16.79978982852429</v>
      </c>
      <c r="Y580" s="122">
        <v>10286.790000000001</v>
      </c>
      <c r="Z580" s="122">
        <v>21763.23</v>
      </c>
    </row>
    <row r="581" spans="1:26" ht="30" customHeight="1" x14ac:dyDescent="0.35">
      <c r="A581" s="139">
        <v>5151</v>
      </c>
      <c r="B581" s="3"/>
      <c r="C581" s="140" t="s">
        <v>1247</v>
      </c>
      <c r="D581" s="120">
        <v>13521.55</v>
      </c>
      <c r="E581" s="120">
        <v>119.0252</v>
      </c>
      <c r="F581" s="121">
        <f t="shared" si="23"/>
        <v>0.88026298760127353</v>
      </c>
      <c r="G581" s="120">
        <v>13325.76</v>
      </c>
      <c r="H581" s="120">
        <v>13717.35</v>
      </c>
      <c r="J581" t="s">
        <v>373</v>
      </c>
      <c r="K581" t="s">
        <v>382</v>
      </c>
      <c r="L581" t="s">
        <v>381</v>
      </c>
      <c r="M581">
        <v>13467.29</v>
      </c>
      <c r="N581">
        <v>242.58750000000001</v>
      </c>
      <c r="O581" s="122">
        <v>1.8013089493134848</v>
      </c>
      <c r="P581">
        <v>12990.97</v>
      </c>
      <c r="Q581">
        <v>13943.61</v>
      </c>
      <c r="R581" s="124"/>
      <c r="S581" t="s">
        <v>349</v>
      </c>
      <c r="T581" t="s">
        <v>358</v>
      </c>
      <c r="U581" t="s">
        <v>380</v>
      </c>
      <c r="V581" s="122">
        <v>27771.98</v>
      </c>
      <c r="W581" s="122">
        <v>4681.933</v>
      </c>
      <c r="X581" s="122">
        <v>16.858477501424098</v>
      </c>
      <c r="Y581" s="122">
        <v>18510.650000000001</v>
      </c>
      <c r="Z581" s="122">
        <v>37033.31</v>
      </c>
    </row>
    <row r="582" spans="1:26" ht="15" customHeight="1" x14ac:dyDescent="0.35">
      <c r="A582" s="139">
        <v>5230</v>
      </c>
      <c r="B582" s="118"/>
      <c r="C582" s="129" t="s">
        <v>545</v>
      </c>
      <c r="D582" s="120">
        <v>13634.36</v>
      </c>
      <c r="E582" s="120">
        <v>60.754289999999997</v>
      </c>
      <c r="F582" s="121">
        <f t="shared" si="23"/>
        <v>0.44559693304269504</v>
      </c>
      <c r="G582" s="120">
        <v>13534.42</v>
      </c>
      <c r="H582" s="120">
        <v>13734.3</v>
      </c>
      <c r="J582" t="s">
        <v>373</v>
      </c>
      <c r="K582" t="s">
        <v>379</v>
      </c>
      <c r="L582" t="s">
        <v>378</v>
      </c>
      <c r="M582">
        <v>12599.27</v>
      </c>
      <c r="N582">
        <v>385.60730000000001</v>
      </c>
      <c r="O582" s="122">
        <v>3.0605527145620344</v>
      </c>
      <c r="P582">
        <v>11842.13</v>
      </c>
      <c r="Q582">
        <v>13356.41</v>
      </c>
      <c r="R582" s="124"/>
      <c r="S582" t="s">
        <v>209</v>
      </c>
      <c r="T582" t="s">
        <v>118</v>
      </c>
      <c r="U582" t="s">
        <v>226</v>
      </c>
      <c r="V582" s="122">
        <v>69654.259999999995</v>
      </c>
      <c r="W582" s="122">
        <v>11920.97</v>
      </c>
      <c r="X582" s="122">
        <v>17.114488044234481</v>
      </c>
      <c r="Y582" s="122">
        <v>46223.65</v>
      </c>
      <c r="Z582" s="122">
        <v>93084.87</v>
      </c>
    </row>
    <row r="583" spans="1:26" ht="15" customHeight="1" x14ac:dyDescent="0.35">
      <c r="A583" s="117">
        <v>5246</v>
      </c>
      <c r="B583" s="3"/>
      <c r="C583" s="140" t="s">
        <v>1248</v>
      </c>
      <c r="D583" s="120">
        <v>13841.64</v>
      </c>
      <c r="E583" s="120">
        <v>115.0086</v>
      </c>
      <c r="F583" s="121">
        <f t="shared" si="23"/>
        <v>0.8308885363295101</v>
      </c>
      <c r="G583" s="120">
        <v>13652.45</v>
      </c>
      <c r="H583" s="120">
        <v>14030.82</v>
      </c>
      <c r="J583" t="s">
        <v>373</v>
      </c>
      <c r="K583" t="s">
        <v>377</v>
      </c>
      <c r="L583" t="s">
        <v>376</v>
      </c>
      <c r="M583">
        <v>14342.59</v>
      </c>
      <c r="N583">
        <v>525.55470000000003</v>
      </c>
      <c r="O583" s="122">
        <v>3.6642942453211029</v>
      </c>
      <c r="P583">
        <v>13310.66</v>
      </c>
      <c r="Q583">
        <v>15374.52</v>
      </c>
      <c r="R583" s="124"/>
      <c r="S583" t="s">
        <v>375</v>
      </c>
      <c r="T583" t="s">
        <v>358</v>
      </c>
      <c r="U583" t="s">
        <v>374</v>
      </c>
      <c r="V583" s="122">
        <v>23314.21</v>
      </c>
      <c r="W583" s="122">
        <v>4013.549</v>
      </c>
      <c r="X583" s="122">
        <v>17.215033235095678</v>
      </c>
      <c r="Y583" s="122">
        <v>15230.5</v>
      </c>
      <c r="Z583" s="122">
        <v>31397.91</v>
      </c>
    </row>
    <row r="584" spans="1:26" ht="15" customHeight="1" x14ac:dyDescent="0.35">
      <c r="A584" s="117">
        <v>9000</v>
      </c>
      <c r="B584" s="118" t="s">
        <v>1350</v>
      </c>
      <c r="C584" s="131" t="s">
        <v>1207</v>
      </c>
      <c r="D584" s="120">
        <v>13163.22</v>
      </c>
      <c r="E584" s="120">
        <v>479.65679999999998</v>
      </c>
      <c r="F584" s="121">
        <f t="shared" si="23"/>
        <v>3.6439169139465877</v>
      </c>
      <c r="G584" s="120">
        <v>12374.19</v>
      </c>
      <c r="H584" s="120">
        <v>13952.25</v>
      </c>
      <c r="J584" t="s">
        <v>373</v>
      </c>
      <c r="K584" t="s">
        <v>5</v>
      </c>
      <c r="L584" t="s">
        <v>372</v>
      </c>
      <c r="M584">
        <v>11920.53</v>
      </c>
      <c r="N584">
        <v>358.2251</v>
      </c>
      <c r="O584" s="122">
        <v>3.005110511025936</v>
      </c>
      <c r="P584">
        <v>11217.16</v>
      </c>
      <c r="Q584">
        <v>12623.91</v>
      </c>
      <c r="R584" s="124"/>
      <c r="S584" t="s">
        <v>305</v>
      </c>
      <c r="T584" t="s">
        <v>348</v>
      </c>
      <c r="U584" t="s">
        <v>371</v>
      </c>
      <c r="V584" s="122">
        <v>26932.14</v>
      </c>
      <c r="W584" s="122">
        <v>4652.6629999999996</v>
      </c>
      <c r="X584" s="122">
        <v>17.275504285957226</v>
      </c>
      <c r="Y584" s="122">
        <v>16203.08</v>
      </c>
      <c r="Z584" s="122">
        <v>37661.199999999997</v>
      </c>
    </row>
    <row r="585" spans="1:26" ht="15" customHeight="1" x14ac:dyDescent="0.35">
      <c r="A585" s="170"/>
      <c r="B585" s="171"/>
      <c r="C585" s="171"/>
      <c r="D585" s="120"/>
      <c r="E585" s="120"/>
      <c r="F585" s="121"/>
      <c r="G585" s="120"/>
      <c r="H585" s="120"/>
      <c r="S585" t="s">
        <v>177</v>
      </c>
      <c r="T585" t="s">
        <v>14</v>
      </c>
      <c r="U585" t="s">
        <v>181</v>
      </c>
      <c r="V585" s="122">
        <v>22432.83</v>
      </c>
      <c r="W585" s="122">
        <v>3880.9650000000001</v>
      </c>
      <c r="X585" s="122">
        <v>17.30038073662574</v>
      </c>
      <c r="Y585" s="122">
        <v>14786.22</v>
      </c>
      <c r="Z585" s="122">
        <v>30079.439999999999</v>
      </c>
    </row>
    <row r="586" spans="1:26" ht="15" customHeight="1" x14ac:dyDescent="0.35">
      <c r="A586" s="135" t="s">
        <v>301</v>
      </c>
      <c r="B586" s="136"/>
      <c r="C586" s="126" t="s">
        <v>370</v>
      </c>
      <c r="D586" s="120"/>
      <c r="E586" s="120"/>
      <c r="F586" s="121"/>
      <c r="G586" s="120"/>
      <c r="H586" s="120"/>
      <c r="S586" t="s">
        <v>80</v>
      </c>
      <c r="T586" t="s">
        <v>83</v>
      </c>
      <c r="U586" t="s">
        <v>82</v>
      </c>
      <c r="V586" s="122">
        <v>41023.79</v>
      </c>
      <c r="W586" s="122">
        <v>7105.4120000000003</v>
      </c>
      <c r="X586" s="122">
        <v>17.320223216821265</v>
      </c>
      <c r="Y586" s="122">
        <v>27084.91</v>
      </c>
      <c r="Z586" s="122">
        <v>54962.68</v>
      </c>
    </row>
    <row r="587" spans="1:26" ht="15" customHeight="1" x14ac:dyDescent="0.35">
      <c r="A587" s="139">
        <v>2166</v>
      </c>
      <c r="B587" s="118"/>
      <c r="C587" s="140" t="s">
        <v>367</v>
      </c>
      <c r="D587" s="120">
        <v>41133.97</v>
      </c>
      <c r="E587" s="120">
        <v>6458.7860000000001</v>
      </c>
      <c r="F587" s="121">
        <f t="shared" si="23"/>
        <v>15.701829898743059</v>
      </c>
      <c r="G587" s="120">
        <v>30509.360000000001</v>
      </c>
      <c r="H587" s="120">
        <v>51758.58</v>
      </c>
      <c r="J587" t="s">
        <v>301</v>
      </c>
      <c r="K587" t="s">
        <v>369</v>
      </c>
      <c r="L587" t="s">
        <v>368</v>
      </c>
      <c r="M587">
        <v>28964.05</v>
      </c>
      <c r="N587">
        <v>4764.4179999999997</v>
      </c>
      <c r="O587" s="122">
        <v>16.449419193793684</v>
      </c>
      <c r="P587">
        <v>19593.28</v>
      </c>
      <c r="Q587">
        <v>38334.82</v>
      </c>
      <c r="R587" s="124"/>
      <c r="S587" t="s">
        <v>295</v>
      </c>
      <c r="T587" t="s">
        <v>14</v>
      </c>
      <c r="U587" t="s">
        <v>302</v>
      </c>
      <c r="V587" s="122">
        <v>22235.06</v>
      </c>
      <c r="W587" s="122">
        <v>4033.8440000000001</v>
      </c>
      <c r="X587" s="122">
        <v>18.141817472046398</v>
      </c>
      <c r="Y587" s="122">
        <v>14301.19</v>
      </c>
      <c r="Z587" s="122">
        <v>30168.92</v>
      </c>
    </row>
    <row r="588" spans="1:26" ht="15" customHeight="1" x14ac:dyDescent="0.35">
      <c r="A588" s="139">
        <v>2512</v>
      </c>
      <c r="B588" s="3"/>
      <c r="C588" s="140" t="s">
        <v>113</v>
      </c>
      <c r="D588" s="120">
        <v>66180.05</v>
      </c>
      <c r="E588" s="120">
        <v>10807.86</v>
      </c>
      <c r="F588" s="121">
        <f t="shared" si="23"/>
        <v>16.33099400801299</v>
      </c>
      <c r="G588" s="120">
        <v>30509.360000000001</v>
      </c>
      <c r="H588" s="120">
        <v>51758.58</v>
      </c>
      <c r="J588" t="s">
        <v>301</v>
      </c>
      <c r="K588" t="s">
        <v>340</v>
      </c>
      <c r="L588" t="s">
        <v>366</v>
      </c>
      <c r="M588">
        <v>26100.1</v>
      </c>
      <c r="N588">
        <v>3110.93</v>
      </c>
      <c r="O588" s="122">
        <v>11.919226363117383</v>
      </c>
      <c r="P588">
        <v>19981.45</v>
      </c>
      <c r="Q588">
        <v>32218.75</v>
      </c>
      <c r="R588" s="124"/>
      <c r="S588" t="s">
        <v>209</v>
      </c>
      <c r="T588" t="s">
        <v>222</v>
      </c>
      <c r="U588" t="s">
        <v>221</v>
      </c>
      <c r="V588" s="122">
        <v>45253.43</v>
      </c>
      <c r="W588" s="122">
        <v>8228.3649999999998</v>
      </c>
      <c r="X588" s="122">
        <v>18.182853763792046</v>
      </c>
      <c r="Y588" s="122">
        <v>29080.61</v>
      </c>
      <c r="Z588" s="122">
        <v>61426.25</v>
      </c>
    </row>
    <row r="589" spans="1:26" ht="15" customHeight="1" x14ac:dyDescent="0.35">
      <c r="A589" s="139">
        <v>2513</v>
      </c>
      <c r="B589" s="3"/>
      <c r="C589" s="140" t="s">
        <v>338</v>
      </c>
      <c r="D589" s="120">
        <v>38583.78</v>
      </c>
      <c r="E589" s="120">
        <v>2852.3519999999999</v>
      </c>
      <c r="F589" s="121">
        <f t="shared" si="23"/>
        <v>7.3926193856589482</v>
      </c>
      <c r="G589" s="120">
        <v>30509.360000000001</v>
      </c>
      <c r="H589" s="120">
        <v>51758.58</v>
      </c>
      <c r="J589" t="s">
        <v>301</v>
      </c>
      <c r="K589" t="s">
        <v>271</v>
      </c>
      <c r="L589" t="s">
        <v>365</v>
      </c>
      <c r="M589">
        <v>28587.22</v>
      </c>
      <c r="N589">
        <v>2617.415</v>
      </c>
      <c r="O589" s="122">
        <v>9.1558920384703377</v>
      </c>
      <c r="P589">
        <v>23439.23</v>
      </c>
      <c r="Q589">
        <v>33735.22</v>
      </c>
      <c r="R589" s="124"/>
      <c r="S589" t="s">
        <v>209</v>
      </c>
      <c r="T589" t="s">
        <v>115</v>
      </c>
      <c r="U589" t="s">
        <v>225</v>
      </c>
      <c r="V589" s="122">
        <v>51607.49</v>
      </c>
      <c r="W589" s="122">
        <v>9488.6450000000004</v>
      </c>
      <c r="X589" s="122">
        <v>18.386178052836904</v>
      </c>
      <c r="Y589" s="122">
        <v>32957.589999999997</v>
      </c>
      <c r="Z589" s="122">
        <v>70257.38</v>
      </c>
    </row>
    <row r="590" spans="1:26" ht="15" customHeight="1" x14ac:dyDescent="0.35">
      <c r="A590" s="139">
        <v>2640</v>
      </c>
      <c r="B590" s="3"/>
      <c r="C590" s="140" t="s">
        <v>1249</v>
      </c>
      <c r="D590" s="120">
        <v>24269.83</v>
      </c>
      <c r="E590" s="120">
        <v>1819.0820000000001</v>
      </c>
      <c r="F590" s="121">
        <f t="shared" si="23"/>
        <v>7.4952399748988761</v>
      </c>
      <c r="G590" s="120">
        <v>30509.360000000001</v>
      </c>
      <c r="H590" s="120">
        <v>51758.58</v>
      </c>
      <c r="J590" t="s">
        <v>301</v>
      </c>
      <c r="K590" t="s">
        <v>14</v>
      </c>
      <c r="L590" t="s">
        <v>362</v>
      </c>
      <c r="M590">
        <v>27267.41</v>
      </c>
      <c r="N590">
        <v>3715.0419999999999</v>
      </c>
      <c r="O590" s="122">
        <v>13.624476985529613</v>
      </c>
      <c r="P590">
        <v>19960.57</v>
      </c>
      <c r="Q590">
        <v>34574.239999999998</v>
      </c>
      <c r="R590" s="124"/>
      <c r="S590" t="s">
        <v>96</v>
      </c>
      <c r="T590" t="s">
        <v>83</v>
      </c>
      <c r="U590" t="s">
        <v>103</v>
      </c>
      <c r="V590" s="122">
        <v>24531.83</v>
      </c>
      <c r="W590" s="122">
        <v>4628.3630000000003</v>
      </c>
      <c r="X590" s="122">
        <v>18.866766156458773</v>
      </c>
      <c r="Y590" s="122">
        <v>15452.24</v>
      </c>
      <c r="Z590" s="122">
        <v>33611.410000000003</v>
      </c>
    </row>
    <row r="591" spans="1:26" ht="15" customHeight="1" x14ac:dyDescent="0.35">
      <c r="A591" s="139">
        <v>4110</v>
      </c>
      <c r="B591" s="3"/>
      <c r="C591" s="140" t="s">
        <v>1156</v>
      </c>
      <c r="D591" s="120">
        <v>24000.36</v>
      </c>
      <c r="E591" s="120">
        <v>2330.8270000000002</v>
      </c>
      <c r="F591" s="121">
        <f t="shared" si="23"/>
        <v>9.7116334921642853</v>
      </c>
      <c r="G591" s="120">
        <v>30509.360000000001</v>
      </c>
      <c r="H591" s="120">
        <v>51758.58</v>
      </c>
      <c r="J591" t="s">
        <v>301</v>
      </c>
      <c r="K591" t="s">
        <v>360</v>
      </c>
      <c r="L591" t="s">
        <v>359</v>
      </c>
      <c r="M591">
        <v>26376.19</v>
      </c>
      <c r="N591">
        <v>3157.0659999999998</v>
      </c>
      <c r="O591" s="122">
        <v>11.969378443209576</v>
      </c>
      <c r="P591">
        <v>20166.79</v>
      </c>
      <c r="Q591">
        <v>32585.58</v>
      </c>
      <c r="R591" s="124"/>
      <c r="S591" t="s">
        <v>330</v>
      </c>
      <c r="T591" t="s">
        <v>358</v>
      </c>
      <c r="U591" t="s">
        <v>357</v>
      </c>
      <c r="V591" s="122">
        <v>34953.47</v>
      </c>
      <c r="W591" s="122">
        <v>6619.5230000000001</v>
      </c>
      <c r="X591" s="122">
        <v>18.938099707983213</v>
      </c>
      <c r="Y591" s="122">
        <v>21952.36</v>
      </c>
      <c r="Z591" s="122">
        <v>47954.57</v>
      </c>
    </row>
    <row r="592" spans="1:26" ht="15" customHeight="1" x14ac:dyDescent="0.35">
      <c r="A592" s="139">
        <v>4413</v>
      </c>
      <c r="B592" s="3"/>
      <c r="C592" s="140" t="s">
        <v>361</v>
      </c>
      <c r="D592" s="120">
        <v>18131.400000000001</v>
      </c>
      <c r="E592" s="120">
        <v>324.26490000000001</v>
      </c>
      <c r="F592" s="121">
        <f t="shared" si="23"/>
        <v>1.7884162282008005</v>
      </c>
      <c r="G592" s="120">
        <v>30509.360000000001</v>
      </c>
      <c r="H592" s="120">
        <v>51758.58</v>
      </c>
      <c r="J592" t="s">
        <v>301</v>
      </c>
      <c r="K592" t="s">
        <v>300</v>
      </c>
      <c r="L592" t="s">
        <v>299</v>
      </c>
      <c r="M592">
        <v>13000</v>
      </c>
      <c r="N592" t="s">
        <v>289</v>
      </c>
      <c r="O592" s="122" t="e">
        <v>#VALUE!</v>
      </c>
      <c r="P592" t="s">
        <v>289</v>
      </c>
      <c r="Q592" t="s">
        <v>289</v>
      </c>
      <c r="R592" s="124"/>
      <c r="S592" t="s">
        <v>252</v>
      </c>
      <c r="T592" t="s">
        <v>128</v>
      </c>
      <c r="U592" t="s">
        <v>269</v>
      </c>
      <c r="V592" s="122">
        <v>33898.720000000001</v>
      </c>
      <c r="W592" s="122">
        <v>6430.09</v>
      </c>
      <c r="X592" s="122">
        <v>18.968533325152102</v>
      </c>
      <c r="Y592" s="122">
        <v>21251.86</v>
      </c>
      <c r="Z592" s="122">
        <v>46545.57</v>
      </c>
    </row>
    <row r="593" spans="1:26" ht="15" customHeight="1" x14ac:dyDescent="0.35">
      <c r="A593" s="139">
        <v>7321</v>
      </c>
      <c r="B593" s="3"/>
      <c r="C593" s="140" t="s">
        <v>355</v>
      </c>
      <c r="D593" s="120">
        <v>23581.71</v>
      </c>
      <c r="E593" s="120">
        <v>1608.1469999999999</v>
      </c>
      <c r="F593" s="121">
        <f t="shared" si="23"/>
        <v>6.8194672905399987</v>
      </c>
      <c r="G593" s="120">
        <v>30509.360000000001</v>
      </c>
      <c r="H593" s="120">
        <v>51758.58</v>
      </c>
      <c r="J593" t="s">
        <v>301</v>
      </c>
      <c r="K593" t="s">
        <v>354</v>
      </c>
      <c r="L593" t="s">
        <v>353</v>
      </c>
      <c r="M593">
        <v>22367.25</v>
      </c>
      <c r="N593">
        <v>369.947</v>
      </c>
      <c r="O593" s="122">
        <v>1.653967295934905</v>
      </c>
      <c r="P593">
        <v>21639.63</v>
      </c>
      <c r="Q593">
        <v>23094.87</v>
      </c>
      <c r="R593" s="124"/>
      <c r="S593" t="s">
        <v>192</v>
      </c>
      <c r="T593" t="s">
        <v>200</v>
      </c>
      <c r="U593" t="s">
        <v>199</v>
      </c>
      <c r="V593" s="122">
        <v>29196.28</v>
      </c>
      <c r="W593" s="122">
        <v>5557.3509999999997</v>
      </c>
      <c r="X593" s="122">
        <v>19.034448909244603</v>
      </c>
      <c r="Y593" s="122">
        <v>18236.400000000001</v>
      </c>
      <c r="Z593" s="122">
        <v>40156.160000000003</v>
      </c>
    </row>
    <row r="594" spans="1:26" ht="15" customHeight="1" x14ac:dyDescent="0.35">
      <c r="A594" s="139">
        <v>7322</v>
      </c>
      <c r="B594" s="3"/>
      <c r="C594" s="140" t="s">
        <v>352</v>
      </c>
      <c r="D594" s="120">
        <v>28895.06</v>
      </c>
      <c r="E594" s="120">
        <v>3572.8580000000002</v>
      </c>
      <c r="F594" s="121">
        <f t="shared" si="23"/>
        <v>12.364944042338033</v>
      </c>
      <c r="G594" s="120">
        <v>30509.360000000001</v>
      </c>
      <c r="H594" s="120">
        <v>51758.58</v>
      </c>
      <c r="J594" t="s">
        <v>301</v>
      </c>
      <c r="K594" t="s">
        <v>351</v>
      </c>
      <c r="L594" t="s">
        <v>350</v>
      </c>
      <c r="M594">
        <v>20358.009999999998</v>
      </c>
      <c r="N594">
        <v>2803.4769999999999</v>
      </c>
      <c r="O594" s="122">
        <v>13.770879373769834</v>
      </c>
      <c r="P594">
        <v>14844.06</v>
      </c>
      <c r="Q594">
        <v>25871.96</v>
      </c>
      <c r="R594" s="124"/>
      <c r="S594" t="s">
        <v>349</v>
      </c>
      <c r="T594" t="s">
        <v>348</v>
      </c>
      <c r="U594" t="s">
        <v>347</v>
      </c>
      <c r="V594" s="122">
        <v>16720.89</v>
      </c>
      <c r="W594" s="122">
        <v>3206.5990000000002</v>
      </c>
      <c r="X594" s="122">
        <v>19.17720288812378</v>
      </c>
      <c r="Y594" s="122">
        <v>10377.92</v>
      </c>
      <c r="Z594" s="122">
        <v>23063.86</v>
      </c>
    </row>
    <row r="595" spans="1:26" ht="15" customHeight="1" x14ac:dyDescent="0.35">
      <c r="A595" s="139">
        <v>7323</v>
      </c>
      <c r="B595" s="3"/>
      <c r="C595" s="140" t="s">
        <v>346</v>
      </c>
      <c r="D595" s="120">
        <v>16438.419999999998</v>
      </c>
      <c r="E595" s="120">
        <v>78.136840000000007</v>
      </c>
      <c r="F595" s="121">
        <f t="shared" si="23"/>
        <v>0.47533059746617995</v>
      </c>
      <c r="G595" s="120">
        <v>30509.360000000001</v>
      </c>
      <c r="H595" s="120">
        <v>51758.58</v>
      </c>
      <c r="J595" t="s">
        <v>301</v>
      </c>
      <c r="K595" t="s">
        <v>345</v>
      </c>
      <c r="L595" t="s">
        <v>344</v>
      </c>
      <c r="M595">
        <v>16933.21</v>
      </c>
      <c r="N595">
        <v>1854.3520000000001</v>
      </c>
      <c r="O595" s="122">
        <v>10.950977398851135</v>
      </c>
      <c r="P595">
        <v>13286.03</v>
      </c>
      <c r="Q595">
        <v>20580.400000000001</v>
      </c>
      <c r="R595" s="124"/>
      <c r="S595" t="s">
        <v>252</v>
      </c>
      <c r="T595" t="s">
        <v>255</v>
      </c>
      <c r="U595" t="s">
        <v>254</v>
      </c>
      <c r="V595" s="122">
        <v>14794.74</v>
      </c>
      <c r="W595" s="122">
        <v>2880.4540000000002</v>
      </c>
      <c r="X595" s="122">
        <v>19.469446573579528</v>
      </c>
      <c r="Y595" s="122">
        <v>9129.3919999999998</v>
      </c>
      <c r="Z595" s="122">
        <v>20460.080000000002</v>
      </c>
    </row>
    <row r="596" spans="1:26" ht="15" customHeight="1" x14ac:dyDescent="0.35">
      <c r="A596" s="139">
        <v>9000</v>
      </c>
      <c r="B596" s="118" t="s">
        <v>1350</v>
      </c>
      <c r="C596" s="140" t="s">
        <v>1207</v>
      </c>
      <c r="D596" s="120">
        <v>16901.189999999999</v>
      </c>
      <c r="E596" s="120">
        <v>300.91570000000002</v>
      </c>
      <c r="F596" s="121">
        <f t="shared" si="23"/>
        <v>1.7804409038653495</v>
      </c>
      <c r="G596" s="120">
        <v>30509.360000000001</v>
      </c>
      <c r="H596" s="120">
        <v>51758.58</v>
      </c>
      <c r="J596" t="s">
        <v>301</v>
      </c>
      <c r="K596" t="s">
        <v>5</v>
      </c>
      <c r="L596" t="s">
        <v>343</v>
      </c>
      <c r="M596">
        <v>14095.33</v>
      </c>
      <c r="N596">
        <v>720.63509999999997</v>
      </c>
      <c r="O596" s="122">
        <v>5.1125805497281718</v>
      </c>
      <c r="P596">
        <v>12677.97</v>
      </c>
      <c r="Q596">
        <v>15512.69</v>
      </c>
      <c r="R596" s="124"/>
      <c r="S596" t="s">
        <v>295</v>
      </c>
      <c r="T596" t="s">
        <v>101</v>
      </c>
      <c r="U596" t="s">
        <v>306</v>
      </c>
      <c r="V596" s="122">
        <v>25176.69</v>
      </c>
      <c r="W596" s="122">
        <v>4910.8230000000003</v>
      </c>
      <c r="X596" s="122">
        <v>19.505435384873866</v>
      </c>
      <c r="Y596" s="122">
        <v>15517.96</v>
      </c>
      <c r="Z596" s="122">
        <v>34835.410000000003</v>
      </c>
    </row>
    <row r="597" spans="1:26" ht="15" customHeight="1" x14ac:dyDescent="0.35">
      <c r="A597" s="132"/>
      <c r="B597" s="130"/>
      <c r="C597" s="131"/>
      <c r="D597" s="120"/>
      <c r="E597" s="120"/>
      <c r="F597" s="121"/>
      <c r="G597" s="120"/>
      <c r="H597" s="120"/>
      <c r="S597" t="s">
        <v>295</v>
      </c>
      <c r="T597" t="s">
        <v>322</v>
      </c>
      <c r="U597" t="s">
        <v>321</v>
      </c>
      <c r="V597" s="122">
        <v>42160.53</v>
      </c>
      <c r="W597" s="122">
        <v>8404.857</v>
      </c>
      <c r="X597" s="122">
        <v>19.935368459552098</v>
      </c>
      <c r="Y597" s="122">
        <v>25629.65</v>
      </c>
      <c r="Z597" s="122">
        <v>58691.4</v>
      </c>
    </row>
    <row r="598" spans="1:26" ht="30" customHeight="1" x14ac:dyDescent="0.35">
      <c r="A598" s="6" t="s">
        <v>1031</v>
      </c>
      <c r="B598" s="136"/>
      <c r="C598" s="185" t="s">
        <v>1250</v>
      </c>
      <c r="D598" s="186"/>
      <c r="E598" s="120"/>
      <c r="F598" s="121"/>
      <c r="G598" s="120"/>
      <c r="H598" s="120"/>
      <c r="S598" t="s">
        <v>150</v>
      </c>
      <c r="T598" t="s">
        <v>156</v>
      </c>
      <c r="U598" t="s">
        <v>155</v>
      </c>
      <c r="V598" s="122">
        <v>27893.93</v>
      </c>
      <c r="W598" s="122">
        <v>5764.2820000000002</v>
      </c>
      <c r="X598" s="122">
        <v>20.665004895330274</v>
      </c>
      <c r="Y598" s="122">
        <v>16536.650000000001</v>
      </c>
      <c r="Z598" s="122">
        <v>39251.22</v>
      </c>
    </row>
    <row r="599" spans="1:26" ht="15" customHeight="1" x14ac:dyDescent="0.35">
      <c r="A599" s="139">
        <v>2166</v>
      </c>
      <c r="B599" s="3"/>
      <c r="C599" s="140" t="s">
        <v>367</v>
      </c>
      <c r="D599" s="120">
        <v>30106.69</v>
      </c>
      <c r="E599" s="120">
        <v>825.77369999999996</v>
      </c>
      <c r="F599" s="121">
        <f t="shared" si="23"/>
        <v>2.742824601442404</v>
      </c>
      <c r="G599" s="120">
        <v>28748.3</v>
      </c>
      <c r="H599" s="120">
        <v>31465.07</v>
      </c>
      <c r="J599" t="s">
        <v>291</v>
      </c>
      <c r="K599" t="s">
        <v>340</v>
      </c>
      <c r="L599" t="s">
        <v>339</v>
      </c>
      <c r="M599">
        <v>30662.07</v>
      </c>
      <c r="N599">
        <v>1.71E-13</v>
      </c>
      <c r="O599" s="122">
        <v>5.5769228887677841E-16</v>
      </c>
      <c r="P599">
        <v>30662.07</v>
      </c>
      <c r="Q599">
        <v>30662.07</v>
      </c>
      <c r="R599" s="124"/>
      <c r="S599" t="s">
        <v>229</v>
      </c>
      <c r="T599" t="s">
        <v>242</v>
      </c>
      <c r="U599" t="s">
        <v>241</v>
      </c>
      <c r="V599" s="122">
        <v>32285.77</v>
      </c>
      <c r="W599" s="122">
        <v>6881.4129999999996</v>
      </c>
      <c r="X599" s="122">
        <v>21.314074281022258</v>
      </c>
      <c r="Y599" s="122">
        <v>18760.38</v>
      </c>
      <c r="Z599" s="122">
        <v>45811.16</v>
      </c>
    </row>
    <row r="600" spans="1:26" ht="15" customHeight="1" x14ac:dyDescent="0.35">
      <c r="A600" s="139">
        <v>2513</v>
      </c>
      <c r="B600" s="3"/>
      <c r="C600" s="140" t="s">
        <v>338</v>
      </c>
      <c r="D600" s="120">
        <v>79063.839999999997</v>
      </c>
      <c r="E600" s="120">
        <v>7237.8090000000002</v>
      </c>
      <c r="F600" s="121">
        <f t="shared" si="23"/>
        <v>9.1543858734915986</v>
      </c>
      <c r="G600" s="120">
        <v>67157.75</v>
      </c>
      <c r="H600" s="120">
        <v>90969.94</v>
      </c>
      <c r="J600" t="s">
        <v>291</v>
      </c>
      <c r="K600" t="s">
        <v>271</v>
      </c>
      <c r="L600" t="s">
        <v>296</v>
      </c>
      <c r="M600">
        <v>23425</v>
      </c>
      <c r="N600" t="s">
        <v>289</v>
      </c>
      <c r="O600" s="122" t="e">
        <v>#VALUE!</v>
      </c>
      <c r="P600" t="s">
        <v>289</v>
      </c>
      <c r="Q600" t="s">
        <v>289</v>
      </c>
      <c r="R600" s="124"/>
      <c r="S600" t="s">
        <v>150</v>
      </c>
      <c r="T600" t="s">
        <v>174</v>
      </c>
      <c r="U600" t="s">
        <v>173</v>
      </c>
      <c r="V600" s="122">
        <v>45685.67</v>
      </c>
      <c r="W600" s="122">
        <v>10074.73</v>
      </c>
      <c r="X600" s="122">
        <v>22.052275910586406</v>
      </c>
      <c r="Y600" s="122">
        <v>25835.57</v>
      </c>
      <c r="Z600" s="122">
        <v>65535.77</v>
      </c>
    </row>
    <row r="601" spans="1:26" ht="15" customHeight="1" x14ac:dyDescent="0.35">
      <c r="A601" s="139">
        <v>2641</v>
      </c>
      <c r="B601" s="3"/>
      <c r="C601" s="140" t="s">
        <v>1000</v>
      </c>
      <c r="D601" s="120">
        <v>20943.18</v>
      </c>
      <c r="E601" s="120">
        <v>342.2688</v>
      </c>
      <c r="F601" s="121">
        <f t="shared" si="23"/>
        <v>1.6342733052000697</v>
      </c>
      <c r="G601" s="120">
        <v>20380.150000000001</v>
      </c>
      <c r="H601" s="120">
        <v>21506.21</v>
      </c>
      <c r="O601" s="122"/>
      <c r="R601" s="124"/>
    </row>
    <row r="602" spans="1:26" ht="15" customHeight="1" x14ac:dyDescent="0.35">
      <c r="A602" s="139">
        <v>2651</v>
      </c>
      <c r="B602" s="3"/>
      <c r="C602" s="140" t="s">
        <v>337</v>
      </c>
      <c r="D602" s="120">
        <v>24604.1</v>
      </c>
      <c r="E602" s="120">
        <v>2631.9160000000002</v>
      </c>
      <c r="F602" s="121">
        <f t="shared" si="23"/>
        <v>10.697062684674506</v>
      </c>
      <c r="G602" s="120">
        <v>20274.64</v>
      </c>
      <c r="H602" s="120">
        <v>28933.57</v>
      </c>
      <c r="O602" s="122"/>
      <c r="R602" s="124"/>
    </row>
    <row r="603" spans="1:26" ht="15" customHeight="1" x14ac:dyDescent="0.35">
      <c r="A603" s="139">
        <v>2652</v>
      </c>
      <c r="B603" s="3"/>
      <c r="C603" s="140" t="s">
        <v>1251</v>
      </c>
      <c r="D603" s="120">
        <v>23977.27</v>
      </c>
      <c r="E603" s="120">
        <v>2.8400000000000001E-14</v>
      </c>
      <c r="F603" s="121">
        <f t="shared" si="23"/>
        <v>1.1844551110280696E-16</v>
      </c>
      <c r="G603" s="120">
        <v>23977.27</v>
      </c>
      <c r="H603" s="120">
        <v>23977.27</v>
      </c>
      <c r="O603" s="122"/>
      <c r="R603" s="124"/>
    </row>
    <row r="604" spans="1:26" ht="15" customHeight="1" x14ac:dyDescent="0.35">
      <c r="A604" s="139">
        <v>2654</v>
      </c>
      <c r="B604" s="3"/>
      <c r="C604" s="140" t="s">
        <v>1252</v>
      </c>
      <c r="D604" s="120">
        <v>44069.47</v>
      </c>
      <c r="E604" s="120">
        <v>5543.634</v>
      </c>
      <c r="F604" s="121">
        <f t="shared" si="23"/>
        <v>12.579307171154996</v>
      </c>
      <c r="G604" s="120">
        <v>34950.28</v>
      </c>
      <c r="H604" s="120">
        <v>53188.67</v>
      </c>
      <c r="O604" s="122"/>
      <c r="R604" s="124"/>
    </row>
    <row r="605" spans="1:26" ht="15" customHeight="1" x14ac:dyDescent="0.35">
      <c r="A605" s="139">
        <v>3114</v>
      </c>
      <c r="B605" s="3"/>
      <c r="C605" s="140" t="s">
        <v>811</v>
      </c>
      <c r="D605" s="120">
        <v>26831.54</v>
      </c>
      <c r="E605" s="120">
        <v>2501.259</v>
      </c>
      <c r="F605" s="121">
        <f t="shared" si="23"/>
        <v>9.322085128173784</v>
      </c>
      <c r="G605" s="120">
        <v>22717.01</v>
      </c>
      <c r="H605" s="120">
        <v>30946.080000000002</v>
      </c>
      <c r="O605" s="122"/>
      <c r="R605" s="124"/>
    </row>
    <row r="606" spans="1:26" ht="15" customHeight="1" x14ac:dyDescent="0.35">
      <c r="A606" s="139">
        <v>3431</v>
      </c>
      <c r="B606" s="3"/>
      <c r="C606" s="140" t="s">
        <v>1253</v>
      </c>
      <c r="D606" s="120">
        <v>16971.23</v>
      </c>
      <c r="E606" s="120" t="s">
        <v>289</v>
      </c>
      <c r="F606" s="120" t="s">
        <v>289</v>
      </c>
      <c r="G606" s="120" t="s">
        <v>289</v>
      </c>
      <c r="H606" s="120" t="s">
        <v>289</v>
      </c>
      <c r="J606" t="s">
        <v>291</v>
      </c>
      <c r="K606" t="s">
        <v>336</v>
      </c>
      <c r="L606" t="s">
        <v>335</v>
      </c>
      <c r="M606">
        <v>23214.29</v>
      </c>
      <c r="N606">
        <v>2.8400000000000001E-14</v>
      </c>
      <c r="O606" s="122">
        <v>1.2233843895290357E-16</v>
      </c>
      <c r="P606">
        <v>23214.29</v>
      </c>
      <c r="Q606">
        <v>23214.29</v>
      </c>
      <c r="R606" s="124"/>
      <c r="S606" t="s">
        <v>177</v>
      </c>
      <c r="T606" t="s">
        <v>183</v>
      </c>
      <c r="U606" t="s">
        <v>182</v>
      </c>
      <c r="V606" s="122">
        <v>22510.76</v>
      </c>
      <c r="W606" s="122">
        <v>5035.9219999999996</v>
      </c>
      <c r="X606" s="122">
        <v>22.371177161499656</v>
      </c>
      <c r="Y606" s="122">
        <v>12588.55</v>
      </c>
      <c r="Z606" s="122">
        <v>32432.97</v>
      </c>
    </row>
    <row r="607" spans="1:26" ht="15" customHeight="1" x14ac:dyDescent="0.35">
      <c r="A607" s="139">
        <v>3521</v>
      </c>
      <c r="B607" s="3"/>
      <c r="C607" s="140" t="s">
        <v>1254</v>
      </c>
      <c r="D607" s="120">
        <v>18368.86</v>
      </c>
      <c r="E607" s="120">
        <v>1.0599999999999999E-12</v>
      </c>
      <c r="F607" s="121">
        <f t="shared" si="23"/>
        <v>5.7706357389625692E-15</v>
      </c>
      <c r="G607" s="120">
        <v>18368.86</v>
      </c>
      <c r="H607" s="120">
        <v>18368.86</v>
      </c>
      <c r="J607" t="s">
        <v>291</v>
      </c>
      <c r="K607" t="s">
        <v>293</v>
      </c>
      <c r="L607" t="s">
        <v>292</v>
      </c>
      <c r="M607">
        <v>43700</v>
      </c>
      <c r="N607" t="s">
        <v>289</v>
      </c>
      <c r="O607" s="122" t="e">
        <v>#VALUE!</v>
      </c>
      <c r="P607" t="s">
        <v>289</v>
      </c>
      <c r="Q607" t="s">
        <v>289</v>
      </c>
      <c r="R607" s="124"/>
      <c r="S607" t="s">
        <v>334</v>
      </c>
      <c r="T607" t="s">
        <v>333</v>
      </c>
      <c r="U607" t="s">
        <v>332</v>
      </c>
      <c r="V607" s="122">
        <v>19515.580000000002</v>
      </c>
      <c r="W607" s="122">
        <v>4404.625</v>
      </c>
      <c r="X607" s="122">
        <v>22.569787831056008</v>
      </c>
      <c r="Y607" s="122">
        <v>10701.94</v>
      </c>
      <c r="Z607" s="122">
        <v>28329.21</v>
      </c>
    </row>
    <row r="608" spans="1:26" ht="15" customHeight="1" x14ac:dyDescent="0.35">
      <c r="A608" s="139">
        <v>4110</v>
      </c>
      <c r="B608" s="3"/>
      <c r="C608" s="129" t="s">
        <v>1156</v>
      </c>
      <c r="D608" s="120">
        <v>20105.36</v>
      </c>
      <c r="E608" s="120">
        <v>1423.9639999999999</v>
      </c>
      <c r="F608" s="121">
        <f t="shared" si="23"/>
        <v>7.0825093407927033</v>
      </c>
      <c r="G608" s="120">
        <v>17762.96</v>
      </c>
      <c r="H608" s="120">
        <v>22447.759999999998</v>
      </c>
      <c r="J608" t="s">
        <v>291</v>
      </c>
      <c r="K608" t="s">
        <v>14</v>
      </c>
      <c r="L608" t="s">
        <v>331</v>
      </c>
      <c r="M608">
        <v>25527.27</v>
      </c>
      <c r="N608">
        <v>386.77690000000001</v>
      </c>
      <c r="O608" s="122">
        <v>1.5151518356643701</v>
      </c>
      <c r="P608">
        <v>24766.55</v>
      </c>
      <c r="Q608">
        <v>26287.99</v>
      </c>
      <c r="R608" s="124"/>
      <c r="S608" t="s">
        <v>330</v>
      </c>
      <c r="T608" t="s">
        <v>329</v>
      </c>
      <c r="U608" t="s">
        <v>328</v>
      </c>
      <c r="V608" s="122">
        <v>34231.22</v>
      </c>
      <c r="W608" s="122">
        <v>7815.2349999999997</v>
      </c>
      <c r="X608" s="122">
        <v>22.830722948232633</v>
      </c>
      <c r="Y608" s="122">
        <v>18881.669999999998</v>
      </c>
      <c r="Z608" s="122">
        <v>49580.78</v>
      </c>
    </row>
    <row r="609" spans="1:26" ht="15" customHeight="1" x14ac:dyDescent="0.35">
      <c r="A609" s="166">
        <v>9000</v>
      </c>
      <c r="B609" s="167" t="s">
        <v>1350</v>
      </c>
      <c r="C609" s="219" t="s">
        <v>1207</v>
      </c>
      <c r="D609" s="149">
        <v>17830.61</v>
      </c>
      <c r="E609" s="149">
        <v>685.67100000000005</v>
      </c>
      <c r="F609" s="150">
        <f t="shared" si="23"/>
        <v>3.8454713551583488</v>
      </c>
      <c r="G609" s="149">
        <v>16702.689999999999</v>
      </c>
      <c r="H609" s="149">
        <v>18958.52</v>
      </c>
      <c r="J609" t="s">
        <v>291</v>
      </c>
      <c r="K609" t="s">
        <v>5</v>
      </c>
      <c r="L609" t="s">
        <v>290</v>
      </c>
      <c r="M609">
        <v>18000</v>
      </c>
      <c r="N609" t="s">
        <v>289</v>
      </c>
      <c r="O609" s="122" t="e">
        <v>#VALUE!</v>
      </c>
      <c r="P609" t="s">
        <v>289</v>
      </c>
      <c r="Q609" t="s">
        <v>289</v>
      </c>
      <c r="R609" s="124"/>
      <c r="S609" t="s">
        <v>327</v>
      </c>
      <c r="T609" t="s">
        <v>174</v>
      </c>
      <c r="U609" t="s">
        <v>326</v>
      </c>
      <c r="V609" s="122">
        <v>49058.64</v>
      </c>
      <c r="W609" s="122">
        <v>12152.56</v>
      </c>
      <c r="X609" s="122">
        <v>24.771497946131404</v>
      </c>
      <c r="Y609" s="122">
        <v>24907.98</v>
      </c>
      <c r="Z609" s="122">
        <v>73209.3</v>
      </c>
    </row>
    <row r="610" spans="1:26" ht="15" customHeight="1" x14ac:dyDescent="0.35">
      <c r="A610" s="151"/>
      <c r="B610" s="118"/>
      <c r="C610" s="140"/>
      <c r="D610" s="161"/>
      <c r="E610" s="161"/>
      <c r="F610" s="214"/>
      <c r="G610" s="161"/>
      <c r="H610" s="161"/>
      <c r="O610" s="122"/>
      <c r="R610" s="124"/>
    </row>
    <row r="611" spans="1:26" ht="15" customHeight="1" x14ac:dyDescent="0.35">
      <c r="A611" s="2" t="s">
        <v>94</v>
      </c>
      <c r="B611" s="118"/>
      <c r="C611" s="140"/>
      <c r="D611" s="161"/>
      <c r="E611" s="161"/>
      <c r="F611" s="214"/>
      <c r="G611" s="161"/>
      <c r="H611" s="161"/>
      <c r="O611" s="122"/>
      <c r="R611" s="124"/>
    </row>
    <row r="612" spans="1:26" ht="15" customHeight="1" x14ac:dyDescent="0.35">
      <c r="A612" s="2" t="s">
        <v>93</v>
      </c>
      <c r="B612" s="118"/>
      <c r="C612" s="140"/>
      <c r="D612" s="161"/>
      <c r="E612" s="161"/>
      <c r="F612" s="214"/>
      <c r="G612" s="161"/>
      <c r="H612" s="161"/>
      <c r="O612" s="122"/>
      <c r="R612" s="124"/>
    </row>
    <row r="613" spans="1:26" ht="15" customHeight="1" x14ac:dyDescent="0.35">
      <c r="A613" s="159" t="s">
        <v>965</v>
      </c>
      <c r="B613" s="118"/>
      <c r="C613" s="140"/>
      <c r="D613" s="161"/>
      <c r="E613" s="161"/>
      <c r="F613" s="214"/>
      <c r="G613" s="161"/>
      <c r="H613" s="161"/>
      <c r="O613" s="122"/>
      <c r="R613" s="124"/>
    </row>
    <row r="614" spans="1:26" ht="15" customHeight="1" x14ac:dyDescent="0.35">
      <c r="A614" s="159" t="s">
        <v>0</v>
      </c>
      <c r="B614" s="118"/>
      <c r="C614" s="140"/>
      <c r="D614" s="161"/>
      <c r="E614" s="161"/>
      <c r="F614" s="214"/>
      <c r="G614" s="161"/>
      <c r="H614" s="161"/>
      <c r="O614" s="122"/>
      <c r="R614" s="124"/>
    </row>
    <row r="615" spans="1:26" ht="25" customHeight="1" x14ac:dyDescent="0.35">
      <c r="A615" s="403" t="s">
        <v>1349</v>
      </c>
      <c r="B615" s="403"/>
      <c r="C615" s="403"/>
      <c r="D615" s="403"/>
      <c r="E615" s="403"/>
      <c r="F615" s="403"/>
      <c r="G615" s="403"/>
      <c r="H615" s="403"/>
      <c r="O615" s="122"/>
      <c r="R615" s="124"/>
    </row>
    <row r="616" spans="1:26" ht="15" customHeight="1" x14ac:dyDescent="0.35">
      <c r="A616" s="404" t="s">
        <v>1336</v>
      </c>
      <c r="B616" s="404"/>
      <c r="C616" s="404"/>
      <c r="D616" s="404"/>
      <c r="E616" s="404"/>
      <c r="F616" s="404"/>
      <c r="G616" s="404"/>
      <c r="H616" s="404"/>
      <c r="O616" s="122"/>
      <c r="R616" s="124"/>
    </row>
    <row r="617" spans="1:26" ht="15" customHeight="1" x14ac:dyDescent="0.35">
      <c r="A617" s="123"/>
      <c r="B617" s="123"/>
      <c r="C617" s="123"/>
      <c r="D617" s="123"/>
      <c r="O617" s="122"/>
      <c r="R617" s="124"/>
    </row>
    <row r="618" spans="1:26" ht="25" customHeight="1" x14ac:dyDescent="0.35">
      <c r="A618" s="405" t="s">
        <v>993</v>
      </c>
      <c r="B618" s="406"/>
      <c r="C618" s="409" t="s">
        <v>92</v>
      </c>
      <c r="D618" s="419" t="s">
        <v>91</v>
      </c>
      <c r="E618" s="419" t="s">
        <v>90</v>
      </c>
      <c r="F618" s="420" t="s">
        <v>89</v>
      </c>
      <c r="G618" s="419" t="s">
        <v>1186</v>
      </c>
      <c r="H618" s="419"/>
      <c r="O618" s="122"/>
      <c r="R618" s="124"/>
    </row>
    <row r="619" spans="1:26" ht="25" customHeight="1" x14ac:dyDescent="0.35">
      <c r="A619" s="407"/>
      <c r="B619" s="408"/>
      <c r="C619" s="410"/>
      <c r="D619" s="419"/>
      <c r="E619" s="419"/>
      <c r="F619" s="420"/>
      <c r="G619" s="5" t="s">
        <v>88</v>
      </c>
      <c r="H619" s="5" t="s">
        <v>87</v>
      </c>
      <c r="S619" t="s">
        <v>325</v>
      </c>
      <c r="T619" t="s">
        <v>101</v>
      </c>
      <c r="U619" t="s">
        <v>324</v>
      </c>
      <c r="V619" s="122">
        <v>28073.52</v>
      </c>
      <c r="W619" s="122">
        <v>7391.8220000000001</v>
      </c>
      <c r="X619" s="122">
        <v>26.330228628258944</v>
      </c>
      <c r="Y619" s="122">
        <v>13551.88</v>
      </c>
      <c r="Z619" s="122">
        <v>42595.15</v>
      </c>
    </row>
    <row r="620" spans="1:26" ht="15" customHeight="1" x14ac:dyDescent="0.35">
      <c r="A620" s="135" t="s">
        <v>1188</v>
      </c>
      <c r="B620" s="136"/>
      <c r="C620" s="164" t="s">
        <v>1256</v>
      </c>
      <c r="D620" s="120"/>
      <c r="E620" s="120"/>
      <c r="F620" s="121"/>
      <c r="G620" s="120"/>
      <c r="H620" s="120"/>
      <c r="S620" t="s">
        <v>252</v>
      </c>
      <c r="T620" t="s">
        <v>83</v>
      </c>
      <c r="U620" t="s">
        <v>260</v>
      </c>
      <c r="V620" s="122">
        <v>18958.3</v>
      </c>
      <c r="W620" s="122">
        <v>5015.9840000000004</v>
      </c>
      <c r="X620" s="122">
        <v>26.457984101950071</v>
      </c>
      <c r="Y620" s="122">
        <v>9092.7389999999996</v>
      </c>
      <c r="Z620" s="122">
        <v>28823.85</v>
      </c>
    </row>
    <row r="621" spans="1:26" ht="15" customHeight="1" x14ac:dyDescent="0.35">
      <c r="A621" s="139">
        <v>2166</v>
      </c>
      <c r="B621" s="145"/>
      <c r="C621" s="129" t="s">
        <v>367</v>
      </c>
      <c r="D621" s="120">
        <v>25624.720000000001</v>
      </c>
      <c r="E621" s="120">
        <v>1159.3579999999999</v>
      </c>
      <c r="F621" s="121">
        <f t="shared" si="23"/>
        <v>4.5243733394940504</v>
      </c>
      <c r="G621" s="120">
        <v>23717.59</v>
      </c>
      <c r="H621" s="120">
        <v>27531.85</v>
      </c>
      <c r="J621" t="s">
        <v>295</v>
      </c>
      <c r="K621" t="s">
        <v>118</v>
      </c>
      <c r="L621" t="s">
        <v>318</v>
      </c>
      <c r="M621">
        <v>22643.82</v>
      </c>
      <c r="N621">
        <v>3804.1019999999999</v>
      </c>
      <c r="O621" s="122">
        <v>16.799736086932331</v>
      </c>
      <c r="P621">
        <v>15161.82</v>
      </c>
      <c r="Q621">
        <v>30125.82</v>
      </c>
      <c r="R621" s="124"/>
      <c r="S621" t="s">
        <v>295</v>
      </c>
      <c r="T621" t="s">
        <v>115</v>
      </c>
      <c r="U621" t="s">
        <v>317</v>
      </c>
      <c r="V621" s="122">
        <v>29195.37</v>
      </c>
      <c r="W621" s="122">
        <v>8125.643</v>
      </c>
      <c r="X621" s="122">
        <v>27.831957601496406</v>
      </c>
      <c r="Y621" s="122">
        <v>13213.66</v>
      </c>
      <c r="Z621" s="122">
        <v>45177.08</v>
      </c>
    </row>
    <row r="622" spans="1:26" ht="15" customHeight="1" x14ac:dyDescent="0.35">
      <c r="A622" s="139">
        <v>2513</v>
      </c>
      <c r="B622" s="3"/>
      <c r="C622" s="129" t="s">
        <v>338</v>
      </c>
      <c r="D622" s="120">
        <v>22676.32</v>
      </c>
      <c r="E622" s="120">
        <v>3075.8009999999999</v>
      </c>
      <c r="F622" s="121">
        <f t="shared" si="23"/>
        <v>13.563933654137886</v>
      </c>
      <c r="G622" s="120">
        <v>17616.669999999998</v>
      </c>
      <c r="H622" s="120">
        <v>27735.97</v>
      </c>
      <c r="J622" t="s">
        <v>295</v>
      </c>
      <c r="K622" t="s">
        <v>115</v>
      </c>
      <c r="L622" t="s">
        <v>317</v>
      </c>
      <c r="M622">
        <v>29195.37</v>
      </c>
      <c r="N622">
        <v>8125.643</v>
      </c>
      <c r="O622" s="122">
        <v>27.831957601496406</v>
      </c>
      <c r="P622">
        <v>13213.66</v>
      </c>
      <c r="Q622">
        <v>45177.08</v>
      </c>
      <c r="R622" s="124"/>
      <c r="S622" t="s">
        <v>305</v>
      </c>
      <c r="T622" t="s">
        <v>316</v>
      </c>
      <c r="U622" t="s">
        <v>315</v>
      </c>
      <c r="V622" s="122">
        <v>20360</v>
      </c>
      <c r="W622" s="122">
        <v>5938.5780000000004</v>
      </c>
      <c r="X622" s="122">
        <v>29.167868369351673</v>
      </c>
      <c r="Y622" s="122">
        <v>6665.6149999999998</v>
      </c>
      <c r="Z622" s="122">
        <v>34054.379999999997</v>
      </c>
    </row>
    <row r="623" spans="1:26" ht="15" customHeight="1" x14ac:dyDescent="0.35">
      <c r="A623" s="139">
        <v>2640</v>
      </c>
      <c r="B623" s="3"/>
      <c r="C623" s="140" t="s">
        <v>1249</v>
      </c>
      <c r="D623" s="120">
        <v>26865.14</v>
      </c>
      <c r="E623" s="120">
        <v>2125.4720000000002</v>
      </c>
      <c r="F623" s="121">
        <f t="shared" si="23"/>
        <v>7.9116356735903866</v>
      </c>
      <c r="G623" s="120">
        <v>23368.77</v>
      </c>
      <c r="H623" s="120">
        <v>30361.52</v>
      </c>
      <c r="J623" t="s">
        <v>295</v>
      </c>
      <c r="K623" t="s">
        <v>313</v>
      </c>
      <c r="L623" t="s">
        <v>312</v>
      </c>
      <c r="M623">
        <v>41297.82</v>
      </c>
      <c r="N623">
        <v>6136.9319999999998</v>
      </c>
      <c r="O623" s="122">
        <v>14.860183903169707</v>
      </c>
      <c r="P623">
        <v>29227.56</v>
      </c>
      <c r="Q623">
        <v>53368.09</v>
      </c>
      <c r="R623" s="124"/>
      <c r="S623" t="s">
        <v>311</v>
      </c>
      <c r="T623" t="s">
        <v>115</v>
      </c>
      <c r="U623" t="s">
        <v>310</v>
      </c>
      <c r="V623" s="122">
        <v>21675.03</v>
      </c>
      <c r="W623" s="122">
        <v>6894.723</v>
      </c>
      <c r="X623" s="122">
        <v>31.809519986823549</v>
      </c>
      <c r="Y623" s="122">
        <v>8155.4690000000001</v>
      </c>
      <c r="Z623" s="122">
        <v>35194.58</v>
      </c>
    </row>
    <row r="624" spans="1:26" ht="15" customHeight="1" x14ac:dyDescent="0.35">
      <c r="A624" s="139">
        <v>2656</v>
      </c>
      <c r="B624" s="3"/>
      <c r="C624" s="140" t="s">
        <v>1255</v>
      </c>
      <c r="D624" s="120">
        <v>24745.57</v>
      </c>
      <c r="E624" s="120">
        <v>4196.6189999999997</v>
      </c>
      <c r="F624" s="121">
        <f t="shared" si="23"/>
        <v>16.959071866196656</v>
      </c>
      <c r="G624" s="120">
        <v>17842.2</v>
      </c>
      <c r="H624" s="120">
        <v>31648.95</v>
      </c>
      <c r="J624" t="s">
        <v>295</v>
      </c>
      <c r="K624" t="s">
        <v>308</v>
      </c>
      <c r="L624" t="s">
        <v>307</v>
      </c>
      <c r="M624">
        <v>19252.93</v>
      </c>
      <c r="N624">
        <v>1634.9349999999999</v>
      </c>
      <c r="O624" s="122">
        <v>8.4918763014252878</v>
      </c>
      <c r="P624">
        <v>16037.3</v>
      </c>
      <c r="Q624">
        <v>22468.55</v>
      </c>
      <c r="R624" s="124"/>
      <c r="S624" t="s">
        <v>22</v>
      </c>
      <c r="T624" t="s">
        <v>49</v>
      </c>
      <c r="U624" t="s">
        <v>48</v>
      </c>
      <c r="V624" s="122">
        <v>57476.37</v>
      </c>
      <c r="W624" s="122">
        <v>24861.42</v>
      </c>
      <c r="X624" s="122">
        <v>43.255028109812777</v>
      </c>
      <c r="Y624" s="122">
        <v>8646.9840000000004</v>
      </c>
      <c r="Z624" s="122">
        <v>106305.8</v>
      </c>
    </row>
    <row r="625" spans="1:26" ht="15" customHeight="1" x14ac:dyDescent="0.35">
      <c r="A625" s="139">
        <v>3114</v>
      </c>
      <c r="B625" s="3"/>
      <c r="C625" s="140" t="s">
        <v>811</v>
      </c>
      <c r="D625" s="120">
        <v>19535.84</v>
      </c>
      <c r="E625" s="120">
        <v>2312.3180000000002</v>
      </c>
      <c r="F625" s="121">
        <f t="shared" si="23"/>
        <v>11.836286537973285</v>
      </c>
      <c r="G625" s="120">
        <v>15732.11</v>
      </c>
      <c r="H625" s="120">
        <v>23339.57</v>
      </c>
      <c r="J625" t="s">
        <v>295</v>
      </c>
      <c r="K625" t="s">
        <v>101</v>
      </c>
      <c r="L625" t="s">
        <v>306</v>
      </c>
      <c r="M625">
        <v>25176.69</v>
      </c>
      <c r="N625">
        <v>4910.8230000000003</v>
      </c>
      <c r="O625" s="122">
        <v>19.505435384873866</v>
      </c>
      <c r="P625">
        <v>15517.96</v>
      </c>
      <c r="Q625">
        <v>34835.410000000003</v>
      </c>
      <c r="R625" s="124"/>
      <c r="S625" t="s">
        <v>305</v>
      </c>
      <c r="T625" t="s">
        <v>304</v>
      </c>
      <c r="U625" t="s">
        <v>303</v>
      </c>
      <c r="V625" s="122">
        <v>15000</v>
      </c>
      <c r="W625" s="122" t="s">
        <v>289</v>
      </c>
      <c r="X625" s="122" t="e">
        <v>#VALUE!</v>
      </c>
      <c r="Y625" s="122" t="s">
        <v>289</v>
      </c>
      <c r="Z625" s="122" t="s">
        <v>289</v>
      </c>
    </row>
    <row r="626" spans="1:26" ht="15" customHeight="1" x14ac:dyDescent="0.35">
      <c r="A626" s="139">
        <v>3521</v>
      </c>
      <c r="B626" s="3"/>
      <c r="C626" s="140" t="s">
        <v>1254</v>
      </c>
      <c r="D626" s="120">
        <v>22271.26</v>
      </c>
      <c r="E626" s="120">
        <v>1983.8869999999999</v>
      </c>
      <c r="F626" s="121">
        <f t="shared" si="23"/>
        <v>8.9078345814291602</v>
      </c>
      <c r="G626" s="120">
        <v>19007.79</v>
      </c>
      <c r="H626" s="120">
        <v>25534.73</v>
      </c>
      <c r="J626" t="s">
        <v>295</v>
      </c>
      <c r="K626" t="s">
        <v>14</v>
      </c>
      <c r="L626" t="s">
        <v>302</v>
      </c>
      <c r="M626">
        <v>22235.06</v>
      </c>
      <c r="N626">
        <v>4033.8440000000001</v>
      </c>
      <c r="O626" s="122">
        <v>18.141817472046398</v>
      </c>
      <c r="P626">
        <v>14301.19</v>
      </c>
      <c r="Q626">
        <v>30168.92</v>
      </c>
      <c r="R626" s="124"/>
      <c r="S626" t="s">
        <v>301</v>
      </c>
      <c r="T626" t="s">
        <v>300</v>
      </c>
      <c r="U626" t="s">
        <v>299</v>
      </c>
      <c r="V626" s="122">
        <v>13000</v>
      </c>
      <c r="W626" s="122" t="s">
        <v>289</v>
      </c>
      <c r="X626" s="122" t="e">
        <v>#VALUE!</v>
      </c>
      <c r="Y626" s="122" t="s">
        <v>289</v>
      </c>
      <c r="Z626" s="122" t="s">
        <v>289</v>
      </c>
    </row>
    <row r="627" spans="1:26" ht="15" customHeight="1" x14ac:dyDescent="0.35">
      <c r="A627" s="117">
        <v>4110</v>
      </c>
      <c r="B627" s="130"/>
      <c r="C627" s="131" t="s">
        <v>1156</v>
      </c>
      <c r="D627" s="120">
        <v>22300.97</v>
      </c>
      <c r="E627" s="120">
        <v>1269.653</v>
      </c>
      <c r="F627" s="121">
        <f t="shared" si="23"/>
        <v>5.6932635665623508</v>
      </c>
      <c r="G627" s="120">
        <v>20212.41</v>
      </c>
      <c r="H627" s="120">
        <v>24389.53</v>
      </c>
      <c r="J627" t="s">
        <v>295</v>
      </c>
      <c r="K627" t="s">
        <v>298</v>
      </c>
      <c r="L627" t="s">
        <v>297</v>
      </c>
      <c r="M627">
        <v>28863.73</v>
      </c>
      <c r="N627">
        <v>3955.4290000000001</v>
      </c>
      <c r="O627" s="122">
        <v>13.70380404750183</v>
      </c>
      <c r="P627">
        <v>21084.1</v>
      </c>
      <c r="Q627">
        <v>36643.360000000001</v>
      </c>
      <c r="R627" s="124"/>
      <c r="S627" t="s">
        <v>291</v>
      </c>
      <c r="T627" t="s">
        <v>271</v>
      </c>
      <c r="U627" t="s">
        <v>296</v>
      </c>
      <c r="V627" s="122">
        <v>23425</v>
      </c>
      <c r="W627" s="122" t="s">
        <v>289</v>
      </c>
      <c r="X627" s="122" t="e">
        <v>#VALUE!</v>
      </c>
      <c r="Y627" s="122" t="s">
        <v>289</v>
      </c>
      <c r="Z627" s="122" t="s">
        <v>289</v>
      </c>
    </row>
    <row r="628" spans="1:26" ht="15" customHeight="1" x14ac:dyDescent="0.35">
      <c r="A628" s="117">
        <v>9000</v>
      </c>
      <c r="B628" s="118" t="s">
        <v>1350</v>
      </c>
      <c r="C628" s="131" t="s">
        <v>1207</v>
      </c>
      <c r="D628" s="120">
        <v>13880.17</v>
      </c>
      <c r="E628" s="120">
        <v>1912.6030000000001</v>
      </c>
      <c r="F628" s="121">
        <f t="shared" si="23"/>
        <v>13.779391750965587</v>
      </c>
      <c r="G628" s="120">
        <v>10733.96</v>
      </c>
      <c r="H628" s="120">
        <v>17026.37</v>
      </c>
      <c r="J628" t="s">
        <v>295</v>
      </c>
      <c r="K628" t="s">
        <v>5</v>
      </c>
      <c r="L628" t="s">
        <v>294</v>
      </c>
      <c r="M628">
        <v>11919.09</v>
      </c>
      <c r="N628">
        <v>838.37009999999998</v>
      </c>
      <c r="O628" s="122">
        <v>7.0338431876930203</v>
      </c>
      <c r="P628">
        <v>10270.16</v>
      </c>
      <c r="Q628">
        <v>13568.02</v>
      </c>
      <c r="R628" s="124"/>
      <c r="S628" t="s">
        <v>291</v>
      </c>
      <c r="T628" t="s">
        <v>293</v>
      </c>
      <c r="U628" t="s">
        <v>292</v>
      </c>
      <c r="V628" s="122">
        <v>43700</v>
      </c>
      <c r="W628" s="122" t="s">
        <v>289</v>
      </c>
      <c r="X628" s="122" t="e">
        <v>#VALUE!</v>
      </c>
      <c r="Y628" s="122" t="s">
        <v>289</v>
      </c>
      <c r="Z628" s="122" t="s">
        <v>289</v>
      </c>
    </row>
    <row r="629" spans="1:26" ht="15" customHeight="1" x14ac:dyDescent="0.35">
      <c r="A629" s="132"/>
      <c r="B629" s="130"/>
      <c r="C629" s="131"/>
      <c r="D629" s="120"/>
      <c r="E629" s="120"/>
      <c r="F629" s="121"/>
      <c r="G629" s="120"/>
      <c r="H629" s="120"/>
      <c r="S629" t="s">
        <v>291</v>
      </c>
      <c r="T629" t="s">
        <v>5</v>
      </c>
      <c r="U629" t="s">
        <v>290</v>
      </c>
      <c r="V629" s="122">
        <v>18000</v>
      </c>
      <c r="W629" s="122" t="s">
        <v>289</v>
      </c>
      <c r="X629" s="122" t="e">
        <v>#VALUE!</v>
      </c>
      <c r="Y629" s="122" t="s">
        <v>289</v>
      </c>
      <c r="Z629" s="122" t="s">
        <v>289</v>
      </c>
    </row>
    <row r="630" spans="1:26" ht="15" customHeight="1" x14ac:dyDescent="0.35">
      <c r="A630" s="6" t="s">
        <v>295</v>
      </c>
      <c r="B630" s="145"/>
      <c r="C630" s="164" t="s">
        <v>323</v>
      </c>
      <c r="D630" s="120"/>
      <c r="E630" s="120"/>
      <c r="F630" s="121"/>
      <c r="G630" s="120"/>
      <c r="H630" s="120"/>
    </row>
    <row r="631" spans="1:26" ht="15" customHeight="1" x14ac:dyDescent="0.35">
      <c r="A631" s="139">
        <v>2121</v>
      </c>
      <c r="B631" s="3"/>
      <c r="C631" s="129" t="s">
        <v>133</v>
      </c>
      <c r="D631" s="120">
        <v>71237.149999999994</v>
      </c>
      <c r="E631" s="120">
        <v>14469.42</v>
      </c>
      <c r="F631" s="121">
        <f t="shared" ref="F631:F642" si="24">E631/D631*100</f>
        <v>20.311621113421861</v>
      </c>
      <c r="G631" s="120">
        <v>47435.16</v>
      </c>
      <c r="H631" s="120">
        <v>95039.14</v>
      </c>
      <c r="J631" t="s">
        <v>279</v>
      </c>
      <c r="K631" t="s">
        <v>115</v>
      </c>
      <c r="L631" t="s">
        <v>288</v>
      </c>
      <c r="M631">
        <v>39652.51</v>
      </c>
      <c r="N631">
        <v>4102.5519999999997</v>
      </c>
      <c r="O631" s="122">
        <v>10.346260551980189</v>
      </c>
      <c r="P631">
        <v>31583.51</v>
      </c>
      <c r="Q631">
        <v>47721.51</v>
      </c>
      <c r="R631" s="124"/>
    </row>
    <row r="632" spans="1:26" ht="15" customHeight="1" x14ac:dyDescent="0.35">
      <c r="A632" s="139">
        <v>2122</v>
      </c>
      <c r="B632" s="3"/>
      <c r="C632" s="140" t="s">
        <v>116</v>
      </c>
      <c r="D632" s="120">
        <v>29740.42</v>
      </c>
      <c r="E632" s="120">
        <v>3659.4409999999998</v>
      </c>
      <c r="F632" s="121">
        <f t="shared" si="24"/>
        <v>12.30460430619339</v>
      </c>
      <c r="G632" s="120">
        <v>23720.69</v>
      </c>
      <c r="H632" s="120">
        <v>35760.14</v>
      </c>
      <c r="J632" t="s">
        <v>279</v>
      </c>
      <c r="K632" t="s">
        <v>275</v>
      </c>
      <c r="L632" t="s">
        <v>287</v>
      </c>
      <c r="M632">
        <v>43956.3</v>
      </c>
      <c r="N632">
        <v>5357.3879999999999</v>
      </c>
      <c r="O632" s="122">
        <v>12.187986704977442</v>
      </c>
      <c r="P632">
        <v>33419.26</v>
      </c>
      <c r="Q632">
        <v>54493.34</v>
      </c>
      <c r="R632" s="124"/>
    </row>
    <row r="633" spans="1:26" ht="15" customHeight="1" x14ac:dyDescent="0.35">
      <c r="A633" s="139">
        <v>2153</v>
      </c>
      <c r="B633" s="3"/>
      <c r="C633" s="140" t="s">
        <v>314</v>
      </c>
      <c r="D633" s="120">
        <v>39907.269999999997</v>
      </c>
      <c r="E633" s="120">
        <v>847.56039999999996</v>
      </c>
      <c r="F633" s="121">
        <f t="shared" si="24"/>
        <v>2.1238245562775906</v>
      </c>
      <c r="G633" s="120">
        <v>38513.040000000001</v>
      </c>
      <c r="H633" s="120">
        <v>41301.49</v>
      </c>
      <c r="J633" t="s">
        <v>279</v>
      </c>
      <c r="K633" t="s">
        <v>112</v>
      </c>
      <c r="L633" t="s">
        <v>286</v>
      </c>
      <c r="M633">
        <v>45520.17</v>
      </c>
      <c r="N633">
        <v>4875.8999999999996</v>
      </c>
      <c r="O633" s="122">
        <v>10.711515356818746</v>
      </c>
      <c r="P633">
        <v>35930.129999999997</v>
      </c>
      <c r="Q633">
        <v>55110.21</v>
      </c>
      <c r="R633" s="124"/>
    </row>
    <row r="634" spans="1:26" ht="15" customHeight="1" x14ac:dyDescent="0.35">
      <c r="A634" s="117">
        <v>2522</v>
      </c>
      <c r="B634" s="130"/>
      <c r="C634" s="140" t="s">
        <v>1257</v>
      </c>
      <c r="D634" s="120">
        <v>33801.56</v>
      </c>
      <c r="E634" s="120">
        <v>8698.5509999999995</v>
      </c>
      <c r="F634" s="121">
        <f t="shared" si="24"/>
        <v>25.734170257230733</v>
      </c>
      <c r="G634" s="120">
        <v>19492.57</v>
      </c>
      <c r="H634" s="120">
        <v>48110.55</v>
      </c>
      <c r="J634" t="s">
        <v>279</v>
      </c>
      <c r="K634" t="s">
        <v>128</v>
      </c>
      <c r="L634" t="s">
        <v>285</v>
      </c>
      <c r="M634">
        <v>41664.400000000001</v>
      </c>
      <c r="N634">
        <v>3337.1080000000002</v>
      </c>
      <c r="O634" s="122">
        <v>8.0094949165234581</v>
      </c>
      <c r="P634">
        <v>35100.9</v>
      </c>
      <c r="Q634">
        <v>48227.91</v>
      </c>
      <c r="R634" s="124"/>
    </row>
    <row r="635" spans="1:26" ht="15" customHeight="1" x14ac:dyDescent="0.35">
      <c r="A635" s="117">
        <v>2523</v>
      </c>
      <c r="B635" s="130"/>
      <c r="C635" s="140" t="s">
        <v>1258</v>
      </c>
      <c r="D635" s="120">
        <v>31663.32</v>
      </c>
      <c r="E635" s="120">
        <v>1207.2840000000001</v>
      </c>
      <c r="F635" s="121">
        <f t="shared" si="24"/>
        <v>3.8128787505542694</v>
      </c>
      <c r="G635" s="120">
        <v>29677.35</v>
      </c>
      <c r="H635" s="120">
        <v>33649.279999999999</v>
      </c>
      <c r="O635" s="122"/>
      <c r="R635" s="124"/>
    </row>
    <row r="636" spans="1:26" ht="15" customHeight="1" x14ac:dyDescent="0.35">
      <c r="A636" s="117">
        <v>3513</v>
      </c>
      <c r="B636" s="130"/>
      <c r="C636" s="140" t="s">
        <v>1259</v>
      </c>
      <c r="D636" s="120">
        <v>17659.650000000001</v>
      </c>
      <c r="E636" s="120">
        <v>703.27210000000002</v>
      </c>
      <c r="F636" s="121">
        <f t="shared" si="24"/>
        <v>3.9823671477067779</v>
      </c>
      <c r="G636" s="120">
        <v>16502.78</v>
      </c>
      <c r="H636" s="120">
        <v>18816.52</v>
      </c>
      <c r="O636" s="122"/>
      <c r="R636" s="124"/>
    </row>
    <row r="637" spans="1:26" ht="15" customHeight="1" x14ac:dyDescent="0.35">
      <c r="A637" s="139">
        <v>3522</v>
      </c>
      <c r="B637" s="3"/>
      <c r="C637" s="140" t="s">
        <v>309</v>
      </c>
      <c r="D637" s="120">
        <v>24382.21</v>
      </c>
      <c r="E637" s="120">
        <v>3091.9659999999999</v>
      </c>
      <c r="F637" s="121">
        <f t="shared" si="24"/>
        <v>12.681237672877069</v>
      </c>
      <c r="G637" s="120">
        <v>19295.97</v>
      </c>
      <c r="H637" s="120">
        <v>29468.45</v>
      </c>
      <c r="J637" t="s">
        <v>279</v>
      </c>
      <c r="K637" t="s">
        <v>110</v>
      </c>
      <c r="L637" t="s">
        <v>284</v>
      </c>
      <c r="M637">
        <v>46776.05</v>
      </c>
      <c r="N637">
        <v>3746.6819999999998</v>
      </c>
      <c r="O637" s="122">
        <v>8.0098298167545128</v>
      </c>
      <c r="P637">
        <v>39406.980000000003</v>
      </c>
      <c r="Q637">
        <v>54145.11</v>
      </c>
      <c r="R637" s="124"/>
    </row>
    <row r="638" spans="1:26" ht="15" customHeight="1" x14ac:dyDescent="0.35">
      <c r="A638" s="139">
        <v>4110</v>
      </c>
      <c r="B638" s="3"/>
      <c r="C638" s="140" t="s">
        <v>1156</v>
      </c>
      <c r="D638" s="120">
        <v>21240.03</v>
      </c>
      <c r="E638" s="120">
        <v>1582.0039999999999</v>
      </c>
      <c r="F638" s="121">
        <f t="shared" si="24"/>
        <v>7.4482192350952419</v>
      </c>
      <c r="G638" s="120">
        <v>18637.66</v>
      </c>
      <c r="H638" s="120">
        <v>23842.400000000001</v>
      </c>
      <c r="J638" t="s">
        <v>279</v>
      </c>
      <c r="K638" t="s">
        <v>261</v>
      </c>
      <c r="L638" t="s">
        <v>283</v>
      </c>
      <c r="M638">
        <v>35015.050000000003</v>
      </c>
      <c r="N638">
        <v>5062.2539999999999</v>
      </c>
      <c r="O638" s="122">
        <v>14.457366189681292</v>
      </c>
      <c r="P638">
        <v>25058.49</v>
      </c>
      <c r="Q638">
        <v>44971.62</v>
      </c>
      <c r="R638" s="124"/>
    </row>
    <row r="639" spans="1:26" ht="15" customHeight="1" x14ac:dyDescent="0.35">
      <c r="A639" s="139">
        <v>4222</v>
      </c>
      <c r="B639" s="3"/>
      <c r="C639" s="140" t="s">
        <v>102</v>
      </c>
      <c r="D639" s="120">
        <v>34170.69</v>
      </c>
      <c r="E639" s="120">
        <v>6033.32</v>
      </c>
      <c r="F639" s="121">
        <f t="shared" si="24"/>
        <v>17.656418410046737</v>
      </c>
      <c r="G639" s="120">
        <v>24245.97</v>
      </c>
      <c r="H639" s="120">
        <v>44095.42</v>
      </c>
      <c r="J639" t="s">
        <v>279</v>
      </c>
      <c r="K639" t="s">
        <v>83</v>
      </c>
      <c r="L639" t="s">
        <v>282</v>
      </c>
      <c r="M639">
        <v>34000.39</v>
      </c>
      <c r="N639">
        <v>3210.88</v>
      </c>
      <c r="O639" s="122">
        <v>9.4436563815885659</v>
      </c>
      <c r="P639">
        <v>27685.15</v>
      </c>
      <c r="Q639">
        <v>40315.629999999997</v>
      </c>
      <c r="R639" s="124"/>
    </row>
    <row r="640" spans="1:26" ht="15" customHeight="1" x14ac:dyDescent="0.35">
      <c r="A640" s="139">
        <v>7413</v>
      </c>
      <c r="B640" s="3"/>
      <c r="C640" s="140" t="s">
        <v>1260</v>
      </c>
      <c r="D640" s="120">
        <v>14502.39</v>
      </c>
      <c r="E640" s="120">
        <v>524.67179999999996</v>
      </c>
      <c r="F640" s="121">
        <f t="shared" si="24"/>
        <v>3.6178298887286853</v>
      </c>
      <c r="G640" s="120">
        <v>13639.31</v>
      </c>
      <c r="H640" s="120">
        <v>15365.47</v>
      </c>
      <c r="J640" t="s">
        <v>279</v>
      </c>
      <c r="K640" t="s">
        <v>255</v>
      </c>
      <c r="L640" t="s">
        <v>281</v>
      </c>
      <c r="M640">
        <v>24127.06</v>
      </c>
      <c r="N640">
        <v>1877.4290000000001</v>
      </c>
      <c r="O640" s="122">
        <v>7.7814246742039845</v>
      </c>
      <c r="P640">
        <v>20434.490000000002</v>
      </c>
      <c r="Q640">
        <v>27819.64</v>
      </c>
      <c r="R640" s="124"/>
    </row>
    <row r="641" spans="1:18" ht="15" customHeight="1" x14ac:dyDescent="0.35">
      <c r="A641" s="139">
        <v>7422</v>
      </c>
      <c r="B641" s="3"/>
      <c r="C641" s="140" t="s">
        <v>999</v>
      </c>
      <c r="D641" s="120">
        <v>16844.53</v>
      </c>
      <c r="E641" s="120">
        <v>1145.836</v>
      </c>
      <c r="F641" s="121">
        <f t="shared" si="24"/>
        <v>6.802421913820095</v>
      </c>
      <c r="G641" s="120">
        <v>14959.64</v>
      </c>
      <c r="H641" s="120">
        <v>18729.41</v>
      </c>
      <c r="J641" t="s">
        <v>279</v>
      </c>
      <c r="K641" t="s">
        <v>14</v>
      </c>
      <c r="L641" t="s">
        <v>280</v>
      </c>
      <c r="M641">
        <v>36887.360000000001</v>
      </c>
      <c r="N641">
        <v>3016.221</v>
      </c>
      <c r="O641" s="122">
        <v>8.1768416064473026</v>
      </c>
      <c r="P641">
        <v>30954.98</v>
      </c>
      <c r="Q641">
        <v>42819.73</v>
      </c>
      <c r="R641" s="124"/>
    </row>
    <row r="642" spans="1:18" ht="15" customHeight="1" x14ac:dyDescent="0.35">
      <c r="A642" s="117">
        <v>9000</v>
      </c>
      <c r="B642" s="118" t="s">
        <v>1350</v>
      </c>
      <c r="C642" s="131" t="s">
        <v>1207</v>
      </c>
      <c r="D642" s="120">
        <v>13885.88</v>
      </c>
      <c r="E642" s="120">
        <v>609.36019999999996</v>
      </c>
      <c r="F642" s="121">
        <f t="shared" si="24"/>
        <v>4.3883441308725128</v>
      </c>
      <c r="G642" s="120">
        <v>12883.49</v>
      </c>
      <c r="H642" s="120">
        <v>14888.27</v>
      </c>
      <c r="J642" t="s">
        <v>279</v>
      </c>
      <c r="K642" t="s">
        <v>5</v>
      </c>
      <c r="L642" t="s">
        <v>278</v>
      </c>
      <c r="M642">
        <v>15321.63</v>
      </c>
      <c r="N642">
        <v>1492.4349999999999</v>
      </c>
      <c r="O642" s="122">
        <v>9.7407064391973961</v>
      </c>
      <c r="P642">
        <v>12386.28</v>
      </c>
      <c r="Q642">
        <v>18256.990000000002</v>
      </c>
      <c r="R642" s="124"/>
    </row>
    <row r="643" spans="1:18" ht="15" customHeight="1" x14ac:dyDescent="0.35">
      <c r="A643" s="132"/>
      <c r="B643" s="130"/>
      <c r="C643" s="131"/>
      <c r="D643" s="120"/>
      <c r="E643" s="120"/>
      <c r="F643" s="163"/>
      <c r="G643" s="120"/>
      <c r="H643" s="120"/>
    </row>
    <row r="644" spans="1:18" ht="15" customHeight="1" x14ac:dyDescent="0.35">
      <c r="A644" s="4" t="s">
        <v>279</v>
      </c>
      <c r="B644" s="145"/>
      <c r="C644" s="164" t="s">
        <v>1029</v>
      </c>
      <c r="D644" s="120"/>
      <c r="E644" s="120"/>
      <c r="F644" s="163"/>
      <c r="G644" s="120"/>
      <c r="H644" s="120"/>
    </row>
    <row r="645" spans="1:18" ht="15" customHeight="1" x14ac:dyDescent="0.35">
      <c r="A645" s="139">
        <v>2122</v>
      </c>
      <c r="B645" s="3"/>
      <c r="C645" s="140" t="s">
        <v>116</v>
      </c>
      <c r="D645" s="120">
        <v>39378.11</v>
      </c>
      <c r="E645" s="120">
        <v>3036.317</v>
      </c>
      <c r="F645" s="121">
        <f t="shared" ref="F645:F655" si="25">E645/D645*100</f>
        <v>7.7106722491252127</v>
      </c>
      <c r="G645" s="120">
        <v>34383.410000000003</v>
      </c>
      <c r="H645" s="120">
        <v>44372.800000000003</v>
      </c>
      <c r="J645" t="s">
        <v>252</v>
      </c>
      <c r="K645" t="s">
        <v>275</v>
      </c>
      <c r="L645" t="s">
        <v>274</v>
      </c>
      <c r="M645">
        <v>34448.1</v>
      </c>
      <c r="N645">
        <v>4164.5820000000003</v>
      </c>
      <c r="O645" s="122">
        <v>12.0894388950334</v>
      </c>
      <c r="P645">
        <v>26257.1</v>
      </c>
      <c r="Q645">
        <v>42639.1</v>
      </c>
      <c r="R645" s="124"/>
    </row>
    <row r="646" spans="1:18" ht="15" customHeight="1" x14ac:dyDescent="0.35">
      <c r="A646" s="139">
        <v>2511</v>
      </c>
      <c r="B646" s="3"/>
      <c r="C646" s="140" t="s">
        <v>276</v>
      </c>
      <c r="D646" s="120">
        <v>53898.05</v>
      </c>
      <c r="E646" s="120">
        <v>2920.192</v>
      </c>
      <c r="F646" s="121">
        <f t="shared" si="25"/>
        <v>5.4179919310624411</v>
      </c>
      <c r="G646" s="120">
        <v>49094.37</v>
      </c>
      <c r="H646" s="120">
        <v>58701.72</v>
      </c>
      <c r="J646" t="s">
        <v>252</v>
      </c>
      <c r="K646" t="s">
        <v>112</v>
      </c>
      <c r="L646" t="s">
        <v>273</v>
      </c>
      <c r="M646">
        <v>70594.69</v>
      </c>
      <c r="N646">
        <v>5684.75</v>
      </c>
      <c r="O646" s="122">
        <v>8.0526594847289505</v>
      </c>
      <c r="P646">
        <v>59413.79</v>
      </c>
      <c r="Q646">
        <v>81775.600000000006</v>
      </c>
      <c r="R646" s="124"/>
    </row>
    <row r="647" spans="1:18" ht="15" customHeight="1" x14ac:dyDescent="0.35">
      <c r="A647" s="139">
        <v>2512</v>
      </c>
      <c r="B647" s="3"/>
      <c r="C647" s="140" t="s">
        <v>1261</v>
      </c>
      <c r="D647" s="120">
        <v>52980.51</v>
      </c>
      <c r="E647" s="120">
        <v>2594.8939999999998</v>
      </c>
      <c r="F647" s="121">
        <f t="shared" si="25"/>
        <v>4.8978275218566214</v>
      </c>
      <c r="G647" s="120">
        <v>48711.95</v>
      </c>
      <c r="H647" s="120">
        <v>57249.08</v>
      </c>
      <c r="J647" t="s">
        <v>252</v>
      </c>
      <c r="K647" t="s">
        <v>271</v>
      </c>
      <c r="L647" t="s">
        <v>270</v>
      </c>
      <c r="M647">
        <v>28038.65</v>
      </c>
      <c r="N647">
        <v>3050.0650000000001</v>
      </c>
      <c r="O647" s="122">
        <v>10.878073659038504</v>
      </c>
      <c r="P647">
        <v>22039.71</v>
      </c>
      <c r="Q647">
        <v>34037.589999999997</v>
      </c>
      <c r="R647" s="124"/>
    </row>
    <row r="648" spans="1:18" ht="15" customHeight="1" x14ac:dyDescent="0.35">
      <c r="A648" s="117">
        <v>2514</v>
      </c>
      <c r="B648" s="130"/>
      <c r="C648" s="140" t="s">
        <v>129</v>
      </c>
      <c r="D648" s="120">
        <v>61485.22</v>
      </c>
      <c r="E648" s="120">
        <v>11632.16</v>
      </c>
      <c r="F648" s="121">
        <f t="shared" si="25"/>
        <v>18.918627923914073</v>
      </c>
      <c r="G648" s="120">
        <v>42350.48</v>
      </c>
      <c r="H648" s="120">
        <v>80619.960000000006</v>
      </c>
      <c r="J648" t="s">
        <v>252</v>
      </c>
      <c r="K648" t="s">
        <v>128</v>
      </c>
      <c r="L648" t="s">
        <v>269</v>
      </c>
      <c r="M648">
        <v>33898.720000000001</v>
      </c>
      <c r="N648">
        <v>6430.09</v>
      </c>
      <c r="O648" s="122">
        <v>18.968533325152102</v>
      </c>
      <c r="P648">
        <v>21251.86</v>
      </c>
      <c r="Q648">
        <v>46545.57</v>
      </c>
      <c r="R648" s="124"/>
    </row>
    <row r="649" spans="1:18" ht="15" customHeight="1" x14ac:dyDescent="0.35">
      <c r="A649" s="117">
        <v>2523</v>
      </c>
      <c r="B649" s="130"/>
      <c r="C649" s="140" t="s">
        <v>1262</v>
      </c>
      <c r="D649" s="120">
        <v>51418.55</v>
      </c>
      <c r="E649" s="120">
        <v>5574.3509999999997</v>
      </c>
      <c r="F649" s="121">
        <f t="shared" si="25"/>
        <v>10.841128347648853</v>
      </c>
      <c r="G649" s="120">
        <v>42248.82</v>
      </c>
      <c r="H649" s="120">
        <v>60588.27</v>
      </c>
      <c r="J649" t="s">
        <v>252</v>
      </c>
      <c r="K649" t="s">
        <v>267</v>
      </c>
      <c r="L649" t="s">
        <v>266</v>
      </c>
      <c r="M649">
        <v>39963.21</v>
      </c>
      <c r="N649">
        <v>4819.6030000000001</v>
      </c>
      <c r="O649" s="122">
        <v>12.060099776769684</v>
      </c>
      <c r="P649">
        <v>30483.9</v>
      </c>
      <c r="Q649">
        <v>49442.53</v>
      </c>
      <c r="R649" s="124"/>
    </row>
    <row r="650" spans="1:18" ht="15" customHeight="1" x14ac:dyDescent="0.35">
      <c r="A650" s="117">
        <v>3511</v>
      </c>
      <c r="B650" s="130"/>
      <c r="C650" s="140" t="s">
        <v>998</v>
      </c>
      <c r="D650" s="120">
        <v>26659.63</v>
      </c>
      <c r="E650" s="120">
        <v>5049.9309999999996</v>
      </c>
      <c r="F650" s="121">
        <f t="shared" si="25"/>
        <v>18.942239633483283</v>
      </c>
      <c r="G650" s="120">
        <v>18352.560000000001</v>
      </c>
      <c r="H650" s="120">
        <v>34966.69</v>
      </c>
      <c r="J650" t="s">
        <v>252</v>
      </c>
      <c r="K650" t="s">
        <v>264</v>
      </c>
      <c r="L650" t="s">
        <v>263</v>
      </c>
      <c r="M650">
        <v>39745.65</v>
      </c>
      <c r="N650">
        <v>1781.7249999999999</v>
      </c>
      <c r="O650" s="122">
        <v>4.4828176165190401</v>
      </c>
      <c r="P650">
        <v>36241.31</v>
      </c>
      <c r="Q650">
        <v>43249.99</v>
      </c>
      <c r="R650" s="124"/>
    </row>
    <row r="651" spans="1:18" ht="15" customHeight="1" x14ac:dyDescent="0.35">
      <c r="A651" s="139">
        <v>3512</v>
      </c>
      <c r="B651" s="3"/>
      <c r="C651" s="140" t="s">
        <v>995</v>
      </c>
      <c r="D651" s="120">
        <v>29351.66</v>
      </c>
      <c r="E651" s="120">
        <v>3023.99</v>
      </c>
      <c r="F651" s="121">
        <f t="shared" si="25"/>
        <v>10.30262002217251</v>
      </c>
      <c r="G651" s="120">
        <v>24377.24</v>
      </c>
      <c r="H651" s="120">
        <v>34326.080000000002</v>
      </c>
      <c r="J651" t="s">
        <v>252</v>
      </c>
      <c r="K651" t="s">
        <v>110</v>
      </c>
      <c r="L651" t="s">
        <v>262</v>
      </c>
      <c r="M651">
        <v>19576.740000000002</v>
      </c>
      <c r="N651">
        <v>1771.4369999999999</v>
      </c>
      <c r="O651" s="122">
        <v>9.0486822627260715</v>
      </c>
      <c r="P651">
        <v>16092.64</v>
      </c>
      <c r="Q651">
        <v>23060.85</v>
      </c>
      <c r="R651" s="124"/>
    </row>
    <row r="652" spans="1:18" ht="15" customHeight="1" x14ac:dyDescent="0.35">
      <c r="A652" s="139">
        <v>3513</v>
      </c>
      <c r="B652" s="3"/>
      <c r="C652" s="178" t="s">
        <v>1263</v>
      </c>
      <c r="D652" s="120">
        <v>28178.58</v>
      </c>
      <c r="E652" s="120">
        <v>4438.1009999999997</v>
      </c>
      <c r="F652" s="121">
        <f t="shared" si="25"/>
        <v>15.749910038050178</v>
      </c>
      <c r="G652" s="120">
        <v>20877.97</v>
      </c>
      <c r="H652" s="120">
        <v>35479.199999999997</v>
      </c>
      <c r="J652" t="s">
        <v>252</v>
      </c>
      <c r="K652" t="s">
        <v>258</v>
      </c>
      <c r="L652" t="s">
        <v>257</v>
      </c>
      <c r="M652">
        <v>26954.82</v>
      </c>
      <c r="N652">
        <v>3680.5459999999998</v>
      </c>
      <c r="O652" s="122">
        <v>13.654500382491888</v>
      </c>
      <c r="P652">
        <v>19715.84</v>
      </c>
      <c r="Q652">
        <v>34193.81</v>
      </c>
      <c r="R652" s="124"/>
    </row>
    <row r="653" spans="1:18" ht="15" customHeight="1" x14ac:dyDescent="0.35">
      <c r="A653" s="139">
        <v>4110</v>
      </c>
      <c r="B653" s="3"/>
      <c r="C653" s="178" t="s">
        <v>1156</v>
      </c>
      <c r="D653" s="120">
        <v>29191.58</v>
      </c>
      <c r="E653" s="120">
        <v>1010.381</v>
      </c>
      <c r="F653" s="121">
        <f t="shared" si="25"/>
        <v>3.4612069644740022</v>
      </c>
      <c r="G653" s="120">
        <v>27529.52</v>
      </c>
      <c r="H653" s="120">
        <v>30853.65</v>
      </c>
      <c r="J653" t="s">
        <v>252</v>
      </c>
      <c r="K653" t="s">
        <v>255</v>
      </c>
      <c r="L653" t="s">
        <v>254</v>
      </c>
      <c r="M653">
        <v>14794.74</v>
      </c>
      <c r="N653">
        <v>2880.4540000000002</v>
      </c>
      <c r="O653" s="122">
        <v>19.469446573579528</v>
      </c>
      <c r="P653">
        <v>9129.3919999999998</v>
      </c>
      <c r="Q653">
        <v>20460.080000000002</v>
      </c>
      <c r="R653" s="124"/>
    </row>
    <row r="654" spans="1:18" ht="15" customHeight="1" x14ac:dyDescent="0.35">
      <c r="A654" s="117">
        <v>4132</v>
      </c>
      <c r="B654" s="118"/>
      <c r="C654" s="178" t="s">
        <v>256</v>
      </c>
      <c r="D654" s="120">
        <v>21232.68</v>
      </c>
      <c r="E654" s="120">
        <v>1544.0530000000001</v>
      </c>
      <c r="F654" s="121">
        <f t="shared" si="25"/>
        <v>7.2720589204942581</v>
      </c>
      <c r="G654" s="120">
        <v>18692.73</v>
      </c>
      <c r="H654" s="120">
        <v>23772.62</v>
      </c>
      <c r="J654" t="s">
        <v>252</v>
      </c>
      <c r="K654" t="s">
        <v>14</v>
      </c>
      <c r="L654" t="s">
        <v>253</v>
      </c>
      <c r="M654">
        <v>32149.49</v>
      </c>
      <c r="N654">
        <v>3027.3589999999999</v>
      </c>
      <c r="O654" s="122">
        <v>9.4165070736736407</v>
      </c>
      <c r="P654">
        <v>26195.200000000001</v>
      </c>
      <c r="Q654">
        <v>38103.769999999997</v>
      </c>
      <c r="R654" s="124"/>
    </row>
    <row r="655" spans="1:18" ht="15" customHeight="1" x14ac:dyDescent="0.35">
      <c r="A655" s="117">
        <v>9000</v>
      </c>
      <c r="B655" s="118" t="s">
        <v>1350</v>
      </c>
      <c r="C655" s="119" t="s">
        <v>1207</v>
      </c>
      <c r="D655" s="120">
        <v>17705.57</v>
      </c>
      <c r="E655" s="120">
        <v>726.37419999999997</v>
      </c>
      <c r="F655" s="121">
        <f t="shared" si="25"/>
        <v>4.1025180211650909</v>
      </c>
      <c r="G655" s="120">
        <v>16510.689999999999</v>
      </c>
      <c r="H655" s="120">
        <v>18900.439999999999</v>
      </c>
      <c r="J655" t="s">
        <v>252</v>
      </c>
      <c r="K655" t="s">
        <v>5</v>
      </c>
      <c r="L655" t="s">
        <v>251</v>
      </c>
      <c r="M655">
        <v>11185.71</v>
      </c>
      <c r="N655">
        <v>662.37149999999997</v>
      </c>
      <c r="O655" s="122">
        <v>5.921586559994851</v>
      </c>
      <c r="P655">
        <v>9882.9459999999999</v>
      </c>
      <c r="Q655">
        <v>12488.48</v>
      </c>
      <c r="R655" s="124"/>
    </row>
    <row r="656" spans="1:18" ht="15" customHeight="1" x14ac:dyDescent="0.35">
      <c r="A656" s="117"/>
      <c r="B656" s="118"/>
      <c r="C656" s="119"/>
      <c r="D656" s="120"/>
      <c r="E656" s="120"/>
      <c r="F656" s="121"/>
      <c r="G656" s="120"/>
      <c r="H656" s="120"/>
      <c r="O656" s="122"/>
      <c r="R656" s="124"/>
    </row>
    <row r="657" spans="1:18" ht="15" customHeight="1" x14ac:dyDescent="0.35">
      <c r="A657" s="4" t="s">
        <v>252</v>
      </c>
      <c r="B657" s="118"/>
      <c r="C657" s="164" t="s">
        <v>277</v>
      </c>
      <c r="D657" s="120"/>
      <c r="E657" s="120"/>
      <c r="F657" s="121"/>
      <c r="G657" s="120"/>
      <c r="H657" s="120"/>
      <c r="O657" s="122"/>
      <c r="R657" s="124"/>
    </row>
    <row r="658" spans="1:18" ht="15" customHeight="1" x14ac:dyDescent="0.35">
      <c r="A658" s="117">
        <v>2511</v>
      </c>
      <c r="B658" s="118"/>
      <c r="C658" s="119" t="s">
        <v>276</v>
      </c>
      <c r="D658" s="120">
        <v>34206.54</v>
      </c>
      <c r="E658" s="120">
        <v>6006.86</v>
      </c>
      <c r="F658" s="121">
        <f t="shared" ref="F658:F671" si="26">E658/D658*100</f>
        <v>17.560560056644135</v>
      </c>
      <c r="G658" s="120">
        <v>24325.34</v>
      </c>
      <c r="H658" s="120">
        <v>44087.74</v>
      </c>
      <c r="O658" s="122"/>
      <c r="R658" s="124"/>
    </row>
    <row r="659" spans="1:18" ht="15" customHeight="1" x14ac:dyDescent="0.35">
      <c r="A659" s="117">
        <v>2512</v>
      </c>
      <c r="B659" s="118"/>
      <c r="C659" s="119" t="s">
        <v>1261</v>
      </c>
      <c r="D659" s="120">
        <v>54014.74</v>
      </c>
      <c r="E659" s="120">
        <v>3899.422</v>
      </c>
      <c r="F659" s="121">
        <f t="shared" si="26"/>
        <v>7.2191812827387487</v>
      </c>
      <c r="G659" s="120">
        <v>47600.25</v>
      </c>
      <c r="H659" s="120">
        <v>60429.24</v>
      </c>
      <c r="O659" s="122"/>
      <c r="R659" s="124"/>
    </row>
    <row r="660" spans="1:18" ht="15" customHeight="1" x14ac:dyDescent="0.35">
      <c r="A660" s="117">
        <v>2513</v>
      </c>
      <c r="B660" s="118"/>
      <c r="C660" s="119" t="s">
        <v>272</v>
      </c>
      <c r="D660" s="120">
        <v>23240.6</v>
      </c>
      <c r="E660" s="120">
        <v>2741.3150000000001</v>
      </c>
      <c r="F660" s="121">
        <f t="shared" si="26"/>
        <v>11.795371031728958</v>
      </c>
      <c r="G660" s="120">
        <v>18731.18</v>
      </c>
      <c r="H660" s="120">
        <v>27750.03</v>
      </c>
      <c r="O660" s="122"/>
      <c r="R660" s="124"/>
    </row>
    <row r="661" spans="1:18" ht="15" customHeight="1" x14ac:dyDescent="0.35">
      <c r="A661" s="117">
        <v>2514</v>
      </c>
      <c r="B661" s="118"/>
      <c r="C661" s="119" t="s">
        <v>129</v>
      </c>
      <c r="D661" s="120">
        <v>73803.83</v>
      </c>
      <c r="E661" s="120">
        <v>5125.6310000000003</v>
      </c>
      <c r="F661" s="121">
        <f t="shared" si="26"/>
        <v>6.9449390363616637</v>
      </c>
      <c r="G661" s="120">
        <v>65372.24</v>
      </c>
      <c r="H661" s="120">
        <v>82235.42</v>
      </c>
      <c r="O661" s="122"/>
      <c r="R661" s="124"/>
    </row>
    <row r="662" spans="1:18" ht="15" customHeight="1" x14ac:dyDescent="0.35">
      <c r="A662" s="117">
        <v>2521</v>
      </c>
      <c r="B662" s="118"/>
      <c r="C662" s="119" t="s">
        <v>268</v>
      </c>
      <c r="D662" s="120">
        <v>48019.95</v>
      </c>
      <c r="E662" s="120">
        <v>17352.650000000001</v>
      </c>
      <c r="F662" s="121">
        <f t="shared" si="26"/>
        <v>36.136335002431288</v>
      </c>
      <c r="G662" s="120">
        <v>19475.099999999999</v>
      </c>
      <c r="H662" s="120">
        <v>76564.81</v>
      </c>
      <c r="O662" s="122"/>
      <c r="R662" s="124"/>
    </row>
    <row r="663" spans="1:18" ht="15" customHeight="1" x14ac:dyDescent="0.35">
      <c r="A663" s="117">
        <v>2522</v>
      </c>
      <c r="B663" s="118"/>
      <c r="C663" s="119" t="s">
        <v>265</v>
      </c>
      <c r="D663" s="120">
        <v>52162.16</v>
      </c>
      <c r="E663" s="120">
        <v>7288.3490000000002</v>
      </c>
      <c r="F663" s="121">
        <f t="shared" si="26"/>
        <v>13.972483118030388</v>
      </c>
      <c r="G663" s="120">
        <v>40172.93</v>
      </c>
      <c r="H663" s="120">
        <v>64151.39</v>
      </c>
      <c r="O663" s="122"/>
      <c r="R663" s="124"/>
    </row>
    <row r="664" spans="1:18" ht="15" customHeight="1" x14ac:dyDescent="0.35">
      <c r="A664" s="117">
        <v>2523</v>
      </c>
      <c r="B664" s="118"/>
      <c r="C664" s="119" t="s">
        <v>1262</v>
      </c>
      <c r="D664" s="120">
        <v>45758.63</v>
      </c>
      <c r="E664" s="120">
        <v>7913.3540000000003</v>
      </c>
      <c r="F664" s="121">
        <f t="shared" si="26"/>
        <v>17.293686458707352</v>
      </c>
      <c r="G664" s="120">
        <v>32741.279999999999</v>
      </c>
      <c r="H664" s="120">
        <v>58775.99</v>
      </c>
      <c r="O664" s="122"/>
      <c r="R664" s="124"/>
    </row>
    <row r="665" spans="1:18" ht="30" customHeight="1" x14ac:dyDescent="0.35">
      <c r="A665" s="117">
        <v>3511</v>
      </c>
      <c r="B665" s="118"/>
      <c r="C665" s="119" t="s">
        <v>998</v>
      </c>
      <c r="D665" s="120">
        <v>33053.160000000003</v>
      </c>
      <c r="E665" s="120">
        <v>1630.441</v>
      </c>
      <c r="F665" s="121">
        <f t="shared" si="26"/>
        <v>4.9327840363826025</v>
      </c>
      <c r="G665" s="120">
        <v>30371.11</v>
      </c>
      <c r="H665" s="120">
        <v>35735.21</v>
      </c>
      <c r="O665" s="122"/>
      <c r="R665" s="124"/>
    </row>
    <row r="666" spans="1:18" ht="30" customHeight="1" x14ac:dyDescent="0.35">
      <c r="A666" s="117">
        <v>3512</v>
      </c>
      <c r="B666" s="118"/>
      <c r="C666" s="119" t="s">
        <v>995</v>
      </c>
      <c r="D666" s="120">
        <v>27741.52</v>
      </c>
      <c r="E666" s="120">
        <v>2736.0459999999998</v>
      </c>
      <c r="F666" s="121">
        <f t="shared" si="26"/>
        <v>9.86263910557172</v>
      </c>
      <c r="G666" s="120">
        <v>23240.77</v>
      </c>
      <c r="H666" s="120">
        <v>32242.28</v>
      </c>
      <c r="O666" s="122"/>
      <c r="R666" s="124"/>
    </row>
    <row r="667" spans="1:18" ht="15" customHeight="1" x14ac:dyDescent="0.35">
      <c r="A667" s="117">
        <v>3514</v>
      </c>
      <c r="B667" s="118"/>
      <c r="C667" s="119" t="s">
        <v>259</v>
      </c>
      <c r="D667" s="120">
        <v>29344.400000000001</v>
      </c>
      <c r="E667" s="120">
        <v>9.0899999999999996E-13</v>
      </c>
      <c r="F667" s="121">
        <f t="shared" si="26"/>
        <v>3.0976949605376154E-15</v>
      </c>
      <c r="G667" s="120">
        <v>29344.400000000001</v>
      </c>
      <c r="H667" s="120">
        <v>29344.400000000001</v>
      </c>
      <c r="O667" s="122"/>
      <c r="R667" s="124"/>
    </row>
    <row r="668" spans="1:18" ht="15" customHeight="1" x14ac:dyDescent="0.35">
      <c r="A668" s="117">
        <v>4110</v>
      </c>
      <c r="B668" s="118"/>
      <c r="C668" s="119" t="s">
        <v>1156</v>
      </c>
      <c r="D668" s="120">
        <v>22439.46</v>
      </c>
      <c r="E668" s="120">
        <v>1621.3040000000001</v>
      </c>
      <c r="F668" s="121">
        <f t="shared" si="26"/>
        <v>7.2252362579135161</v>
      </c>
      <c r="G668" s="120">
        <v>19772.439999999999</v>
      </c>
      <c r="H668" s="120">
        <v>25106.49</v>
      </c>
      <c r="O668" s="122"/>
      <c r="R668" s="124"/>
    </row>
    <row r="669" spans="1:18" ht="15" customHeight="1" x14ac:dyDescent="0.35">
      <c r="A669" s="117">
        <v>4132</v>
      </c>
      <c r="B669" s="118"/>
      <c r="C669" s="119" t="s">
        <v>256</v>
      </c>
      <c r="D669" s="120">
        <v>27374.1</v>
      </c>
      <c r="E669" s="120">
        <v>4485.5259999999998</v>
      </c>
      <c r="F669" s="121">
        <f t="shared" si="26"/>
        <v>16.386021823548539</v>
      </c>
      <c r="G669" s="120">
        <v>19995.48</v>
      </c>
      <c r="H669" s="120">
        <v>34752.730000000003</v>
      </c>
      <c r="O669" s="122"/>
      <c r="R669" s="124"/>
    </row>
    <row r="670" spans="1:18" ht="15" customHeight="1" x14ac:dyDescent="0.35">
      <c r="A670" s="117">
        <v>4222</v>
      </c>
      <c r="B670" s="118"/>
      <c r="C670" s="119" t="s">
        <v>1264</v>
      </c>
      <c r="D670" s="120">
        <v>19392.330000000002</v>
      </c>
      <c r="E670" s="120">
        <v>1117.2429999999999</v>
      </c>
      <c r="F670" s="121">
        <f t="shared" si="26"/>
        <v>5.7612623135022956</v>
      </c>
      <c r="G670" s="120">
        <v>17554.48</v>
      </c>
      <c r="H670" s="120">
        <v>21230.18</v>
      </c>
      <c r="O670" s="122"/>
      <c r="R670" s="124"/>
    </row>
    <row r="671" spans="1:18" ht="15" customHeight="1" x14ac:dyDescent="0.35">
      <c r="A671" s="117">
        <v>9000</v>
      </c>
      <c r="B671" s="118"/>
      <c r="C671" s="119" t="s">
        <v>1207</v>
      </c>
      <c r="D671" s="120">
        <v>15578.31</v>
      </c>
      <c r="E671" s="120">
        <v>666.57429999999999</v>
      </c>
      <c r="F671" s="121">
        <f t="shared" si="26"/>
        <v>4.2788614426083447</v>
      </c>
      <c r="G671" s="120">
        <v>14481.8</v>
      </c>
      <c r="H671" s="120">
        <v>16674.810000000001</v>
      </c>
      <c r="O671" s="122"/>
      <c r="R671" s="124"/>
    </row>
    <row r="672" spans="1:18" ht="15" customHeight="1" x14ac:dyDescent="0.35">
      <c r="A672" s="132"/>
      <c r="B672" s="130"/>
      <c r="C672" s="119"/>
      <c r="D672" s="120"/>
      <c r="E672" s="120"/>
      <c r="F672" s="121"/>
      <c r="G672" s="120"/>
      <c r="H672" s="120"/>
    </row>
    <row r="673" spans="1:18" ht="28" customHeight="1" x14ac:dyDescent="0.35">
      <c r="A673" s="423" t="s">
        <v>1189</v>
      </c>
      <c r="B673" s="424"/>
      <c r="C673" s="179" t="s">
        <v>1330</v>
      </c>
      <c r="D673" s="120"/>
      <c r="E673" s="120"/>
      <c r="F673" s="121"/>
      <c r="G673" s="120"/>
      <c r="H673" s="120"/>
    </row>
    <row r="674" spans="1:18" ht="15" customHeight="1" x14ac:dyDescent="0.35">
      <c r="A674" s="139">
        <v>2121</v>
      </c>
      <c r="B674" s="145"/>
      <c r="C674" s="180" t="s">
        <v>133</v>
      </c>
      <c r="D674" s="120">
        <v>44032.22</v>
      </c>
      <c r="E674" s="120">
        <v>3075.614</v>
      </c>
      <c r="F674" s="121">
        <f t="shared" ref="F674:F686" si="27">E674/D674*100</f>
        <v>6.9849169539941425</v>
      </c>
      <c r="G674" s="120">
        <v>38972.879999999997</v>
      </c>
      <c r="H674" s="120">
        <v>49091.57</v>
      </c>
      <c r="J674" t="s">
        <v>229</v>
      </c>
      <c r="K674" t="s">
        <v>118</v>
      </c>
      <c r="L674" t="s">
        <v>249</v>
      </c>
      <c r="M674">
        <v>32547.360000000001</v>
      </c>
      <c r="N674">
        <v>3927.4839999999999</v>
      </c>
      <c r="O674" s="122">
        <v>12.066981776709387</v>
      </c>
      <c r="P674">
        <v>24827.91</v>
      </c>
      <c r="Q674">
        <v>40266.82</v>
      </c>
      <c r="R674" s="124"/>
    </row>
    <row r="675" spans="1:18" ht="15" customHeight="1" x14ac:dyDescent="0.35">
      <c r="A675" s="139">
        <v>2122</v>
      </c>
      <c r="B675" s="3"/>
      <c r="C675" s="180" t="s">
        <v>116</v>
      </c>
      <c r="D675" s="120">
        <v>28277.29</v>
      </c>
      <c r="E675" s="120">
        <v>1743.0129999999999</v>
      </c>
      <c r="F675" s="121">
        <f t="shared" si="27"/>
        <v>6.1640029861418828</v>
      </c>
      <c r="G675" s="120">
        <v>25410.06</v>
      </c>
      <c r="H675" s="120">
        <v>31144.52</v>
      </c>
      <c r="J675" t="s">
        <v>229</v>
      </c>
      <c r="K675" t="s">
        <v>115</v>
      </c>
      <c r="L675" t="s">
        <v>248</v>
      </c>
      <c r="M675">
        <v>44852.68</v>
      </c>
      <c r="N675">
        <v>6679.7740000000003</v>
      </c>
      <c r="O675" s="122">
        <v>14.892697604691627</v>
      </c>
      <c r="P675">
        <v>31723.61</v>
      </c>
      <c r="Q675">
        <v>57981.75</v>
      </c>
      <c r="R675" s="124"/>
    </row>
    <row r="676" spans="1:18" ht="15" customHeight="1" x14ac:dyDescent="0.35">
      <c r="A676" s="139">
        <v>2411</v>
      </c>
      <c r="B676" s="3"/>
      <c r="C676" s="180" t="s">
        <v>1232</v>
      </c>
      <c r="D676" s="120">
        <v>33024.78</v>
      </c>
      <c r="E676" s="120">
        <v>1217.5509999999999</v>
      </c>
      <c r="F676" s="121">
        <f t="shared" si="27"/>
        <v>3.6867800481941138</v>
      </c>
      <c r="G676" s="120">
        <v>31021.93</v>
      </c>
      <c r="H676" s="120">
        <v>35027.629999999997</v>
      </c>
      <c r="J676" t="s">
        <v>229</v>
      </c>
      <c r="K676" t="s">
        <v>190</v>
      </c>
      <c r="L676" t="s">
        <v>247</v>
      </c>
      <c r="M676">
        <v>41852.44</v>
      </c>
      <c r="N676">
        <v>4561.7650000000003</v>
      </c>
      <c r="O676" s="122">
        <v>10.899639304183937</v>
      </c>
      <c r="P676">
        <v>32886.31</v>
      </c>
      <c r="Q676">
        <v>50818.57</v>
      </c>
      <c r="R676" s="124"/>
    </row>
    <row r="677" spans="1:18" ht="15" customHeight="1" x14ac:dyDescent="0.35">
      <c r="A677" s="139">
        <v>2631</v>
      </c>
      <c r="B677" s="3"/>
      <c r="C677" s="180" t="s">
        <v>246</v>
      </c>
      <c r="D677" s="120">
        <v>43605.43</v>
      </c>
      <c r="E677" s="120">
        <v>765.13189999999997</v>
      </c>
      <c r="F677" s="121">
        <f t="shared" si="27"/>
        <v>1.7546711499003678</v>
      </c>
      <c r="G677" s="120">
        <v>42346.8</v>
      </c>
      <c r="H677" s="120">
        <v>44864.06</v>
      </c>
      <c r="J677" t="s">
        <v>229</v>
      </c>
      <c r="K677" t="s">
        <v>245</v>
      </c>
      <c r="L677" t="s">
        <v>244</v>
      </c>
      <c r="M677">
        <v>44064.25</v>
      </c>
      <c r="N677">
        <v>3581.94</v>
      </c>
      <c r="O677" s="122">
        <v>8.1289026818793015</v>
      </c>
      <c r="P677">
        <v>37023.96</v>
      </c>
      <c r="Q677">
        <v>51104.54</v>
      </c>
      <c r="R677" s="124"/>
    </row>
    <row r="678" spans="1:18" ht="15" customHeight="1" x14ac:dyDescent="0.35">
      <c r="A678" s="139">
        <v>3311</v>
      </c>
      <c r="B678" s="3"/>
      <c r="C678" s="180" t="s">
        <v>243</v>
      </c>
      <c r="D678" s="120">
        <v>43025.65</v>
      </c>
      <c r="E678" s="120">
        <v>4199.924</v>
      </c>
      <c r="F678" s="121">
        <f t="shared" si="27"/>
        <v>9.7614423024405212</v>
      </c>
      <c r="G678" s="120">
        <v>36116.839999999997</v>
      </c>
      <c r="H678" s="120">
        <v>49934.47</v>
      </c>
      <c r="J678" t="s">
        <v>229</v>
      </c>
      <c r="K678" t="s">
        <v>242</v>
      </c>
      <c r="L678" t="s">
        <v>241</v>
      </c>
      <c r="M678">
        <v>32285.77</v>
      </c>
      <c r="N678">
        <v>6881.4129999999996</v>
      </c>
      <c r="O678" s="122">
        <v>21.314074281022258</v>
      </c>
      <c r="P678">
        <v>18760.38</v>
      </c>
      <c r="Q678">
        <v>45811.16</v>
      </c>
      <c r="R678" s="124"/>
    </row>
    <row r="679" spans="1:18" ht="15" customHeight="1" x14ac:dyDescent="0.35">
      <c r="A679" s="139">
        <v>3312</v>
      </c>
      <c r="B679" s="3"/>
      <c r="C679" s="180" t="s">
        <v>240</v>
      </c>
      <c r="D679" s="120">
        <v>21920.94</v>
      </c>
      <c r="E679" s="120">
        <v>520.43269999999995</v>
      </c>
      <c r="F679" s="121">
        <f t="shared" si="27"/>
        <v>2.3741349595409686</v>
      </c>
      <c r="G679" s="120">
        <v>21064.83</v>
      </c>
      <c r="H679" s="120">
        <v>22777.040000000001</v>
      </c>
      <c r="J679" t="s">
        <v>229</v>
      </c>
      <c r="K679" t="s">
        <v>239</v>
      </c>
      <c r="L679" t="s">
        <v>238</v>
      </c>
      <c r="M679">
        <v>21859.5</v>
      </c>
      <c r="N679">
        <v>2683.8710000000001</v>
      </c>
      <c r="O679" s="122">
        <v>12.277824286923305</v>
      </c>
      <c r="P679">
        <v>16584.36</v>
      </c>
      <c r="Q679">
        <v>27134.639999999999</v>
      </c>
      <c r="R679" s="124"/>
    </row>
    <row r="680" spans="1:18" ht="15" customHeight="1" x14ac:dyDescent="0.35">
      <c r="A680" s="139">
        <v>3313</v>
      </c>
      <c r="B680" s="3"/>
      <c r="C680" s="180" t="s">
        <v>108</v>
      </c>
      <c r="D680" s="120">
        <v>22089.81</v>
      </c>
      <c r="E680" s="120">
        <v>839.87080000000003</v>
      </c>
      <c r="F680" s="121">
        <f t="shared" si="27"/>
        <v>3.8020734447240607</v>
      </c>
      <c r="G680" s="120">
        <v>20708.240000000002</v>
      </c>
      <c r="H680" s="120">
        <v>23471.39</v>
      </c>
      <c r="J680" t="s">
        <v>229</v>
      </c>
      <c r="K680" t="s">
        <v>107</v>
      </c>
      <c r="L680" t="s">
        <v>237</v>
      </c>
      <c r="M680">
        <v>24605.96</v>
      </c>
      <c r="N680">
        <v>3222.82</v>
      </c>
      <c r="O680" s="122">
        <v>13.097721039943169</v>
      </c>
      <c r="P680">
        <v>18271.52</v>
      </c>
      <c r="Q680">
        <v>30940.400000000001</v>
      </c>
      <c r="R680" s="124"/>
    </row>
    <row r="681" spans="1:18" ht="15" customHeight="1" x14ac:dyDescent="0.35">
      <c r="A681" s="139">
        <v>4110</v>
      </c>
      <c r="B681" s="3"/>
      <c r="C681" s="180" t="s">
        <v>1156</v>
      </c>
      <c r="D681" s="120">
        <v>19173.400000000001</v>
      </c>
      <c r="E681" s="120">
        <v>338.1191</v>
      </c>
      <c r="F681" s="121">
        <f t="shared" si="27"/>
        <v>1.7634801339355564</v>
      </c>
      <c r="G681" s="120">
        <v>18617.2</v>
      </c>
      <c r="H681" s="120">
        <v>19729.599999999999</v>
      </c>
      <c r="J681" t="s">
        <v>229</v>
      </c>
      <c r="K681" t="s">
        <v>235</v>
      </c>
      <c r="L681" t="s">
        <v>234</v>
      </c>
      <c r="M681">
        <v>22328.59</v>
      </c>
      <c r="N681">
        <v>2710.1840000000002</v>
      </c>
      <c r="O681" s="122">
        <v>12.137730147761234</v>
      </c>
      <c r="P681">
        <v>17001.73</v>
      </c>
      <c r="Q681">
        <v>27655.439999999999</v>
      </c>
      <c r="R681" s="124"/>
    </row>
    <row r="682" spans="1:18" ht="15" customHeight="1" x14ac:dyDescent="0.35">
      <c r="A682" s="139">
        <v>4211</v>
      </c>
      <c r="B682" s="3"/>
      <c r="C682" s="180" t="s">
        <v>236</v>
      </c>
      <c r="D682" s="120">
        <v>22018.74</v>
      </c>
      <c r="E682" s="120">
        <v>409.6807</v>
      </c>
      <c r="F682" s="121">
        <f t="shared" si="27"/>
        <v>1.8606001069997646</v>
      </c>
      <c r="G682" s="120">
        <v>21344.82</v>
      </c>
      <c r="H682" s="120">
        <v>22692.66</v>
      </c>
      <c r="J682" t="s">
        <v>229</v>
      </c>
      <c r="K682" t="s">
        <v>196</v>
      </c>
      <c r="L682" t="s">
        <v>233</v>
      </c>
      <c r="M682">
        <v>16571.55</v>
      </c>
      <c r="N682">
        <v>603.38530000000003</v>
      </c>
      <c r="O682" s="122">
        <v>3.6410915092432514</v>
      </c>
      <c r="P682">
        <v>15385.6</v>
      </c>
      <c r="Q682">
        <v>17757.5</v>
      </c>
      <c r="R682" s="124"/>
    </row>
    <row r="683" spans="1:18" ht="15" customHeight="1" x14ac:dyDescent="0.35">
      <c r="A683" s="139">
        <v>4214</v>
      </c>
      <c r="B683" s="3"/>
      <c r="C683" s="129" t="s">
        <v>214</v>
      </c>
      <c r="D683" s="120">
        <v>15455.36</v>
      </c>
      <c r="E683" s="120">
        <v>445.78149999999999</v>
      </c>
      <c r="F683" s="121">
        <f t="shared" si="27"/>
        <v>2.8843165089651746</v>
      </c>
      <c r="G683" s="120">
        <v>14722.06</v>
      </c>
      <c r="H683" s="120">
        <v>16188.67</v>
      </c>
      <c r="J683" t="s">
        <v>229</v>
      </c>
      <c r="K683" t="s">
        <v>101</v>
      </c>
      <c r="L683" t="s">
        <v>232</v>
      </c>
      <c r="M683">
        <v>17973.98</v>
      </c>
      <c r="N683">
        <v>1484.8230000000001</v>
      </c>
      <c r="O683" s="122">
        <v>8.2609583408905554</v>
      </c>
      <c r="P683">
        <v>15055.57</v>
      </c>
      <c r="Q683">
        <v>20892.400000000001</v>
      </c>
      <c r="R683" s="124"/>
    </row>
    <row r="684" spans="1:18" ht="15" customHeight="1" x14ac:dyDescent="0.35">
      <c r="A684" s="117">
        <v>4222</v>
      </c>
      <c r="B684" s="130"/>
      <c r="C684" s="131" t="s">
        <v>102</v>
      </c>
      <c r="D684" s="120">
        <v>19405.810000000001</v>
      </c>
      <c r="E684" s="120">
        <v>1139.8810000000001</v>
      </c>
      <c r="F684" s="121">
        <f t="shared" si="27"/>
        <v>5.8739161106905611</v>
      </c>
      <c r="G684" s="120">
        <v>17530.73</v>
      </c>
      <c r="H684" s="120">
        <v>21280.9</v>
      </c>
      <c r="J684" t="s">
        <v>229</v>
      </c>
      <c r="K684" t="s">
        <v>14</v>
      </c>
      <c r="L684" t="s">
        <v>231</v>
      </c>
      <c r="M684">
        <v>19610.349999999999</v>
      </c>
      <c r="N684">
        <v>958.30399999999997</v>
      </c>
      <c r="O684" s="122">
        <v>4.8867256321279324</v>
      </c>
      <c r="P684">
        <v>17726.810000000001</v>
      </c>
      <c r="Q684">
        <v>21493.89</v>
      </c>
      <c r="R684" s="124"/>
    </row>
    <row r="685" spans="1:18" ht="15" customHeight="1" x14ac:dyDescent="0.35">
      <c r="A685" s="117">
        <v>4312</v>
      </c>
      <c r="B685" s="118"/>
      <c r="C685" s="131" t="s">
        <v>180</v>
      </c>
      <c r="D685" s="120">
        <v>16863.07</v>
      </c>
      <c r="E685" s="120">
        <v>1711.116</v>
      </c>
      <c r="F685" s="121">
        <f t="shared" si="27"/>
        <v>10.147120304902963</v>
      </c>
      <c r="G685" s="120">
        <v>14048.3</v>
      </c>
      <c r="H685" s="120">
        <v>19677.830000000002</v>
      </c>
      <c r="J685" t="s">
        <v>229</v>
      </c>
      <c r="K685" t="s">
        <v>179</v>
      </c>
      <c r="L685" t="s">
        <v>230</v>
      </c>
      <c r="M685">
        <v>20862.419999999998</v>
      </c>
      <c r="N685">
        <v>2434.047</v>
      </c>
      <c r="O685" s="122">
        <v>11.667136410828659</v>
      </c>
      <c r="P685">
        <v>16078.31</v>
      </c>
      <c r="Q685">
        <v>25646.53</v>
      </c>
      <c r="R685" s="124"/>
    </row>
    <row r="686" spans="1:18" ht="15" customHeight="1" x14ac:dyDescent="0.35">
      <c r="A686" s="117">
        <v>9000</v>
      </c>
      <c r="B686" s="118" t="s">
        <v>1350</v>
      </c>
      <c r="C686" s="131" t="s">
        <v>1207</v>
      </c>
      <c r="D686" s="120">
        <v>12645.3</v>
      </c>
      <c r="E686" s="120">
        <v>453.0736</v>
      </c>
      <c r="F686" s="121">
        <f t="shared" si="27"/>
        <v>3.5829406973341875</v>
      </c>
      <c r="G686" s="120">
        <v>11900</v>
      </c>
      <c r="H686" s="120">
        <v>13390.6</v>
      </c>
      <c r="J686" t="s">
        <v>229</v>
      </c>
      <c r="K686" t="s">
        <v>5</v>
      </c>
      <c r="L686" t="s">
        <v>228</v>
      </c>
      <c r="M686">
        <v>11438.11</v>
      </c>
      <c r="N686">
        <v>679.08630000000005</v>
      </c>
      <c r="O686" s="122">
        <v>5.9370499147149314</v>
      </c>
      <c r="P686">
        <v>10103.370000000001</v>
      </c>
      <c r="Q686">
        <v>12772.85</v>
      </c>
      <c r="R686" s="124"/>
    </row>
    <row r="687" spans="1:18" ht="15" customHeight="1" x14ac:dyDescent="0.35">
      <c r="A687" s="166"/>
      <c r="B687" s="167"/>
      <c r="C687" s="168"/>
      <c r="D687" s="149"/>
      <c r="E687" s="149"/>
      <c r="F687" s="150"/>
      <c r="G687" s="149"/>
      <c r="H687" s="149"/>
      <c r="O687" s="122"/>
      <c r="R687" s="124"/>
    </row>
    <row r="688" spans="1:18" ht="15" customHeight="1" x14ac:dyDescent="0.35">
      <c r="A688" s="226" t="s">
        <v>94</v>
      </c>
      <c r="B688" s="152"/>
      <c r="C688" s="153"/>
      <c r="D688" s="154"/>
      <c r="E688" s="154"/>
      <c r="F688" s="213"/>
      <c r="G688" s="154"/>
      <c r="H688" s="154"/>
      <c r="O688" s="122"/>
      <c r="R688" s="124"/>
    </row>
    <row r="689" spans="1:18" ht="15" customHeight="1" x14ac:dyDescent="0.35">
      <c r="A689" s="2" t="s">
        <v>93</v>
      </c>
      <c r="B689" s="118"/>
      <c r="C689" s="131"/>
      <c r="D689" s="161"/>
      <c r="E689" s="161"/>
      <c r="F689" s="214"/>
      <c r="G689" s="161"/>
      <c r="H689" s="161"/>
      <c r="O689" s="122"/>
      <c r="R689" s="124"/>
    </row>
    <row r="690" spans="1:18" ht="15" customHeight="1" x14ac:dyDescent="0.35">
      <c r="A690" s="159" t="s">
        <v>965</v>
      </c>
      <c r="B690" s="118"/>
      <c r="C690" s="131"/>
      <c r="D690" s="161"/>
      <c r="E690" s="161"/>
      <c r="F690" s="214"/>
      <c r="G690" s="161"/>
      <c r="H690" s="161"/>
      <c r="O690" s="122"/>
      <c r="R690" s="124"/>
    </row>
    <row r="691" spans="1:18" ht="15" customHeight="1" x14ac:dyDescent="0.35">
      <c r="A691" s="159" t="s">
        <v>0</v>
      </c>
      <c r="B691" s="118"/>
      <c r="C691" s="131"/>
      <c r="D691" s="161"/>
      <c r="E691" s="161"/>
      <c r="F691" s="214"/>
      <c r="G691" s="161"/>
      <c r="H691" s="161"/>
      <c r="O691" s="122"/>
      <c r="R691" s="124"/>
    </row>
    <row r="692" spans="1:18" ht="30" customHeight="1" x14ac:dyDescent="0.35">
      <c r="A692" s="403" t="s">
        <v>1349</v>
      </c>
      <c r="B692" s="403"/>
      <c r="C692" s="403"/>
      <c r="D692" s="403"/>
      <c r="E692" s="403"/>
      <c r="F692" s="403"/>
      <c r="G692" s="403"/>
      <c r="H692" s="403"/>
      <c r="O692" s="122"/>
      <c r="R692" s="124"/>
    </row>
    <row r="693" spans="1:18" ht="15" customHeight="1" x14ac:dyDescent="0.35">
      <c r="A693" s="404" t="s">
        <v>1336</v>
      </c>
      <c r="B693" s="404"/>
      <c r="C693" s="404"/>
      <c r="D693" s="404"/>
      <c r="E693" s="404"/>
      <c r="F693" s="404"/>
      <c r="G693" s="404"/>
      <c r="H693" s="404"/>
      <c r="O693" s="122"/>
      <c r="R693" s="124"/>
    </row>
    <row r="694" spans="1:18" ht="15" customHeight="1" x14ac:dyDescent="0.35">
      <c r="A694" s="123"/>
      <c r="B694" s="123"/>
      <c r="C694" s="123"/>
      <c r="D694" s="123"/>
      <c r="O694" s="122"/>
      <c r="R694" s="124"/>
    </row>
    <row r="695" spans="1:18" ht="15" customHeight="1" x14ac:dyDescent="0.35">
      <c r="A695" s="405" t="s">
        <v>993</v>
      </c>
      <c r="B695" s="406"/>
      <c r="C695" s="409" t="s">
        <v>92</v>
      </c>
      <c r="D695" s="419" t="s">
        <v>91</v>
      </c>
      <c r="E695" s="419" t="s">
        <v>90</v>
      </c>
      <c r="F695" s="420" t="s">
        <v>89</v>
      </c>
      <c r="G695" s="419" t="s">
        <v>1186</v>
      </c>
      <c r="H695" s="419"/>
      <c r="O695" s="122"/>
      <c r="R695" s="124"/>
    </row>
    <row r="696" spans="1:18" ht="15" customHeight="1" x14ac:dyDescent="0.35">
      <c r="A696" s="407"/>
      <c r="B696" s="408"/>
      <c r="C696" s="410"/>
      <c r="D696" s="419"/>
      <c r="E696" s="419"/>
      <c r="F696" s="420"/>
      <c r="G696" s="5" t="s">
        <v>88</v>
      </c>
      <c r="H696" s="5" t="s">
        <v>87</v>
      </c>
      <c r="O696" s="122"/>
      <c r="R696" s="124"/>
    </row>
    <row r="697" spans="1:18" ht="15" customHeight="1" x14ac:dyDescent="0.35">
      <c r="A697" s="132"/>
      <c r="B697" s="130"/>
      <c r="C697" s="131"/>
      <c r="D697" s="120"/>
      <c r="E697" s="120"/>
      <c r="F697" s="121"/>
      <c r="G697" s="120"/>
      <c r="H697" s="120"/>
    </row>
    <row r="698" spans="1:18" ht="28" customHeight="1" x14ac:dyDescent="0.35">
      <c r="A698" s="4" t="s">
        <v>209</v>
      </c>
      <c r="B698" s="145"/>
      <c r="C698" s="126" t="s">
        <v>227</v>
      </c>
      <c r="D698" s="120"/>
      <c r="E698" s="120"/>
      <c r="F698" s="121"/>
      <c r="G698" s="120"/>
      <c r="H698" s="120"/>
    </row>
    <row r="699" spans="1:18" ht="15" customHeight="1" x14ac:dyDescent="0.35">
      <c r="A699" s="139">
        <v>2121</v>
      </c>
      <c r="B699" s="3"/>
      <c r="C699" s="129" t="s">
        <v>133</v>
      </c>
      <c r="D699" s="120">
        <v>99154.240000000005</v>
      </c>
      <c r="E699" s="120">
        <v>19896.64</v>
      </c>
      <c r="F699" s="121">
        <f t="shared" ref="F699:F711" si="28">E699/D699*100</f>
        <v>20.066353188728993</v>
      </c>
      <c r="G699" s="120">
        <v>66424.56</v>
      </c>
      <c r="H699" s="120">
        <v>131883.9</v>
      </c>
      <c r="J699" t="s">
        <v>209</v>
      </c>
      <c r="K699" t="s">
        <v>118</v>
      </c>
      <c r="L699" t="s">
        <v>226</v>
      </c>
      <c r="M699">
        <v>69654.259999999995</v>
      </c>
      <c r="N699">
        <v>11920.97</v>
      </c>
      <c r="O699" s="122">
        <v>17.114488044234481</v>
      </c>
      <c r="P699">
        <v>46223.65</v>
      </c>
      <c r="Q699">
        <v>93084.87</v>
      </c>
      <c r="R699" s="124"/>
    </row>
    <row r="700" spans="1:18" ht="15" customHeight="1" x14ac:dyDescent="0.35">
      <c r="A700" s="139">
        <v>2122</v>
      </c>
      <c r="B700" s="3"/>
      <c r="C700" s="129" t="s">
        <v>116</v>
      </c>
      <c r="D700" s="120">
        <v>43529.63</v>
      </c>
      <c r="E700" s="120">
        <v>3467.5630000000001</v>
      </c>
      <c r="F700" s="121">
        <f t="shared" si="28"/>
        <v>7.9659831705438346</v>
      </c>
      <c r="G700" s="120">
        <v>37825.54</v>
      </c>
      <c r="H700" s="120">
        <v>49233.72</v>
      </c>
      <c r="J700" t="s">
        <v>209</v>
      </c>
      <c r="K700" t="s">
        <v>115</v>
      </c>
      <c r="L700" t="s">
        <v>225</v>
      </c>
      <c r="M700">
        <v>51607.49</v>
      </c>
      <c r="N700">
        <v>9488.6450000000004</v>
      </c>
      <c r="O700" s="122">
        <v>18.386178052836904</v>
      </c>
      <c r="P700">
        <v>32957.589999999997</v>
      </c>
      <c r="Q700">
        <v>70257.38</v>
      </c>
      <c r="R700" s="124"/>
    </row>
    <row r="701" spans="1:18" ht="15" customHeight="1" x14ac:dyDescent="0.35">
      <c r="A701" s="139">
        <v>2411</v>
      </c>
      <c r="B701" s="3"/>
      <c r="C701" s="129" t="s">
        <v>1232</v>
      </c>
      <c r="D701" s="120">
        <v>61999.64</v>
      </c>
      <c r="E701" s="120">
        <v>6953.9709999999995</v>
      </c>
      <c r="F701" s="121">
        <f t="shared" si="28"/>
        <v>11.216147384081584</v>
      </c>
      <c r="G701" s="120">
        <v>50560.46</v>
      </c>
      <c r="H701" s="120">
        <v>73438.820000000007</v>
      </c>
      <c r="J701" t="s">
        <v>209</v>
      </c>
      <c r="K701" t="s">
        <v>190</v>
      </c>
      <c r="L701" t="s">
        <v>224</v>
      </c>
      <c r="M701">
        <v>48981.79</v>
      </c>
      <c r="N701">
        <v>3241.6970000000001</v>
      </c>
      <c r="O701" s="122">
        <v>6.6181676904825242</v>
      </c>
      <c r="P701">
        <v>42610.25</v>
      </c>
      <c r="Q701">
        <v>55353.34</v>
      </c>
      <c r="R701" s="124"/>
    </row>
    <row r="702" spans="1:18" ht="15" customHeight="1" x14ac:dyDescent="0.35">
      <c r="A702" s="139">
        <v>2412</v>
      </c>
      <c r="B702" s="3"/>
      <c r="C702" s="129" t="s">
        <v>223</v>
      </c>
      <c r="D702" s="120">
        <v>29984.14</v>
      </c>
      <c r="E702" s="120">
        <v>4054.4810000000002</v>
      </c>
      <c r="F702" s="121">
        <f t="shared" si="28"/>
        <v>13.522085342451042</v>
      </c>
      <c r="G702" s="120">
        <v>23314.58</v>
      </c>
      <c r="H702" s="120">
        <v>36653.699999999997</v>
      </c>
      <c r="J702" t="s">
        <v>209</v>
      </c>
      <c r="K702" t="s">
        <v>222</v>
      </c>
      <c r="L702" t="s">
        <v>221</v>
      </c>
      <c r="M702">
        <v>45253.43</v>
      </c>
      <c r="N702">
        <v>8228.3649999999998</v>
      </c>
      <c r="O702" s="122">
        <v>18.182853763792046</v>
      </c>
      <c r="P702">
        <v>29080.61</v>
      </c>
      <c r="Q702">
        <v>61426.25</v>
      </c>
      <c r="R702" s="124"/>
    </row>
    <row r="703" spans="1:18" ht="15" customHeight="1" x14ac:dyDescent="0.35">
      <c r="A703" s="139">
        <v>2514</v>
      </c>
      <c r="B703" s="3"/>
      <c r="C703" s="129" t="s">
        <v>129</v>
      </c>
      <c r="D703" s="120">
        <v>96359.64</v>
      </c>
      <c r="E703" s="120">
        <v>10305.24</v>
      </c>
      <c r="F703" s="121">
        <f t="shared" si="28"/>
        <v>10.694560502716698</v>
      </c>
      <c r="G703" s="120">
        <v>79407.66</v>
      </c>
      <c r="H703" s="120">
        <v>113311.6</v>
      </c>
      <c r="J703" t="s">
        <v>209</v>
      </c>
      <c r="K703" t="s">
        <v>128</v>
      </c>
      <c r="L703" t="s">
        <v>220</v>
      </c>
      <c r="M703">
        <v>58642.720000000001</v>
      </c>
      <c r="N703">
        <v>8644.6769999999997</v>
      </c>
      <c r="O703" s="122">
        <v>14.7412620014897</v>
      </c>
      <c r="P703">
        <v>41651.64</v>
      </c>
      <c r="Q703">
        <v>75633.8</v>
      </c>
      <c r="R703" s="124"/>
    </row>
    <row r="704" spans="1:18" ht="15" customHeight="1" x14ac:dyDescent="0.35">
      <c r="A704" s="139">
        <v>3313</v>
      </c>
      <c r="B704" s="3"/>
      <c r="C704" s="129" t="s">
        <v>108</v>
      </c>
      <c r="D704" s="120">
        <v>34076.99</v>
      </c>
      <c r="E704" s="120">
        <v>5491.8909999999996</v>
      </c>
      <c r="F704" s="121">
        <f t="shared" si="28"/>
        <v>16.116127040563146</v>
      </c>
      <c r="G704" s="120">
        <v>25042.91</v>
      </c>
      <c r="H704" s="120">
        <v>43111.07</v>
      </c>
      <c r="J704" t="s">
        <v>209</v>
      </c>
      <c r="K704" t="s">
        <v>107</v>
      </c>
      <c r="L704" t="s">
        <v>219</v>
      </c>
      <c r="M704">
        <v>28078.55</v>
      </c>
      <c r="N704">
        <v>2851.9490000000001</v>
      </c>
      <c r="O704" s="122">
        <v>10.15703802368712</v>
      </c>
      <c r="P704">
        <v>22473.05</v>
      </c>
      <c r="Q704">
        <v>33684.04</v>
      </c>
      <c r="R704" s="124"/>
    </row>
    <row r="705" spans="1:18" ht="15" customHeight="1" x14ac:dyDescent="0.35">
      <c r="A705" s="139">
        <v>3315</v>
      </c>
      <c r="B705" s="3"/>
      <c r="C705" s="129" t="s">
        <v>1265</v>
      </c>
      <c r="D705" s="120">
        <v>29238.959999999999</v>
      </c>
      <c r="E705" s="120">
        <v>1923.3219999999999</v>
      </c>
      <c r="F705" s="121">
        <f t="shared" si="28"/>
        <v>6.5779425807210652</v>
      </c>
      <c r="G705" s="120">
        <v>26075.119999999999</v>
      </c>
      <c r="H705" s="120">
        <v>32402.79</v>
      </c>
      <c r="J705" t="s">
        <v>209</v>
      </c>
      <c r="K705" t="s">
        <v>200</v>
      </c>
      <c r="L705" t="s">
        <v>218</v>
      </c>
      <c r="M705">
        <v>25950.16</v>
      </c>
      <c r="N705">
        <v>1841.7470000000001</v>
      </c>
      <c r="O705" s="122">
        <v>7.0972471846031002</v>
      </c>
      <c r="P705">
        <v>22330.21</v>
      </c>
      <c r="Q705">
        <v>29570.11</v>
      </c>
      <c r="R705" s="124"/>
    </row>
    <row r="706" spans="1:18" ht="15" customHeight="1" x14ac:dyDescent="0.35">
      <c r="A706" s="139">
        <v>3321</v>
      </c>
      <c r="B706" s="3"/>
      <c r="C706" s="129" t="s">
        <v>217</v>
      </c>
      <c r="D706" s="120">
        <v>27466.63</v>
      </c>
      <c r="E706" s="120">
        <v>3211.8</v>
      </c>
      <c r="F706" s="121">
        <f t="shared" si="28"/>
        <v>11.693462212146159</v>
      </c>
      <c r="G706" s="120">
        <v>22183.26</v>
      </c>
      <c r="H706" s="120">
        <v>32749.99</v>
      </c>
      <c r="J706" t="s">
        <v>209</v>
      </c>
      <c r="K706" t="s">
        <v>216</v>
      </c>
      <c r="L706" t="s">
        <v>215</v>
      </c>
      <c r="M706">
        <v>31468.82</v>
      </c>
      <c r="N706">
        <v>2867.8760000000002</v>
      </c>
      <c r="O706" s="122">
        <v>9.1133890625705067</v>
      </c>
      <c r="P706">
        <v>25832.02</v>
      </c>
      <c r="Q706">
        <v>37105.620000000003</v>
      </c>
      <c r="R706" s="124"/>
    </row>
    <row r="707" spans="1:18" ht="15" customHeight="1" x14ac:dyDescent="0.35">
      <c r="A707" s="139">
        <v>4110</v>
      </c>
      <c r="B707" s="3"/>
      <c r="C707" s="129" t="s">
        <v>1156</v>
      </c>
      <c r="D707" s="120">
        <v>24251.43</v>
      </c>
      <c r="E707" s="120">
        <v>682.73689999999999</v>
      </c>
      <c r="F707" s="121">
        <f t="shared" si="28"/>
        <v>2.8152438845874244</v>
      </c>
      <c r="G707" s="120">
        <v>23128.33</v>
      </c>
      <c r="H707" s="120">
        <v>25374.52</v>
      </c>
      <c r="J707" t="s">
        <v>209</v>
      </c>
      <c r="K707" t="s">
        <v>196</v>
      </c>
      <c r="L707" t="s">
        <v>213</v>
      </c>
      <c r="M707">
        <v>20825.060000000001</v>
      </c>
      <c r="N707">
        <v>2541.5450000000001</v>
      </c>
      <c r="O707" s="122">
        <v>12.204262556746535</v>
      </c>
      <c r="P707">
        <v>15829.66</v>
      </c>
      <c r="Q707">
        <v>25820.45</v>
      </c>
      <c r="R707" s="124"/>
    </row>
    <row r="708" spans="1:18" ht="15" customHeight="1" x14ac:dyDescent="0.35">
      <c r="A708" s="139">
        <v>4214</v>
      </c>
      <c r="B708" s="3"/>
      <c r="C708" s="129" t="s">
        <v>214</v>
      </c>
      <c r="D708" s="120">
        <v>26853.63</v>
      </c>
      <c r="E708" s="120">
        <v>2626.8690000000001</v>
      </c>
      <c r="F708" s="121">
        <f t="shared" si="28"/>
        <v>9.7821747004036332</v>
      </c>
      <c r="G708" s="120">
        <v>22532.47</v>
      </c>
      <c r="H708" s="120">
        <v>31174.79</v>
      </c>
      <c r="J708" t="s">
        <v>209</v>
      </c>
      <c r="K708" t="s">
        <v>101</v>
      </c>
      <c r="L708" t="s">
        <v>212</v>
      </c>
      <c r="M708">
        <v>29337.09</v>
      </c>
      <c r="N708">
        <v>1654.1849999999999</v>
      </c>
      <c r="O708" s="122">
        <v>5.6385449272576116</v>
      </c>
      <c r="P708">
        <v>26085.8</v>
      </c>
      <c r="Q708">
        <v>32588.39</v>
      </c>
      <c r="R708" s="124"/>
    </row>
    <row r="709" spans="1:18" ht="15" customHeight="1" x14ac:dyDescent="0.35">
      <c r="A709" s="117">
        <v>4222</v>
      </c>
      <c r="B709" s="130"/>
      <c r="C709" s="131" t="s">
        <v>102</v>
      </c>
      <c r="D709" s="120">
        <v>29821.51</v>
      </c>
      <c r="E709" s="120">
        <v>1519.663</v>
      </c>
      <c r="F709" s="121">
        <f t="shared" si="28"/>
        <v>5.095862013694143</v>
      </c>
      <c r="G709" s="120">
        <v>27321.68</v>
      </c>
      <c r="H709" s="120">
        <v>32321.33</v>
      </c>
      <c r="J709" t="s">
        <v>209</v>
      </c>
      <c r="K709" t="s">
        <v>14</v>
      </c>
      <c r="L709" t="s">
        <v>211</v>
      </c>
      <c r="M709">
        <v>23015.14</v>
      </c>
      <c r="N709">
        <v>1249.827</v>
      </c>
      <c r="O709" s="122">
        <v>5.4304557782398888</v>
      </c>
      <c r="P709">
        <v>20558.61</v>
      </c>
      <c r="Q709">
        <v>25471.67</v>
      </c>
      <c r="R709" s="124"/>
    </row>
    <row r="710" spans="1:18" ht="15" customHeight="1" x14ac:dyDescent="0.35">
      <c r="A710" s="117">
        <v>4312</v>
      </c>
      <c r="B710" s="118"/>
      <c r="C710" s="131" t="s">
        <v>180</v>
      </c>
      <c r="D710" s="120">
        <v>27233.79</v>
      </c>
      <c r="E710" s="120">
        <v>2769.5050000000001</v>
      </c>
      <c r="F710" s="121">
        <f t="shared" si="28"/>
        <v>10.169370476896532</v>
      </c>
      <c r="G710" s="120">
        <v>22677.99</v>
      </c>
      <c r="H710" s="120">
        <v>31789.59</v>
      </c>
      <c r="J710" t="s">
        <v>209</v>
      </c>
      <c r="K710" t="s">
        <v>179</v>
      </c>
      <c r="L710" t="s">
        <v>210</v>
      </c>
      <c r="M710">
        <v>21716.36</v>
      </c>
      <c r="N710">
        <v>1311.3430000000001</v>
      </c>
      <c r="O710" s="122">
        <v>6.0385027693407185</v>
      </c>
      <c r="P710">
        <v>19138.919999999998</v>
      </c>
      <c r="Q710">
        <v>24293.8</v>
      </c>
      <c r="R710" s="124"/>
    </row>
    <row r="711" spans="1:18" ht="15" customHeight="1" x14ac:dyDescent="0.35">
      <c r="A711" s="117">
        <v>9000</v>
      </c>
      <c r="B711" s="118" t="s">
        <v>1350</v>
      </c>
      <c r="C711" s="131" t="s">
        <v>1207</v>
      </c>
      <c r="D711" s="120">
        <v>13100.49</v>
      </c>
      <c r="E711" s="120">
        <v>263.71499999999997</v>
      </c>
      <c r="F711" s="121">
        <f t="shared" si="28"/>
        <v>2.0130163070236304</v>
      </c>
      <c r="G711" s="120">
        <v>12666.68</v>
      </c>
      <c r="H711" s="120">
        <v>13534.3</v>
      </c>
      <c r="J711" t="s">
        <v>209</v>
      </c>
      <c r="K711" t="s">
        <v>5</v>
      </c>
      <c r="L711" t="s">
        <v>208</v>
      </c>
      <c r="M711">
        <v>13451.07</v>
      </c>
      <c r="N711">
        <v>1736.1420000000001</v>
      </c>
      <c r="O711" s="122">
        <v>12.907092149546468</v>
      </c>
      <c r="P711">
        <v>10038.69</v>
      </c>
      <c r="Q711">
        <v>16863.45</v>
      </c>
      <c r="R711" s="124"/>
    </row>
    <row r="712" spans="1:18" ht="15" customHeight="1" x14ac:dyDescent="0.35">
      <c r="A712" s="132"/>
      <c r="B712" s="130"/>
      <c r="C712" s="131"/>
      <c r="D712" s="120"/>
      <c r="E712" s="120"/>
      <c r="F712" s="121"/>
      <c r="G712" s="120"/>
      <c r="H712" s="120"/>
    </row>
    <row r="713" spans="1:18" ht="30" customHeight="1" x14ac:dyDescent="0.35">
      <c r="A713" s="4" t="s">
        <v>1026</v>
      </c>
      <c r="B713" s="130"/>
      <c r="C713" s="31" t="s">
        <v>1099</v>
      </c>
      <c r="D713" s="120"/>
      <c r="E713" s="120"/>
      <c r="F713" s="121"/>
      <c r="G713" s="120"/>
      <c r="H713" s="120"/>
    </row>
    <row r="714" spans="1:18" ht="15" customHeight="1" x14ac:dyDescent="0.35">
      <c r="A714" s="117">
        <v>2411</v>
      </c>
      <c r="B714" s="130"/>
      <c r="C714" s="131" t="s">
        <v>1232</v>
      </c>
      <c r="D714" s="120">
        <v>42233.26</v>
      </c>
      <c r="E714" s="120">
        <v>2941.3330000000001</v>
      </c>
      <c r="F714" s="121">
        <f t="shared" ref="F714:F723" si="29">E714/D714*100</f>
        <v>6.9644943345600119</v>
      </c>
      <c r="G714" s="120">
        <v>37394.81</v>
      </c>
      <c r="H714" s="120">
        <v>47071.71</v>
      </c>
    </row>
    <row r="715" spans="1:18" ht="15" customHeight="1" x14ac:dyDescent="0.35">
      <c r="A715" s="117">
        <v>2412</v>
      </c>
      <c r="B715" s="130"/>
      <c r="C715" s="131" t="s">
        <v>223</v>
      </c>
      <c r="D715" s="120">
        <v>36890.29</v>
      </c>
      <c r="E715" s="120">
        <v>5558.89</v>
      </c>
      <c r="F715" s="121">
        <f t="shared" si="29"/>
        <v>15.068707781912261</v>
      </c>
      <c r="G715" s="120">
        <v>27746</v>
      </c>
      <c r="H715" s="120">
        <v>46034.58</v>
      </c>
    </row>
    <row r="716" spans="1:18" ht="15" customHeight="1" x14ac:dyDescent="0.35">
      <c r="A716" s="117">
        <v>3313</v>
      </c>
      <c r="B716" s="130"/>
      <c r="C716" s="131" t="s">
        <v>108</v>
      </c>
      <c r="D716" s="120">
        <v>38667.800000000003</v>
      </c>
      <c r="E716" s="120">
        <v>5744.6530000000002</v>
      </c>
      <c r="F716" s="121">
        <f t="shared" si="29"/>
        <v>14.856425759934622</v>
      </c>
      <c r="G716" s="120">
        <v>29217.93</v>
      </c>
      <c r="H716" s="120">
        <v>48117.67</v>
      </c>
    </row>
    <row r="717" spans="1:18" ht="15" customHeight="1" x14ac:dyDescent="0.35">
      <c r="A717" s="117">
        <v>3315</v>
      </c>
      <c r="B717" s="130"/>
      <c r="C717" s="131" t="s">
        <v>1265</v>
      </c>
      <c r="D717" s="120">
        <v>27153.87</v>
      </c>
      <c r="E717" s="120">
        <v>4956.3310000000001</v>
      </c>
      <c r="F717" s="121">
        <f t="shared" si="29"/>
        <v>18.252761024487487</v>
      </c>
      <c r="G717" s="120">
        <v>19000.78</v>
      </c>
      <c r="H717" s="120">
        <v>35306.97</v>
      </c>
    </row>
    <row r="718" spans="1:18" ht="15" customHeight="1" x14ac:dyDescent="0.35">
      <c r="A718" s="117">
        <v>3321</v>
      </c>
      <c r="B718" s="130"/>
      <c r="C718" s="131" t="s">
        <v>217</v>
      </c>
      <c r="D718" s="120">
        <v>25583.66</v>
      </c>
      <c r="E718" s="120">
        <v>3074.26</v>
      </c>
      <c r="F718" s="121">
        <f t="shared" si="29"/>
        <v>12.016498030383456</v>
      </c>
      <c r="G718" s="120">
        <v>20526.54</v>
      </c>
      <c r="H718" s="120">
        <v>30640.77</v>
      </c>
    </row>
    <row r="719" spans="1:18" ht="15" customHeight="1" x14ac:dyDescent="0.35">
      <c r="A719" s="117">
        <v>4110</v>
      </c>
      <c r="B719" s="130"/>
      <c r="C719" s="131" t="s">
        <v>1156</v>
      </c>
      <c r="D719" s="120">
        <v>19505.04</v>
      </c>
      <c r="E719" s="120">
        <v>738.45799999999997</v>
      </c>
      <c r="F719" s="121">
        <f t="shared" si="29"/>
        <v>3.7859855709088523</v>
      </c>
      <c r="G719" s="120">
        <v>18290.29</v>
      </c>
      <c r="H719" s="120">
        <v>20719.79</v>
      </c>
    </row>
    <row r="720" spans="1:18" ht="15" customHeight="1" x14ac:dyDescent="0.35">
      <c r="A720" s="117">
        <v>4214</v>
      </c>
      <c r="B720" s="130"/>
      <c r="C720" s="131" t="s">
        <v>214</v>
      </c>
      <c r="D720" s="120">
        <v>19008.22</v>
      </c>
      <c r="E720" s="120">
        <v>707.48379999999997</v>
      </c>
      <c r="F720" s="121">
        <f t="shared" si="29"/>
        <v>3.7219886975213874</v>
      </c>
      <c r="G720" s="120">
        <v>17844.419999999998</v>
      </c>
      <c r="H720" s="120">
        <v>20172.02</v>
      </c>
    </row>
    <row r="721" spans="1:18" ht="15" customHeight="1" x14ac:dyDescent="0.35">
      <c r="A721" s="117">
        <v>4222</v>
      </c>
      <c r="B721" s="130"/>
      <c r="C721" s="131" t="s">
        <v>102</v>
      </c>
      <c r="D721" s="120">
        <v>41382.370000000003</v>
      </c>
      <c r="E721" s="120">
        <v>12494.24</v>
      </c>
      <c r="F721" s="121">
        <f t="shared" si="29"/>
        <v>30.19218087315927</v>
      </c>
      <c r="G721" s="120">
        <v>20829.54</v>
      </c>
      <c r="H721" s="120">
        <v>61935.21</v>
      </c>
    </row>
    <row r="722" spans="1:18" ht="15" customHeight="1" x14ac:dyDescent="0.35">
      <c r="A722" s="117">
        <v>4312</v>
      </c>
      <c r="B722" s="130"/>
      <c r="C722" s="131" t="s">
        <v>180</v>
      </c>
      <c r="D722" s="120">
        <v>25854.07</v>
      </c>
      <c r="E722" s="120">
        <v>1285.826</v>
      </c>
      <c r="F722" s="121">
        <f t="shared" si="29"/>
        <v>4.9733987724176503</v>
      </c>
      <c r="G722" s="120">
        <v>23738.9</v>
      </c>
      <c r="H722" s="120">
        <v>27969.23</v>
      </c>
    </row>
    <row r="723" spans="1:18" ht="15" customHeight="1" x14ac:dyDescent="0.35">
      <c r="A723" s="117">
        <v>9000</v>
      </c>
      <c r="B723" s="118" t="s">
        <v>1350</v>
      </c>
      <c r="C723" s="131" t="s">
        <v>1207</v>
      </c>
      <c r="D723" s="120">
        <v>11150.47</v>
      </c>
      <c r="E723" s="120">
        <v>173.04159999999999</v>
      </c>
      <c r="F723" s="121">
        <f t="shared" si="29"/>
        <v>1.5518771854459945</v>
      </c>
      <c r="G723" s="120">
        <v>10865.82</v>
      </c>
      <c r="H723" s="120">
        <v>11435.12</v>
      </c>
    </row>
    <row r="724" spans="1:18" ht="15" customHeight="1" x14ac:dyDescent="0.35">
      <c r="A724" s="132"/>
      <c r="B724" s="130"/>
      <c r="C724" s="131"/>
      <c r="D724" s="120"/>
      <c r="E724" s="120"/>
      <c r="F724" s="121"/>
      <c r="G724" s="120"/>
      <c r="H724" s="120"/>
    </row>
    <row r="725" spans="1:18" ht="15" customHeight="1" x14ac:dyDescent="0.35">
      <c r="A725" s="4" t="s">
        <v>192</v>
      </c>
      <c r="B725" s="145"/>
      <c r="C725" s="126" t="s">
        <v>207</v>
      </c>
      <c r="D725" s="120"/>
      <c r="E725" s="120"/>
      <c r="F725" s="121"/>
      <c r="G725" s="120"/>
      <c r="H725" s="120"/>
    </row>
    <row r="726" spans="1:18" ht="15" customHeight="1" x14ac:dyDescent="0.35">
      <c r="A726" s="139">
        <v>2142</v>
      </c>
      <c r="B726" s="145"/>
      <c r="C726" s="131" t="s">
        <v>206</v>
      </c>
      <c r="D726" s="120">
        <v>36589.730000000003</v>
      </c>
      <c r="E726" s="120">
        <v>1337.4639999999999</v>
      </c>
      <c r="F726" s="121">
        <f t="shared" ref="F726:F735" si="30">E726/D726*100</f>
        <v>3.6552989049112958</v>
      </c>
      <c r="G726" s="120">
        <v>34389.620000000003</v>
      </c>
      <c r="H726" s="120">
        <v>38789.83</v>
      </c>
    </row>
    <row r="727" spans="1:18" ht="15" customHeight="1" x14ac:dyDescent="0.35">
      <c r="A727" s="139">
        <v>2411</v>
      </c>
      <c r="B727" s="3"/>
      <c r="C727" s="129" t="s">
        <v>1232</v>
      </c>
      <c r="D727" s="120">
        <v>25835.56</v>
      </c>
      <c r="E727" s="120">
        <v>2395.0630000000001</v>
      </c>
      <c r="F727" s="121">
        <f t="shared" si="30"/>
        <v>9.2704125631493959</v>
      </c>
      <c r="G727" s="120">
        <v>21895.72</v>
      </c>
      <c r="H727" s="120">
        <v>29775.41</v>
      </c>
      <c r="J727" t="s">
        <v>192</v>
      </c>
      <c r="K727" t="s">
        <v>171</v>
      </c>
      <c r="L727" t="s">
        <v>205</v>
      </c>
      <c r="M727">
        <v>39022.71</v>
      </c>
      <c r="N727">
        <v>3259.518</v>
      </c>
      <c r="O727" s="122">
        <v>8.3528745184534863</v>
      </c>
      <c r="P727">
        <v>32594.48</v>
      </c>
      <c r="Q727">
        <v>45450.94</v>
      </c>
      <c r="R727" s="124"/>
    </row>
    <row r="728" spans="1:18" ht="15" customHeight="1" x14ac:dyDescent="0.35">
      <c r="A728" s="139">
        <v>2431</v>
      </c>
      <c r="B728" s="3"/>
      <c r="C728" s="129" t="s">
        <v>203</v>
      </c>
      <c r="D728" s="120">
        <v>30328.13</v>
      </c>
      <c r="E728" s="120">
        <v>906.23440000000005</v>
      </c>
      <c r="F728" s="121">
        <f t="shared" si="30"/>
        <v>2.9880985078869027</v>
      </c>
      <c r="G728" s="120">
        <v>28837.39</v>
      </c>
      <c r="H728" s="120">
        <v>31818.880000000001</v>
      </c>
      <c r="J728" t="s">
        <v>192</v>
      </c>
      <c r="K728" t="s">
        <v>190</v>
      </c>
      <c r="L728" t="s">
        <v>204</v>
      </c>
      <c r="M728">
        <v>35171.089999999997</v>
      </c>
      <c r="N728">
        <v>4450.2629999999999</v>
      </c>
      <c r="O728" s="122">
        <v>12.65318476055192</v>
      </c>
      <c r="P728">
        <v>26394.54</v>
      </c>
      <c r="Q728">
        <v>43947.63</v>
      </c>
      <c r="R728" s="124"/>
    </row>
    <row r="729" spans="1:18" ht="15" customHeight="1" x14ac:dyDescent="0.35">
      <c r="A729" s="139">
        <v>3315</v>
      </c>
      <c r="B729" s="3"/>
      <c r="C729" s="129" t="s">
        <v>1265</v>
      </c>
      <c r="D729" s="120">
        <v>25921.16</v>
      </c>
      <c r="E729" s="120">
        <v>2684.962</v>
      </c>
      <c r="F729" s="121">
        <f t="shared" si="30"/>
        <v>10.358186130558972</v>
      </c>
      <c r="G729" s="120">
        <v>21504.44</v>
      </c>
      <c r="H729" s="120">
        <v>30337.88</v>
      </c>
      <c r="J729" t="s">
        <v>192</v>
      </c>
      <c r="K729" t="s">
        <v>202</v>
      </c>
      <c r="L729" t="s">
        <v>201</v>
      </c>
      <c r="M729">
        <v>33951.11</v>
      </c>
      <c r="N729">
        <v>4835.1670000000004</v>
      </c>
      <c r="O729" s="122">
        <v>14.24155793433558</v>
      </c>
      <c r="P729">
        <v>24415.47</v>
      </c>
      <c r="Q729">
        <v>43486.74</v>
      </c>
      <c r="R729" s="124"/>
    </row>
    <row r="730" spans="1:18" ht="15" customHeight="1" x14ac:dyDescent="0.35">
      <c r="A730" s="139">
        <v>3334</v>
      </c>
      <c r="B730" s="3"/>
      <c r="C730" s="129" t="s">
        <v>1266</v>
      </c>
      <c r="D730" s="120">
        <v>29194.12</v>
      </c>
      <c r="E730" s="120">
        <v>2083.61</v>
      </c>
      <c r="F730" s="121">
        <f t="shared" si="30"/>
        <v>7.1370878793400871</v>
      </c>
      <c r="G730" s="120">
        <v>25766.62</v>
      </c>
      <c r="H730" s="120">
        <v>32621.63</v>
      </c>
      <c r="J730" t="s">
        <v>192</v>
      </c>
      <c r="K730" t="s">
        <v>200</v>
      </c>
      <c r="L730" t="s">
        <v>199</v>
      </c>
      <c r="M730">
        <v>29196.28</v>
      </c>
      <c r="N730">
        <v>5557.3509999999997</v>
      </c>
      <c r="O730" s="122">
        <v>19.034448909244603</v>
      </c>
      <c r="P730">
        <v>18236.400000000001</v>
      </c>
      <c r="Q730">
        <v>40156.160000000003</v>
      </c>
      <c r="R730" s="124"/>
    </row>
    <row r="731" spans="1:18" ht="15" customHeight="1" x14ac:dyDescent="0.35">
      <c r="A731" s="117">
        <v>4110</v>
      </c>
      <c r="B731" s="3"/>
      <c r="C731" s="140" t="s">
        <v>1156</v>
      </c>
      <c r="D731" s="120">
        <v>20991.63</v>
      </c>
      <c r="E731" s="120">
        <v>1055.807</v>
      </c>
      <c r="F731" s="121">
        <f t="shared" si="30"/>
        <v>5.0296570585514324</v>
      </c>
      <c r="G731" s="120">
        <v>19254.84</v>
      </c>
      <c r="H731" s="120">
        <v>22728.42</v>
      </c>
      <c r="J731" t="s">
        <v>192</v>
      </c>
      <c r="K731" t="s">
        <v>198</v>
      </c>
      <c r="L731" t="s">
        <v>197</v>
      </c>
      <c r="M731">
        <v>34190.49</v>
      </c>
      <c r="N731">
        <v>2389.0329999999999</v>
      </c>
      <c r="O731" s="122">
        <v>6.9874196011814975</v>
      </c>
      <c r="P731">
        <v>29478.98</v>
      </c>
      <c r="Q731">
        <v>38902</v>
      </c>
      <c r="R731" s="124"/>
    </row>
    <row r="732" spans="1:18" ht="15" customHeight="1" x14ac:dyDescent="0.35">
      <c r="A732" s="139">
        <v>4214</v>
      </c>
      <c r="B732" s="3"/>
      <c r="C732" s="129" t="s">
        <v>214</v>
      </c>
      <c r="D732" s="120">
        <v>20762.18</v>
      </c>
      <c r="E732" s="120">
        <v>333.70400000000001</v>
      </c>
      <c r="F732" s="121">
        <f t="shared" si="30"/>
        <v>1.6072686008887314</v>
      </c>
      <c r="G732" s="120">
        <v>20213.240000000002</v>
      </c>
      <c r="H732" s="120">
        <v>21311.119999999999</v>
      </c>
      <c r="J732" t="s">
        <v>192</v>
      </c>
      <c r="K732" t="s">
        <v>196</v>
      </c>
      <c r="L732" t="s">
        <v>195</v>
      </c>
      <c r="M732">
        <v>18331.82</v>
      </c>
      <c r="N732">
        <v>541.86310000000003</v>
      </c>
      <c r="O732" s="122">
        <v>2.9558609019726361</v>
      </c>
      <c r="P732">
        <v>17263.189999999999</v>
      </c>
      <c r="Q732">
        <v>19400.45</v>
      </c>
      <c r="R732" s="124"/>
    </row>
    <row r="733" spans="1:18" ht="15" customHeight="1" x14ac:dyDescent="0.35">
      <c r="A733" s="117">
        <v>4222</v>
      </c>
      <c r="C733" s="140" t="s">
        <v>102</v>
      </c>
      <c r="D733" s="120">
        <v>20915.5</v>
      </c>
      <c r="E733" s="120">
        <v>1410.194</v>
      </c>
      <c r="F733" s="121">
        <f t="shared" si="30"/>
        <v>6.7423394133537329</v>
      </c>
      <c r="G733" s="120">
        <v>18595.75</v>
      </c>
      <c r="H733" s="120">
        <v>23235.25</v>
      </c>
      <c r="J733" t="s">
        <v>192</v>
      </c>
      <c r="K733" t="s">
        <v>101</v>
      </c>
      <c r="L733" t="s">
        <v>194</v>
      </c>
      <c r="M733">
        <v>25629.4</v>
      </c>
      <c r="N733">
        <v>3553.7339999999999</v>
      </c>
      <c r="O733" s="122">
        <v>13.865849376107125</v>
      </c>
      <c r="P733">
        <v>18620.93</v>
      </c>
      <c r="Q733">
        <v>32637.86</v>
      </c>
      <c r="R733" s="124"/>
    </row>
    <row r="734" spans="1:18" ht="15" customHeight="1" x14ac:dyDescent="0.35">
      <c r="A734" s="139">
        <v>5153</v>
      </c>
      <c r="B734" s="3"/>
      <c r="C734" s="129" t="s">
        <v>1242</v>
      </c>
      <c r="D734" s="120">
        <v>15922.95</v>
      </c>
      <c r="E734" s="120">
        <v>857.50710000000004</v>
      </c>
      <c r="F734" s="121">
        <f t="shared" si="30"/>
        <v>5.38535321658361</v>
      </c>
      <c r="G734" s="120">
        <v>14512.36</v>
      </c>
      <c r="H734" s="120">
        <v>17333.54</v>
      </c>
      <c r="J734" t="s">
        <v>192</v>
      </c>
      <c r="K734" t="s">
        <v>14</v>
      </c>
      <c r="L734" t="s">
        <v>193</v>
      </c>
      <c r="M734">
        <v>21870.25</v>
      </c>
      <c r="N734">
        <v>1043.538</v>
      </c>
      <c r="O734" s="122">
        <v>4.771495524742515</v>
      </c>
      <c r="P734">
        <v>19812.25</v>
      </c>
      <c r="Q734">
        <v>23928.25</v>
      </c>
      <c r="R734" s="124"/>
    </row>
    <row r="735" spans="1:18" ht="15" customHeight="1" x14ac:dyDescent="0.35">
      <c r="A735" s="117">
        <v>9000</v>
      </c>
      <c r="B735" s="118" t="s">
        <v>1350</v>
      </c>
      <c r="C735" s="129" t="s">
        <v>1207</v>
      </c>
      <c r="D735" s="120">
        <v>14181.9</v>
      </c>
      <c r="E735" s="120">
        <v>323.08</v>
      </c>
      <c r="F735" s="121">
        <f t="shared" si="30"/>
        <v>2.2781150621566928</v>
      </c>
      <c r="G735" s="120">
        <v>13650.44</v>
      </c>
      <c r="H735" s="120">
        <v>14713.36</v>
      </c>
      <c r="J735" t="s">
        <v>192</v>
      </c>
      <c r="K735" t="s">
        <v>5</v>
      </c>
      <c r="L735" t="s">
        <v>191</v>
      </c>
      <c r="M735">
        <v>12382.2</v>
      </c>
      <c r="N735">
        <v>412.30119999999999</v>
      </c>
      <c r="O735" s="122">
        <v>3.3297895365928509</v>
      </c>
      <c r="P735">
        <v>11569.09</v>
      </c>
      <c r="Q735">
        <v>13195.32</v>
      </c>
      <c r="R735" s="124"/>
    </row>
    <row r="736" spans="1:18" ht="15" customHeight="1" x14ac:dyDescent="0.35">
      <c r="A736" s="132"/>
      <c r="B736" s="130"/>
      <c r="C736" s="131"/>
      <c r="D736" s="120"/>
      <c r="E736" s="120"/>
      <c r="F736" s="121"/>
      <c r="G736" s="120"/>
      <c r="H736" s="120"/>
    </row>
    <row r="737" spans="1:18" ht="15" customHeight="1" x14ac:dyDescent="0.35">
      <c r="A737" s="6" t="s">
        <v>1022</v>
      </c>
      <c r="B737" s="181"/>
      <c r="C737" s="181" t="s">
        <v>1267</v>
      </c>
      <c r="D737" s="120"/>
      <c r="E737" s="120"/>
      <c r="F737" s="121"/>
      <c r="G737" s="120"/>
      <c r="H737" s="120"/>
    </row>
    <row r="738" spans="1:18" ht="15" customHeight="1" x14ac:dyDescent="0.35">
      <c r="A738" s="139">
        <v>2411</v>
      </c>
      <c r="B738" s="3"/>
      <c r="C738" s="129" t="s">
        <v>1232</v>
      </c>
      <c r="D738" s="120">
        <v>40047.82</v>
      </c>
      <c r="E738" s="120">
        <v>5013.2060000000001</v>
      </c>
      <c r="F738" s="121">
        <f t="shared" ref="F738:F876" si="31">E738/D738*100</f>
        <v>12.518049671617582</v>
      </c>
      <c r="G738" s="120">
        <v>31801.17</v>
      </c>
      <c r="H738" s="120">
        <v>48294.48</v>
      </c>
      <c r="J738" t="s">
        <v>177</v>
      </c>
      <c r="K738" t="s">
        <v>190</v>
      </c>
      <c r="L738" t="s">
        <v>189</v>
      </c>
      <c r="M738">
        <v>33056.089999999997</v>
      </c>
      <c r="N738">
        <v>4493.1859999999997</v>
      </c>
      <c r="O738" s="122">
        <v>13.592611830376795</v>
      </c>
      <c r="P738">
        <v>24203.23</v>
      </c>
      <c r="Q738">
        <v>41908.959999999999</v>
      </c>
      <c r="R738" s="124"/>
    </row>
    <row r="739" spans="1:18" ht="15" customHeight="1" x14ac:dyDescent="0.35">
      <c r="A739" s="139">
        <v>2413</v>
      </c>
      <c r="B739" s="3"/>
      <c r="C739" s="182" t="s">
        <v>188</v>
      </c>
      <c r="D739" s="120">
        <v>48561.63</v>
      </c>
      <c r="E739" s="120">
        <v>9844.3719999999994</v>
      </c>
      <c r="F739" s="121">
        <f t="shared" si="31"/>
        <v>20.271914266469228</v>
      </c>
      <c r="G739" s="120">
        <v>32367.78</v>
      </c>
      <c r="H739" s="120">
        <v>64755.48</v>
      </c>
      <c r="J739" t="s">
        <v>177</v>
      </c>
      <c r="K739" t="s">
        <v>187</v>
      </c>
      <c r="L739" t="s">
        <v>186</v>
      </c>
      <c r="M739">
        <v>37124.879999999997</v>
      </c>
      <c r="N739">
        <v>2260.7040000000002</v>
      </c>
      <c r="O739" s="122">
        <v>6.0894580669351672</v>
      </c>
      <c r="P739">
        <v>32670.639999999999</v>
      </c>
      <c r="Q739">
        <v>41579.11</v>
      </c>
      <c r="R739" s="124"/>
    </row>
    <row r="740" spans="1:18" ht="15" customHeight="1" x14ac:dyDescent="0.35">
      <c r="A740" s="139">
        <v>3313</v>
      </c>
      <c r="B740" s="3"/>
      <c r="C740" s="182" t="s">
        <v>108</v>
      </c>
      <c r="D740" s="120">
        <v>27300.81</v>
      </c>
      <c r="E740" s="120">
        <v>1713.606</v>
      </c>
      <c r="F740" s="121">
        <f t="shared" si="31"/>
        <v>6.2767588214415611</v>
      </c>
      <c r="G740" s="120">
        <v>24481.96</v>
      </c>
      <c r="H740" s="120">
        <v>30119.67</v>
      </c>
      <c r="J740" t="s">
        <v>177</v>
      </c>
      <c r="K740" t="s">
        <v>107</v>
      </c>
      <c r="L740" t="s">
        <v>185</v>
      </c>
      <c r="M740">
        <v>27154.06</v>
      </c>
      <c r="N740">
        <v>3503.8049999999998</v>
      </c>
      <c r="O740" s="122">
        <v>12.903429542396236</v>
      </c>
      <c r="P740">
        <v>20250.57</v>
      </c>
      <c r="Q740">
        <v>34057.56</v>
      </c>
      <c r="R740" s="124"/>
    </row>
    <row r="741" spans="1:18" ht="15" customHeight="1" x14ac:dyDescent="0.35">
      <c r="A741" s="139">
        <v>3342</v>
      </c>
      <c r="B741" s="3"/>
      <c r="C741" s="182" t="s">
        <v>1268</v>
      </c>
      <c r="D741" s="120">
        <v>30580.95</v>
      </c>
      <c r="E741" s="120">
        <v>3268.431</v>
      </c>
      <c r="F741" s="121">
        <f t="shared" si="31"/>
        <v>10.687800738695168</v>
      </c>
      <c r="G741" s="120">
        <v>25204.43</v>
      </c>
      <c r="H741" s="120">
        <v>35957.47</v>
      </c>
      <c r="J741" t="s">
        <v>177</v>
      </c>
      <c r="K741" t="s">
        <v>183</v>
      </c>
      <c r="L741" t="s">
        <v>182</v>
      </c>
      <c r="M741">
        <v>22510.76</v>
      </c>
      <c r="N741">
        <v>5035.9219999999996</v>
      </c>
      <c r="O741" s="122">
        <v>22.371177161499656</v>
      </c>
      <c r="P741">
        <v>12588.55</v>
      </c>
      <c r="Q741">
        <v>32432.97</v>
      </c>
      <c r="R741" s="124"/>
    </row>
    <row r="742" spans="1:18" ht="15" customHeight="1" x14ac:dyDescent="0.35">
      <c r="A742" s="139">
        <v>3352</v>
      </c>
      <c r="B742" s="3"/>
      <c r="C742" s="182" t="s">
        <v>184</v>
      </c>
      <c r="D742" s="120">
        <v>29934.81</v>
      </c>
      <c r="E742" s="120">
        <v>2797.8270000000002</v>
      </c>
      <c r="F742" s="121">
        <f t="shared" si="31"/>
        <v>9.3463997266059149</v>
      </c>
      <c r="G742" s="120">
        <v>25332.43</v>
      </c>
      <c r="H742" s="120">
        <v>34537.199999999997</v>
      </c>
      <c r="O742" s="122"/>
      <c r="R742" s="124"/>
    </row>
    <row r="743" spans="1:18" ht="15" customHeight="1" x14ac:dyDescent="0.35">
      <c r="A743" s="139">
        <v>3411</v>
      </c>
      <c r="B743" s="3"/>
      <c r="C743" s="182" t="s">
        <v>1269</v>
      </c>
      <c r="D743" s="120">
        <v>51820.15</v>
      </c>
      <c r="E743" s="120">
        <v>4273.2640000000001</v>
      </c>
      <c r="F743" s="121">
        <f t="shared" si="31"/>
        <v>8.2463366084428547</v>
      </c>
      <c r="G743" s="120">
        <v>44790.69</v>
      </c>
      <c r="H743" s="120">
        <v>58849.61</v>
      </c>
      <c r="O743" s="122"/>
      <c r="R743" s="124"/>
    </row>
    <row r="744" spans="1:18" ht="15" customHeight="1" x14ac:dyDescent="0.35">
      <c r="A744" s="139">
        <v>4110</v>
      </c>
      <c r="B744" s="3"/>
      <c r="C744" s="182" t="s">
        <v>1156</v>
      </c>
      <c r="D744" s="120">
        <v>23517.88</v>
      </c>
      <c r="E744" s="120">
        <v>2485.1959999999999</v>
      </c>
      <c r="F744" s="121">
        <f t="shared" si="31"/>
        <v>10.567262015113606</v>
      </c>
      <c r="G744" s="120">
        <v>19429.77</v>
      </c>
      <c r="H744" s="120">
        <v>27606</v>
      </c>
      <c r="J744" t="s">
        <v>177</v>
      </c>
      <c r="K744" t="s">
        <v>14</v>
      </c>
      <c r="L744" t="s">
        <v>181</v>
      </c>
      <c r="M744">
        <v>22432.83</v>
      </c>
      <c r="N744">
        <v>3880.9650000000001</v>
      </c>
      <c r="O744" s="122">
        <v>17.30038073662574</v>
      </c>
      <c r="P744">
        <v>14786.22</v>
      </c>
      <c r="Q744">
        <v>30079.439999999999</v>
      </c>
      <c r="R744" s="124"/>
    </row>
    <row r="745" spans="1:18" ht="15" customHeight="1" x14ac:dyDescent="0.35">
      <c r="A745" s="139">
        <v>4312</v>
      </c>
      <c r="B745" s="3"/>
      <c r="C745" s="182" t="s">
        <v>180</v>
      </c>
      <c r="D745" s="120">
        <v>41503.43</v>
      </c>
      <c r="E745" s="120">
        <v>3091.5909999999999</v>
      </c>
      <c r="F745" s="121">
        <f t="shared" si="31"/>
        <v>7.4490012030330979</v>
      </c>
      <c r="G745" s="120">
        <v>36417.81</v>
      </c>
      <c r="H745" s="120">
        <v>46589.05</v>
      </c>
      <c r="J745" t="s">
        <v>177</v>
      </c>
      <c r="K745" t="s">
        <v>179</v>
      </c>
      <c r="L745" t="s">
        <v>178</v>
      </c>
      <c r="M745">
        <v>32415.09</v>
      </c>
      <c r="N745">
        <v>2142.402</v>
      </c>
      <c r="O745" s="122">
        <v>6.6092736438492077</v>
      </c>
      <c r="P745">
        <v>28193.95</v>
      </c>
      <c r="Q745">
        <v>36636.239999999998</v>
      </c>
      <c r="R745" s="124"/>
    </row>
    <row r="746" spans="1:18" ht="15" customHeight="1" x14ac:dyDescent="0.35">
      <c r="A746" s="117">
        <v>9000</v>
      </c>
      <c r="B746" s="118" t="s">
        <v>1350</v>
      </c>
      <c r="C746" s="182" t="s">
        <v>1207</v>
      </c>
      <c r="D746" s="120">
        <v>18756.41</v>
      </c>
      <c r="E746" s="120">
        <v>3985.9670000000001</v>
      </c>
      <c r="F746" s="121">
        <f t="shared" si="31"/>
        <v>21.251225581014705</v>
      </c>
      <c r="G746" s="120">
        <v>12199.55</v>
      </c>
      <c r="H746" s="120">
        <v>25313.27</v>
      </c>
      <c r="J746" t="s">
        <v>177</v>
      </c>
      <c r="K746" t="s">
        <v>5</v>
      </c>
      <c r="L746" t="s">
        <v>176</v>
      </c>
      <c r="M746">
        <v>16810.7</v>
      </c>
      <c r="N746">
        <v>2226.076</v>
      </c>
      <c r="O746" s="122">
        <v>13.242018476327576</v>
      </c>
      <c r="P746">
        <v>12424.69</v>
      </c>
      <c r="Q746">
        <v>21196.71</v>
      </c>
      <c r="R746" s="124"/>
    </row>
    <row r="747" spans="1:18" ht="15" customHeight="1" x14ac:dyDescent="0.35">
      <c r="A747" s="132"/>
      <c r="B747" s="130"/>
      <c r="C747" s="131"/>
      <c r="D747" s="120"/>
      <c r="E747" s="120"/>
      <c r="F747" s="121"/>
      <c r="G747" s="120"/>
      <c r="H747" s="120"/>
    </row>
    <row r="748" spans="1:18" ht="30" customHeight="1" x14ac:dyDescent="0.35">
      <c r="A748" s="4" t="s">
        <v>1190</v>
      </c>
      <c r="B748" s="130"/>
      <c r="C748" s="31" t="s">
        <v>1270</v>
      </c>
      <c r="D748" s="120"/>
      <c r="E748" s="120"/>
      <c r="F748" s="121"/>
      <c r="G748" s="120"/>
      <c r="H748" s="120"/>
    </row>
    <row r="749" spans="1:18" ht="15" customHeight="1" x14ac:dyDescent="0.35">
      <c r="A749" s="139">
        <v>2411</v>
      </c>
      <c r="B749" s="130"/>
      <c r="C749" s="131" t="s">
        <v>1232</v>
      </c>
      <c r="D749" s="120">
        <v>35339.18</v>
      </c>
      <c r="E749" s="120">
        <v>2318.5790000000002</v>
      </c>
      <c r="F749" s="121">
        <f t="shared" si="31"/>
        <v>6.5609303894431061</v>
      </c>
      <c r="G749" s="120">
        <v>31525.15</v>
      </c>
      <c r="H749" s="120">
        <v>39153.21</v>
      </c>
    </row>
    <row r="750" spans="1:18" ht="15" customHeight="1" x14ac:dyDescent="0.35">
      <c r="A750" s="139">
        <v>2413</v>
      </c>
      <c r="B750" s="130"/>
      <c r="C750" s="131" t="s">
        <v>188</v>
      </c>
      <c r="D750" s="120">
        <v>58827.05</v>
      </c>
      <c r="E750" s="120">
        <v>6969.54</v>
      </c>
      <c r="F750" s="121">
        <f t="shared" si="31"/>
        <v>11.847508926590743</v>
      </c>
      <c r="G750" s="120">
        <v>47362.26</v>
      </c>
      <c r="H750" s="120">
        <v>70291.839999999997</v>
      </c>
    </row>
    <row r="751" spans="1:18" ht="15" customHeight="1" x14ac:dyDescent="0.35">
      <c r="A751" s="139">
        <v>2421</v>
      </c>
      <c r="B751" s="130"/>
      <c r="C751" s="131" t="s">
        <v>1271</v>
      </c>
      <c r="D751" s="120">
        <v>64780.72</v>
      </c>
      <c r="E751" s="120">
        <v>5799.8040000000001</v>
      </c>
      <c r="F751" s="121">
        <f t="shared" si="31"/>
        <v>8.9529786022754916</v>
      </c>
      <c r="G751" s="120">
        <v>55240.13</v>
      </c>
      <c r="H751" s="120">
        <v>74321.320000000007</v>
      </c>
    </row>
    <row r="752" spans="1:18" ht="15" customHeight="1" x14ac:dyDescent="0.35">
      <c r="A752" s="139">
        <v>3313</v>
      </c>
      <c r="B752" s="130"/>
      <c r="C752" s="131" t="s">
        <v>108</v>
      </c>
      <c r="D752" s="120">
        <v>41802.22</v>
      </c>
      <c r="E752" s="120">
        <v>10897.45</v>
      </c>
      <c r="F752" s="121">
        <f t="shared" si="31"/>
        <v>26.069070015898678</v>
      </c>
      <c r="G752" s="120">
        <v>23876.07</v>
      </c>
      <c r="H752" s="120">
        <v>59728.37</v>
      </c>
    </row>
    <row r="753" spans="1:18" ht="15" customHeight="1" x14ac:dyDescent="0.35">
      <c r="A753" s="139">
        <v>4110</v>
      </c>
      <c r="B753" s="130"/>
      <c r="C753" s="131" t="s">
        <v>1156</v>
      </c>
      <c r="D753" s="120">
        <v>24740.13</v>
      </c>
      <c r="E753" s="120">
        <v>632.16579999999999</v>
      </c>
      <c r="F753" s="121">
        <f t="shared" si="31"/>
        <v>2.5552242449817362</v>
      </c>
      <c r="G753" s="120">
        <v>23700.23</v>
      </c>
      <c r="H753" s="120">
        <v>25780.03</v>
      </c>
    </row>
    <row r="754" spans="1:18" ht="15" customHeight="1" x14ac:dyDescent="0.35">
      <c r="A754" s="139">
        <v>9000</v>
      </c>
      <c r="B754" s="118" t="s">
        <v>1350</v>
      </c>
      <c r="C754" s="182" t="s">
        <v>1207</v>
      </c>
      <c r="D754" s="120">
        <v>15919.07</v>
      </c>
      <c r="E754" s="120">
        <v>910.41380000000004</v>
      </c>
      <c r="F754" s="121">
        <f t="shared" si="31"/>
        <v>5.719013736355202</v>
      </c>
      <c r="G754" s="120">
        <v>14421.45</v>
      </c>
      <c r="H754" s="120">
        <v>17416.689999999999</v>
      </c>
    </row>
    <row r="755" spans="1:18" ht="15" customHeight="1" x14ac:dyDescent="0.35">
      <c r="A755" s="132"/>
      <c r="B755" s="130"/>
      <c r="C755" s="131"/>
      <c r="D755" s="120"/>
      <c r="E755" s="120"/>
      <c r="F755" s="121"/>
      <c r="G755" s="120"/>
      <c r="H755" s="120"/>
    </row>
    <row r="756" spans="1:18" ht="28" customHeight="1" x14ac:dyDescent="0.35">
      <c r="A756" s="4" t="s">
        <v>1191</v>
      </c>
      <c r="B756" s="145"/>
      <c r="C756" s="31" t="s">
        <v>1272</v>
      </c>
      <c r="D756" s="120"/>
      <c r="E756" s="120"/>
      <c r="F756" s="121"/>
      <c r="G756" s="120"/>
      <c r="H756" s="120"/>
    </row>
    <row r="757" spans="1:18" ht="15" customHeight="1" x14ac:dyDescent="0.35">
      <c r="A757" s="139">
        <v>2114</v>
      </c>
      <c r="B757" s="3"/>
      <c r="C757" s="140" t="s">
        <v>175</v>
      </c>
      <c r="D757" s="120">
        <v>62541.59</v>
      </c>
      <c r="E757" s="120">
        <v>2160.3629999999998</v>
      </c>
      <c r="F757" s="121">
        <f t="shared" si="31"/>
        <v>3.4542821824645005</v>
      </c>
      <c r="G757" s="120">
        <v>58987.83</v>
      </c>
      <c r="H757" s="120">
        <v>66095.360000000001</v>
      </c>
      <c r="J757" t="s">
        <v>150</v>
      </c>
      <c r="K757" t="s">
        <v>174</v>
      </c>
      <c r="L757" t="s">
        <v>173</v>
      </c>
      <c r="M757">
        <v>45685.67</v>
      </c>
      <c r="N757">
        <v>10074.73</v>
      </c>
      <c r="O757" s="122">
        <v>22.052275910586406</v>
      </c>
      <c r="P757">
        <v>25835.57</v>
      </c>
      <c r="Q757">
        <v>65535.77</v>
      </c>
      <c r="R757" s="124"/>
    </row>
    <row r="758" spans="1:18" ht="15" customHeight="1" x14ac:dyDescent="0.35">
      <c r="A758" s="139">
        <v>2142</v>
      </c>
      <c r="B758" s="3"/>
      <c r="C758" s="129" t="s">
        <v>172</v>
      </c>
      <c r="D758" s="120">
        <v>48559.93</v>
      </c>
      <c r="E758" s="120">
        <v>9436.375</v>
      </c>
      <c r="F758" s="121">
        <f t="shared" si="31"/>
        <v>19.432431224674335</v>
      </c>
      <c r="G758" s="120">
        <v>33037.230000000003</v>
      </c>
      <c r="H758" s="120">
        <v>64082.63</v>
      </c>
      <c r="J758" t="s">
        <v>150</v>
      </c>
      <c r="K758" t="s">
        <v>171</v>
      </c>
      <c r="L758" t="s">
        <v>170</v>
      </c>
      <c r="M758">
        <v>39267.22</v>
      </c>
      <c r="N758">
        <v>2895.2849999999999</v>
      </c>
      <c r="O758" s="122">
        <v>7.3732874392432164</v>
      </c>
      <c r="P758">
        <v>33562.68</v>
      </c>
      <c r="Q758">
        <v>44971.76</v>
      </c>
      <c r="R758" s="124"/>
    </row>
    <row r="759" spans="1:18" ht="15" customHeight="1" x14ac:dyDescent="0.35">
      <c r="A759" s="139">
        <v>2151</v>
      </c>
      <c r="B759" s="3"/>
      <c r="C759" s="129" t="s">
        <v>169</v>
      </c>
      <c r="D759" s="120">
        <v>49038.66</v>
      </c>
      <c r="E759" s="120">
        <v>7932.4279999999999</v>
      </c>
      <c r="F759" s="121">
        <f t="shared" si="31"/>
        <v>16.175866143161333</v>
      </c>
      <c r="G759" s="120">
        <v>35989.93</v>
      </c>
      <c r="H759" s="120">
        <v>62087.39</v>
      </c>
      <c r="J759" t="s">
        <v>150</v>
      </c>
      <c r="K759" t="s">
        <v>168</v>
      </c>
      <c r="L759" t="s">
        <v>167</v>
      </c>
      <c r="M759">
        <v>40734.559999999998</v>
      </c>
      <c r="N759">
        <v>5355.2629999999999</v>
      </c>
      <c r="O759" s="122">
        <v>13.146730933143749</v>
      </c>
      <c r="P759">
        <v>30183.16</v>
      </c>
      <c r="Q759">
        <v>51285.97</v>
      </c>
      <c r="R759" s="124"/>
    </row>
    <row r="760" spans="1:18" ht="15" customHeight="1" x14ac:dyDescent="0.35">
      <c r="A760" s="139">
        <v>2161</v>
      </c>
      <c r="B760" s="3"/>
      <c r="C760" s="129" t="s">
        <v>166</v>
      </c>
      <c r="D760" s="120">
        <v>36492.47</v>
      </c>
      <c r="E760" s="120">
        <v>1537.202</v>
      </c>
      <c r="F760" s="121">
        <f t="shared" si="31"/>
        <v>4.2123813488097683</v>
      </c>
      <c r="G760" s="120">
        <v>33963.79</v>
      </c>
      <c r="H760" s="120">
        <v>39021.14</v>
      </c>
      <c r="J760" t="s">
        <v>150</v>
      </c>
      <c r="K760" t="s">
        <v>165</v>
      </c>
      <c r="L760" t="s">
        <v>164</v>
      </c>
      <c r="M760">
        <v>40765.300000000003</v>
      </c>
      <c r="N760">
        <v>5707.0590000000002</v>
      </c>
      <c r="O760" s="122">
        <v>13.999796395463788</v>
      </c>
      <c r="P760">
        <v>29520.76</v>
      </c>
      <c r="Q760">
        <v>52009.84</v>
      </c>
      <c r="R760" s="124"/>
    </row>
    <row r="761" spans="1:18" ht="15" customHeight="1" x14ac:dyDescent="0.35">
      <c r="A761" s="139">
        <v>2162</v>
      </c>
      <c r="B761" s="3"/>
      <c r="C761" s="129" t="s">
        <v>163</v>
      </c>
      <c r="D761" s="120">
        <v>30404.95</v>
      </c>
      <c r="E761" s="120">
        <v>4433.4620000000004</v>
      </c>
      <c r="F761" s="121">
        <f t="shared" si="31"/>
        <v>14.58138230781501</v>
      </c>
      <c r="G761" s="120">
        <v>23111.97</v>
      </c>
      <c r="H761" s="120">
        <v>37697.93</v>
      </c>
      <c r="O761" s="122"/>
      <c r="R761" s="124"/>
    </row>
    <row r="762" spans="1:18" ht="15" customHeight="1" x14ac:dyDescent="0.35">
      <c r="A762" s="139">
        <v>2164</v>
      </c>
      <c r="B762" s="3"/>
      <c r="C762" s="129" t="s">
        <v>1273</v>
      </c>
      <c r="D762" s="120">
        <v>13255.7</v>
      </c>
      <c r="E762" s="120">
        <v>770.89110000000005</v>
      </c>
      <c r="F762" s="121">
        <f t="shared" si="31"/>
        <v>5.8155442564330819</v>
      </c>
      <c r="G762" s="120">
        <v>11987.6</v>
      </c>
      <c r="H762" s="120">
        <v>14523.81</v>
      </c>
      <c r="O762" s="122"/>
      <c r="R762" s="124"/>
    </row>
    <row r="763" spans="1:18" ht="15" customHeight="1" x14ac:dyDescent="0.35">
      <c r="A763" s="201">
        <v>2165</v>
      </c>
      <c r="B763" s="224"/>
      <c r="C763" s="225" t="s">
        <v>1274</v>
      </c>
      <c r="D763" s="120">
        <v>28393.24</v>
      </c>
      <c r="E763" s="120">
        <v>3681.4690000000001</v>
      </c>
      <c r="F763" s="121">
        <f t="shared" si="31"/>
        <v>12.966005288582775</v>
      </c>
      <c r="G763" s="120">
        <v>22337.279999999999</v>
      </c>
      <c r="H763" s="120">
        <v>34449.21</v>
      </c>
      <c r="J763" t="s">
        <v>150</v>
      </c>
      <c r="K763" t="s">
        <v>162</v>
      </c>
      <c r="L763" t="s">
        <v>161</v>
      </c>
      <c r="M763">
        <v>36540.93</v>
      </c>
      <c r="N763">
        <v>2585.7179999999998</v>
      </c>
      <c r="O763" s="122">
        <v>7.0762238399515276</v>
      </c>
      <c r="P763">
        <v>31446.32</v>
      </c>
      <c r="Q763">
        <v>41635.53</v>
      </c>
      <c r="R763" s="124"/>
    </row>
    <row r="764" spans="1:18" ht="15" customHeight="1" x14ac:dyDescent="0.35">
      <c r="A764" s="139"/>
      <c r="B764" s="3"/>
      <c r="C764" s="129"/>
      <c r="D764" s="154"/>
      <c r="E764" s="154"/>
      <c r="F764" s="213"/>
      <c r="G764" s="154"/>
      <c r="H764" s="154"/>
      <c r="O764" s="122"/>
      <c r="R764" s="124"/>
    </row>
    <row r="765" spans="1:18" ht="15" customHeight="1" x14ac:dyDescent="0.35">
      <c r="A765" s="2" t="s">
        <v>94</v>
      </c>
      <c r="B765" s="3"/>
      <c r="C765" s="129"/>
      <c r="D765" s="161"/>
      <c r="E765" s="161"/>
      <c r="F765" s="214"/>
      <c r="G765" s="161"/>
      <c r="H765" s="161"/>
      <c r="O765" s="122"/>
      <c r="R765" s="124"/>
    </row>
    <row r="766" spans="1:18" ht="15" customHeight="1" x14ac:dyDescent="0.35">
      <c r="A766" s="2" t="s">
        <v>93</v>
      </c>
      <c r="B766" s="3"/>
      <c r="C766" s="129"/>
      <c r="D766" s="161"/>
      <c r="E766" s="161"/>
      <c r="F766" s="214"/>
      <c r="G766" s="161"/>
      <c r="H766" s="161"/>
      <c r="O766" s="122"/>
      <c r="R766" s="124"/>
    </row>
    <row r="767" spans="1:18" ht="15" customHeight="1" x14ac:dyDescent="0.35">
      <c r="A767" s="159" t="s">
        <v>965</v>
      </c>
      <c r="B767" s="3"/>
      <c r="C767" s="129"/>
      <c r="D767" s="161"/>
      <c r="E767" s="161"/>
      <c r="F767" s="214"/>
      <c r="G767" s="161"/>
      <c r="H767" s="161"/>
      <c r="O767" s="122"/>
      <c r="R767" s="124"/>
    </row>
    <row r="768" spans="1:18" ht="15" customHeight="1" x14ac:dyDescent="0.35">
      <c r="A768" s="159" t="s">
        <v>0</v>
      </c>
      <c r="B768" s="3"/>
      <c r="C768" s="129"/>
      <c r="D768" s="161"/>
      <c r="E768" s="161"/>
      <c r="F768" s="214"/>
      <c r="G768" s="161"/>
      <c r="H768" s="161"/>
      <c r="O768" s="122"/>
      <c r="R768" s="124"/>
    </row>
    <row r="769" spans="1:18" ht="30" customHeight="1" x14ac:dyDescent="0.35">
      <c r="A769" s="403" t="s">
        <v>1349</v>
      </c>
      <c r="B769" s="403"/>
      <c r="C769" s="403"/>
      <c r="D769" s="403"/>
      <c r="E769" s="403"/>
      <c r="F769" s="403"/>
      <c r="G769" s="403"/>
      <c r="H769" s="403"/>
      <c r="O769" s="122"/>
      <c r="R769" s="124"/>
    </row>
    <row r="770" spans="1:18" ht="15" customHeight="1" x14ac:dyDescent="0.35">
      <c r="A770" s="404" t="s">
        <v>1336</v>
      </c>
      <c r="B770" s="404"/>
      <c r="C770" s="404"/>
      <c r="D770" s="404"/>
      <c r="E770" s="404"/>
      <c r="F770" s="404"/>
      <c r="G770" s="404"/>
      <c r="H770" s="404"/>
      <c r="O770" s="122"/>
      <c r="R770" s="124"/>
    </row>
    <row r="771" spans="1:18" ht="15" customHeight="1" x14ac:dyDescent="0.35">
      <c r="A771" s="123"/>
      <c r="B771" s="123"/>
      <c r="C771" s="123"/>
      <c r="D771" s="123"/>
      <c r="O771" s="122"/>
      <c r="R771" s="124"/>
    </row>
    <row r="772" spans="1:18" ht="25" customHeight="1" x14ac:dyDescent="0.35">
      <c r="A772" s="405" t="s">
        <v>993</v>
      </c>
      <c r="B772" s="406"/>
      <c r="C772" s="409" t="s">
        <v>92</v>
      </c>
      <c r="D772" s="419" t="s">
        <v>91</v>
      </c>
      <c r="E772" s="419" t="s">
        <v>90</v>
      </c>
      <c r="F772" s="420" t="s">
        <v>89</v>
      </c>
      <c r="G772" s="419" t="s">
        <v>1186</v>
      </c>
      <c r="H772" s="419"/>
      <c r="O772" s="122"/>
      <c r="R772" s="124"/>
    </row>
    <row r="773" spans="1:18" ht="25" customHeight="1" x14ac:dyDescent="0.35">
      <c r="A773" s="407"/>
      <c r="B773" s="408"/>
      <c r="C773" s="410"/>
      <c r="D773" s="419"/>
      <c r="E773" s="419"/>
      <c r="F773" s="420"/>
      <c r="G773" s="5" t="s">
        <v>88</v>
      </c>
      <c r="H773" s="5" t="s">
        <v>87</v>
      </c>
      <c r="O773" s="122"/>
      <c r="R773" s="124"/>
    </row>
    <row r="774" spans="1:18" ht="15" customHeight="1" x14ac:dyDescent="0.35">
      <c r="A774" s="139"/>
      <c r="B774" s="3"/>
      <c r="C774" s="129"/>
      <c r="D774" s="120"/>
      <c r="E774" s="120"/>
      <c r="F774" s="121"/>
      <c r="G774" s="120"/>
      <c r="H774" s="120"/>
      <c r="O774" s="122"/>
      <c r="R774" s="124"/>
    </row>
    <row r="775" spans="1:18" ht="15" customHeight="1" x14ac:dyDescent="0.35">
      <c r="A775" s="139">
        <v>3112</v>
      </c>
      <c r="B775" s="3"/>
      <c r="C775" s="129" t="s">
        <v>160</v>
      </c>
      <c r="D775" s="120">
        <v>27944.799999999999</v>
      </c>
      <c r="E775" s="120">
        <v>5570.7979999999998</v>
      </c>
      <c r="F775" s="121">
        <f t="shared" si="31"/>
        <v>19.935007586384586</v>
      </c>
      <c r="G775" s="120">
        <v>18780.919999999998</v>
      </c>
      <c r="H775" s="120">
        <v>37108.69</v>
      </c>
      <c r="J775" t="s">
        <v>150</v>
      </c>
      <c r="K775" t="s">
        <v>159</v>
      </c>
      <c r="L775" t="s">
        <v>158</v>
      </c>
      <c r="M775">
        <v>29430.880000000001</v>
      </c>
      <c r="N775">
        <v>3181.8270000000002</v>
      </c>
      <c r="O775" s="122">
        <v>10.811185394388479</v>
      </c>
      <c r="P775">
        <v>23161.77</v>
      </c>
      <c r="Q775">
        <v>35699.99</v>
      </c>
      <c r="R775" s="124"/>
    </row>
    <row r="776" spans="1:18" ht="15" customHeight="1" x14ac:dyDescent="0.35">
      <c r="A776" s="139">
        <v>3113</v>
      </c>
      <c r="B776" s="3"/>
      <c r="C776" s="180" t="s">
        <v>157</v>
      </c>
      <c r="D776" s="120">
        <v>17542.2</v>
      </c>
      <c r="E776" s="120">
        <v>781.66240000000005</v>
      </c>
      <c r="F776" s="121">
        <f t="shared" si="31"/>
        <v>4.4558972078758652</v>
      </c>
      <c r="G776" s="120">
        <v>16256.38</v>
      </c>
      <c r="H776" s="120">
        <v>18828.03</v>
      </c>
      <c r="J776" t="s">
        <v>150</v>
      </c>
      <c r="K776" t="s">
        <v>156</v>
      </c>
      <c r="L776" t="s">
        <v>155</v>
      </c>
      <c r="M776">
        <v>27893.93</v>
      </c>
      <c r="N776">
        <v>5764.2820000000002</v>
      </c>
      <c r="O776" s="122">
        <v>20.665004895330274</v>
      </c>
      <c r="P776">
        <v>16536.650000000001</v>
      </c>
      <c r="Q776">
        <v>39251.22</v>
      </c>
      <c r="R776" s="124"/>
    </row>
    <row r="777" spans="1:18" ht="15" customHeight="1" x14ac:dyDescent="0.35">
      <c r="A777" s="139">
        <v>3118</v>
      </c>
      <c r="B777" s="3"/>
      <c r="C777" s="180" t="s">
        <v>154</v>
      </c>
      <c r="D777" s="120">
        <v>25801.71</v>
      </c>
      <c r="E777" s="120">
        <v>2844.3760000000002</v>
      </c>
      <c r="F777" s="121">
        <f t="shared" si="31"/>
        <v>11.023982518988083</v>
      </c>
      <c r="G777" s="120">
        <v>21122.75</v>
      </c>
      <c r="H777" s="120">
        <v>30480.66</v>
      </c>
      <c r="J777" t="s">
        <v>150</v>
      </c>
      <c r="K777" t="s">
        <v>153</v>
      </c>
      <c r="L777" t="s">
        <v>152</v>
      </c>
      <c r="M777">
        <v>17703.53</v>
      </c>
      <c r="N777">
        <v>2628.7950000000001</v>
      </c>
      <c r="O777" s="122">
        <v>14.848987744252137</v>
      </c>
      <c r="P777">
        <v>12524.05</v>
      </c>
      <c r="Q777">
        <v>22883.01</v>
      </c>
      <c r="R777" s="124"/>
    </row>
    <row r="778" spans="1:18" ht="15" customHeight="1" x14ac:dyDescent="0.35">
      <c r="A778" s="139">
        <v>4110</v>
      </c>
      <c r="B778" s="3"/>
      <c r="C778" s="180" t="s">
        <v>1156</v>
      </c>
      <c r="D778" s="120">
        <v>19003.759999999998</v>
      </c>
      <c r="E778" s="120">
        <v>1527.394</v>
      </c>
      <c r="F778" s="121">
        <f t="shared" si="31"/>
        <v>8.0373252451093897</v>
      </c>
      <c r="G778" s="120">
        <v>16491.22</v>
      </c>
      <c r="H778" s="120">
        <v>21516.3</v>
      </c>
      <c r="J778" t="s">
        <v>150</v>
      </c>
      <c r="K778" t="s">
        <v>14</v>
      </c>
      <c r="L778" t="s">
        <v>151</v>
      </c>
      <c r="M778">
        <v>23455.09</v>
      </c>
      <c r="N778">
        <v>1770.4169999999999</v>
      </c>
      <c r="O778" s="122">
        <v>7.5481142899046647</v>
      </c>
      <c r="P778">
        <v>19966.86</v>
      </c>
      <c r="Q778">
        <v>26943.31</v>
      </c>
      <c r="R778" s="124"/>
    </row>
    <row r="779" spans="1:18" ht="15" customHeight="1" x14ac:dyDescent="0.35">
      <c r="A779" s="117">
        <v>9000</v>
      </c>
      <c r="B779" s="118" t="s">
        <v>1350</v>
      </c>
      <c r="C779" s="119" t="s">
        <v>1207</v>
      </c>
      <c r="D779" s="120">
        <v>13514.63</v>
      </c>
      <c r="E779" s="120">
        <v>288.78399999999999</v>
      </c>
      <c r="F779" s="121">
        <f t="shared" si="31"/>
        <v>2.1368250555139134</v>
      </c>
      <c r="G779" s="120">
        <v>13039.59</v>
      </c>
      <c r="H779" s="120">
        <v>13989.68</v>
      </c>
      <c r="J779" t="s">
        <v>150</v>
      </c>
      <c r="K779" t="s">
        <v>5</v>
      </c>
      <c r="L779" t="s">
        <v>149</v>
      </c>
      <c r="M779">
        <v>13126.39</v>
      </c>
      <c r="N779">
        <v>851.33609999999999</v>
      </c>
      <c r="O779" s="122">
        <v>6.4856834209557999</v>
      </c>
      <c r="P779">
        <v>11449.01</v>
      </c>
      <c r="Q779">
        <v>14803.77</v>
      </c>
      <c r="R779" s="124"/>
    </row>
    <row r="780" spans="1:18" ht="15" customHeight="1" x14ac:dyDescent="0.35">
      <c r="A780" s="132"/>
      <c r="B780" s="130"/>
      <c r="C780" s="119"/>
      <c r="D780" s="120"/>
      <c r="E780" s="120"/>
      <c r="F780" s="121"/>
      <c r="G780" s="120"/>
      <c r="H780" s="120"/>
    </row>
    <row r="781" spans="1:18" ht="15" customHeight="1" x14ac:dyDescent="0.35">
      <c r="A781" s="4" t="s">
        <v>1192</v>
      </c>
      <c r="B781" s="130"/>
      <c r="C781" s="164" t="s">
        <v>1275</v>
      </c>
      <c r="D781" s="120"/>
      <c r="E781" s="120"/>
      <c r="F781" s="121"/>
      <c r="G781" s="120"/>
      <c r="H781" s="120"/>
    </row>
    <row r="782" spans="1:18" ht="15" customHeight="1" x14ac:dyDescent="0.35">
      <c r="A782" s="139">
        <v>4110</v>
      </c>
      <c r="B782" s="3"/>
      <c r="C782" s="180" t="s">
        <v>1156</v>
      </c>
      <c r="D782" s="120">
        <v>27927.32</v>
      </c>
      <c r="E782" s="120">
        <v>1114.0519999999999</v>
      </c>
      <c r="F782" s="121">
        <f t="shared" si="31"/>
        <v>3.9891117371806528</v>
      </c>
      <c r="G782" s="120">
        <v>26094.720000000001</v>
      </c>
      <c r="H782" s="120">
        <v>29759.919999999998</v>
      </c>
    </row>
    <row r="783" spans="1:18" ht="15" customHeight="1" x14ac:dyDescent="0.35">
      <c r="A783" s="117">
        <v>9000</v>
      </c>
      <c r="B783" s="118" t="s">
        <v>1350</v>
      </c>
      <c r="C783" s="119" t="s">
        <v>1207</v>
      </c>
      <c r="D783" s="120">
        <v>19356.849999999999</v>
      </c>
      <c r="E783" s="120">
        <v>1761.135</v>
      </c>
      <c r="F783" s="121">
        <f t="shared" si="31"/>
        <v>9.0982520399755131</v>
      </c>
      <c r="G783" s="120">
        <v>16459.810000000001</v>
      </c>
      <c r="H783" s="120">
        <v>22253.89</v>
      </c>
    </row>
    <row r="784" spans="1:18" ht="15" customHeight="1" x14ac:dyDescent="0.35">
      <c r="A784" s="132"/>
      <c r="B784" s="130"/>
      <c r="C784" s="119"/>
      <c r="D784" s="120"/>
      <c r="E784" s="120"/>
      <c r="F784" s="121"/>
      <c r="G784" s="120"/>
      <c r="H784" s="120"/>
    </row>
    <row r="785" spans="1:8" ht="15" customHeight="1" x14ac:dyDescent="0.35">
      <c r="A785" s="4" t="s">
        <v>1193</v>
      </c>
      <c r="B785" s="130"/>
      <c r="C785" s="179" t="s">
        <v>1276</v>
      </c>
      <c r="D785" s="120"/>
      <c r="E785" s="120"/>
      <c r="F785" s="121"/>
      <c r="G785" s="120"/>
      <c r="H785" s="120"/>
    </row>
    <row r="786" spans="1:8" ht="15" customHeight="1" x14ac:dyDescent="0.35">
      <c r="A786" s="139">
        <v>2122</v>
      </c>
      <c r="B786" s="130"/>
      <c r="C786" s="119" t="s">
        <v>1277</v>
      </c>
      <c r="D786" s="120">
        <v>23106.14</v>
      </c>
      <c r="E786" s="120">
        <v>1527.0329999999999</v>
      </c>
      <c r="F786" s="121">
        <f t="shared" si="31"/>
        <v>6.6087758491898683</v>
      </c>
      <c r="G786" s="120">
        <v>20594.2</v>
      </c>
      <c r="H786" s="120">
        <v>25618.09</v>
      </c>
    </row>
    <row r="787" spans="1:8" ht="15" customHeight="1" x14ac:dyDescent="0.35">
      <c r="A787" s="139">
        <v>2166</v>
      </c>
      <c r="B787" s="130"/>
      <c r="C787" s="119" t="s">
        <v>367</v>
      </c>
      <c r="D787" s="120">
        <v>23692.94</v>
      </c>
      <c r="E787" s="120">
        <v>1746.4960000000001</v>
      </c>
      <c r="F787" s="121">
        <f t="shared" si="31"/>
        <v>7.3713772963591691</v>
      </c>
      <c r="G787" s="120">
        <v>20819.98</v>
      </c>
      <c r="H787" s="120">
        <v>26565.9</v>
      </c>
    </row>
    <row r="788" spans="1:8" ht="15" customHeight="1" x14ac:dyDescent="0.35">
      <c r="A788" s="139">
        <v>2431</v>
      </c>
      <c r="B788" s="130"/>
      <c r="C788" s="119" t="s">
        <v>1278</v>
      </c>
      <c r="D788" s="120">
        <v>37623.879999999997</v>
      </c>
      <c r="E788" s="120">
        <v>1873.319</v>
      </c>
      <c r="F788" s="121">
        <f t="shared" si="31"/>
        <v>4.9790691443838329</v>
      </c>
      <c r="G788" s="120">
        <v>34542.300000000003</v>
      </c>
      <c r="H788" s="120">
        <v>40705.46</v>
      </c>
    </row>
    <row r="789" spans="1:8" ht="15" customHeight="1" x14ac:dyDescent="0.35">
      <c r="A789" s="139">
        <v>2513</v>
      </c>
      <c r="B789" s="130"/>
      <c r="C789" s="119" t="s">
        <v>338</v>
      </c>
      <c r="D789" s="120">
        <v>39084.559999999998</v>
      </c>
      <c r="E789" s="120">
        <v>2965.7510000000002</v>
      </c>
      <c r="F789" s="121">
        <f t="shared" si="31"/>
        <v>7.5880373221548361</v>
      </c>
      <c r="G789" s="120">
        <v>34205.94</v>
      </c>
      <c r="H789" s="120">
        <v>43963.17</v>
      </c>
    </row>
    <row r="790" spans="1:8" ht="15" customHeight="1" x14ac:dyDescent="0.35">
      <c r="A790" s="139">
        <v>2640</v>
      </c>
      <c r="B790" s="130"/>
      <c r="C790" s="119" t="s">
        <v>1249</v>
      </c>
      <c r="D790" s="120">
        <v>32446.09</v>
      </c>
      <c r="E790" s="120">
        <v>1583.7439999999999</v>
      </c>
      <c r="F790" s="121">
        <f t="shared" si="31"/>
        <v>4.8811551715476345</v>
      </c>
      <c r="G790" s="120">
        <v>29840.85</v>
      </c>
      <c r="H790" s="120">
        <v>35051.32</v>
      </c>
    </row>
    <row r="791" spans="1:8" ht="15" customHeight="1" x14ac:dyDescent="0.35">
      <c r="A791" s="139">
        <v>2651</v>
      </c>
      <c r="B791" s="130"/>
      <c r="C791" s="119" t="s">
        <v>337</v>
      </c>
      <c r="D791" s="120">
        <v>17194.59</v>
      </c>
      <c r="E791" s="120">
        <v>927.71950000000004</v>
      </c>
      <c r="F791" s="121">
        <f t="shared" si="31"/>
        <v>5.3954150695073277</v>
      </c>
      <c r="G791" s="120">
        <v>15668.51</v>
      </c>
      <c r="H791" s="120">
        <v>18720.68</v>
      </c>
    </row>
    <row r="792" spans="1:8" ht="15" customHeight="1" x14ac:dyDescent="0.35">
      <c r="A792" s="139">
        <v>3431</v>
      </c>
      <c r="B792" s="130"/>
      <c r="C792" s="119" t="s">
        <v>1253</v>
      </c>
      <c r="D792" s="120">
        <v>35000</v>
      </c>
      <c r="E792" s="120" t="s">
        <v>289</v>
      </c>
      <c r="F792" s="120" t="s">
        <v>289</v>
      </c>
      <c r="G792" s="120" t="s">
        <v>289</v>
      </c>
      <c r="H792" s="120" t="s">
        <v>289</v>
      </c>
    </row>
    <row r="793" spans="1:8" ht="15" customHeight="1" x14ac:dyDescent="0.35">
      <c r="A793" s="139">
        <v>4110</v>
      </c>
      <c r="B793" s="130"/>
      <c r="C793" s="119" t="s">
        <v>1156</v>
      </c>
      <c r="D793" s="120">
        <v>23760.63</v>
      </c>
      <c r="E793" s="120">
        <v>460.09629999999999</v>
      </c>
      <c r="F793" s="121">
        <f t="shared" si="31"/>
        <v>1.9363808956244004</v>
      </c>
      <c r="G793" s="120">
        <v>23003.77</v>
      </c>
      <c r="H793" s="120">
        <v>24517.48</v>
      </c>
    </row>
    <row r="794" spans="1:8" ht="15" customHeight="1" x14ac:dyDescent="0.35">
      <c r="A794" s="139">
        <v>4227</v>
      </c>
      <c r="B794" s="130"/>
      <c r="C794" s="119" t="s">
        <v>1279</v>
      </c>
      <c r="D794" s="120">
        <v>23465.99</v>
      </c>
      <c r="E794" s="120">
        <v>1326.874</v>
      </c>
      <c r="F794" s="121">
        <f t="shared" si="31"/>
        <v>5.6544556611504566</v>
      </c>
      <c r="G794" s="120">
        <v>21283.31</v>
      </c>
      <c r="H794" s="120">
        <v>25648.68</v>
      </c>
    </row>
    <row r="795" spans="1:8" ht="15" customHeight="1" x14ac:dyDescent="0.35">
      <c r="A795" s="139">
        <v>7322</v>
      </c>
      <c r="B795" s="130"/>
      <c r="C795" s="119" t="s">
        <v>352</v>
      </c>
      <c r="D795" s="120">
        <v>14394.12</v>
      </c>
      <c r="E795" s="120">
        <v>517.42729999999995</v>
      </c>
      <c r="F795" s="121">
        <f t="shared" si="31"/>
        <v>3.5947129800223974</v>
      </c>
      <c r="G795" s="120">
        <v>13542.96</v>
      </c>
      <c r="H795" s="120">
        <v>15245.28</v>
      </c>
    </row>
    <row r="796" spans="1:8" ht="15" customHeight="1" x14ac:dyDescent="0.35">
      <c r="A796" s="139">
        <v>7323</v>
      </c>
      <c r="B796" s="130"/>
      <c r="C796" s="119" t="s">
        <v>346</v>
      </c>
      <c r="D796" s="120">
        <v>18182.07</v>
      </c>
      <c r="E796" s="120">
        <v>408.1696</v>
      </c>
      <c r="F796" s="121">
        <f t="shared" si="31"/>
        <v>2.2449017081113425</v>
      </c>
      <c r="G796" s="120">
        <v>17510.64</v>
      </c>
      <c r="H796" s="120">
        <v>18853.5</v>
      </c>
    </row>
    <row r="797" spans="1:8" ht="15" customHeight="1" x14ac:dyDescent="0.35">
      <c r="A797" s="117">
        <v>9000</v>
      </c>
      <c r="B797" s="118" t="s">
        <v>1350</v>
      </c>
      <c r="C797" s="119" t="s">
        <v>1207</v>
      </c>
      <c r="D797" s="120">
        <v>13993.77</v>
      </c>
      <c r="E797" s="120">
        <v>491.36520000000002</v>
      </c>
      <c r="F797" s="121">
        <f t="shared" si="31"/>
        <v>3.5113139632850907</v>
      </c>
      <c r="G797" s="120">
        <v>13185.48</v>
      </c>
      <c r="H797" s="120">
        <v>14802.06</v>
      </c>
    </row>
    <row r="798" spans="1:8" ht="15" customHeight="1" x14ac:dyDescent="0.35">
      <c r="A798" s="132"/>
      <c r="B798" s="130"/>
      <c r="C798" s="119"/>
      <c r="D798" s="120"/>
      <c r="E798" s="120"/>
      <c r="F798" s="121"/>
      <c r="G798" s="120"/>
      <c r="H798" s="120"/>
    </row>
    <row r="799" spans="1:8" ht="15" customHeight="1" x14ac:dyDescent="0.35">
      <c r="A799" s="4" t="s">
        <v>1194</v>
      </c>
      <c r="B799" s="130"/>
      <c r="C799" s="164" t="s">
        <v>1280</v>
      </c>
      <c r="D799" s="120"/>
      <c r="E799" s="120"/>
      <c r="F799" s="121"/>
      <c r="G799" s="120"/>
      <c r="H799" s="120"/>
    </row>
    <row r="800" spans="1:8" ht="15" customHeight="1" x14ac:dyDescent="0.35">
      <c r="A800" s="139">
        <v>4110</v>
      </c>
      <c r="B800" s="3"/>
      <c r="C800" s="180" t="s">
        <v>1156</v>
      </c>
      <c r="D800" s="120">
        <v>23348.62</v>
      </c>
      <c r="E800" s="120">
        <v>1099.414</v>
      </c>
      <c r="F800" s="121">
        <f t="shared" si="31"/>
        <v>4.708689421473303</v>
      </c>
      <c r="G800" s="120">
        <v>21540.1</v>
      </c>
      <c r="H800" s="120">
        <v>25157.14</v>
      </c>
    </row>
    <row r="801" spans="1:8" ht="15" customHeight="1" x14ac:dyDescent="0.35">
      <c r="A801" s="117">
        <v>9000</v>
      </c>
      <c r="B801" s="118" t="s">
        <v>7</v>
      </c>
      <c r="C801" s="119" t="s">
        <v>1207</v>
      </c>
      <c r="D801" s="120">
        <v>15547.21</v>
      </c>
      <c r="E801" s="120">
        <v>906.82629999999995</v>
      </c>
      <c r="F801" s="121">
        <f t="shared" si="31"/>
        <v>5.8327269008394431</v>
      </c>
      <c r="G801" s="120">
        <v>14055.49</v>
      </c>
      <c r="H801" s="120">
        <v>17038.93</v>
      </c>
    </row>
    <row r="802" spans="1:8" ht="15" customHeight="1" x14ac:dyDescent="0.35">
      <c r="A802" s="132"/>
      <c r="B802" s="130"/>
      <c r="C802" s="119"/>
      <c r="D802" s="120"/>
      <c r="E802" s="120"/>
      <c r="F802" s="121"/>
      <c r="G802" s="120"/>
      <c r="H802" s="120"/>
    </row>
    <row r="803" spans="1:8" ht="15" customHeight="1" x14ac:dyDescent="0.35">
      <c r="A803" s="4" t="s">
        <v>1195</v>
      </c>
      <c r="B803" s="130"/>
      <c r="C803" s="179" t="s">
        <v>1281</v>
      </c>
      <c r="D803" s="120"/>
      <c r="E803" s="120"/>
      <c r="F803" s="121"/>
      <c r="G803" s="120"/>
      <c r="H803" s="120"/>
    </row>
    <row r="804" spans="1:8" ht="15" customHeight="1" x14ac:dyDescent="0.35">
      <c r="A804" s="139">
        <v>2250</v>
      </c>
      <c r="B804" s="130"/>
      <c r="C804" s="119" t="s">
        <v>1282</v>
      </c>
      <c r="D804" s="120">
        <v>38078.81</v>
      </c>
      <c r="E804" s="120">
        <v>1539.0119999999999</v>
      </c>
      <c r="F804" s="121">
        <f t="shared" si="31"/>
        <v>4.0416494107877847</v>
      </c>
      <c r="G804" s="120">
        <v>35547.160000000003</v>
      </c>
      <c r="H804" s="120">
        <v>40610.47</v>
      </c>
    </row>
    <row r="805" spans="1:8" ht="15" customHeight="1" x14ac:dyDescent="0.35">
      <c r="A805" s="139">
        <v>3240</v>
      </c>
      <c r="B805" s="130"/>
      <c r="C805" s="119" t="s">
        <v>1283</v>
      </c>
      <c r="D805" s="120">
        <v>16257.76</v>
      </c>
      <c r="E805" s="120">
        <v>454.47840000000002</v>
      </c>
      <c r="F805" s="121">
        <f t="shared" si="31"/>
        <v>2.7954552164627846</v>
      </c>
      <c r="G805" s="120">
        <v>15510.15</v>
      </c>
      <c r="H805" s="120">
        <v>17005.37</v>
      </c>
    </row>
    <row r="806" spans="1:8" ht="15" customHeight="1" x14ac:dyDescent="0.35">
      <c r="A806" s="139">
        <v>4110</v>
      </c>
      <c r="B806" s="130"/>
      <c r="C806" s="119" t="s">
        <v>1156</v>
      </c>
      <c r="D806" s="120">
        <v>15731.97</v>
      </c>
      <c r="E806" s="120">
        <v>464.0299</v>
      </c>
      <c r="F806" s="121">
        <f t="shared" si="31"/>
        <v>2.9495981749265985</v>
      </c>
      <c r="G806" s="120">
        <v>14968.65</v>
      </c>
      <c r="H806" s="120">
        <v>16495.29</v>
      </c>
    </row>
    <row r="807" spans="1:8" ht="15" customHeight="1" x14ac:dyDescent="0.35">
      <c r="A807" s="139">
        <v>5164</v>
      </c>
      <c r="B807" s="130"/>
      <c r="C807" s="119" t="s">
        <v>1284</v>
      </c>
      <c r="D807" s="120">
        <v>14204.38</v>
      </c>
      <c r="E807" s="120">
        <v>530.9864</v>
      </c>
      <c r="F807" s="121">
        <f t="shared" si="31"/>
        <v>3.7381877984114764</v>
      </c>
      <c r="G807" s="120">
        <v>13330.91</v>
      </c>
      <c r="H807" s="120">
        <v>15077.84</v>
      </c>
    </row>
    <row r="808" spans="1:8" ht="15" customHeight="1" x14ac:dyDescent="0.35">
      <c r="A808" s="117">
        <v>9000</v>
      </c>
      <c r="B808" s="118" t="s">
        <v>1350</v>
      </c>
      <c r="C808" s="119" t="s">
        <v>1207</v>
      </c>
      <c r="D808" s="120">
        <v>12339.74</v>
      </c>
      <c r="E808" s="120">
        <v>360.7901</v>
      </c>
      <c r="F808" s="121">
        <f t="shared" si="31"/>
        <v>2.9238063362761291</v>
      </c>
      <c r="G808" s="120">
        <v>11746.24</v>
      </c>
      <c r="H808" s="120">
        <v>12933.23</v>
      </c>
    </row>
    <row r="809" spans="1:8" ht="15" customHeight="1" x14ac:dyDescent="0.35">
      <c r="A809" s="132"/>
      <c r="B809" s="130"/>
      <c r="C809" s="119"/>
      <c r="D809" s="120"/>
      <c r="E809" s="120"/>
      <c r="F809" s="121"/>
      <c r="G809" s="120"/>
      <c r="H809" s="120"/>
    </row>
    <row r="810" spans="1:8" ht="15" customHeight="1" x14ac:dyDescent="0.35">
      <c r="A810" s="4" t="s">
        <v>1019</v>
      </c>
      <c r="B810" s="130"/>
      <c r="C810" s="164" t="s">
        <v>1285</v>
      </c>
      <c r="D810" s="120"/>
      <c r="E810" s="120"/>
      <c r="F810" s="121"/>
      <c r="G810" s="120"/>
      <c r="H810" s="120"/>
    </row>
    <row r="811" spans="1:8" ht="15" customHeight="1" x14ac:dyDescent="0.35">
      <c r="A811" s="139">
        <v>4110</v>
      </c>
      <c r="B811" s="3"/>
      <c r="C811" s="180" t="s">
        <v>1156</v>
      </c>
      <c r="D811" s="120">
        <v>20139</v>
      </c>
      <c r="E811" s="120">
        <v>1633.114</v>
      </c>
      <c r="F811" s="121">
        <f t="shared" si="31"/>
        <v>8.1092109836635373</v>
      </c>
      <c r="G811" s="120">
        <v>17452.55</v>
      </c>
      <c r="H811" s="120">
        <v>22825.45</v>
      </c>
    </row>
    <row r="812" spans="1:8" ht="15" customHeight="1" x14ac:dyDescent="0.35">
      <c r="A812" s="117">
        <v>9000</v>
      </c>
      <c r="B812" s="118" t="s">
        <v>1350</v>
      </c>
      <c r="C812" s="119" t="s">
        <v>1207</v>
      </c>
      <c r="D812" s="120">
        <v>14070.51</v>
      </c>
      <c r="E812" s="120">
        <v>555.56949999999995</v>
      </c>
      <c r="F812" s="121">
        <f t="shared" si="31"/>
        <v>3.9484673974148765</v>
      </c>
      <c r="G812" s="120">
        <v>13156.6</v>
      </c>
      <c r="H812" s="120">
        <v>14984.41</v>
      </c>
    </row>
    <row r="813" spans="1:8" ht="15" customHeight="1" x14ac:dyDescent="0.35">
      <c r="A813" s="132"/>
      <c r="B813" s="130"/>
      <c r="C813" s="119"/>
      <c r="D813" s="120"/>
      <c r="E813" s="120"/>
      <c r="F813" s="121"/>
      <c r="G813" s="120"/>
      <c r="H813" s="120"/>
    </row>
    <row r="814" spans="1:8" ht="15" customHeight="1" x14ac:dyDescent="0.35">
      <c r="A814" s="4" t="s">
        <v>1017</v>
      </c>
      <c r="B814" s="130"/>
      <c r="C814" s="179" t="s">
        <v>1018</v>
      </c>
      <c r="D814" s="120"/>
      <c r="E814" s="120"/>
      <c r="F814" s="121"/>
      <c r="G814" s="120"/>
      <c r="H814" s="120"/>
    </row>
    <row r="815" spans="1:8" ht="15" customHeight="1" x14ac:dyDescent="0.35">
      <c r="A815" s="139">
        <v>4110</v>
      </c>
      <c r="B815" s="3"/>
      <c r="C815" s="180" t="s">
        <v>1156</v>
      </c>
      <c r="D815" s="120">
        <v>19860.580000000002</v>
      </c>
      <c r="E815" s="120">
        <v>1071.972</v>
      </c>
      <c r="F815" s="121">
        <f t="shared" ref="F815:F816" si="32">E815/D815*100</f>
        <v>5.397485874027848</v>
      </c>
      <c r="G815" s="120">
        <v>18097.2</v>
      </c>
      <c r="H815" s="120">
        <v>21623.96</v>
      </c>
    </row>
    <row r="816" spans="1:8" ht="15" customHeight="1" x14ac:dyDescent="0.35">
      <c r="A816" s="117">
        <v>9000</v>
      </c>
      <c r="B816" s="118" t="s">
        <v>1350</v>
      </c>
      <c r="C816" s="119" t="s">
        <v>1207</v>
      </c>
      <c r="D816" s="120">
        <v>12154.94</v>
      </c>
      <c r="E816" s="120">
        <v>253.7594</v>
      </c>
      <c r="F816" s="121">
        <f t="shared" si="32"/>
        <v>2.0877059039370001</v>
      </c>
      <c r="G816" s="120">
        <v>11737.51</v>
      </c>
      <c r="H816" s="120">
        <v>12572.37</v>
      </c>
    </row>
    <row r="817" spans="1:18" ht="15" customHeight="1" x14ac:dyDescent="0.35">
      <c r="A817" s="132"/>
      <c r="B817" s="130"/>
      <c r="C817" s="119"/>
      <c r="D817" s="120"/>
      <c r="E817" s="120"/>
      <c r="F817" s="121"/>
      <c r="G817" s="120"/>
      <c r="H817" s="120"/>
    </row>
    <row r="818" spans="1:18" ht="28" customHeight="1" x14ac:dyDescent="0.35">
      <c r="A818" s="4" t="s">
        <v>135</v>
      </c>
      <c r="B818" s="145"/>
      <c r="C818" s="179" t="s">
        <v>1331</v>
      </c>
      <c r="D818" s="120"/>
      <c r="E818" s="120"/>
      <c r="F818" s="121"/>
      <c r="G818" s="120"/>
      <c r="H818" s="120"/>
    </row>
    <row r="819" spans="1:18" ht="15" customHeight="1" x14ac:dyDescent="0.35">
      <c r="A819" s="139">
        <v>3322</v>
      </c>
      <c r="B819" s="3"/>
      <c r="C819" s="178" t="s">
        <v>148</v>
      </c>
      <c r="D819" s="120">
        <v>23590.81</v>
      </c>
      <c r="E819" s="120">
        <v>1353.4390000000001</v>
      </c>
      <c r="F819" s="121">
        <f t="shared" si="31"/>
        <v>5.7371451001470488</v>
      </c>
      <c r="G819" s="120">
        <v>21364.42</v>
      </c>
      <c r="H819" s="120">
        <v>25817.19</v>
      </c>
      <c r="J819" t="s">
        <v>135</v>
      </c>
      <c r="K819" t="s">
        <v>147</v>
      </c>
      <c r="L819" t="s">
        <v>146</v>
      </c>
      <c r="M819">
        <v>20972.37</v>
      </c>
      <c r="N819">
        <v>2369.5610000000001</v>
      </c>
      <c r="O819" s="122">
        <v>11.298489393425733</v>
      </c>
      <c r="P819">
        <v>16323.93</v>
      </c>
      <c r="Q819">
        <v>25620.799999999999</v>
      </c>
      <c r="R819" s="124"/>
    </row>
    <row r="820" spans="1:18" ht="15" customHeight="1" x14ac:dyDescent="0.35">
      <c r="A820" s="139">
        <v>4110</v>
      </c>
      <c r="B820" s="3"/>
      <c r="C820" s="178" t="s">
        <v>1156</v>
      </c>
      <c r="D820" s="120">
        <v>17204.71</v>
      </c>
      <c r="E820" s="120">
        <v>683.83140000000003</v>
      </c>
      <c r="F820" s="121">
        <f t="shared" si="31"/>
        <v>3.9746755394307729</v>
      </c>
      <c r="G820" s="120">
        <v>16079.82</v>
      </c>
      <c r="H820" s="120">
        <v>18329.599999999999</v>
      </c>
      <c r="J820" t="s">
        <v>135</v>
      </c>
      <c r="K820" t="s">
        <v>144</v>
      </c>
      <c r="L820" t="s">
        <v>143</v>
      </c>
      <c r="M820">
        <v>23352.639999999999</v>
      </c>
      <c r="N820">
        <v>2255.1559999999999</v>
      </c>
      <c r="O820" s="122">
        <v>9.6569638379215359</v>
      </c>
      <c r="P820">
        <v>18928.64</v>
      </c>
      <c r="Q820">
        <v>27776.65</v>
      </c>
      <c r="R820" s="124"/>
    </row>
    <row r="821" spans="1:18" ht="15" customHeight="1" x14ac:dyDescent="0.35">
      <c r="A821" s="139">
        <v>4221</v>
      </c>
      <c r="B821" s="3"/>
      <c r="C821" s="178" t="s">
        <v>145</v>
      </c>
      <c r="D821" s="120">
        <v>24233.77</v>
      </c>
      <c r="E821" s="120">
        <v>2000.9159999999999</v>
      </c>
      <c r="F821" s="121">
        <f t="shared" si="31"/>
        <v>8.2567260479900568</v>
      </c>
      <c r="G821" s="120">
        <v>20942.3</v>
      </c>
      <c r="H821" s="120">
        <v>27525.25</v>
      </c>
      <c r="J821" t="s">
        <v>135</v>
      </c>
      <c r="K821" t="s">
        <v>14</v>
      </c>
      <c r="L821" t="s">
        <v>142</v>
      </c>
      <c r="M821">
        <v>20640.259999999998</v>
      </c>
      <c r="N821">
        <v>1509.8150000000001</v>
      </c>
      <c r="O821" s="122">
        <v>7.3149030099427055</v>
      </c>
      <c r="P821">
        <v>17678.41</v>
      </c>
      <c r="Q821">
        <v>23602.11</v>
      </c>
      <c r="R821" s="124"/>
    </row>
    <row r="822" spans="1:18" ht="15" customHeight="1" x14ac:dyDescent="0.35">
      <c r="A822" s="139">
        <v>5112</v>
      </c>
      <c r="B822" s="3"/>
      <c r="C822" s="178" t="s">
        <v>1286</v>
      </c>
      <c r="D822" s="120">
        <v>11817.07</v>
      </c>
      <c r="E822" s="120">
        <v>580.96450000000004</v>
      </c>
      <c r="F822" s="121">
        <f t="shared" si="31"/>
        <v>4.916315973418115</v>
      </c>
      <c r="G822" s="120">
        <v>10861.39</v>
      </c>
      <c r="H822" s="120">
        <v>12772.75</v>
      </c>
      <c r="O822" s="122"/>
      <c r="R822" s="124"/>
    </row>
    <row r="823" spans="1:18" ht="15" customHeight="1" x14ac:dyDescent="0.35">
      <c r="A823" s="139">
        <v>5113</v>
      </c>
      <c r="B823" s="3"/>
      <c r="C823" s="178" t="s">
        <v>141</v>
      </c>
      <c r="D823" s="120">
        <v>15483.46</v>
      </c>
      <c r="E823" s="120">
        <v>1048.271</v>
      </c>
      <c r="F823" s="121">
        <f t="shared" si="31"/>
        <v>6.7702632357367145</v>
      </c>
      <c r="G823" s="120">
        <v>13759.07</v>
      </c>
      <c r="H823" s="120">
        <v>17207.849999999999</v>
      </c>
      <c r="O823" s="122"/>
      <c r="R823" s="124"/>
    </row>
    <row r="824" spans="1:18" ht="15" customHeight="1" x14ac:dyDescent="0.35">
      <c r="A824" s="139">
        <v>5230</v>
      </c>
      <c r="B824" s="3"/>
      <c r="C824" s="178" t="s">
        <v>138</v>
      </c>
      <c r="D824" s="120">
        <v>17723.84</v>
      </c>
      <c r="E824" s="120">
        <v>1053.471</v>
      </c>
      <c r="F824" s="121">
        <f t="shared" si="31"/>
        <v>5.9438078881325938</v>
      </c>
      <c r="G824" s="120">
        <v>15990.9</v>
      </c>
      <c r="H824" s="120">
        <v>19456.79</v>
      </c>
      <c r="O824" s="122"/>
      <c r="R824" s="124"/>
    </row>
    <row r="825" spans="1:18" ht="15" customHeight="1" x14ac:dyDescent="0.35">
      <c r="A825" s="139">
        <v>8321</v>
      </c>
      <c r="B825" s="3"/>
      <c r="C825" s="178" t="s">
        <v>1287</v>
      </c>
      <c r="D825" s="120">
        <v>20044.53</v>
      </c>
      <c r="E825" s="120" t="s">
        <v>289</v>
      </c>
      <c r="F825" s="120" t="s">
        <v>289</v>
      </c>
      <c r="G825" s="120" t="s">
        <v>289</v>
      </c>
      <c r="H825" s="120" t="s">
        <v>289</v>
      </c>
      <c r="O825" s="122"/>
      <c r="R825" s="124"/>
    </row>
    <row r="826" spans="1:18" ht="15" customHeight="1" x14ac:dyDescent="0.35">
      <c r="A826" s="139">
        <v>8322</v>
      </c>
      <c r="B826" s="3"/>
      <c r="C826" s="178" t="s">
        <v>1288</v>
      </c>
      <c r="D826" s="120">
        <v>13571.68</v>
      </c>
      <c r="E826" s="120">
        <v>850.21169999999995</v>
      </c>
      <c r="F826" s="121">
        <f t="shared" si="31"/>
        <v>6.2646017294837488</v>
      </c>
      <c r="G826" s="120">
        <v>12173.09</v>
      </c>
      <c r="H826" s="120">
        <v>14970.27</v>
      </c>
      <c r="J826" t="s">
        <v>135</v>
      </c>
      <c r="K826" t="s">
        <v>140</v>
      </c>
      <c r="L826" t="s">
        <v>139</v>
      </c>
      <c r="M826">
        <v>25680.05</v>
      </c>
      <c r="N826">
        <v>2804.069</v>
      </c>
      <c r="O826" s="122">
        <v>10.919250546630556</v>
      </c>
      <c r="P826">
        <v>20179.23</v>
      </c>
      <c r="Q826">
        <v>31180.880000000001</v>
      </c>
      <c r="R826" s="124"/>
    </row>
    <row r="827" spans="1:18" ht="15" customHeight="1" x14ac:dyDescent="0.35">
      <c r="A827" s="139">
        <v>8331</v>
      </c>
      <c r="B827" s="3"/>
      <c r="C827" s="178" t="s">
        <v>1289</v>
      </c>
      <c r="D827" s="120">
        <v>10930.69</v>
      </c>
      <c r="E827" s="120">
        <v>1351.078</v>
      </c>
      <c r="F827" s="121">
        <f t="shared" si="31"/>
        <v>12.360409086709073</v>
      </c>
      <c r="G827" s="120">
        <v>8708.1849999999995</v>
      </c>
      <c r="H827" s="120">
        <v>13153.19</v>
      </c>
      <c r="J827" t="s">
        <v>135</v>
      </c>
      <c r="K827" t="s">
        <v>137</v>
      </c>
      <c r="L827" t="s">
        <v>136</v>
      </c>
      <c r="M827">
        <v>14229.01</v>
      </c>
      <c r="N827">
        <v>1870.5709999999999</v>
      </c>
      <c r="O827" s="122">
        <v>13.14617812483089</v>
      </c>
      <c r="P827">
        <v>10559.46</v>
      </c>
      <c r="Q827">
        <v>17898.560000000001</v>
      </c>
      <c r="R827" s="124"/>
    </row>
    <row r="828" spans="1:18" ht="15" customHeight="1" x14ac:dyDescent="0.35">
      <c r="A828" s="117">
        <v>9000</v>
      </c>
      <c r="B828" s="118" t="s">
        <v>1350</v>
      </c>
      <c r="C828" s="178" t="s">
        <v>1207</v>
      </c>
      <c r="D828" s="120">
        <v>8523.0969999999998</v>
      </c>
      <c r="E828" s="120">
        <v>158.0136</v>
      </c>
      <c r="F828" s="121">
        <f t="shared" si="31"/>
        <v>1.8539458133586886</v>
      </c>
      <c r="G828" s="120">
        <v>8263.1669999999995</v>
      </c>
      <c r="H828" s="120">
        <v>8783.027</v>
      </c>
      <c r="J828" t="s">
        <v>135</v>
      </c>
      <c r="K828" t="s">
        <v>5</v>
      </c>
      <c r="L828" t="s">
        <v>134</v>
      </c>
      <c r="M828">
        <v>10580.9</v>
      </c>
      <c r="N828">
        <v>590.80730000000005</v>
      </c>
      <c r="O828" s="122">
        <v>5.583714995888819</v>
      </c>
      <c r="P828">
        <v>9421.8960000000006</v>
      </c>
      <c r="Q828">
        <v>11739.9</v>
      </c>
      <c r="R828" s="124"/>
    </row>
    <row r="829" spans="1:18" ht="15" customHeight="1" x14ac:dyDescent="0.35">
      <c r="A829" s="170"/>
      <c r="B829" s="171"/>
      <c r="C829" s="183"/>
      <c r="D829" s="120"/>
      <c r="E829" s="120"/>
      <c r="F829" s="121"/>
      <c r="G829" s="120"/>
      <c r="H829" s="120"/>
    </row>
    <row r="830" spans="1:18" ht="15" customHeight="1" x14ac:dyDescent="0.35">
      <c r="A830" s="4" t="s">
        <v>1196</v>
      </c>
      <c r="B830" s="171"/>
      <c r="C830" s="164" t="s">
        <v>1290</v>
      </c>
      <c r="D830" s="120"/>
      <c r="E830" s="120"/>
      <c r="F830" s="121"/>
      <c r="G830" s="120"/>
      <c r="H830" s="120"/>
    </row>
    <row r="831" spans="1:18" ht="15" customHeight="1" x14ac:dyDescent="0.35">
      <c r="A831" s="139">
        <v>4110</v>
      </c>
      <c r="B831" s="171"/>
      <c r="C831" s="178" t="s">
        <v>1156</v>
      </c>
      <c r="D831" s="120">
        <v>18731.66</v>
      </c>
      <c r="E831" s="120">
        <v>268.36959999999999</v>
      </c>
      <c r="F831" s="121">
        <f t="shared" si="31"/>
        <v>1.4327059107414932</v>
      </c>
      <c r="G831" s="120">
        <v>18290.189999999999</v>
      </c>
      <c r="H831" s="120">
        <v>19173.12</v>
      </c>
    </row>
    <row r="832" spans="1:18" ht="15" customHeight="1" x14ac:dyDescent="0.35">
      <c r="A832" s="139">
        <v>5414</v>
      </c>
      <c r="B832" s="171"/>
      <c r="C832" s="178" t="s">
        <v>1291</v>
      </c>
      <c r="D832" s="120">
        <v>15118.47</v>
      </c>
      <c r="E832" s="120">
        <v>130.10059999999999</v>
      </c>
      <c r="F832" s="121">
        <f t="shared" si="31"/>
        <v>0.86054078223523933</v>
      </c>
      <c r="G832" s="120">
        <v>14904.46</v>
      </c>
      <c r="H832" s="120">
        <v>15332.49</v>
      </c>
    </row>
    <row r="833" spans="1:8" ht="15" customHeight="1" x14ac:dyDescent="0.35">
      <c r="A833" s="139">
        <v>9000</v>
      </c>
      <c r="B833" s="171"/>
      <c r="C833" s="178" t="s">
        <v>1207</v>
      </c>
      <c r="D833" s="120">
        <v>13064.23</v>
      </c>
      <c r="E833" s="120">
        <v>985.29660000000001</v>
      </c>
      <c r="F833" s="121">
        <f t="shared" si="31"/>
        <v>7.5419416222770108</v>
      </c>
      <c r="G833" s="120">
        <v>11443.43</v>
      </c>
      <c r="H833" s="120">
        <v>14685.03</v>
      </c>
    </row>
    <row r="834" spans="1:8" ht="15" customHeight="1" x14ac:dyDescent="0.35">
      <c r="A834" s="170"/>
      <c r="B834" s="171"/>
      <c r="C834" s="183"/>
      <c r="D834" s="120"/>
      <c r="E834" s="120"/>
      <c r="F834" s="121"/>
      <c r="G834" s="120"/>
      <c r="H834" s="120"/>
    </row>
    <row r="835" spans="1:8" ht="15" customHeight="1" x14ac:dyDescent="0.35">
      <c r="A835" s="4" t="s">
        <v>1197</v>
      </c>
      <c r="B835" s="171"/>
      <c r="C835" s="184" t="s">
        <v>1292</v>
      </c>
      <c r="D835" s="120"/>
      <c r="E835" s="120"/>
      <c r="F835" s="121"/>
      <c r="G835" s="120"/>
      <c r="H835" s="120"/>
    </row>
    <row r="836" spans="1:8" ht="15" customHeight="1" x14ac:dyDescent="0.35">
      <c r="A836" s="139">
        <v>4110</v>
      </c>
      <c r="B836" s="3"/>
      <c r="C836" s="180" t="s">
        <v>1156</v>
      </c>
      <c r="D836" s="120">
        <v>17293.12</v>
      </c>
      <c r="E836" s="120">
        <v>1007.853</v>
      </c>
      <c r="F836" s="121">
        <f t="shared" si="31"/>
        <v>5.8280576321681687</v>
      </c>
      <c r="G836" s="120">
        <v>15635.22</v>
      </c>
      <c r="H836" s="120">
        <v>18951.03</v>
      </c>
    </row>
    <row r="837" spans="1:8" ht="15" customHeight="1" x14ac:dyDescent="0.35">
      <c r="A837" s="117">
        <v>9000</v>
      </c>
      <c r="B837" s="118" t="s">
        <v>1350</v>
      </c>
      <c r="C837" s="119" t="s">
        <v>1207</v>
      </c>
      <c r="D837" s="120">
        <v>15045.7</v>
      </c>
      <c r="E837" s="120">
        <v>557.93010000000004</v>
      </c>
      <c r="F837" s="121">
        <f t="shared" si="31"/>
        <v>3.7082362402546907</v>
      </c>
      <c r="G837" s="120">
        <v>14127.91</v>
      </c>
      <c r="H837" s="120">
        <v>15963.49</v>
      </c>
    </row>
    <row r="838" spans="1:8" ht="15" customHeight="1" x14ac:dyDescent="0.35">
      <c r="A838" s="170"/>
      <c r="B838" s="171"/>
      <c r="C838" s="183"/>
      <c r="D838" s="120"/>
      <c r="E838" s="120"/>
      <c r="F838" s="121"/>
      <c r="G838" s="120"/>
      <c r="H838" s="120"/>
    </row>
    <row r="839" spans="1:8" ht="45" customHeight="1" x14ac:dyDescent="0.35">
      <c r="A839" s="4" t="s">
        <v>1198</v>
      </c>
      <c r="B839" s="171"/>
      <c r="C839" s="185" t="s">
        <v>1332</v>
      </c>
      <c r="D839" s="186"/>
      <c r="E839" s="120"/>
      <c r="F839" s="121"/>
      <c r="G839" s="120"/>
      <c r="H839" s="120"/>
    </row>
    <row r="840" spans="1:8" ht="15" customHeight="1" x14ac:dyDescent="0.35">
      <c r="A840" s="139">
        <v>4110</v>
      </c>
      <c r="B840" s="3"/>
      <c r="C840" s="180" t="s">
        <v>1156</v>
      </c>
      <c r="D840" s="120">
        <v>35512.730000000003</v>
      </c>
      <c r="E840" s="120">
        <v>6148.8879999999999</v>
      </c>
      <c r="F840" s="121">
        <f t="shared" si="31"/>
        <v>17.314602397506469</v>
      </c>
      <c r="G840" s="120">
        <v>25397.89</v>
      </c>
      <c r="H840" s="120">
        <v>45627.56</v>
      </c>
    </row>
    <row r="841" spans="1:8" ht="15" customHeight="1" x14ac:dyDescent="0.35">
      <c r="A841" s="166">
        <v>9000</v>
      </c>
      <c r="B841" s="118" t="s">
        <v>1350</v>
      </c>
      <c r="C841" s="220" t="s">
        <v>1207</v>
      </c>
      <c r="D841" s="120">
        <v>14984.02</v>
      </c>
      <c r="E841" s="120">
        <v>589.47050000000002</v>
      </c>
      <c r="F841" s="121">
        <f t="shared" si="31"/>
        <v>3.9339943486460909</v>
      </c>
      <c r="G841" s="120">
        <v>14014.35</v>
      </c>
      <c r="H841" s="120">
        <v>15953.69</v>
      </c>
    </row>
    <row r="842" spans="1:8" ht="15" customHeight="1" x14ac:dyDescent="0.35">
      <c r="A842" s="117"/>
      <c r="B842" s="118"/>
      <c r="C842" s="131"/>
      <c r="D842" s="154"/>
      <c r="E842" s="154"/>
      <c r="F842" s="213"/>
      <c r="G842" s="154"/>
      <c r="H842" s="154"/>
    </row>
    <row r="843" spans="1:8" ht="15" customHeight="1" x14ac:dyDescent="0.35">
      <c r="A843" s="2" t="s">
        <v>94</v>
      </c>
      <c r="B843" s="118"/>
      <c r="C843" s="131"/>
      <c r="D843" s="161"/>
      <c r="E843" s="161"/>
      <c r="F843" s="214"/>
      <c r="G843" s="161"/>
      <c r="H843" s="161"/>
    </row>
    <row r="844" spans="1:8" ht="15" customHeight="1" x14ac:dyDescent="0.35">
      <c r="A844" s="2" t="s">
        <v>93</v>
      </c>
      <c r="B844" s="118"/>
      <c r="C844" s="131"/>
      <c r="D844" s="161"/>
      <c r="E844" s="161"/>
      <c r="F844" s="214"/>
      <c r="G844" s="161"/>
      <c r="H844" s="161"/>
    </row>
    <row r="845" spans="1:8" ht="15" customHeight="1" x14ac:dyDescent="0.35">
      <c r="A845" s="159" t="s">
        <v>965</v>
      </c>
      <c r="B845" s="118"/>
      <c r="C845" s="131"/>
      <c r="D845" s="161"/>
      <c r="E845" s="161"/>
      <c r="F845" s="214"/>
      <c r="G845" s="161"/>
      <c r="H845" s="161"/>
    </row>
    <row r="846" spans="1:8" ht="15" customHeight="1" x14ac:dyDescent="0.35">
      <c r="A846" s="159" t="s">
        <v>0</v>
      </c>
      <c r="B846" s="171"/>
      <c r="C846" s="171"/>
      <c r="D846" s="161"/>
      <c r="E846" s="161"/>
      <c r="F846" s="214"/>
      <c r="G846" s="161"/>
      <c r="H846" s="161"/>
    </row>
    <row r="847" spans="1:8" ht="30" customHeight="1" x14ac:dyDescent="0.35">
      <c r="A847" s="403" t="s">
        <v>1349</v>
      </c>
      <c r="B847" s="403"/>
      <c r="C847" s="403"/>
      <c r="D847" s="403"/>
      <c r="E847" s="403"/>
      <c r="F847" s="403"/>
      <c r="G847" s="403"/>
      <c r="H847" s="403"/>
    </row>
    <row r="848" spans="1:8" ht="15" customHeight="1" x14ac:dyDescent="0.35">
      <c r="A848" s="404" t="s">
        <v>1336</v>
      </c>
      <c r="B848" s="404"/>
      <c r="C848" s="404"/>
      <c r="D848" s="404"/>
      <c r="E848" s="404"/>
      <c r="F848" s="404"/>
      <c r="G848" s="404"/>
      <c r="H848" s="404"/>
    </row>
    <row r="849" spans="1:18" ht="15" customHeight="1" x14ac:dyDescent="0.35">
      <c r="A849" s="123"/>
      <c r="B849" s="123"/>
      <c r="C849" s="123"/>
      <c r="D849" s="123"/>
    </row>
    <row r="850" spans="1:18" ht="25" customHeight="1" x14ac:dyDescent="0.35">
      <c r="A850" s="405" t="s">
        <v>993</v>
      </c>
      <c r="B850" s="406"/>
      <c r="C850" s="409" t="s">
        <v>92</v>
      </c>
      <c r="D850" s="419" t="s">
        <v>91</v>
      </c>
      <c r="E850" s="419" t="s">
        <v>90</v>
      </c>
      <c r="F850" s="420" t="s">
        <v>89</v>
      </c>
      <c r="G850" s="419" t="s">
        <v>1186</v>
      </c>
      <c r="H850" s="419"/>
    </row>
    <row r="851" spans="1:18" ht="25" customHeight="1" x14ac:dyDescent="0.35">
      <c r="A851" s="407"/>
      <c r="B851" s="408"/>
      <c r="C851" s="410"/>
      <c r="D851" s="419"/>
      <c r="E851" s="419"/>
      <c r="F851" s="420"/>
      <c r="G851" s="5" t="s">
        <v>88</v>
      </c>
      <c r="H851" s="5" t="s">
        <v>87</v>
      </c>
    </row>
    <row r="852" spans="1:18" ht="15" customHeight="1" x14ac:dyDescent="0.35">
      <c r="A852" s="159"/>
      <c r="B852" s="171"/>
      <c r="C852" s="171"/>
      <c r="D852" s="215"/>
      <c r="E852" s="215"/>
      <c r="F852" s="216"/>
      <c r="G852" s="215"/>
      <c r="H852" s="215"/>
    </row>
    <row r="853" spans="1:18" ht="15" customHeight="1" x14ac:dyDescent="0.35">
      <c r="A853" s="135" t="s">
        <v>120</v>
      </c>
      <c r="B853" s="136"/>
      <c r="C853" s="187" t="s">
        <v>1294</v>
      </c>
      <c r="D853" s="120"/>
      <c r="E853" s="120"/>
      <c r="F853" s="121"/>
      <c r="G853" s="120"/>
      <c r="H853" s="120"/>
    </row>
    <row r="854" spans="1:18" ht="15" customHeight="1" x14ac:dyDescent="0.35">
      <c r="A854" s="139">
        <v>2121</v>
      </c>
      <c r="B854" s="3"/>
      <c r="C854" s="180" t="s">
        <v>133</v>
      </c>
      <c r="D854" s="120">
        <v>44409.38</v>
      </c>
      <c r="E854" s="120">
        <v>9596.2890000000007</v>
      </c>
      <c r="F854" s="121">
        <f t="shared" si="31"/>
        <v>21.608698432628426</v>
      </c>
      <c r="G854" s="120">
        <v>28623.63</v>
      </c>
      <c r="H854" s="120">
        <v>60195.14</v>
      </c>
      <c r="J854" t="s">
        <v>120</v>
      </c>
      <c r="K854" t="s">
        <v>118</v>
      </c>
      <c r="L854" t="s">
        <v>132</v>
      </c>
      <c r="M854">
        <v>30865.3</v>
      </c>
      <c r="N854">
        <v>2237.049</v>
      </c>
      <c r="O854" s="122">
        <v>7.2477798693030682</v>
      </c>
      <c r="P854">
        <v>26476.82</v>
      </c>
      <c r="Q854">
        <v>35253.78</v>
      </c>
      <c r="R854" s="124"/>
    </row>
    <row r="855" spans="1:18" ht="15" customHeight="1" x14ac:dyDescent="0.35">
      <c r="A855" s="139">
        <v>2512</v>
      </c>
      <c r="B855" s="3"/>
      <c r="C855" s="180" t="s">
        <v>131</v>
      </c>
      <c r="D855" s="120">
        <v>55960.39</v>
      </c>
      <c r="E855" s="120">
        <v>6190.3410000000003</v>
      </c>
      <c r="F855" s="121">
        <f t="shared" si="31"/>
        <v>11.062004750145595</v>
      </c>
      <c r="G855" s="120">
        <v>45777.37</v>
      </c>
      <c r="H855" s="120">
        <v>66143.41</v>
      </c>
      <c r="J855" t="s">
        <v>120</v>
      </c>
      <c r="K855" t="s">
        <v>112</v>
      </c>
      <c r="L855" t="s">
        <v>130</v>
      </c>
      <c r="M855">
        <v>42114.84</v>
      </c>
      <c r="N855">
        <v>3215.9250000000002</v>
      </c>
      <c r="O855" s="122">
        <v>7.636085047455957</v>
      </c>
      <c r="P855">
        <v>35806.07</v>
      </c>
      <c r="Q855">
        <v>48423.61</v>
      </c>
      <c r="R855" s="124"/>
    </row>
    <row r="856" spans="1:18" ht="15" customHeight="1" x14ac:dyDescent="0.35">
      <c r="A856" s="139">
        <v>2514</v>
      </c>
      <c r="B856" s="3"/>
      <c r="C856" s="180" t="s">
        <v>129</v>
      </c>
      <c r="D856" s="120">
        <v>52612.59</v>
      </c>
      <c r="E856" s="120">
        <v>6859.9409999999998</v>
      </c>
      <c r="F856" s="121">
        <f t="shared" si="31"/>
        <v>13.038592093641466</v>
      </c>
      <c r="G856" s="120">
        <v>41328.089999999997</v>
      </c>
      <c r="H856" s="120">
        <v>63897.09</v>
      </c>
      <c r="J856" t="s">
        <v>120</v>
      </c>
      <c r="K856" t="s">
        <v>128</v>
      </c>
      <c r="L856" t="s">
        <v>127</v>
      </c>
      <c r="M856">
        <v>45348.45</v>
      </c>
      <c r="N856">
        <v>5904.0739999999996</v>
      </c>
      <c r="O856" s="122">
        <v>13.019351267794157</v>
      </c>
      <c r="P856">
        <v>33766.26</v>
      </c>
      <c r="Q856">
        <v>56930.64</v>
      </c>
      <c r="R856" s="124"/>
    </row>
    <row r="857" spans="1:18" ht="15" customHeight="1" x14ac:dyDescent="0.35">
      <c r="A857" s="117">
        <v>3512</v>
      </c>
      <c r="B857" s="3"/>
      <c r="C857" s="178" t="s">
        <v>995</v>
      </c>
      <c r="D857" s="120">
        <v>31231.439999999999</v>
      </c>
      <c r="E857" s="120">
        <v>2144.7139999999999</v>
      </c>
      <c r="F857" s="121">
        <f t="shared" si="31"/>
        <v>6.8671633456542507</v>
      </c>
      <c r="G857" s="120">
        <v>27703.42</v>
      </c>
      <c r="H857" s="120">
        <v>34759.46</v>
      </c>
      <c r="J857" t="s">
        <v>120</v>
      </c>
      <c r="K857" t="s">
        <v>83</v>
      </c>
      <c r="L857" t="s">
        <v>126</v>
      </c>
      <c r="M857">
        <v>26209.52</v>
      </c>
      <c r="N857">
        <v>927.9769</v>
      </c>
      <c r="O857" s="122">
        <v>3.5406100531409961</v>
      </c>
      <c r="P857">
        <v>24389.09</v>
      </c>
      <c r="Q857">
        <v>28029.96</v>
      </c>
      <c r="R857" s="124"/>
    </row>
    <row r="858" spans="1:18" ht="15" customHeight="1" x14ac:dyDescent="0.35">
      <c r="A858" s="117">
        <v>4110</v>
      </c>
      <c r="B858" s="3"/>
      <c r="C858" s="178" t="s">
        <v>1156</v>
      </c>
      <c r="D858" s="120">
        <v>29553.24</v>
      </c>
      <c r="E858" s="120">
        <v>1053.4480000000001</v>
      </c>
      <c r="F858" s="121">
        <f t="shared" si="31"/>
        <v>3.564577014229235</v>
      </c>
      <c r="G858" s="120">
        <v>27820.34</v>
      </c>
      <c r="H858" s="120">
        <v>31286.15</v>
      </c>
      <c r="O858" s="122"/>
      <c r="R858" s="124"/>
    </row>
    <row r="859" spans="1:18" ht="15" customHeight="1" x14ac:dyDescent="0.35">
      <c r="A859" s="117">
        <v>4132</v>
      </c>
      <c r="B859" s="3"/>
      <c r="C859" s="178" t="s">
        <v>1295</v>
      </c>
      <c r="D859" s="120">
        <v>20901.02</v>
      </c>
      <c r="E859" s="120">
        <v>1995.393</v>
      </c>
      <c r="F859" s="121">
        <f t="shared" si="31"/>
        <v>9.5468690044792073</v>
      </c>
      <c r="G859" s="120">
        <v>17618.63</v>
      </c>
      <c r="H859" s="120">
        <v>24183.41</v>
      </c>
      <c r="J859" t="s">
        <v>120</v>
      </c>
      <c r="K859" t="s">
        <v>101</v>
      </c>
      <c r="L859" t="s">
        <v>125</v>
      </c>
      <c r="M859">
        <v>22830.25</v>
      </c>
      <c r="N859">
        <v>1622.7929999999999</v>
      </c>
      <c r="O859" s="122">
        <v>7.1080824782908643</v>
      </c>
      <c r="P859">
        <v>19646.77</v>
      </c>
      <c r="Q859">
        <v>26013.73</v>
      </c>
      <c r="R859" s="124"/>
    </row>
    <row r="860" spans="1:18" ht="15" customHeight="1" x14ac:dyDescent="0.35">
      <c r="A860" s="139">
        <v>4222</v>
      </c>
      <c r="B860" s="3"/>
      <c r="C860" s="180" t="s">
        <v>1296</v>
      </c>
      <c r="D860" s="120">
        <v>24978.65</v>
      </c>
      <c r="E860" s="120">
        <v>1805.1030000000001</v>
      </c>
      <c r="F860" s="121">
        <f t="shared" si="31"/>
        <v>7.2265835023109739</v>
      </c>
      <c r="G860" s="120">
        <v>22009.279999999999</v>
      </c>
      <c r="H860" s="120">
        <v>27948.02</v>
      </c>
      <c r="J860" t="s">
        <v>120</v>
      </c>
      <c r="K860" t="s">
        <v>14</v>
      </c>
      <c r="L860" t="s">
        <v>124</v>
      </c>
      <c r="M860">
        <v>25099.09</v>
      </c>
      <c r="N860">
        <v>1214.1210000000001</v>
      </c>
      <c r="O860" s="122">
        <v>4.8373108347752849</v>
      </c>
      <c r="P860">
        <v>22717.31</v>
      </c>
      <c r="Q860">
        <v>27480.86</v>
      </c>
      <c r="R860" s="124"/>
    </row>
    <row r="861" spans="1:18" ht="15" customHeight="1" x14ac:dyDescent="0.35">
      <c r="A861" s="139">
        <v>5244</v>
      </c>
      <c r="B861" s="3"/>
      <c r="C861" s="129" t="s">
        <v>123</v>
      </c>
      <c r="D861" s="120">
        <v>23151.75</v>
      </c>
      <c r="E861" s="120">
        <v>826.61</v>
      </c>
      <c r="F861" s="121">
        <f t="shared" si="31"/>
        <v>3.5703996458151108</v>
      </c>
      <c r="G861" s="120">
        <v>21791.99</v>
      </c>
      <c r="H861" s="120">
        <v>24511.51</v>
      </c>
      <c r="J861" t="s">
        <v>120</v>
      </c>
      <c r="K861" t="s">
        <v>122</v>
      </c>
      <c r="L861" t="s">
        <v>121</v>
      </c>
      <c r="M861">
        <v>20869.09</v>
      </c>
      <c r="N861">
        <v>1037.934</v>
      </c>
      <c r="O861" s="122">
        <v>4.9735470018098535</v>
      </c>
      <c r="P861">
        <v>18832.95</v>
      </c>
      <c r="Q861">
        <v>22905.24</v>
      </c>
      <c r="R861" s="124"/>
    </row>
    <row r="862" spans="1:18" ht="15" customHeight="1" x14ac:dyDescent="0.35">
      <c r="A862" s="139">
        <v>9000</v>
      </c>
      <c r="B862" s="118" t="s">
        <v>1350</v>
      </c>
      <c r="C862" s="129" t="s">
        <v>1207</v>
      </c>
      <c r="D862" s="120">
        <v>17613.27</v>
      </c>
      <c r="E862" s="120">
        <v>2523.884</v>
      </c>
      <c r="F862" s="121">
        <f t="shared" si="31"/>
        <v>14.329445923442949</v>
      </c>
      <c r="G862" s="120">
        <v>13461.52</v>
      </c>
      <c r="H862" s="120">
        <v>21765.03</v>
      </c>
      <c r="J862" t="s">
        <v>120</v>
      </c>
      <c r="K862" t="s">
        <v>5</v>
      </c>
      <c r="L862" t="s">
        <v>119</v>
      </c>
      <c r="M862">
        <v>16337.99</v>
      </c>
      <c r="N862">
        <v>2438.3339999999998</v>
      </c>
      <c r="O862" s="122">
        <v>14.924320555955781</v>
      </c>
      <c r="P862">
        <v>11554.64</v>
      </c>
      <c r="Q862">
        <v>21121.34</v>
      </c>
      <c r="R862" s="124"/>
    </row>
    <row r="863" spans="1:18" ht="15" customHeight="1" x14ac:dyDescent="0.35">
      <c r="A863" s="132"/>
      <c r="B863" s="130"/>
      <c r="C863" s="131"/>
      <c r="D863" s="120"/>
      <c r="E863" s="120"/>
      <c r="F863" s="121"/>
      <c r="G863" s="120"/>
      <c r="H863" s="120"/>
    </row>
    <row r="864" spans="1:18" ht="15" customHeight="1" x14ac:dyDescent="0.35">
      <c r="A864" s="6" t="s">
        <v>96</v>
      </c>
      <c r="B864" s="125"/>
      <c r="C864" s="143" t="s">
        <v>1297</v>
      </c>
      <c r="D864" s="120"/>
      <c r="E864" s="120"/>
      <c r="F864" s="121"/>
      <c r="G864" s="120"/>
      <c r="H864" s="120"/>
    </row>
    <row r="865" spans="1:18" ht="15" customHeight="1" x14ac:dyDescent="0.35">
      <c r="A865" s="139">
        <v>2121</v>
      </c>
      <c r="B865" s="145"/>
      <c r="C865" s="129" t="s">
        <v>133</v>
      </c>
      <c r="D865" s="120">
        <v>36517.699999999997</v>
      </c>
      <c r="E865" s="120">
        <v>79.200379999999996</v>
      </c>
      <c r="F865" s="121">
        <f t="shared" si="31"/>
        <v>0.2168821694685043</v>
      </c>
      <c r="G865" s="120">
        <v>36387.410000000003</v>
      </c>
      <c r="H865" s="120">
        <v>36647.980000000003</v>
      </c>
      <c r="J865" t="s">
        <v>96</v>
      </c>
      <c r="K865" t="s">
        <v>118</v>
      </c>
      <c r="L865" t="s">
        <v>117</v>
      </c>
      <c r="M865">
        <v>34555.440000000002</v>
      </c>
      <c r="N865">
        <v>3632.3989999999999</v>
      </c>
      <c r="O865" s="122">
        <v>10.511800746857801</v>
      </c>
      <c r="P865">
        <v>27429.67</v>
      </c>
      <c r="Q865">
        <v>41681.22</v>
      </c>
      <c r="R865" s="124"/>
    </row>
    <row r="866" spans="1:18" ht="15" customHeight="1" x14ac:dyDescent="0.35">
      <c r="A866" s="139">
        <v>2122</v>
      </c>
      <c r="B866" s="3"/>
      <c r="C866" s="129" t="s">
        <v>116</v>
      </c>
      <c r="D866" s="120">
        <v>50219.33</v>
      </c>
      <c r="E866" s="120">
        <v>12359.4</v>
      </c>
      <c r="F866" s="121">
        <f t="shared" si="31"/>
        <v>24.610842080131295</v>
      </c>
      <c r="G866" s="120">
        <v>29888.3</v>
      </c>
      <c r="H866" s="120">
        <v>70550.37</v>
      </c>
      <c r="J866" t="s">
        <v>96</v>
      </c>
      <c r="K866" t="s">
        <v>115</v>
      </c>
      <c r="L866" t="s">
        <v>114</v>
      </c>
      <c r="M866">
        <v>37313.69</v>
      </c>
      <c r="N866">
        <v>1220.211</v>
      </c>
      <c r="O866" s="122">
        <v>3.2701429421748425</v>
      </c>
      <c r="P866">
        <v>34919.97</v>
      </c>
      <c r="Q866">
        <v>39707.42</v>
      </c>
      <c r="R866" s="124"/>
    </row>
    <row r="867" spans="1:18" ht="15" customHeight="1" x14ac:dyDescent="0.35">
      <c r="A867" s="139">
        <v>2512</v>
      </c>
      <c r="B867" s="3"/>
      <c r="C867" s="129" t="s">
        <v>113</v>
      </c>
      <c r="D867" s="120">
        <v>43931.72</v>
      </c>
      <c r="E867" s="120">
        <v>11613.9</v>
      </c>
      <c r="F867" s="121">
        <f t="shared" si="31"/>
        <v>26.436251528508333</v>
      </c>
      <c r="G867" s="120">
        <v>24827.03</v>
      </c>
      <c r="H867" s="120">
        <v>63036.42</v>
      </c>
      <c r="J867" t="s">
        <v>96</v>
      </c>
      <c r="K867" t="s">
        <v>112</v>
      </c>
      <c r="L867" t="s">
        <v>111</v>
      </c>
      <c r="M867">
        <v>41069.32</v>
      </c>
      <c r="N867">
        <v>3196.9430000000002</v>
      </c>
      <c r="O867" s="122">
        <v>7.784260854574657</v>
      </c>
      <c r="P867">
        <v>34797.78</v>
      </c>
      <c r="Q867">
        <v>47340.85</v>
      </c>
      <c r="R867" s="124"/>
    </row>
    <row r="868" spans="1:18" ht="15" customHeight="1" x14ac:dyDescent="0.35">
      <c r="A868" s="139">
        <v>2523</v>
      </c>
      <c r="B868" s="3"/>
      <c r="C868" s="129" t="s">
        <v>1262</v>
      </c>
      <c r="D868" s="120">
        <v>23281.7</v>
      </c>
      <c r="E868" s="120">
        <v>3726.674</v>
      </c>
      <c r="F868" s="121">
        <f t="shared" si="31"/>
        <v>16.006880940824768</v>
      </c>
      <c r="G868" s="120">
        <v>17151.37</v>
      </c>
      <c r="H868" s="120">
        <v>29412.02</v>
      </c>
      <c r="J868" t="s">
        <v>96</v>
      </c>
      <c r="K868" t="s">
        <v>110</v>
      </c>
      <c r="L868" t="s">
        <v>109</v>
      </c>
      <c r="M868">
        <v>41171.47</v>
      </c>
      <c r="N868">
        <v>3632.194</v>
      </c>
      <c r="O868" s="122">
        <v>8.8221139541532025</v>
      </c>
      <c r="P868">
        <v>34046.089999999997</v>
      </c>
      <c r="Q868">
        <v>48296.84</v>
      </c>
      <c r="R868" s="124"/>
    </row>
    <row r="869" spans="1:18" ht="15" customHeight="1" x14ac:dyDescent="0.35">
      <c r="A869" s="139">
        <v>3252</v>
      </c>
      <c r="B869" s="3"/>
      <c r="C869" s="129" t="s">
        <v>1298</v>
      </c>
      <c r="D869" s="120">
        <v>31179.47</v>
      </c>
      <c r="E869" s="120">
        <v>5421.9030000000002</v>
      </c>
      <c r="F869" s="121">
        <f t="shared" si="31"/>
        <v>17.389336637216733</v>
      </c>
      <c r="G869" s="120">
        <v>22260.52</v>
      </c>
      <c r="H869" s="120">
        <v>40098.42</v>
      </c>
      <c r="J869" t="s">
        <v>96</v>
      </c>
      <c r="K869" t="s">
        <v>107</v>
      </c>
      <c r="L869" t="s">
        <v>106</v>
      </c>
      <c r="M869">
        <v>45547.66</v>
      </c>
      <c r="N869">
        <v>4664.817</v>
      </c>
      <c r="O869" s="122">
        <v>10.241617242246912</v>
      </c>
      <c r="P869">
        <v>36396.559999999998</v>
      </c>
      <c r="Q869">
        <v>54698.76</v>
      </c>
      <c r="R869" s="124"/>
    </row>
    <row r="870" spans="1:18" ht="15" customHeight="1" x14ac:dyDescent="0.35">
      <c r="A870" s="139">
        <v>3313</v>
      </c>
      <c r="B870" s="3"/>
      <c r="C870" s="129" t="s">
        <v>108</v>
      </c>
      <c r="D870" s="120">
        <v>28538.91</v>
      </c>
      <c r="E870" s="120">
        <v>4431.3940000000002</v>
      </c>
      <c r="F870" s="121">
        <f t="shared" si="31"/>
        <v>15.527551682947948</v>
      </c>
      <c r="G870" s="120">
        <v>21249.33</v>
      </c>
      <c r="H870" s="120">
        <v>35828.49</v>
      </c>
      <c r="J870" t="s">
        <v>96</v>
      </c>
      <c r="K870" t="s">
        <v>105</v>
      </c>
      <c r="L870" t="s">
        <v>104</v>
      </c>
      <c r="M870">
        <v>27589.1</v>
      </c>
      <c r="N870">
        <v>3541.78</v>
      </c>
      <c r="O870" s="122">
        <v>12.837606156054385</v>
      </c>
      <c r="P870">
        <v>20641.09</v>
      </c>
      <c r="Q870">
        <v>34537.11</v>
      </c>
      <c r="R870" s="124"/>
    </row>
    <row r="871" spans="1:18" ht="15" customHeight="1" x14ac:dyDescent="0.35">
      <c r="A871" s="139">
        <v>3344</v>
      </c>
      <c r="B871" s="3"/>
      <c r="C871" s="129" t="s">
        <v>86</v>
      </c>
      <c r="D871" s="120">
        <v>18489.830000000002</v>
      </c>
      <c r="E871" s="120">
        <v>1756.2239999999999</v>
      </c>
      <c r="F871" s="121">
        <f t="shared" si="31"/>
        <v>9.4983242139056969</v>
      </c>
      <c r="G871" s="120">
        <v>15600.87</v>
      </c>
      <c r="H871" s="120">
        <v>21378.79</v>
      </c>
      <c r="O871" s="122"/>
      <c r="R871" s="124"/>
    </row>
    <row r="872" spans="1:18" ht="15" customHeight="1" x14ac:dyDescent="0.35">
      <c r="A872" s="117">
        <v>3512</v>
      </c>
      <c r="B872" s="3"/>
      <c r="C872" s="140" t="s">
        <v>995</v>
      </c>
      <c r="D872" s="120">
        <v>34416.300000000003</v>
      </c>
      <c r="E872" s="120">
        <v>5500.54</v>
      </c>
      <c r="F872" s="121">
        <f t="shared" si="31"/>
        <v>15.982368819425677</v>
      </c>
      <c r="G872" s="120">
        <v>25367.99</v>
      </c>
      <c r="H872" s="120">
        <v>43464.61</v>
      </c>
      <c r="J872" t="s">
        <v>96</v>
      </c>
      <c r="K872" t="s">
        <v>83</v>
      </c>
      <c r="L872" t="s">
        <v>103</v>
      </c>
      <c r="M872">
        <v>24531.83</v>
      </c>
      <c r="N872">
        <v>4628.3630000000003</v>
      </c>
      <c r="O872" s="122">
        <v>18.866766156458773</v>
      </c>
      <c r="P872">
        <v>15452.24</v>
      </c>
      <c r="Q872">
        <v>33611.410000000003</v>
      </c>
      <c r="R872" s="124"/>
    </row>
    <row r="873" spans="1:18" ht="15" customHeight="1" x14ac:dyDescent="0.35">
      <c r="A873" s="139">
        <v>4110</v>
      </c>
      <c r="B873" s="3"/>
      <c r="C873" s="129" t="s">
        <v>1156</v>
      </c>
      <c r="D873" s="120">
        <v>32796.19</v>
      </c>
      <c r="E873" s="120">
        <v>3808.569</v>
      </c>
      <c r="F873" s="121">
        <f t="shared" si="31"/>
        <v>11.612839784133461</v>
      </c>
      <c r="G873" s="120">
        <v>26531.15</v>
      </c>
      <c r="H873" s="120">
        <v>39061.230000000003</v>
      </c>
      <c r="J873" t="s">
        <v>96</v>
      </c>
      <c r="K873" t="s">
        <v>101</v>
      </c>
      <c r="L873" t="s">
        <v>100</v>
      </c>
      <c r="M873">
        <v>27441.040000000001</v>
      </c>
      <c r="N873">
        <v>2589.6480000000001</v>
      </c>
      <c r="O873" s="122">
        <v>9.4371350356983559</v>
      </c>
      <c r="P873">
        <v>22360.85</v>
      </c>
      <c r="Q873">
        <v>32521.22</v>
      </c>
      <c r="R873" s="124"/>
    </row>
    <row r="874" spans="1:18" ht="15" customHeight="1" x14ac:dyDescent="0.35">
      <c r="A874" s="139">
        <v>4132</v>
      </c>
      <c r="B874" s="3"/>
      <c r="C874" s="129" t="s">
        <v>1295</v>
      </c>
      <c r="D874" s="120">
        <v>19592.490000000002</v>
      </c>
      <c r="E874" s="120">
        <v>1270.3140000000001</v>
      </c>
      <c r="F874" s="121">
        <f t="shared" si="31"/>
        <v>6.4836781848555241</v>
      </c>
      <c r="G874" s="120">
        <v>17502.84</v>
      </c>
      <c r="H874" s="120">
        <v>21682.14</v>
      </c>
      <c r="J874" t="s">
        <v>96</v>
      </c>
      <c r="K874" t="s">
        <v>99</v>
      </c>
      <c r="L874" t="s">
        <v>98</v>
      </c>
      <c r="M874">
        <v>24045.16</v>
      </c>
      <c r="N874">
        <v>4522.2209999999995</v>
      </c>
      <c r="O874" s="122">
        <v>18.807198621260994</v>
      </c>
      <c r="P874">
        <v>15173.8</v>
      </c>
      <c r="Q874">
        <v>32916.53</v>
      </c>
      <c r="R874" s="124"/>
    </row>
    <row r="875" spans="1:18" ht="15" customHeight="1" x14ac:dyDescent="0.35">
      <c r="A875" s="139">
        <v>4222</v>
      </c>
      <c r="B875" s="3"/>
      <c r="C875" s="129" t="s">
        <v>102</v>
      </c>
      <c r="D875" s="120">
        <v>26444.91</v>
      </c>
      <c r="E875" s="120">
        <v>1636.751</v>
      </c>
      <c r="F875" s="121">
        <f t="shared" si="31"/>
        <v>6.1892855751825211</v>
      </c>
      <c r="G875" s="120">
        <v>23752.48</v>
      </c>
      <c r="H875" s="120">
        <v>29137.34</v>
      </c>
      <c r="J875" t="s">
        <v>96</v>
      </c>
      <c r="K875" t="s">
        <v>14</v>
      </c>
      <c r="L875" t="s">
        <v>97</v>
      </c>
      <c r="M875">
        <v>24072.799999999999</v>
      </c>
      <c r="N875">
        <v>2818.0450000000001</v>
      </c>
      <c r="O875" s="122">
        <v>11.706344920408096</v>
      </c>
      <c r="P875">
        <v>18544.560000000001</v>
      </c>
      <c r="Q875">
        <v>29601.040000000001</v>
      </c>
      <c r="R875" s="124"/>
    </row>
    <row r="876" spans="1:18" ht="15" customHeight="1" x14ac:dyDescent="0.35">
      <c r="A876" s="117">
        <v>9000</v>
      </c>
      <c r="B876" s="118" t="s">
        <v>1350</v>
      </c>
      <c r="C876" s="131" t="s">
        <v>1207</v>
      </c>
      <c r="D876" s="120">
        <v>11115.48</v>
      </c>
      <c r="E876" s="120">
        <v>296.47410000000002</v>
      </c>
      <c r="F876" s="121">
        <f t="shared" si="31"/>
        <v>2.6672181498234897</v>
      </c>
      <c r="G876" s="120">
        <v>10627.78</v>
      </c>
      <c r="H876" s="120">
        <v>11603.17</v>
      </c>
      <c r="J876" t="s">
        <v>96</v>
      </c>
      <c r="K876" t="s">
        <v>5</v>
      </c>
      <c r="L876" t="s">
        <v>95</v>
      </c>
      <c r="M876">
        <v>12000.26</v>
      </c>
      <c r="N876">
        <v>492.85579999999999</v>
      </c>
      <c r="O876" s="122">
        <v>4.1070426807419169</v>
      </c>
      <c r="P876">
        <v>11033.41</v>
      </c>
      <c r="Q876">
        <v>12967.11</v>
      </c>
      <c r="R876" s="124"/>
    </row>
    <row r="877" spans="1:18" ht="15" customHeight="1" x14ac:dyDescent="0.35">
      <c r="A877" s="132"/>
      <c r="B877" s="130"/>
      <c r="C877" s="131"/>
      <c r="D877" s="120"/>
      <c r="E877" s="120"/>
      <c r="F877" s="121"/>
      <c r="G877" s="120"/>
      <c r="H877" s="120"/>
    </row>
    <row r="878" spans="1:18" ht="15" customHeight="1" x14ac:dyDescent="0.35">
      <c r="A878" s="135" t="s">
        <v>54</v>
      </c>
      <c r="B878" s="136"/>
      <c r="C878" s="148" t="s">
        <v>78</v>
      </c>
      <c r="D878" s="120"/>
      <c r="E878" s="120"/>
      <c r="F878" s="121"/>
      <c r="G878" s="120"/>
      <c r="H878" s="120"/>
    </row>
    <row r="879" spans="1:18" ht="15" customHeight="1" x14ac:dyDescent="0.35">
      <c r="A879" s="188">
        <v>2310</v>
      </c>
      <c r="B879" s="130"/>
      <c r="C879" s="189" t="s">
        <v>77</v>
      </c>
      <c r="D879" s="120">
        <v>34344.43</v>
      </c>
      <c r="E879" s="120">
        <v>2198.777</v>
      </c>
      <c r="F879" s="121">
        <f t="shared" ref="F879:F890" si="33">E879/D879*100</f>
        <v>6.4021356592611962</v>
      </c>
      <c r="G879" s="120">
        <v>30727.47</v>
      </c>
      <c r="H879" s="120">
        <v>37961.39</v>
      </c>
      <c r="J879" t="s">
        <v>54</v>
      </c>
      <c r="K879" t="s">
        <v>76</v>
      </c>
      <c r="L879" t="s">
        <v>75</v>
      </c>
      <c r="M879">
        <v>28861.9</v>
      </c>
      <c r="N879">
        <v>1149.2670000000001</v>
      </c>
      <c r="O879" s="122">
        <v>3.9819519851430432</v>
      </c>
      <c r="P879">
        <v>26606.38</v>
      </c>
      <c r="Q879">
        <v>31117.43</v>
      </c>
      <c r="R879" s="124"/>
    </row>
    <row r="880" spans="1:18" ht="15" customHeight="1" x14ac:dyDescent="0.35">
      <c r="A880" s="188">
        <v>2320</v>
      </c>
      <c r="B880" s="3"/>
      <c r="C880" s="182" t="s">
        <v>74</v>
      </c>
      <c r="D880" s="120">
        <v>17919.599999999999</v>
      </c>
      <c r="E880" s="120">
        <v>768.34159999999997</v>
      </c>
      <c r="F880" s="121">
        <f t="shared" si="33"/>
        <v>4.2877162436661536</v>
      </c>
      <c r="G880" s="120">
        <v>16655.689999999999</v>
      </c>
      <c r="H880" s="120">
        <v>19183.509999999998</v>
      </c>
      <c r="J880" t="s">
        <v>54</v>
      </c>
      <c r="K880" t="s">
        <v>73</v>
      </c>
      <c r="L880" t="s">
        <v>72</v>
      </c>
      <c r="M880">
        <v>22111.8</v>
      </c>
      <c r="N880">
        <v>1903.3019999999999</v>
      </c>
      <c r="O880" s="122">
        <v>8.6076303150354114</v>
      </c>
      <c r="P880">
        <v>18376.419999999998</v>
      </c>
      <c r="Q880">
        <v>25847.18</v>
      </c>
      <c r="R880" s="124"/>
    </row>
    <row r="881" spans="1:18" ht="15" customHeight="1" x14ac:dyDescent="0.35">
      <c r="A881" s="188">
        <v>2330</v>
      </c>
      <c r="B881" s="130"/>
      <c r="C881" s="189" t="s">
        <v>71</v>
      </c>
      <c r="D881" s="120">
        <v>16175.39</v>
      </c>
      <c r="E881" s="120">
        <v>263.50689999999997</v>
      </c>
      <c r="F881" s="121">
        <f t="shared" si="33"/>
        <v>1.629060566700401</v>
      </c>
      <c r="G881" s="120">
        <v>15741.93</v>
      </c>
      <c r="H881" s="120">
        <v>16608.86</v>
      </c>
      <c r="J881" t="s">
        <v>54</v>
      </c>
      <c r="K881" t="s">
        <v>70</v>
      </c>
      <c r="L881" t="s">
        <v>69</v>
      </c>
      <c r="M881">
        <v>17652.84</v>
      </c>
      <c r="N881">
        <v>454.47640000000001</v>
      </c>
      <c r="O881" s="122">
        <v>2.5745228529800306</v>
      </c>
      <c r="P881">
        <v>16760.89</v>
      </c>
      <c r="Q881">
        <v>18544.78</v>
      </c>
      <c r="R881" s="124"/>
    </row>
    <row r="882" spans="1:18" ht="15" customHeight="1" x14ac:dyDescent="0.35">
      <c r="A882" s="188">
        <v>2339</v>
      </c>
      <c r="B882" s="118"/>
      <c r="C882" s="182" t="s">
        <v>68</v>
      </c>
      <c r="D882" s="120">
        <v>20011.75</v>
      </c>
      <c r="E882" s="120">
        <v>1466.1020000000001</v>
      </c>
      <c r="F882" s="121">
        <f t="shared" si="33"/>
        <v>7.3262058540607393</v>
      </c>
      <c r="G882" s="120">
        <v>17600.04</v>
      </c>
      <c r="H882" s="120">
        <v>22423.47</v>
      </c>
      <c r="J882" t="s">
        <v>54</v>
      </c>
      <c r="K882" t="s">
        <v>67</v>
      </c>
      <c r="L882" t="s">
        <v>66</v>
      </c>
      <c r="M882">
        <v>21972.84</v>
      </c>
      <c r="N882">
        <v>1453.671</v>
      </c>
      <c r="O882" s="122">
        <v>6.6157629145799994</v>
      </c>
      <c r="P882">
        <v>19119.900000000001</v>
      </c>
      <c r="Q882">
        <v>24825.78</v>
      </c>
      <c r="R882" s="124"/>
    </row>
    <row r="883" spans="1:18" ht="15" customHeight="1" x14ac:dyDescent="0.35">
      <c r="A883" s="188">
        <v>2341</v>
      </c>
      <c r="B883" s="118"/>
      <c r="C883" s="182" t="s">
        <v>65</v>
      </c>
      <c r="D883" s="120">
        <v>16119.94</v>
      </c>
      <c r="E883" s="120">
        <v>360.78879999999998</v>
      </c>
      <c r="F883" s="121">
        <f t="shared" si="33"/>
        <v>2.2381522511870391</v>
      </c>
      <c r="G883" s="120">
        <v>15526.45</v>
      </c>
      <c r="H883" s="120">
        <v>16713.43</v>
      </c>
      <c r="O883" s="122"/>
      <c r="R883" s="124"/>
    </row>
    <row r="884" spans="1:18" ht="15" customHeight="1" x14ac:dyDescent="0.35">
      <c r="A884" s="188">
        <v>2342</v>
      </c>
      <c r="B884" s="118"/>
      <c r="C884" s="182" t="s">
        <v>62</v>
      </c>
      <c r="D884" s="120">
        <v>15904.91</v>
      </c>
      <c r="E884" s="120">
        <v>378.36610000000002</v>
      </c>
      <c r="F884" s="121">
        <f t="shared" si="33"/>
        <v>2.3789263818531512</v>
      </c>
      <c r="G884" s="120">
        <v>15282.5</v>
      </c>
      <c r="H884" s="120">
        <v>16527.32</v>
      </c>
      <c r="O884" s="122"/>
      <c r="R884" s="124"/>
    </row>
    <row r="885" spans="1:18" ht="15" customHeight="1" x14ac:dyDescent="0.35">
      <c r="A885" s="188">
        <v>2351</v>
      </c>
      <c r="B885" s="3"/>
      <c r="C885" s="182" t="s">
        <v>1299</v>
      </c>
      <c r="D885" s="120">
        <v>30962.78</v>
      </c>
      <c r="E885" s="120">
        <v>2057.1990000000001</v>
      </c>
      <c r="F885" s="121">
        <f t="shared" si="33"/>
        <v>6.6441030165895958</v>
      </c>
      <c r="G885" s="120">
        <v>27578.720000000001</v>
      </c>
      <c r="H885" s="120">
        <v>34346.839999999997</v>
      </c>
      <c r="J885" t="s">
        <v>54</v>
      </c>
      <c r="K885" t="s">
        <v>64</v>
      </c>
      <c r="L885" t="s">
        <v>63</v>
      </c>
      <c r="M885">
        <v>17873.97</v>
      </c>
      <c r="N885">
        <v>767.17759999999998</v>
      </c>
      <c r="O885" s="122">
        <v>4.2921499812296871</v>
      </c>
      <c r="P885">
        <v>16368.33</v>
      </c>
      <c r="Q885">
        <v>19379.62</v>
      </c>
      <c r="R885" s="124"/>
    </row>
    <row r="886" spans="1:18" ht="30" customHeight="1" x14ac:dyDescent="0.35">
      <c r="A886" s="188">
        <v>2352</v>
      </c>
      <c r="B886" s="130"/>
      <c r="C886" s="189" t="s">
        <v>1300</v>
      </c>
      <c r="D886" s="120">
        <v>15902.34</v>
      </c>
      <c r="E886" s="120">
        <v>2057.355</v>
      </c>
      <c r="F886" s="121">
        <f t="shared" si="33"/>
        <v>12.937435622681944</v>
      </c>
      <c r="G886" s="120">
        <v>12518.02</v>
      </c>
      <c r="H886" s="120">
        <v>19286.66</v>
      </c>
      <c r="J886" t="s">
        <v>54</v>
      </c>
      <c r="K886" t="s">
        <v>61</v>
      </c>
      <c r="L886" t="s">
        <v>60</v>
      </c>
      <c r="M886">
        <v>17864.55</v>
      </c>
      <c r="N886">
        <v>1040.463</v>
      </c>
      <c r="O886" s="122">
        <v>5.8241769314088518</v>
      </c>
      <c r="P886">
        <v>15822.56</v>
      </c>
      <c r="Q886">
        <v>19906.54</v>
      </c>
      <c r="R886" s="124"/>
    </row>
    <row r="887" spans="1:18" ht="15" customHeight="1" x14ac:dyDescent="0.35">
      <c r="A887" s="117">
        <v>2353</v>
      </c>
      <c r="B887" s="130"/>
      <c r="C887" s="189" t="s">
        <v>1301</v>
      </c>
      <c r="D887" s="120">
        <v>14961.98</v>
      </c>
      <c r="E887" s="120">
        <v>777.14350000000002</v>
      </c>
      <c r="F887" s="121">
        <f t="shared" si="33"/>
        <v>5.1941220346504942</v>
      </c>
      <c r="G887" s="120">
        <v>13683.59</v>
      </c>
      <c r="H887" s="120">
        <v>16240.37</v>
      </c>
      <c r="J887" t="s">
        <v>54</v>
      </c>
      <c r="K887" t="s">
        <v>59</v>
      </c>
      <c r="L887" t="s">
        <v>58</v>
      </c>
      <c r="M887">
        <v>23622.51</v>
      </c>
      <c r="N887">
        <v>2546.8679999999999</v>
      </c>
      <c r="O887" s="122">
        <v>10.781529989827501</v>
      </c>
      <c r="P887">
        <v>18624.080000000002</v>
      </c>
      <c r="Q887">
        <v>28620.93</v>
      </c>
      <c r="R887" s="124"/>
    </row>
    <row r="888" spans="1:18" ht="15" customHeight="1" x14ac:dyDescent="0.35">
      <c r="A888" s="188">
        <v>2423</v>
      </c>
      <c r="B888" s="130"/>
      <c r="C888" s="189" t="s">
        <v>1302</v>
      </c>
      <c r="D888" s="120">
        <v>23362.81</v>
      </c>
      <c r="E888" s="120">
        <v>892.19320000000005</v>
      </c>
      <c r="F888" s="121">
        <f t="shared" si="33"/>
        <v>3.8188608305250957</v>
      </c>
      <c r="G888" s="120">
        <v>21895.17</v>
      </c>
      <c r="H888" s="120">
        <v>24830.46</v>
      </c>
      <c r="J888" t="s">
        <v>54</v>
      </c>
      <c r="K888" t="s">
        <v>57</v>
      </c>
      <c r="L888" t="s">
        <v>56</v>
      </c>
      <c r="M888">
        <v>21081.31</v>
      </c>
      <c r="N888">
        <v>1514.223</v>
      </c>
      <c r="O888" s="122">
        <v>7.1827746947414548</v>
      </c>
      <c r="P888">
        <v>18109.53</v>
      </c>
      <c r="Q888">
        <v>24053.09</v>
      </c>
      <c r="R888" s="124"/>
    </row>
    <row r="889" spans="1:18" ht="15" customHeight="1" x14ac:dyDescent="0.35">
      <c r="A889" s="188">
        <v>4110</v>
      </c>
      <c r="B889" s="130"/>
      <c r="C889" s="189" t="s">
        <v>1156</v>
      </c>
      <c r="D889" s="120">
        <v>17834.939999999999</v>
      </c>
      <c r="E889" s="120">
        <v>377.76499999999999</v>
      </c>
      <c r="F889" s="121">
        <f t="shared" si="33"/>
        <v>2.118117582677598</v>
      </c>
      <c r="G889" s="120">
        <v>17213.52</v>
      </c>
      <c r="H889" s="120">
        <v>18456.349999999999</v>
      </c>
      <c r="J889" t="s">
        <v>54</v>
      </c>
      <c r="K889" t="s">
        <v>14</v>
      </c>
      <c r="L889" t="s">
        <v>55</v>
      </c>
      <c r="M889">
        <v>18188</v>
      </c>
      <c r="N889">
        <v>460.85539999999997</v>
      </c>
      <c r="O889" s="122">
        <v>2.5338431933142731</v>
      </c>
      <c r="P889">
        <v>17283.54</v>
      </c>
      <c r="Q889">
        <v>19092.46</v>
      </c>
      <c r="R889" s="124"/>
    </row>
    <row r="890" spans="1:18" ht="15" customHeight="1" x14ac:dyDescent="0.35">
      <c r="A890" s="188">
        <v>9000</v>
      </c>
      <c r="B890" s="118" t="s">
        <v>1350</v>
      </c>
      <c r="C890" s="182" t="s">
        <v>1207</v>
      </c>
      <c r="D890" s="120">
        <v>12960.08</v>
      </c>
      <c r="E890" s="120">
        <v>160.41820000000001</v>
      </c>
      <c r="F890" s="121">
        <f t="shared" si="33"/>
        <v>1.237787112425232</v>
      </c>
      <c r="G890" s="120">
        <v>12696.2</v>
      </c>
      <c r="H890" s="120">
        <v>13223.97</v>
      </c>
      <c r="J890" t="s">
        <v>54</v>
      </c>
      <c r="K890" t="s">
        <v>5</v>
      </c>
      <c r="L890" t="s">
        <v>53</v>
      </c>
      <c r="M890">
        <v>12833.18</v>
      </c>
      <c r="N890">
        <v>586.87559999999996</v>
      </c>
      <c r="O890" s="122">
        <v>4.5731112631475588</v>
      </c>
      <c r="P890">
        <v>11681.39</v>
      </c>
      <c r="Q890">
        <v>13984.97</v>
      </c>
      <c r="R890" s="124"/>
    </row>
    <row r="891" spans="1:18" ht="15" customHeight="1" x14ac:dyDescent="0.35">
      <c r="A891" s="132"/>
      <c r="B891" s="130"/>
      <c r="C891" s="131"/>
      <c r="D891" s="120"/>
      <c r="E891" s="120"/>
      <c r="F891" s="163"/>
      <c r="G891" s="120"/>
      <c r="H891" s="120"/>
    </row>
    <row r="892" spans="1:18" ht="15" customHeight="1" x14ac:dyDescent="0.35">
      <c r="A892" s="4" t="s">
        <v>22</v>
      </c>
      <c r="B892" s="145"/>
      <c r="C892" s="126" t="s">
        <v>52</v>
      </c>
      <c r="D892" s="120"/>
      <c r="E892" s="120"/>
      <c r="F892" s="163"/>
      <c r="G892" s="120"/>
      <c r="H892" s="120"/>
    </row>
    <row r="893" spans="1:18" ht="15" customHeight="1" x14ac:dyDescent="0.35">
      <c r="A893" s="139">
        <v>2211</v>
      </c>
      <c r="B893" s="3"/>
      <c r="C893" s="129" t="s">
        <v>997</v>
      </c>
      <c r="D893" s="120">
        <v>47944.71</v>
      </c>
      <c r="E893" s="120">
        <v>2707.1529999999998</v>
      </c>
      <c r="F893" s="121">
        <f t="shared" ref="F893:F907" si="34">E893/D893*100</f>
        <v>5.6464060372875338</v>
      </c>
      <c r="G893" s="120">
        <v>43491.49</v>
      </c>
      <c r="H893" s="120">
        <v>52397.94</v>
      </c>
      <c r="J893" t="s">
        <v>22</v>
      </c>
      <c r="K893" t="s">
        <v>51</v>
      </c>
      <c r="L893" t="s">
        <v>50</v>
      </c>
      <c r="M893">
        <v>51251.22</v>
      </c>
      <c r="N893">
        <v>5685.585</v>
      </c>
      <c r="O893" s="122">
        <v>11.093560309393609</v>
      </c>
      <c r="P893">
        <v>40084.379999999997</v>
      </c>
      <c r="Q893">
        <v>62418.07</v>
      </c>
      <c r="R893" s="124"/>
    </row>
    <row r="894" spans="1:18" ht="15" customHeight="1" x14ac:dyDescent="0.35">
      <c r="A894" s="139">
        <v>2212</v>
      </c>
      <c r="B894" s="3"/>
      <c r="C894" s="129" t="s">
        <v>1303</v>
      </c>
      <c r="D894" s="120">
        <v>46445.48</v>
      </c>
      <c r="E894" s="120">
        <v>4329.6629999999996</v>
      </c>
      <c r="F894" s="121">
        <f t="shared" si="34"/>
        <v>9.322033058975812</v>
      </c>
      <c r="G894" s="120">
        <v>39323.25</v>
      </c>
      <c r="H894" s="120">
        <v>53567.71</v>
      </c>
      <c r="J894" t="s">
        <v>22</v>
      </c>
      <c r="K894" t="s">
        <v>49</v>
      </c>
      <c r="L894" t="s">
        <v>48</v>
      </c>
      <c r="M894">
        <v>57476.37</v>
      </c>
      <c r="N894">
        <v>24861.42</v>
      </c>
      <c r="O894" s="122">
        <v>43.255028109812777</v>
      </c>
      <c r="P894">
        <v>8646.9840000000004</v>
      </c>
      <c r="Q894">
        <v>106305.8</v>
      </c>
      <c r="R894" s="124"/>
    </row>
    <row r="895" spans="1:18" ht="15" customHeight="1" x14ac:dyDescent="0.35">
      <c r="A895" s="139">
        <v>2221</v>
      </c>
      <c r="B895" s="3"/>
      <c r="C895" s="129" t="s">
        <v>1304</v>
      </c>
      <c r="D895" s="120">
        <v>24343.23</v>
      </c>
      <c r="E895" s="120">
        <v>1378.9860000000001</v>
      </c>
      <c r="F895" s="121">
        <f t="shared" si="34"/>
        <v>5.6647618249509213</v>
      </c>
      <c r="G895" s="120">
        <v>22074.82</v>
      </c>
      <c r="H895" s="120">
        <v>26611.64</v>
      </c>
      <c r="J895" t="s">
        <v>22</v>
      </c>
      <c r="K895" t="s">
        <v>47</v>
      </c>
      <c r="L895" t="s">
        <v>46</v>
      </c>
      <c r="M895">
        <v>20715.439999999999</v>
      </c>
      <c r="N895">
        <v>500.20080000000002</v>
      </c>
      <c r="O895" s="122">
        <v>2.4146279296988142</v>
      </c>
      <c r="P895">
        <v>19733.02</v>
      </c>
      <c r="Q895">
        <v>21697.87</v>
      </c>
      <c r="R895" s="124"/>
    </row>
    <row r="896" spans="1:18" ht="15" customHeight="1" x14ac:dyDescent="0.35">
      <c r="A896" s="139">
        <v>2222</v>
      </c>
      <c r="B896" s="3"/>
      <c r="C896" s="129" t="s">
        <v>45</v>
      </c>
      <c r="D896" s="120">
        <v>16305.91</v>
      </c>
      <c r="E896" s="120">
        <v>392.58909999999997</v>
      </c>
      <c r="F896" s="121">
        <f t="shared" si="34"/>
        <v>2.4076491284448398</v>
      </c>
      <c r="G896" s="120">
        <v>15660.11</v>
      </c>
      <c r="H896" s="120">
        <v>16951.71</v>
      </c>
      <c r="J896" t="s">
        <v>22</v>
      </c>
      <c r="K896" t="s">
        <v>44</v>
      </c>
      <c r="L896" t="s">
        <v>43</v>
      </c>
      <c r="M896">
        <v>15885.54</v>
      </c>
      <c r="N896">
        <v>578.06389999999999</v>
      </c>
      <c r="O896" s="122">
        <v>3.638931380362266</v>
      </c>
      <c r="P896">
        <v>14750.18</v>
      </c>
      <c r="Q896">
        <v>17020.89</v>
      </c>
      <c r="R896" s="124"/>
    </row>
    <row r="897" spans="1:26" ht="15" customHeight="1" x14ac:dyDescent="0.35">
      <c r="A897" s="139">
        <v>2261</v>
      </c>
      <c r="B897" s="3"/>
      <c r="C897" s="129" t="s">
        <v>42</v>
      </c>
      <c r="D897" s="120">
        <v>30750.94</v>
      </c>
      <c r="E897" s="120">
        <v>1232.883</v>
      </c>
      <c r="F897" s="121">
        <f t="shared" si="34"/>
        <v>4.0092530504758557</v>
      </c>
      <c r="G897" s="120">
        <v>28722.86</v>
      </c>
      <c r="H897" s="120">
        <v>32779.01</v>
      </c>
      <c r="J897" t="s">
        <v>22</v>
      </c>
      <c r="K897" t="s">
        <v>41</v>
      </c>
      <c r="L897" t="s">
        <v>40</v>
      </c>
      <c r="M897">
        <v>29884.79</v>
      </c>
      <c r="N897">
        <v>3608.1210000000001</v>
      </c>
      <c r="O897" s="122">
        <v>12.073436018790829</v>
      </c>
      <c r="P897">
        <v>22798.22</v>
      </c>
      <c r="Q897">
        <v>36971.370000000003</v>
      </c>
      <c r="R897" s="124"/>
    </row>
    <row r="898" spans="1:26" ht="15" customHeight="1" x14ac:dyDescent="0.35">
      <c r="A898" s="139">
        <v>2262</v>
      </c>
      <c r="B898" s="3"/>
      <c r="C898" s="129" t="s">
        <v>39</v>
      </c>
      <c r="D898" s="120">
        <v>20851.75</v>
      </c>
      <c r="E898" s="120">
        <v>1070.0989999999999</v>
      </c>
      <c r="F898" s="121">
        <f t="shared" si="34"/>
        <v>5.131938566307384</v>
      </c>
      <c r="G898" s="120">
        <v>19091.45</v>
      </c>
      <c r="H898" s="120">
        <v>22612.05</v>
      </c>
      <c r="J898" t="s">
        <v>22</v>
      </c>
      <c r="K898" t="s">
        <v>38</v>
      </c>
      <c r="L898" t="s">
        <v>37</v>
      </c>
      <c r="M898">
        <v>18734.21</v>
      </c>
      <c r="N898">
        <v>542.48140000000001</v>
      </c>
      <c r="O898" s="122">
        <v>2.8956726758160607</v>
      </c>
      <c r="P898">
        <v>17668.75</v>
      </c>
      <c r="Q898">
        <v>19799.68</v>
      </c>
      <c r="R898" s="124"/>
    </row>
    <row r="899" spans="1:26" ht="15" customHeight="1" x14ac:dyDescent="0.35">
      <c r="A899" s="139">
        <v>2264</v>
      </c>
      <c r="B899" s="3"/>
      <c r="C899" s="129" t="s">
        <v>1305</v>
      </c>
      <c r="D899" s="120">
        <v>21661.01</v>
      </c>
      <c r="E899" s="120">
        <v>617.0675</v>
      </c>
      <c r="F899" s="121">
        <f t="shared" si="34"/>
        <v>2.8487475884088509</v>
      </c>
      <c r="G899" s="120">
        <v>20645.939999999999</v>
      </c>
      <c r="H899" s="120">
        <v>22676.07</v>
      </c>
      <c r="J899" t="s">
        <v>22</v>
      </c>
      <c r="K899" t="s">
        <v>36</v>
      </c>
      <c r="L899" t="s">
        <v>35</v>
      </c>
      <c r="M899">
        <v>19939.28</v>
      </c>
      <c r="N899">
        <v>970.1087</v>
      </c>
      <c r="O899" s="122">
        <v>4.8653145951107559</v>
      </c>
      <c r="P899">
        <v>18033.93</v>
      </c>
      <c r="Q899">
        <v>21844.639999999999</v>
      </c>
      <c r="R899" s="124"/>
    </row>
    <row r="900" spans="1:26" ht="15" customHeight="1" x14ac:dyDescent="0.35">
      <c r="A900" s="139">
        <v>2265</v>
      </c>
      <c r="B900" s="3"/>
      <c r="C900" s="129" t="s">
        <v>34</v>
      </c>
      <c r="D900" s="120">
        <v>19286.650000000001</v>
      </c>
      <c r="E900" s="120">
        <v>530.03420000000006</v>
      </c>
      <c r="F900" s="121">
        <f t="shared" si="34"/>
        <v>2.7481921432700855</v>
      </c>
      <c r="G900" s="120">
        <v>18414.75</v>
      </c>
      <c r="H900" s="120">
        <v>20158.55</v>
      </c>
      <c r="O900" s="122"/>
      <c r="R900" s="124"/>
    </row>
    <row r="901" spans="1:26" ht="15" customHeight="1" x14ac:dyDescent="0.35">
      <c r="A901" s="139">
        <v>2267</v>
      </c>
      <c r="B901" s="3"/>
      <c r="C901" s="129" t="s">
        <v>1306</v>
      </c>
      <c r="D901" s="120">
        <v>43175.43</v>
      </c>
      <c r="E901" s="120">
        <v>3832.4580000000001</v>
      </c>
      <c r="F901" s="121">
        <f t="shared" si="34"/>
        <v>8.8764790530169577</v>
      </c>
      <c r="G901" s="120">
        <v>36871.089999999997</v>
      </c>
      <c r="H901" s="120">
        <v>49479.77</v>
      </c>
      <c r="O901" s="122"/>
      <c r="R901" s="124"/>
    </row>
    <row r="902" spans="1:26" ht="15" customHeight="1" x14ac:dyDescent="0.35">
      <c r="A902" s="139">
        <v>3211</v>
      </c>
      <c r="B902" s="3"/>
      <c r="C902" s="129" t="s">
        <v>31</v>
      </c>
      <c r="D902" s="120">
        <v>20455.97</v>
      </c>
      <c r="E902" s="120">
        <v>531.03330000000005</v>
      </c>
      <c r="F902" s="121">
        <f t="shared" si="34"/>
        <v>2.5959820042755246</v>
      </c>
      <c r="G902" s="120">
        <v>19582.43</v>
      </c>
      <c r="H902" s="120">
        <v>21329.52</v>
      </c>
      <c r="J902" t="s">
        <v>22</v>
      </c>
      <c r="K902" t="s">
        <v>33</v>
      </c>
      <c r="L902" t="s">
        <v>32</v>
      </c>
      <c r="M902">
        <v>17652.13</v>
      </c>
      <c r="N902">
        <v>671.0453</v>
      </c>
      <c r="O902" s="122">
        <v>3.8014976096369106</v>
      </c>
      <c r="P902">
        <v>16334.16</v>
      </c>
      <c r="Q902">
        <v>18970.11</v>
      </c>
      <c r="R902" s="124"/>
    </row>
    <row r="903" spans="1:26" ht="30" customHeight="1" x14ac:dyDescent="0.35">
      <c r="A903" s="139">
        <v>3212</v>
      </c>
      <c r="B903" s="3"/>
      <c r="C903" s="140" t="s">
        <v>994</v>
      </c>
      <c r="D903" s="120">
        <v>21400.47</v>
      </c>
      <c r="E903" s="120">
        <v>740.80759999999998</v>
      </c>
      <c r="F903" s="121">
        <f t="shared" si="34"/>
        <v>3.4616417302984468</v>
      </c>
      <c r="G903" s="120">
        <v>20181.849999999999</v>
      </c>
      <c r="H903" s="120">
        <v>22619.08</v>
      </c>
      <c r="J903" t="s">
        <v>22</v>
      </c>
      <c r="K903" t="s">
        <v>30</v>
      </c>
      <c r="L903" t="s">
        <v>29</v>
      </c>
      <c r="M903">
        <v>20279.2</v>
      </c>
      <c r="N903">
        <v>1750.2729999999999</v>
      </c>
      <c r="O903" s="122">
        <v>8.630877943903112</v>
      </c>
      <c r="P903">
        <v>16841.55</v>
      </c>
      <c r="Q903">
        <v>23716.84</v>
      </c>
      <c r="R903" s="124"/>
    </row>
    <row r="904" spans="1:26" ht="15" customHeight="1" x14ac:dyDescent="0.35">
      <c r="A904" s="117">
        <v>4110</v>
      </c>
      <c r="B904" s="3"/>
      <c r="C904" s="140" t="s">
        <v>1156</v>
      </c>
      <c r="D904" s="120">
        <v>16857.98</v>
      </c>
      <c r="E904" s="120">
        <v>387.07260000000002</v>
      </c>
      <c r="F904" s="121">
        <f t="shared" si="34"/>
        <v>2.2960793641942869</v>
      </c>
      <c r="G904" s="120">
        <v>16221.25</v>
      </c>
      <c r="H904" s="120">
        <v>17494.71</v>
      </c>
      <c r="J904" t="s">
        <v>22</v>
      </c>
      <c r="K904" t="s">
        <v>28</v>
      </c>
      <c r="L904" t="s">
        <v>27</v>
      </c>
      <c r="M904">
        <v>19055.72</v>
      </c>
      <c r="N904">
        <v>534.48500000000001</v>
      </c>
      <c r="O904" s="122">
        <v>2.8048533458720009</v>
      </c>
      <c r="P904">
        <v>18005.96</v>
      </c>
      <c r="Q904">
        <v>20105.48</v>
      </c>
      <c r="R904" s="124"/>
    </row>
    <row r="905" spans="1:26" ht="15" customHeight="1" x14ac:dyDescent="0.35">
      <c r="A905" s="139">
        <v>5321</v>
      </c>
      <c r="B905" s="3"/>
      <c r="C905" s="129" t="s">
        <v>25</v>
      </c>
      <c r="D905" s="120">
        <v>16686.73</v>
      </c>
      <c r="E905" s="120">
        <v>401.53269999999998</v>
      </c>
      <c r="F905" s="121">
        <f t="shared" si="34"/>
        <v>2.4062994966659135</v>
      </c>
      <c r="G905" s="120">
        <v>16026.22</v>
      </c>
      <c r="H905" s="120">
        <v>17347.25</v>
      </c>
      <c r="J905" t="s">
        <v>22</v>
      </c>
      <c r="K905" t="s">
        <v>14</v>
      </c>
      <c r="L905" t="s">
        <v>26</v>
      </c>
      <c r="M905">
        <v>16195.03</v>
      </c>
      <c r="N905">
        <v>378.94029999999998</v>
      </c>
      <c r="O905" s="122">
        <v>2.3398554988783595</v>
      </c>
      <c r="P905">
        <v>15450.76</v>
      </c>
      <c r="Q905">
        <v>16939.29</v>
      </c>
      <c r="R905" s="124"/>
    </row>
    <row r="906" spans="1:26" s="192" customFormat="1" ht="30" customHeight="1" x14ac:dyDescent="0.35">
      <c r="A906" s="195">
        <v>5329</v>
      </c>
      <c r="B906" s="191"/>
      <c r="C906" s="140" t="s">
        <v>1307</v>
      </c>
      <c r="D906" s="221">
        <v>16317.72</v>
      </c>
      <c r="E906" s="221">
        <v>430.26240000000001</v>
      </c>
      <c r="F906" s="222">
        <f t="shared" si="34"/>
        <v>2.6367801384016887</v>
      </c>
      <c r="G906" s="221">
        <v>15609.95</v>
      </c>
      <c r="H906" s="221">
        <v>17025.5</v>
      </c>
      <c r="J906" s="192" t="s">
        <v>22</v>
      </c>
      <c r="K906" s="192" t="s">
        <v>24</v>
      </c>
      <c r="L906" s="192" t="s">
        <v>23</v>
      </c>
      <c r="M906" s="192">
        <v>15119.23</v>
      </c>
      <c r="N906" s="192">
        <v>494.40539999999999</v>
      </c>
      <c r="O906" s="193">
        <v>3.2700435141207587</v>
      </c>
      <c r="P906" s="192">
        <v>14148.19</v>
      </c>
      <c r="Q906" s="192">
        <v>16090.27</v>
      </c>
      <c r="R906" s="194"/>
      <c r="V906" s="193"/>
      <c r="W906" s="193"/>
      <c r="X906" s="193"/>
      <c r="Y906" s="193"/>
      <c r="Z906" s="193"/>
    </row>
    <row r="907" spans="1:26" ht="15" customHeight="1" x14ac:dyDescent="0.35">
      <c r="A907" s="117">
        <v>9000</v>
      </c>
      <c r="B907" s="118" t="s">
        <v>1350</v>
      </c>
      <c r="C907" s="131" t="s">
        <v>1207</v>
      </c>
      <c r="D907" s="120">
        <v>13034.56</v>
      </c>
      <c r="E907" s="120">
        <v>350.71019999999999</v>
      </c>
      <c r="F907" s="121">
        <f t="shared" si="34"/>
        <v>2.6906178651216459</v>
      </c>
      <c r="G907" s="120">
        <v>12457.64</v>
      </c>
      <c r="H907" s="120">
        <v>13611.47</v>
      </c>
      <c r="J907" t="s">
        <v>22</v>
      </c>
      <c r="K907" t="s">
        <v>5</v>
      </c>
      <c r="L907" t="s">
        <v>21</v>
      </c>
      <c r="M907">
        <v>12931.18</v>
      </c>
      <c r="N907">
        <v>639.14620000000002</v>
      </c>
      <c r="O907" s="122">
        <v>4.9426749917640924</v>
      </c>
      <c r="P907">
        <v>11675.85</v>
      </c>
      <c r="Q907">
        <v>14186.5</v>
      </c>
      <c r="R907" s="124"/>
    </row>
    <row r="908" spans="1:26" ht="15" customHeight="1" x14ac:dyDescent="0.35">
      <c r="A908" s="132"/>
      <c r="B908" s="130"/>
      <c r="C908" s="131"/>
      <c r="D908" s="120"/>
      <c r="E908" s="120"/>
      <c r="F908" s="121"/>
      <c r="G908" s="120"/>
      <c r="H908" s="120"/>
    </row>
    <row r="909" spans="1:26" ht="30" customHeight="1" x14ac:dyDescent="0.35">
      <c r="A909" s="4" t="s">
        <v>1199</v>
      </c>
      <c r="B909" s="130"/>
      <c r="C909" s="126" t="s">
        <v>1308</v>
      </c>
      <c r="D909" s="120"/>
      <c r="E909" s="120"/>
      <c r="F909" s="121"/>
      <c r="G909" s="120"/>
      <c r="H909" s="120"/>
    </row>
    <row r="910" spans="1:26" ht="15" customHeight="1" x14ac:dyDescent="0.35">
      <c r="A910" s="117">
        <v>4110</v>
      </c>
      <c r="B910" s="130"/>
      <c r="C910" s="131" t="s">
        <v>1156</v>
      </c>
      <c r="D910" s="120">
        <v>20021.650000000001</v>
      </c>
      <c r="E910" s="120">
        <v>964.55989999999997</v>
      </c>
      <c r="F910" s="121">
        <f t="shared" ref="F910:F934" si="35">E910/D910*100</f>
        <v>4.8175844648168358</v>
      </c>
      <c r="G910" s="120">
        <v>18434.96</v>
      </c>
      <c r="H910" s="120">
        <v>21608.33</v>
      </c>
    </row>
    <row r="911" spans="1:26" ht="15" customHeight="1" x14ac:dyDescent="0.35">
      <c r="A911" s="117">
        <v>9000</v>
      </c>
      <c r="B911" s="118" t="s">
        <v>1350</v>
      </c>
      <c r="C911" s="131" t="s">
        <v>1207</v>
      </c>
      <c r="D911" s="120">
        <v>11971.52</v>
      </c>
      <c r="E911" s="120">
        <v>269.51620000000003</v>
      </c>
      <c r="F911" s="121">
        <f t="shared" si="35"/>
        <v>2.2513114458314401</v>
      </c>
      <c r="G911" s="120">
        <v>11528.17</v>
      </c>
      <c r="H911" s="120">
        <v>12414.87</v>
      </c>
    </row>
    <row r="912" spans="1:26" ht="15" customHeight="1" x14ac:dyDescent="0.35">
      <c r="A912" s="132"/>
      <c r="B912" s="130"/>
      <c r="C912" s="131"/>
      <c r="D912" s="120"/>
      <c r="E912" s="120"/>
      <c r="F912" s="121"/>
      <c r="G912" s="120"/>
      <c r="H912" s="120"/>
    </row>
    <row r="913" spans="1:8" ht="15" customHeight="1" x14ac:dyDescent="0.35">
      <c r="A913" s="4" t="s">
        <v>1200</v>
      </c>
      <c r="B913" s="130"/>
      <c r="C913" s="126" t="s">
        <v>1309</v>
      </c>
      <c r="D913" s="120"/>
      <c r="E913" s="120"/>
      <c r="F913" s="121"/>
      <c r="G913" s="120"/>
      <c r="H913" s="120"/>
    </row>
    <row r="914" spans="1:8" ht="15" customHeight="1" x14ac:dyDescent="0.35">
      <c r="A914" s="117">
        <v>2166</v>
      </c>
      <c r="B914" s="130"/>
      <c r="C914" s="131" t="s">
        <v>341</v>
      </c>
      <c r="D914" s="120">
        <v>30042.11</v>
      </c>
      <c r="E914" s="120">
        <v>546.88149999999996</v>
      </c>
      <c r="F914" s="121">
        <f t="shared" si="35"/>
        <v>1.8203831222241045</v>
      </c>
      <c r="G914" s="120">
        <v>29142.49</v>
      </c>
      <c r="H914" s="120">
        <v>30941.72</v>
      </c>
    </row>
    <row r="915" spans="1:8" ht="15" customHeight="1" x14ac:dyDescent="0.35">
      <c r="A915" s="117">
        <v>2640</v>
      </c>
      <c r="B915" s="130"/>
      <c r="C915" s="131" t="s">
        <v>1249</v>
      </c>
      <c r="D915" s="120">
        <v>44166.67</v>
      </c>
      <c r="E915" s="120">
        <v>2767.0160000000001</v>
      </c>
      <c r="F915" s="121">
        <f t="shared" si="35"/>
        <v>6.2649414139666861</v>
      </c>
      <c r="G915" s="120">
        <v>39614.97</v>
      </c>
      <c r="H915" s="120">
        <v>48718.37</v>
      </c>
    </row>
    <row r="916" spans="1:8" ht="15" customHeight="1" x14ac:dyDescent="0.35">
      <c r="A916" s="117">
        <v>2651</v>
      </c>
      <c r="B916" s="130"/>
      <c r="C916" s="131" t="s">
        <v>337</v>
      </c>
      <c r="D916" s="120">
        <v>37000</v>
      </c>
      <c r="E916" s="120" t="s">
        <v>289</v>
      </c>
      <c r="F916" s="120" t="s">
        <v>289</v>
      </c>
      <c r="G916" s="120" t="s">
        <v>289</v>
      </c>
      <c r="H916" s="120" t="s">
        <v>289</v>
      </c>
    </row>
    <row r="917" spans="1:8" ht="15" customHeight="1" x14ac:dyDescent="0.35">
      <c r="A917" s="117">
        <v>2652</v>
      </c>
      <c r="B917" s="130"/>
      <c r="C917" s="131" t="s">
        <v>1251</v>
      </c>
      <c r="D917" s="120">
        <v>12351.63</v>
      </c>
      <c r="E917" s="120" t="s">
        <v>289</v>
      </c>
      <c r="F917" s="120" t="s">
        <v>289</v>
      </c>
      <c r="G917" s="120" t="s">
        <v>289</v>
      </c>
      <c r="H917" s="120" t="s">
        <v>289</v>
      </c>
    </row>
    <row r="918" spans="1:8" ht="15" customHeight="1" x14ac:dyDescent="0.35">
      <c r="A918" s="166">
        <v>2653</v>
      </c>
      <c r="B918" s="223"/>
      <c r="C918" s="220" t="s">
        <v>1310</v>
      </c>
      <c r="D918" s="120">
        <v>12002.12</v>
      </c>
      <c r="E918" s="120" t="s">
        <v>289</v>
      </c>
      <c r="F918" s="120" t="s">
        <v>289</v>
      </c>
      <c r="G918" s="120" t="s">
        <v>289</v>
      </c>
      <c r="H918" s="120" t="s">
        <v>289</v>
      </c>
    </row>
    <row r="919" spans="1:8" ht="15" customHeight="1" x14ac:dyDescent="0.35">
      <c r="A919" s="151"/>
      <c r="B919" s="130"/>
      <c r="C919" s="131"/>
      <c r="D919" s="154"/>
      <c r="E919" s="154"/>
      <c r="F919" s="154"/>
      <c r="G919" s="154"/>
      <c r="H919" s="154"/>
    </row>
    <row r="920" spans="1:8" ht="15" customHeight="1" x14ac:dyDescent="0.35">
      <c r="A920" s="2" t="s">
        <v>94</v>
      </c>
      <c r="B920" s="130"/>
      <c r="C920" s="131"/>
      <c r="D920" s="161"/>
      <c r="E920" s="161"/>
      <c r="F920" s="161"/>
      <c r="G920" s="161"/>
      <c r="H920" s="161"/>
    </row>
    <row r="921" spans="1:8" ht="15" customHeight="1" x14ac:dyDescent="0.35">
      <c r="A921" s="2" t="s">
        <v>93</v>
      </c>
      <c r="B921" s="130"/>
      <c r="C921" s="131"/>
      <c r="D921" s="161"/>
      <c r="E921" s="161"/>
      <c r="F921" s="161"/>
      <c r="G921" s="161"/>
      <c r="H921" s="161"/>
    </row>
    <row r="922" spans="1:8" ht="15" customHeight="1" x14ac:dyDescent="0.35">
      <c r="A922" s="159" t="s">
        <v>965</v>
      </c>
      <c r="B922" s="130"/>
      <c r="C922" s="131"/>
      <c r="D922" s="161"/>
      <c r="E922" s="161"/>
      <c r="F922" s="161"/>
      <c r="G922" s="161"/>
      <c r="H922" s="161"/>
    </row>
    <row r="923" spans="1:8" ht="15" customHeight="1" x14ac:dyDescent="0.35">
      <c r="A923" s="159" t="s">
        <v>0</v>
      </c>
      <c r="B923" s="130"/>
      <c r="C923" s="131"/>
      <c r="D923" s="161"/>
      <c r="E923" s="161"/>
      <c r="F923" s="161"/>
      <c r="G923" s="161"/>
      <c r="H923" s="161"/>
    </row>
    <row r="924" spans="1:8" ht="25" customHeight="1" x14ac:dyDescent="0.35">
      <c r="A924" s="403" t="s">
        <v>1349</v>
      </c>
      <c r="B924" s="403"/>
      <c r="C924" s="403"/>
      <c r="D924" s="403"/>
      <c r="E924" s="403"/>
      <c r="F924" s="403"/>
      <c r="G924" s="403"/>
      <c r="H924" s="403"/>
    </row>
    <row r="925" spans="1:8" ht="15" customHeight="1" x14ac:dyDescent="0.35">
      <c r="A925" s="404" t="s">
        <v>1336</v>
      </c>
      <c r="B925" s="404"/>
      <c r="C925" s="404"/>
      <c r="D925" s="404"/>
      <c r="E925" s="404"/>
      <c r="F925" s="404"/>
      <c r="G925" s="404"/>
      <c r="H925" s="404"/>
    </row>
    <row r="926" spans="1:8" ht="15" customHeight="1" x14ac:dyDescent="0.35">
      <c r="A926" s="123"/>
      <c r="B926" s="123"/>
      <c r="C926" s="123"/>
      <c r="D926" s="123"/>
    </row>
    <row r="927" spans="1:8" ht="25" customHeight="1" x14ac:dyDescent="0.35">
      <c r="A927" s="405" t="s">
        <v>993</v>
      </c>
      <c r="B927" s="406"/>
      <c r="C927" s="409" t="s">
        <v>92</v>
      </c>
      <c r="D927" s="419" t="s">
        <v>91</v>
      </c>
      <c r="E927" s="419" t="s">
        <v>90</v>
      </c>
      <c r="F927" s="420" t="s">
        <v>89</v>
      </c>
      <c r="G927" s="419" t="s">
        <v>1186</v>
      </c>
      <c r="H927" s="419"/>
    </row>
    <row r="928" spans="1:8" ht="25" customHeight="1" x14ac:dyDescent="0.35">
      <c r="A928" s="407"/>
      <c r="B928" s="408"/>
      <c r="C928" s="410"/>
      <c r="D928" s="419"/>
      <c r="E928" s="419"/>
      <c r="F928" s="420"/>
      <c r="G928" s="5" t="s">
        <v>88</v>
      </c>
      <c r="H928" s="5" t="s">
        <v>87</v>
      </c>
    </row>
    <row r="929" spans="1:8" ht="15" customHeight="1" x14ac:dyDescent="0.35">
      <c r="A929" s="117"/>
      <c r="B929" s="130"/>
      <c r="C929" s="131"/>
      <c r="D929" s="120"/>
      <c r="E929" s="120"/>
      <c r="F929" s="120"/>
      <c r="G929" s="120"/>
      <c r="H929" s="120"/>
    </row>
    <row r="930" spans="1:8" ht="15" customHeight="1" x14ac:dyDescent="0.35">
      <c r="A930" s="117">
        <v>2654</v>
      </c>
      <c r="B930" s="130"/>
      <c r="C930" s="131" t="s">
        <v>1252</v>
      </c>
      <c r="D930" s="120">
        <v>28633.33</v>
      </c>
      <c r="E930" s="120">
        <v>2.14E-13</v>
      </c>
      <c r="F930" s="121">
        <f t="shared" si="35"/>
        <v>7.4738076220963469E-16</v>
      </c>
      <c r="G930" s="120">
        <v>28633.33</v>
      </c>
      <c r="H930" s="120">
        <v>28633.33</v>
      </c>
    </row>
    <row r="931" spans="1:8" ht="15" customHeight="1" x14ac:dyDescent="0.35">
      <c r="A931" s="117">
        <v>2656</v>
      </c>
      <c r="B931" s="130"/>
      <c r="C931" s="131" t="s">
        <v>1255</v>
      </c>
      <c r="D931" s="120">
        <v>9500</v>
      </c>
      <c r="E931" s="120" t="s">
        <v>289</v>
      </c>
      <c r="F931" s="120" t="s">
        <v>289</v>
      </c>
      <c r="G931" s="120" t="s">
        <v>289</v>
      </c>
      <c r="H931" s="120" t="s">
        <v>289</v>
      </c>
    </row>
    <row r="932" spans="1:8" ht="15" customHeight="1" x14ac:dyDescent="0.35">
      <c r="A932" s="117">
        <v>3431</v>
      </c>
      <c r="B932" s="130"/>
      <c r="C932" s="131" t="s">
        <v>1253</v>
      </c>
      <c r="D932" s="120">
        <v>10300</v>
      </c>
      <c r="E932" s="120" t="s">
        <v>289</v>
      </c>
      <c r="F932" s="120" t="s">
        <v>289</v>
      </c>
      <c r="G932" s="120" t="s">
        <v>289</v>
      </c>
      <c r="H932" s="120" t="s">
        <v>289</v>
      </c>
    </row>
    <row r="933" spans="1:8" ht="15" customHeight="1" x14ac:dyDescent="0.35">
      <c r="A933" s="117">
        <v>4110</v>
      </c>
      <c r="B933" s="130"/>
      <c r="C933" s="131" t="s">
        <v>1156</v>
      </c>
      <c r="D933" s="120">
        <v>14115.79</v>
      </c>
      <c r="E933" s="120">
        <v>886.80380000000002</v>
      </c>
      <c r="F933" s="121">
        <f t="shared" si="35"/>
        <v>6.2823533078913751</v>
      </c>
      <c r="G933" s="120">
        <v>12657.01</v>
      </c>
      <c r="H933" s="120">
        <v>15574.57</v>
      </c>
    </row>
    <row r="934" spans="1:8" ht="15" customHeight="1" x14ac:dyDescent="0.35">
      <c r="A934" s="117">
        <v>9000</v>
      </c>
      <c r="B934" s="130"/>
      <c r="C934" s="131" t="s">
        <v>1207</v>
      </c>
      <c r="D934" s="120">
        <v>16643.36</v>
      </c>
      <c r="E934" s="120">
        <v>198.65369999999999</v>
      </c>
      <c r="F934" s="121">
        <f t="shared" si="35"/>
        <v>1.1935913180992299</v>
      </c>
      <c r="G934" s="120">
        <v>16316.57</v>
      </c>
      <c r="H934" s="120">
        <v>16970.14</v>
      </c>
    </row>
    <row r="935" spans="1:8" ht="15" customHeight="1" x14ac:dyDescent="0.35">
      <c r="A935" s="132"/>
      <c r="B935" s="130"/>
      <c r="C935" s="131"/>
      <c r="D935" s="120"/>
      <c r="E935" s="120"/>
      <c r="F935" s="121"/>
      <c r="G935" s="120"/>
      <c r="H935" s="120"/>
    </row>
    <row r="936" spans="1:8" ht="15" customHeight="1" x14ac:dyDescent="0.35">
      <c r="A936" s="4" t="s">
        <v>1201</v>
      </c>
      <c r="B936" s="130"/>
      <c r="C936" s="126" t="s">
        <v>1311</v>
      </c>
      <c r="D936" s="120"/>
      <c r="E936" s="120"/>
      <c r="F936" s="121"/>
      <c r="G936" s="120"/>
      <c r="H936" s="120"/>
    </row>
    <row r="937" spans="1:8" ht="15" customHeight="1" x14ac:dyDescent="0.35">
      <c r="A937" s="117">
        <v>4110</v>
      </c>
      <c r="B937" s="130"/>
      <c r="C937" s="131" t="s">
        <v>1156</v>
      </c>
      <c r="D937" s="120">
        <v>22654.76</v>
      </c>
      <c r="E937" s="120">
        <v>544.00869999999998</v>
      </c>
      <c r="F937" s="121">
        <f t="shared" ref="F937:F938" si="36">E937/D937*100</f>
        <v>2.4012997709973534</v>
      </c>
      <c r="G937" s="120">
        <v>21759.88</v>
      </c>
      <c r="H937" s="120">
        <v>23549.65</v>
      </c>
    </row>
    <row r="938" spans="1:8" ht="15" customHeight="1" x14ac:dyDescent="0.35">
      <c r="A938" s="117">
        <v>9000</v>
      </c>
      <c r="B938" s="118" t="s">
        <v>1350</v>
      </c>
      <c r="C938" s="131" t="s">
        <v>1207</v>
      </c>
      <c r="D938" s="120">
        <v>14168.15</v>
      </c>
      <c r="E938" s="120">
        <v>398.31869999999998</v>
      </c>
      <c r="F938" s="121">
        <f t="shared" si="36"/>
        <v>2.8113670450976307</v>
      </c>
      <c r="G938" s="120">
        <v>13512.93</v>
      </c>
      <c r="H938" s="120">
        <v>14823.38</v>
      </c>
    </row>
    <row r="939" spans="1:8" ht="15" customHeight="1" x14ac:dyDescent="0.35">
      <c r="A939" s="132"/>
      <c r="B939" s="130"/>
      <c r="C939" s="131"/>
      <c r="D939" s="120"/>
      <c r="E939" s="120"/>
      <c r="F939" s="121"/>
      <c r="G939" s="120"/>
      <c r="H939" s="120"/>
    </row>
    <row r="940" spans="1:8" ht="15" customHeight="1" x14ac:dyDescent="0.35">
      <c r="A940" s="4" t="s">
        <v>1202</v>
      </c>
      <c r="B940" s="130"/>
      <c r="C940" s="126" t="s">
        <v>1312</v>
      </c>
      <c r="D940" s="120"/>
      <c r="E940" s="120"/>
      <c r="F940" s="121"/>
      <c r="G940" s="120"/>
      <c r="H940" s="120"/>
    </row>
    <row r="941" spans="1:8" ht="15" customHeight="1" x14ac:dyDescent="0.35">
      <c r="A941" s="117">
        <v>4110</v>
      </c>
      <c r="B941" s="130"/>
      <c r="C941" s="131" t="s">
        <v>1156</v>
      </c>
      <c r="D941" s="120">
        <v>20915.84</v>
      </c>
      <c r="E941" s="120">
        <v>3743.8780000000002</v>
      </c>
      <c r="F941" s="121">
        <f t="shared" ref="F941:F945" si="37">E941/D941*100</f>
        <v>17.899725758085737</v>
      </c>
      <c r="G941" s="120">
        <v>14757.22</v>
      </c>
      <c r="H941" s="120">
        <v>27074.47</v>
      </c>
    </row>
    <row r="942" spans="1:8" ht="15" customHeight="1" x14ac:dyDescent="0.35">
      <c r="A942" s="117">
        <v>4212</v>
      </c>
      <c r="B942" s="130"/>
      <c r="C942" s="131" t="s">
        <v>1313</v>
      </c>
      <c r="D942" s="120">
        <v>24878.799999999999</v>
      </c>
      <c r="E942" s="120">
        <v>5276.0249999999996</v>
      </c>
      <c r="F942" s="121">
        <f t="shared" si="37"/>
        <v>21.206911105037218</v>
      </c>
      <c r="G942" s="120">
        <v>16199.82</v>
      </c>
      <c r="H942" s="120">
        <v>33557.79</v>
      </c>
    </row>
    <row r="943" spans="1:8" ht="15" customHeight="1" x14ac:dyDescent="0.35">
      <c r="A943" s="117">
        <v>4225</v>
      </c>
      <c r="B943" s="130"/>
      <c r="C943" s="131" t="s">
        <v>1314</v>
      </c>
      <c r="D943" s="120">
        <v>16558.28</v>
      </c>
      <c r="E943" s="120">
        <v>688.75189999999998</v>
      </c>
      <c r="F943" s="121">
        <f t="shared" si="37"/>
        <v>4.1595618627055471</v>
      </c>
      <c r="G943" s="120">
        <v>15425.29</v>
      </c>
      <c r="H943" s="120">
        <v>17691.27</v>
      </c>
    </row>
    <row r="944" spans="1:8" ht="15" customHeight="1" x14ac:dyDescent="0.35">
      <c r="A944" s="117">
        <v>5230</v>
      </c>
      <c r="B944" s="130"/>
      <c r="C944" s="131" t="s">
        <v>138</v>
      </c>
      <c r="D944" s="120">
        <v>16167.8</v>
      </c>
      <c r="E944" s="120">
        <v>297.20670000000001</v>
      </c>
      <c r="F944" s="121">
        <f t="shared" si="37"/>
        <v>1.8382630908348696</v>
      </c>
      <c r="G944" s="120">
        <v>15678.9</v>
      </c>
      <c r="H944" s="120">
        <v>16656.7</v>
      </c>
    </row>
    <row r="945" spans="1:8" ht="15" customHeight="1" x14ac:dyDescent="0.35">
      <c r="A945" s="117">
        <v>9000</v>
      </c>
      <c r="B945" s="118" t="s">
        <v>1350</v>
      </c>
      <c r="C945" s="131" t="s">
        <v>1207</v>
      </c>
      <c r="D945" s="120">
        <v>18616.740000000002</v>
      </c>
      <c r="E945" s="120">
        <v>1325.4490000000001</v>
      </c>
      <c r="F945" s="121">
        <f t="shared" si="37"/>
        <v>7.1196621964962707</v>
      </c>
      <c r="G945" s="120">
        <v>16436.39</v>
      </c>
      <c r="H945" s="120">
        <v>20797.080000000002</v>
      </c>
    </row>
    <row r="946" spans="1:8" ht="15" customHeight="1" x14ac:dyDescent="0.35">
      <c r="A946" s="132"/>
      <c r="B946" s="130"/>
      <c r="C946" s="131"/>
      <c r="D946" s="120"/>
      <c r="E946" s="120"/>
      <c r="F946" s="121"/>
      <c r="G946" s="120"/>
      <c r="H946" s="120"/>
    </row>
    <row r="947" spans="1:8" ht="15" customHeight="1" x14ac:dyDescent="0.35">
      <c r="A947" s="4" t="s">
        <v>1203</v>
      </c>
      <c r="B947" s="130"/>
      <c r="C947" s="126" t="s">
        <v>1315</v>
      </c>
      <c r="D947" s="120"/>
      <c r="E947" s="120"/>
      <c r="F947" s="121"/>
      <c r="G947" s="120"/>
      <c r="H947" s="120"/>
    </row>
    <row r="948" spans="1:8" ht="15" customHeight="1" x14ac:dyDescent="0.35">
      <c r="A948" s="117">
        <v>3422</v>
      </c>
      <c r="B948" s="130"/>
      <c r="C948" s="131" t="s">
        <v>1316</v>
      </c>
      <c r="D948" s="120">
        <v>18387.759999999998</v>
      </c>
      <c r="E948" s="120">
        <v>1752.771</v>
      </c>
      <c r="F948" s="121">
        <f t="shared" ref="F948:F955" si="38">E948/D948*100</f>
        <v>9.5322703798613873</v>
      </c>
      <c r="G948" s="120">
        <v>15504.47</v>
      </c>
      <c r="H948" s="120">
        <v>21271.040000000001</v>
      </c>
    </row>
    <row r="949" spans="1:8" ht="15" customHeight="1" x14ac:dyDescent="0.35">
      <c r="A949" s="117">
        <v>3423</v>
      </c>
      <c r="B949" s="130"/>
      <c r="C949" s="131" t="s">
        <v>17</v>
      </c>
      <c r="D949" s="120">
        <v>16533.36</v>
      </c>
      <c r="E949" s="120">
        <v>1708.6679999999999</v>
      </c>
      <c r="F949" s="121">
        <f t="shared" si="38"/>
        <v>10.334668815050298</v>
      </c>
      <c r="G949" s="120">
        <v>13722.62</v>
      </c>
      <c r="H949" s="120">
        <v>19344.09</v>
      </c>
    </row>
    <row r="950" spans="1:8" ht="15" customHeight="1" x14ac:dyDescent="0.35">
      <c r="A950" s="117">
        <v>4110</v>
      </c>
      <c r="B950" s="130"/>
      <c r="C950" s="131" t="s">
        <v>1156</v>
      </c>
      <c r="D950" s="120">
        <v>17438.11</v>
      </c>
      <c r="E950" s="120">
        <v>422.66770000000002</v>
      </c>
      <c r="F950" s="121">
        <f t="shared" si="38"/>
        <v>2.4238159984080845</v>
      </c>
      <c r="G950" s="120">
        <v>16742.830000000002</v>
      </c>
      <c r="H950" s="120">
        <v>18133.400000000001</v>
      </c>
    </row>
    <row r="951" spans="1:8" ht="15" customHeight="1" x14ac:dyDescent="0.35">
      <c r="A951" s="117">
        <v>4212</v>
      </c>
      <c r="B951" s="130"/>
      <c r="C951" s="131" t="s">
        <v>1313</v>
      </c>
      <c r="D951" s="120">
        <v>15296.35</v>
      </c>
      <c r="E951" s="120">
        <v>340.2097</v>
      </c>
      <c r="F951" s="121">
        <f t="shared" si="38"/>
        <v>2.2241234019880558</v>
      </c>
      <c r="G951" s="120">
        <v>14736.71</v>
      </c>
      <c r="H951" s="120">
        <v>15855.99</v>
      </c>
    </row>
    <row r="952" spans="1:8" ht="15" customHeight="1" x14ac:dyDescent="0.35">
      <c r="A952" s="117">
        <v>4225</v>
      </c>
      <c r="B952" s="130"/>
      <c r="C952" s="131" t="s">
        <v>1314</v>
      </c>
      <c r="D952" s="120">
        <v>13703.87</v>
      </c>
      <c r="E952" s="120">
        <v>389.77289999999999</v>
      </c>
      <c r="F952" s="121">
        <f t="shared" si="38"/>
        <v>2.8442542143204799</v>
      </c>
      <c r="G952" s="120">
        <v>13062.7</v>
      </c>
      <c r="H952" s="120">
        <v>14345.04</v>
      </c>
    </row>
    <row r="953" spans="1:8" ht="15" customHeight="1" x14ac:dyDescent="0.35">
      <c r="A953" s="117">
        <v>5230</v>
      </c>
      <c r="B953" s="130"/>
      <c r="C953" s="131" t="s">
        <v>138</v>
      </c>
      <c r="D953" s="120">
        <v>13173.51</v>
      </c>
      <c r="E953" s="120">
        <v>143.953</v>
      </c>
      <c r="F953" s="121">
        <f t="shared" si="38"/>
        <v>1.0927459727893325</v>
      </c>
      <c r="G953" s="120">
        <v>12936.71</v>
      </c>
      <c r="H953" s="120">
        <v>13410.31</v>
      </c>
    </row>
    <row r="954" spans="1:8" ht="15" customHeight="1" x14ac:dyDescent="0.35">
      <c r="A954" s="117">
        <v>5419</v>
      </c>
      <c r="B954" s="130"/>
      <c r="C954" s="131" t="s">
        <v>1317</v>
      </c>
      <c r="D954" s="120">
        <v>12499.11</v>
      </c>
      <c r="E954" s="120">
        <v>132.52500000000001</v>
      </c>
      <c r="F954" s="121">
        <f t="shared" si="38"/>
        <v>1.060275491615003</v>
      </c>
      <c r="G954" s="120">
        <v>12281.11</v>
      </c>
      <c r="H954" s="120">
        <v>12717.11</v>
      </c>
    </row>
    <row r="955" spans="1:8" ht="15" customHeight="1" x14ac:dyDescent="0.35">
      <c r="A955" s="117">
        <v>9000</v>
      </c>
      <c r="B955" s="118" t="s">
        <v>1350</v>
      </c>
      <c r="C955" s="131" t="s">
        <v>1207</v>
      </c>
      <c r="D955" s="120">
        <v>11939.97</v>
      </c>
      <c r="E955" s="120">
        <v>143.88130000000001</v>
      </c>
      <c r="F955" s="121">
        <f t="shared" si="38"/>
        <v>1.2050390411366194</v>
      </c>
      <c r="G955" s="120">
        <v>11703.29</v>
      </c>
      <c r="H955" s="120">
        <v>12176.66</v>
      </c>
    </row>
    <row r="956" spans="1:8" ht="15" customHeight="1" x14ac:dyDescent="0.35">
      <c r="A956" s="132"/>
      <c r="B956" s="130"/>
      <c r="C956" s="131"/>
      <c r="D956" s="120"/>
      <c r="E956" s="120"/>
      <c r="F956" s="121"/>
      <c r="G956" s="120"/>
      <c r="H956" s="120"/>
    </row>
    <row r="957" spans="1:8" ht="15" customHeight="1" x14ac:dyDescent="0.35">
      <c r="A957" s="4" t="s">
        <v>1004</v>
      </c>
      <c r="B957" s="130"/>
      <c r="C957" s="126" t="s">
        <v>1005</v>
      </c>
      <c r="D957" s="120"/>
      <c r="E957" s="120"/>
      <c r="F957" s="121"/>
      <c r="G957" s="120"/>
      <c r="H957" s="120"/>
    </row>
    <row r="958" spans="1:8" ht="30" customHeight="1" x14ac:dyDescent="0.35">
      <c r="A958" s="117">
        <v>3113</v>
      </c>
      <c r="B958" s="130"/>
      <c r="C958" s="131" t="s">
        <v>1318</v>
      </c>
      <c r="D958" s="120">
        <v>15505.01</v>
      </c>
      <c r="E958" s="120">
        <v>236.99700000000001</v>
      </c>
      <c r="F958" s="121">
        <f t="shared" ref="F958:F965" si="39">E958/D958*100</f>
        <v>1.5285188464889736</v>
      </c>
      <c r="G958" s="120">
        <v>15115.15</v>
      </c>
      <c r="H958" s="120">
        <v>15894.86</v>
      </c>
    </row>
    <row r="959" spans="1:8" ht="15" customHeight="1" x14ac:dyDescent="0.35">
      <c r="A959" s="117">
        <v>3114</v>
      </c>
      <c r="B959" s="130"/>
      <c r="C959" s="131" t="s">
        <v>811</v>
      </c>
      <c r="D959" s="120">
        <v>16929.3</v>
      </c>
      <c r="E959" s="120">
        <v>492.66019999999997</v>
      </c>
      <c r="F959" s="121">
        <f t="shared" si="39"/>
        <v>2.9101037845628586</v>
      </c>
      <c r="G959" s="120">
        <v>16118.88</v>
      </c>
      <c r="H959" s="120">
        <v>17739.72</v>
      </c>
    </row>
    <row r="960" spans="1:8" ht="15" customHeight="1" x14ac:dyDescent="0.35">
      <c r="A960" s="117">
        <v>3513</v>
      </c>
      <c r="B960" s="130"/>
      <c r="C960" s="131" t="s">
        <v>1319</v>
      </c>
      <c r="D960" s="120">
        <v>15997.12</v>
      </c>
      <c r="E960" s="120">
        <v>370.69049999999999</v>
      </c>
      <c r="F960" s="121">
        <f t="shared" si="39"/>
        <v>2.3172327268908401</v>
      </c>
      <c r="G960" s="120">
        <v>15387.33</v>
      </c>
      <c r="H960" s="120">
        <v>16606.900000000001</v>
      </c>
    </row>
    <row r="961" spans="1:18" ht="15" customHeight="1" x14ac:dyDescent="0.35">
      <c r="A961" s="117">
        <v>4110</v>
      </c>
      <c r="B961" s="130"/>
      <c r="C961" s="131" t="s">
        <v>1156</v>
      </c>
      <c r="D961" s="120">
        <v>15470.86</v>
      </c>
      <c r="E961" s="120">
        <v>322.46690000000001</v>
      </c>
      <c r="F961" s="121">
        <f t="shared" si="39"/>
        <v>2.0843501912628</v>
      </c>
      <c r="G961" s="120">
        <v>14940.41</v>
      </c>
      <c r="H961" s="120">
        <v>16001.31</v>
      </c>
    </row>
    <row r="962" spans="1:18" ht="15" customHeight="1" x14ac:dyDescent="0.35">
      <c r="A962" s="117">
        <v>7127</v>
      </c>
      <c r="B962" s="130"/>
      <c r="C962" s="131" t="s">
        <v>1320</v>
      </c>
      <c r="D962" s="120">
        <v>15536.73</v>
      </c>
      <c r="E962" s="120">
        <v>399.86070000000001</v>
      </c>
      <c r="F962" s="121">
        <f t="shared" si="39"/>
        <v>2.573647736685905</v>
      </c>
      <c r="G962" s="120">
        <v>14878.97</v>
      </c>
      <c r="H962" s="120">
        <v>16194.5</v>
      </c>
    </row>
    <row r="963" spans="1:18" ht="15" customHeight="1" x14ac:dyDescent="0.35">
      <c r="A963" s="117">
        <v>7421</v>
      </c>
      <c r="B963" s="130"/>
      <c r="C963" s="131" t="s">
        <v>1321</v>
      </c>
      <c r="D963" s="120">
        <v>20496.560000000001</v>
      </c>
      <c r="E963" s="120">
        <v>1160.6559999999999</v>
      </c>
      <c r="F963" s="121">
        <f t="shared" si="39"/>
        <v>5.6626868118357416</v>
      </c>
      <c r="G963" s="120">
        <v>18587.3</v>
      </c>
      <c r="H963" s="120">
        <v>22405.83</v>
      </c>
    </row>
    <row r="964" spans="1:18" ht="30" customHeight="1" x14ac:dyDescent="0.35">
      <c r="A964" s="117">
        <v>7422</v>
      </c>
      <c r="B964" s="130"/>
      <c r="C964" s="131" t="s">
        <v>999</v>
      </c>
      <c r="D964" s="120">
        <v>15634.89</v>
      </c>
      <c r="E964" s="120">
        <v>224.9365</v>
      </c>
      <c r="F964" s="121">
        <f t="shared" si="39"/>
        <v>1.4386829712265325</v>
      </c>
      <c r="G964" s="120">
        <v>15264.87</v>
      </c>
      <c r="H964" s="120">
        <v>16004.91</v>
      </c>
    </row>
    <row r="965" spans="1:18" ht="15" customHeight="1" x14ac:dyDescent="0.35">
      <c r="A965" s="117">
        <v>9000</v>
      </c>
      <c r="B965" s="118" t="s">
        <v>1350</v>
      </c>
      <c r="C965" s="131" t="s">
        <v>1207</v>
      </c>
      <c r="D965" s="120">
        <v>16098</v>
      </c>
      <c r="E965" s="120">
        <v>370.15890000000002</v>
      </c>
      <c r="F965" s="121">
        <f t="shared" si="39"/>
        <v>2.2994092433842717</v>
      </c>
      <c r="G965" s="120">
        <v>15489.1</v>
      </c>
      <c r="H965" s="120">
        <v>16706.91</v>
      </c>
    </row>
    <row r="966" spans="1:18" ht="15" customHeight="1" x14ac:dyDescent="0.35">
      <c r="A966" s="132"/>
      <c r="B966" s="130"/>
      <c r="C966" s="131"/>
      <c r="D966" s="120"/>
      <c r="E966" s="120"/>
      <c r="F966" s="121"/>
      <c r="G966" s="120"/>
      <c r="H966" s="120"/>
    </row>
    <row r="967" spans="1:18" ht="30" customHeight="1" x14ac:dyDescent="0.35">
      <c r="A967" s="4" t="s">
        <v>6</v>
      </c>
      <c r="B967" s="145"/>
      <c r="C967" s="126" t="s">
        <v>1322</v>
      </c>
      <c r="D967" s="120"/>
      <c r="E967" s="120"/>
      <c r="F967" s="121"/>
      <c r="G967" s="120"/>
      <c r="H967" s="120"/>
    </row>
    <row r="968" spans="1:18" ht="15" customHeight="1" x14ac:dyDescent="0.35">
      <c r="A968" s="139">
        <v>3255</v>
      </c>
      <c r="B968" s="145"/>
      <c r="C968" s="131" t="s">
        <v>20</v>
      </c>
      <c r="D968" s="120">
        <v>14187.11</v>
      </c>
      <c r="E968" s="120">
        <v>192.1352</v>
      </c>
      <c r="F968" s="121">
        <f t="shared" ref="F968:F975" si="40">E968/D968*100</f>
        <v>1.3542941444733987</v>
      </c>
      <c r="G968" s="120">
        <v>13871.05</v>
      </c>
      <c r="H968" s="120">
        <v>14503.17</v>
      </c>
    </row>
    <row r="969" spans="1:18" ht="15" customHeight="1" x14ac:dyDescent="0.35">
      <c r="A969" s="139">
        <v>3423</v>
      </c>
      <c r="B969" s="145"/>
      <c r="C969" s="131" t="s">
        <v>17</v>
      </c>
      <c r="D969" s="120">
        <v>16348.8</v>
      </c>
      <c r="E969" s="120">
        <v>391.83150000000001</v>
      </c>
      <c r="F969" s="121">
        <f t="shared" si="40"/>
        <v>2.3966988402818559</v>
      </c>
      <c r="G969" s="120">
        <v>15704.24</v>
      </c>
      <c r="H969" s="120">
        <v>16993.349999999999</v>
      </c>
    </row>
    <row r="970" spans="1:18" ht="15" customHeight="1" x14ac:dyDescent="0.35">
      <c r="A970" s="139">
        <v>4110</v>
      </c>
      <c r="B970" s="145"/>
      <c r="C970" s="131" t="s">
        <v>1156</v>
      </c>
      <c r="D970" s="120">
        <v>16055.71</v>
      </c>
      <c r="E970" s="120">
        <v>185.43629999999999</v>
      </c>
      <c r="F970" s="121">
        <f t="shared" si="40"/>
        <v>1.1549554644422451</v>
      </c>
      <c r="G970" s="120">
        <v>15750.67</v>
      </c>
      <c r="H970" s="120">
        <v>16360.75</v>
      </c>
    </row>
    <row r="971" spans="1:18" ht="15" customHeight="1" x14ac:dyDescent="0.35">
      <c r="A971" s="139">
        <v>5141</v>
      </c>
      <c r="B971" s="3"/>
      <c r="C971" s="129" t="s">
        <v>12</v>
      </c>
      <c r="D971" s="120">
        <v>14099.4</v>
      </c>
      <c r="E971" s="120">
        <v>169.99549999999999</v>
      </c>
      <c r="F971" s="121">
        <f t="shared" si="40"/>
        <v>1.2056931500631232</v>
      </c>
      <c r="G971" s="120">
        <v>13819.76</v>
      </c>
      <c r="H971" s="120">
        <v>14379.04</v>
      </c>
      <c r="J971" t="s">
        <v>6</v>
      </c>
      <c r="K971" t="s">
        <v>19</v>
      </c>
      <c r="L971" t="s">
        <v>18</v>
      </c>
      <c r="M971">
        <v>12757.02</v>
      </c>
      <c r="N971">
        <v>1147.4739999999999</v>
      </c>
      <c r="O971" s="122">
        <v>8.9948436233540434</v>
      </c>
      <c r="P971">
        <v>10470.629999999999</v>
      </c>
      <c r="Q971">
        <v>15043.42</v>
      </c>
      <c r="R971" s="124"/>
    </row>
    <row r="972" spans="1:18" ht="40" customHeight="1" x14ac:dyDescent="0.35">
      <c r="A972" s="117">
        <v>5142</v>
      </c>
      <c r="B972" s="3"/>
      <c r="C972" s="131" t="s">
        <v>1323</v>
      </c>
      <c r="D972" s="120">
        <v>14213.27</v>
      </c>
      <c r="E972" s="120">
        <v>199.7689</v>
      </c>
      <c r="F972" s="121">
        <f t="shared" si="40"/>
        <v>1.4055097806486474</v>
      </c>
      <c r="G972" s="120">
        <v>13884.65</v>
      </c>
      <c r="H972" s="120">
        <v>14541.88</v>
      </c>
      <c r="J972" t="s">
        <v>6</v>
      </c>
      <c r="K972" t="s">
        <v>16</v>
      </c>
      <c r="L972" t="s">
        <v>15</v>
      </c>
      <c r="M972">
        <v>19703.18</v>
      </c>
      <c r="N972">
        <v>1562.741</v>
      </c>
      <c r="O972" s="122">
        <v>7.9314151319736208</v>
      </c>
      <c r="P972">
        <v>16589.349999999999</v>
      </c>
      <c r="Q972">
        <v>22817.01</v>
      </c>
      <c r="R972" s="124"/>
    </row>
    <row r="973" spans="1:18" ht="15" customHeight="1" x14ac:dyDescent="0.35">
      <c r="A973" s="139">
        <v>5230</v>
      </c>
      <c r="B973" s="3"/>
      <c r="C973" s="129" t="s">
        <v>138</v>
      </c>
      <c r="D973" s="120">
        <v>14099.28</v>
      </c>
      <c r="E973" s="120">
        <v>181.8801</v>
      </c>
      <c r="F973" s="121">
        <f t="shared" si="40"/>
        <v>1.2899956593528179</v>
      </c>
      <c r="G973" s="120">
        <v>13800.09</v>
      </c>
      <c r="H973" s="120">
        <v>14398.47</v>
      </c>
      <c r="J973" t="s">
        <v>6</v>
      </c>
      <c r="K973" t="s">
        <v>14</v>
      </c>
      <c r="L973" t="s">
        <v>13</v>
      </c>
      <c r="M973">
        <v>15487</v>
      </c>
      <c r="N973">
        <v>650.42880000000002</v>
      </c>
      <c r="O973" s="122">
        <v>4.1998372828824175</v>
      </c>
      <c r="P973">
        <v>14190.99</v>
      </c>
      <c r="Q973">
        <v>16783.009999999998</v>
      </c>
      <c r="R973" s="124"/>
    </row>
    <row r="974" spans="1:18" ht="15" customHeight="1" x14ac:dyDescent="0.35">
      <c r="A974" s="139">
        <v>8157</v>
      </c>
      <c r="B974" s="3"/>
      <c r="C974" s="129" t="s">
        <v>1324</v>
      </c>
      <c r="D974" s="120">
        <v>14446.02</v>
      </c>
      <c r="E974" s="120">
        <v>326.74549999999999</v>
      </c>
      <c r="F974" s="121">
        <f t="shared" si="40"/>
        <v>2.2618375164924318</v>
      </c>
      <c r="G974" s="120">
        <v>13908.53</v>
      </c>
      <c r="H974" s="120">
        <v>14983.52</v>
      </c>
      <c r="J974" t="s">
        <v>6</v>
      </c>
      <c r="K974" t="s">
        <v>11</v>
      </c>
      <c r="L974" t="s">
        <v>10</v>
      </c>
      <c r="M974">
        <v>13582.9</v>
      </c>
      <c r="N974">
        <v>758.68679999999995</v>
      </c>
      <c r="O974" s="122">
        <v>5.5856024854780637</v>
      </c>
      <c r="P974">
        <v>12071.18</v>
      </c>
      <c r="Q974">
        <v>15094.62</v>
      </c>
      <c r="R974" s="124"/>
    </row>
    <row r="975" spans="1:18" ht="15" customHeight="1" x14ac:dyDescent="0.35">
      <c r="A975" s="201">
        <v>9000</v>
      </c>
      <c r="B975" s="167" t="s">
        <v>1350</v>
      </c>
      <c r="C975" s="168" t="s">
        <v>1207</v>
      </c>
      <c r="D975" s="149">
        <v>12905.49</v>
      </c>
      <c r="E975" s="149">
        <v>232.66370000000001</v>
      </c>
      <c r="F975" s="150">
        <f t="shared" si="40"/>
        <v>1.8028273238753432</v>
      </c>
      <c r="G975" s="149">
        <v>12522.76</v>
      </c>
      <c r="H975" s="149">
        <v>13288.21</v>
      </c>
      <c r="J975" t="s">
        <v>6</v>
      </c>
      <c r="K975" t="s">
        <v>9</v>
      </c>
      <c r="L975" t="s">
        <v>8</v>
      </c>
      <c r="M975">
        <v>12065.03</v>
      </c>
      <c r="N975">
        <v>1219.924</v>
      </c>
      <c r="O975" s="122">
        <v>10.111238844826742</v>
      </c>
      <c r="P975">
        <v>9634.2819999999992</v>
      </c>
      <c r="Q975">
        <v>14495.79</v>
      </c>
      <c r="R975" s="124"/>
    </row>
    <row r="976" spans="1:18" ht="15.75" customHeight="1" x14ac:dyDescent="0.35">
      <c r="A976" s="190"/>
      <c r="B976" s="118"/>
      <c r="C976" s="131"/>
      <c r="D976" s="161"/>
      <c r="E976" s="161"/>
      <c r="F976" s="162"/>
      <c r="G976" s="161"/>
      <c r="H976" s="161"/>
      <c r="O976" s="122"/>
      <c r="R976" s="124"/>
    </row>
    <row r="977" spans="1:26" s="157" customFormat="1" ht="15" customHeight="1" x14ac:dyDescent="0.3">
      <c r="A977" s="7" t="s">
        <v>3</v>
      </c>
      <c r="B977" s="196"/>
      <c r="C977" s="196"/>
      <c r="D977" s="155"/>
      <c r="E977" s="155"/>
      <c r="F977" s="156"/>
      <c r="G977" s="155"/>
      <c r="H977" s="155"/>
      <c r="V977" s="158"/>
      <c r="W977" s="158"/>
      <c r="X977" s="158"/>
      <c r="Y977" s="158"/>
      <c r="Z977" s="158"/>
    </row>
    <row r="978" spans="1:26" s="157" customFormat="1" ht="15" customHeight="1" x14ac:dyDescent="0.3">
      <c r="A978" s="7" t="s">
        <v>2</v>
      </c>
      <c r="B978" s="196"/>
      <c r="C978" s="196"/>
      <c r="D978" s="155"/>
      <c r="E978" s="155"/>
      <c r="F978" s="156"/>
      <c r="G978" s="155"/>
      <c r="H978" s="155"/>
      <c r="V978" s="158"/>
      <c r="W978" s="158"/>
      <c r="X978" s="158"/>
      <c r="Y978" s="158"/>
      <c r="Z978" s="158"/>
    </row>
    <row r="979" spans="1:26" ht="15" customHeight="1" x14ac:dyDescent="0.35">
      <c r="A979" s="228" t="s">
        <v>1</v>
      </c>
      <c r="B979" s="197"/>
      <c r="C979" s="197"/>
      <c r="D979" s="198"/>
      <c r="E979" s="198"/>
      <c r="F979" s="199"/>
      <c r="G979" s="198"/>
      <c r="H979" s="198"/>
      <c r="V979" s="200"/>
      <c r="W979" s="200"/>
      <c r="X979" s="200"/>
      <c r="Y979" s="200"/>
      <c r="Z979" s="200"/>
    </row>
    <row r="980" spans="1:26" ht="15" customHeight="1" x14ac:dyDescent="0.35">
      <c r="A980" s="8" t="s">
        <v>0</v>
      </c>
      <c r="B980" s="197"/>
      <c r="C980" s="197"/>
      <c r="D980" s="198"/>
      <c r="E980" s="198"/>
      <c r="F980" s="199"/>
      <c r="G980" s="198"/>
      <c r="H980" s="198"/>
      <c r="V980" s="200"/>
      <c r="W980" s="200"/>
      <c r="X980" s="200"/>
      <c r="Y980" s="200"/>
      <c r="Z980" s="200"/>
    </row>
    <row r="981" spans="1:26" ht="15" customHeight="1" x14ac:dyDescent="0.35">
      <c r="A981" s="7" t="s">
        <v>1356</v>
      </c>
      <c r="B981" s="197"/>
      <c r="C981" s="197"/>
      <c r="D981" s="198"/>
      <c r="F981"/>
      <c r="R981" s="200"/>
      <c r="S981" s="200"/>
      <c r="T981" s="200"/>
      <c r="U981" s="200"/>
      <c r="V981" s="200"/>
      <c r="W981"/>
      <c r="X981"/>
      <c r="Y981"/>
      <c r="Z981"/>
    </row>
  </sheetData>
  <mergeCells count="109">
    <mergeCell ref="A927:B928"/>
    <mergeCell ref="C927:C928"/>
    <mergeCell ref="D927:D928"/>
    <mergeCell ref="E927:E928"/>
    <mergeCell ref="F927:F928"/>
    <mergeCell ref="G927:H927"/>
    <mergeCell ref="A848:H848"/>
    <mergeCell ref="A850:B851"/>
    <mergeCell ref="C850:C851"/>
    <mergeCell ref="D850:D851"/>
    <mergeCell ref="E850:E851"/>
    <mergeCell ref="F850:F851"/>
    <mergeCell ref="G850:H850"/>
    <mergeCell ref="A924:H924"/>
    <mergeCell ref="A925:H925"/>
    <mergeCell ref="A769:H769"/>
    <mergeCell ref="A770:H770"/>
    <mergeCell ref="A772:B773"/>
    <mergeCell ref="C772:C773"/>
    <mergeCell ref="D772:D773"/>
    <mergeCell ref="E772:E773"/>
    <mergeCell ref="F772:F773"/>
    <mergeCell ref="G772:H772"/>
    <mergeCell ref="A847:H847"/>
    <mergeCell ref="G457:H457"/>
    <mergeCell ref="A536:H536"/>
    <mergeCell ref="A692:H692"/>
    <mergeCell ref="A693:H693"/>
    <mergeCell ref="A695:B696"/>
    <mergeCell ref="C695:C696"/>
    <mergeCell ref="D695:D696"/>
    <mergeCell ref="E695:E696"/>
    <mergeCell ref="F695:F696"/>
    <mergeCell ref="G695:H695"/>
    <mergeCell ref="A303:H303"/>
    <mergeCell ref="A304:H304"/>
    <mergeCell ref="A306:B307"/>
    <mergeCell ref="C306:C307"/>
    <mergeCell ref="D306:D307"/>
    <mergeCell ref="E306:E307"/>
    <mergeCell ref="F306:F307"/>
    <mergeCell ref="G306:H306"/>
    <mergeCell ref="A454:H454"/>
    <mergeCell ref="A618:B619"/>
    <mergeCell ref="C618:C619"/>
    <mergeCell ref="D618:D619"/>
    <mergeCell ref="E618:E619"/>
    <mergeCell ref="F618:F619"/>
    <mergeCell ref="G618:H618"/>
    <mergeCell ref="A673:B673"/>
    <mergeCell ref="A396:B396"/>
    <mergeCell ref="A500:B500"/>
    <mergeCell ref="A537:H537"/>
    <mergeCell ref="A539:B540"/>
    <mergeCell ref="C539:C540"/>
    <mergeCell ref="D539:D540"/>
    <mergeCell ref="E539:E540"/>
    <mergeCell ref="F539:F540"/>
    <mergeCell ref="G539:H539"/>
    <mergeCell ref="A615:H615"/>
    <mergeCell ref="A616:H616"/>
    <mergeCell ref="A455:H455"/>
    <mergeCell ref="A457:B458"/>
    <mergeCell ref="C457:C458"/>
    <mergeCell ref="D457:D458"/>
    <mergeCell ref="E457:E458"/>
    <mergeCell ref="F457:F458"/>
    <mergeCell ref="A1:H1"/>
    <mergeCell ref="A2:H2"/>
    <mergeCell ref="C4:C5"/>
    <mergeCell ref="A4:B5"/>
    <mergeCell ref="G4:H4"/>
    <mergeCell ref="F4:F5"/>
    <mergeCell ref="E4:E5"/>
    <mergeCell ref="D4:D5"/>
    <mergeCell ref="A28:B28"/>
    <mergeCell ref="A388:B388"/>
    <mergeCell ref="A231:H231"/>
    <mergeCell ref="A233:B234"/>
    <mergeCell ref="C233:C234"/>
    <mergeCell ref="D233:D234"/>
    <mergeCell ref="E233:E234"/>
    <mergeCell ref="F233:F234"/>
    <mergeCell ref="G233:H233"/>
    <mergeCell ref="A153:H153"/>
    <mergeCell ref="A154:H154"/>
    <mergeCell ref="A156:B157"/>
    <mergeCell ref="C156:C157"/>
    <mergeCell ref="D156:D157"/>
    <mergeCell ref="E156:E157"/>
    <mergeCell ref="F156:F157"/>
    <mergeCell ref="G156:H156"/>
    <mergeCell ref="A382:H382"/>
    <mergeCell ref="A383:H383"/>
    <mergeCell ref="A385:B386"/>
    <mergeCell ref="C385:C386"/>
    <mergeCell ref="D385:D386"/>
    <mergeCell ref="E385:E386"/>
    <mergeCell ref="F385:F386"/>
    <mergeCell ref="G385:H385"/>
    <mergeCell ref="A230:H230"/>
    <mergeCell ref="A76:H76"/>
    <mergeCell ref="A77:H77"/>
    <mergeCell ref="A79:B80"/>
    <mergeCell ref="C79:C80"/>
    <mergeCell ref="D79:D80"/>
    <mergeCell ref="E79:E80"/>
    <mergeCell ref="F79:F80"/>
    <mergeCell ref="G79:H79"/>
  </mergeCells>
  <printOptions horizontalCentered="1"/>
  <pageMargins left="0.19685039370078741" right="0.19685039370078741" top="0.39370078740157483" bottom="0.19685039370078741" header="0.31496062992125984" footer="0.31496062992125984"/>
  <pageSetup paperSize="9" scale="65" orientation="portrait" r:id="rId1"/>
  <headerFooter>
    <oddFooter>&amp;C&amp;"Arial,Regular"&amp;12&amp;P</oddFooter>
  </headerFooter>
  <rowBreaks count="11" manualBreakCount="11">
    <brk id="75" max="7" man="1"/>
    <brk id="152" max="7" man="1"/>
    <brk id="229" max="7" man="1"/>
    <brk id="302" max="7" man="1"/>
    <brk id="381" max="7" man="1"/>
    <brk id="453" max="7" man="1"/>
    <brk id="535" max="7" man="1"/>
    <brk id="614" max="7" man="1"/>
    <brk id="691" max="7" man="1"/>
    <brk id="768" max="7" man="1"/>
    <brk id="846" max="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CB48-6259-4558-AF56-D84FC8265D05}">
  <dimension ref="A1:X110"/>
  <sheetViews>
    <sheetView zoomScale="130" zoomScaleNormal="130" zoomScaleSheetLayoutView="85" workbookViewId="0">
      <selection activeCell="C7" sqref="C7"/>
    </sheetView>
  </sheetViews>
  <sheetFormatPr defaultColWidth="9.1796875" defaultRowHeight="14.5" x14ac:dyDescent="0.35"/>
  <cols>
    <col min="1" max="1" width="16.26953125" style="11" customWidth="1"/>
    <col min="2" max="2" width="53" style="11" customWidth="1"/>
    <col min="3" max="4" width="13.54296875" style="11" customWidth="1"/>
    <col min="5" max="7" width="13.54296875" style="10" customWidth="1"/>
    <col min="8" max="9" width="9.1796875" style="10"/>
    <col min="10" max="15" width="9.1796875" style="10" hidden="1" customWidth="1"/>
    <col min="16" max="18" width="9.1796875" style="10"/>
    <col min="25" max="16384" width="9.1796875" style="10"/>
  </cols>
  <sheetData>
    <row r="1" spans="1:18" ht="30" customHeight="1" x14ac:dyDescent="0.35">
      <c r="A1" s="425" t="s">
        <v>1351</v>
      </c>
      <c r="B1" s="426"/>
      <c r="C1" s="426"/>
      <c r="D1" s="426"/>
      <c r="E1" s="426"/>
      <c r="F1" s="426"/>
      <c r="G1" s="426"/>
    </row>
    <row r="2" spans="1:18" x14ac:dyDescent="0.35">
      <c r="A2" s="427" t="s">
        <v>1337</v>
      </c>
      <c r="B2" s="427"/>
      <c r="C2" s="427"/>
      <c r="D2" s="427"/>
      <c r="E2" s="427"/>
      <c r="F2" s="427"/>
      <c r="G2" s="427"/>
    </row>
    <row r="3" spans="1:18" ht="15" customHeight="1" x14ac:dyDescent="0.35">
      <c r="A3" s="3"/>
      <c r="B3" s="3"/>
      <c r="C3" s="3"/>
      <c r="D3" s="3"/>
    </row>
    <row r="4" spans="1:18" ht="25" customHeight="1" x14ac:dyDescent="0.35">
      <c r="A4" s="419" t="s">
        <v>1038</v>
      </c>
      <c r="B4" s="419" t="s">
        <v>1037</v>
      </c>
      <c r="C4" s="419" t="s">
        <v>91</v>
      </c>
      <c r="D4" s="419" t="s">
        <v>90</v>
      </c>
      <c r="E4" s="419" t="s">
        <v>89</v>
      </c>
      <c r="F4" s="419" t="s">
        <v>1186</v>
      </c>
      <c r="G4" s="419"/>
    </row>
    <row r="5" spans="1:18" ht="25" customHeight="1" x14ac:dyDescent="0.35">
      <c r="A5" s="419"/>
      <c r="B5" s="419"/>
      <c r="C5" s="419"/>
      <c r="D5" s="419"/>
      <c r="E5" s="419"/>
      <c r="F5" s="5" t="s">
        <v>88</v>
      </c>
      <c r="G5" s="5" t="s">
        <v>87</v>
      </c>
    </row>
    <row r="6" spans="1:18" x14ac:dyDescent="0.35">
      <c r="A6" s="38"/>
      <c r="B6" s="37"/>
      <c r="C6" s="52"/>
      <c r="D6" s="52"/>
      <c r="E6" s="51"/>
      <c r="F6" s="51"/>
      <c r="G6" s="50"/>
    </row>
    <row r="7" spans="1:18" x14ac:dyDescent="0.35">
      <c r="A7" s="473"/>
      <c r="B7" s="474" t="s">
        <v>1073</v>
      </c>
      <c r="C7" s="616">
        <v>19720.59</v>
      </c>
      <c r="D7" s="616">
        <v>313.22300000000001</v>
      </c>
      <c r="E7" s="617">
        <f>D7/C7*100</f>
        <v>1.588304406713998</v>
      </c>
      <c r="F7" s="616">
        <v>19205.34</v>
      </c>
      <c r="G7" s="618">
        <v>20235.849999999999</v>
      </c>
      <c r="I7"/>
      <c r="J7" t="s">
        <v>991</v>
      </c>
      <c r="K7">
        <v>19676.46</v>
      </c>
      <c r="L7">
        <v>236.8646</v>
      </c>
      <c r="M7" s="1">
        <v>1.2037968211761669</v>
      </c>
      <c r="N7">
        <v>19212.16</v>
      </c>
      <c r="O7">
        <v>20140.759999999998</v>
      </c>
      <c r="P7" s="12"/>
      <c r="Q7"/>
      <c r="R7"/>
    </row>
    <row r="8" spans="1:18" x14ac:dyDescent="0.35">
      <c r="A8" s="475"/>
      <c r="B8" s="476"/>
      <c r="C8" s="616"/>
      <c r="D8" s="616"/>
      <c r="E8" s="619"/>
      <c r="F8" s="616"/>
      <c r="G8" s="618"/>
      <c r="I8"/>
      <c r="J8"/>
      <c r="K8"/>
      <c r="L8"/>
      <c r="M8"/>
      <c r="N8"/>
      <c r="O8"/>
      <c r="P8"/>
      <c r="Q8"/>
      <c r="R8"/>
    </row>
    <row r="9" spans="1:18" x14ac:dyDescent="0.35">
      <c r="A9" s="477" t="s">
        <v>1071</v>
      </c>
      <c r="B9" s="478" t="s">
        <v>1072</v>
      </c>
      <c r="C9" s="616">
        <v>16907.964613087272</v>
      </c>
      <c r="D9" s="616">
        <v>331.5351</v>
      </c>
      <c r="E9" s="617">
        <f t="shared" ref="E9:E57" si="0">D9/C9*100</f>
        <v>1.9608220598201505</v>
      </c>
      <c r="F9" s="616">
        <v>16361.96</v>
      </c>
      <c r="G9" s="618">
        <v>17452.72</v>
      </c>
      <c r="I9"/>
      <c r="J9" t="s">
        <v>1071</v>
      </c>
      <c r="K9">
        <v>16801.400000000001</v>
      </c>
      <c r="L9">
        <v>899.77629999999999</v>
      </c>
      <c r="M9" s="1">
        <v>5.3553650291047168</v>
      </c>
      <c r="N9">
        <v>15037.66</v>
      </c>
      <c r="O9">
        <v>18565.150000000001</v>
      </c>
      <c r="P9" s="12"/>
      <c r="Q9"/>
      <c r="R9"/>
    </row>
    <row r="10" spans="1:18" ht="25" x14ac:dyDescent="0.35">
      <c r="A10" s="479" t="s">
        <v>992</v>
      </c>
      <c r="B10" s="26" t="s">
        <v>1070</v>
      </c>
      <c r="C10" s="620">
        <v>17257.980831718345</v>
      </c>
      <c r="D10" s="620">
        <v>345.81990000000002</v>
      </c>
      <c r="E10" s="621">
        <f t="shared" si="0"/>
        <v>2.0038259595492169</v>
      </c>
      <c r="F10" s="620">
        <v>16689.63</v>
      </c>
      <c r="G10" s="622">
        <v>17827.39</v>
      </c>
      <c r="I10"/>
      <c r="J10" t="s">
        <v>664</v>
      </c>
      <c r="K10">
        <v>16717.8</v>
      </c>
      <c r="L10">
        <v>1105.7070000000001</v>
      </c>
      <c r="M10" s="1">
        <v>6.6139504001722722</v>
      </c>
      <c r="N10">
        <v>14550.38</v>
      </c>
      <c r="O10">
        <v>18885.21</v>
      </c>
      <c r="P10" s="12"/>
      <c r="Q10"/>
      <c r="R10"/>
    </row>
    <row r="11" spans="1:18" x14ac:dyDescent="0.35">
      <c r="A11" s="479" t="s">
        <v>704</v>
      </c>
      <c r="B11" s="26" t="s">
        <v>990</v>
      </c>
      <c r="C11" s="620">
        <v>14509.117415656008</v>
      </c>
      <c r="D11" s="620">
        <v>657.47170000000006</v>
      </c>
      <c r="E11" s="621">
        <f t="shared" si="0"/>
        <v>4.5314382754291982</v>
      </c>
      <c r="F11" s="620">
        <v>13428.28</v>
      </c>
      <c r="G11" s="622">
        <v>15591.38</v>
      </c>
      <c r="I11"/>
      <c r="J11" t="s">
        <v>704</v>
      </c>
      <c r="K11">
        <v>17134.810000000001</v>
      </c>
      <c r="L11">
        <v>743.24080000000004</v>
      </c>
      <c r="M11" s="1">
        <v>4.3376074785772349</v>
      </c>
      <c r="N11">
        <v>15677.91</v>
      </c>
      <c r="O11">
        <v>18591.72</v>
      </c>
      <c r="P11" s="12"/>
      <c r="Q11"/>
      <c r="R11"/>
    </row>
    <row r="12" spans="1:18" x14ac:dyDescent="0.35">
      <c r="A12" s="477" t="s">
        <v>1068</v>
      </c>
      <c r="B12" s="478" t="s">
        <v>1069</v>
      </c>
      <c r="C12" s="616">
        <v>19881.121129611653</v>
      </c>
      <c r="D12" s="616">
        <v>672.875</v>
      </c>
      <c r="E12" s="617">
        <f t="shared" si="0"/>
        <v>3.3844922306609555</v>
      </c>
      <c r="F12" s="616">
        <v>18777.77</v>
      </c>
      <c r="G12" s="618">
        <v>20991.55</v>
      </c>
      <c r="I12"/>
      <c r="J12" t="s">
        <v>1068</v>
      </c>
      <c r="K12">
        <v>20879.310000000001</v>
      </c>
      <c r="L12">
        <v>1894.394</v>
      </c>
      <c r="M12" s="1">
        <v>9.0730680276311801</v>
      </c>
      <c r="N12">
        <v>17165.900000000001</v>
      </c>
      <c r="O12">
        <v>24592.720000000001</v>
      </c>
      <c r="P12" s="12"/>
      <c r="Q12"/>
      <c r="R12"/>
    </row>
    <row r="13" spans="1:18" ht="25" x14ac:dyDescent="0.35">
      <c r="A13" s="480" t="s">
        <v>987</v>
      </c>
      <c r="B13" s="26" t="s">
        <v>1067</v>
      </c>
      <c r="C13" s="620">
        <v>19212.474100775195</v>
      </c>
      <c r="D13" s="620">
        <v>1219.992</v>
      </c>
      <c r="E13" s="621">
        <f t="shared" si="0"/>
        <v>6.3499994514021232</v>
      </c>
      <c r="F13" s="620">
        <v>17192.03</v>
      </c>
      <c r="G13" s="622">
        <v>21205.84</v>
      </c>
      <c r="I13"/>
      <c r="J13" t="s">
        <v>327</v>
      </c>
      <c r="K13">
        <v>16035.4</v>
      </c>
      <c r="L13">
        <v>804.52909999999997</v>
      </c>
      <c r="M13" s="1">
        <v>5.0172063060478687</v>
      </c>
      <c r="N13">
        <v>14458.35</v>
      </c>
      <c r="O13">
        <v>17612.439999999999</v>
      </c>
      <c r="P13" s="12"/>
      <c r="Q13"/>
      <c r="R13"/>
    </row>
    <row r="14" spans="1:18" x14ac:dyDescent="0.35">
      <c r="A14" s="479" t="s">
        <v>506</v>
      </c>
      <c r="B14" s="26" t="s">
        <v>1066</v>
      </c>
      <c r="C14" s="620">
        <v>19973.45970441767</v>
      </c>
      <c r="D14" s="620">
        <v>888.10659999999996</v>
      </c>
      <c r="E14" s="621">
        <f t="shared" si="0"/>
        <v>4.4464334829462278</v>
      </c>
      <c r="F14" s="620">
        <v>18506.47</v>
      </c>
      <c r="G14" s="622">
        <v>21428.37</v>
      </c>
      <c r="I14"/>
      <c r="J14" t="s">
        <v>506</v>
      </c>
      <c r="K14">
        <v>22771.91</v>
      </c>
      <c r="L14">
        <v>3106.2809999999999</v>
      </c>
      <c r="M14" s="1">
        <v>13.640845234325974</v>
      </c>
      <c r="N14">
        <v>16682.96</v>
      </c>
      <c r="O14">
        <v>28860.87</v>
      </c>
      <c r="P14" s="12"/>
      <c r="Q14"/>
      <c r="R14"/>
    </row>
    <row r="15" spans="1:18" x14ac:dyDescent="0.35">
      <c r="A15" s="479" t="s">
        <v>1064</v>
      </c>
      <c r="B15" s="26" t="s">
        <v>1065</v>
      </c>
      <c r="C15" s="620">
        <v>21870.452071005915</v>
      </c>
      <c r="D15" s="620">
        <v>1626.84</v>
      </c>
      <c r="E15" s="621">
        <f t="shared" si="0"/>
        <v>7.4385293670117285</v>
      </c>
      <c r="F15" s="620">
        <v>19220.009999999998</v>
      </c>
      <c r="G15" s="622">
        <v>24572.36</v>
      </c>
      <c r="I15"/>
      <c r="J15" t="s">
        <v>1064</v>
      </c>
      <c r="K15">
        <v>29184.45</v>
      </c>
      <c r="L15">
        <v>7523.8140000000003</v>
      </c>
      <c r="M15" s="1">
        <v>25.780215148820691</v>
      </c>
      <c r="N15">
        <v>14436.2</v>
      </c>
      <c r="O15">
        <v>43932.69</v>
      </c>
      <c r="P15" s="12"/>
      <c r="Q15"/>
      <c r="R15"/>
    </row>
    <row r="16" spans="1:18" x14ac:dyDescent="0.35">
      <c r="A16" s="477" t="s">
        <v>1062</v>
      </c>
      <c r="B16" s="478" t="s">
        <v>1063</v>
      </c>
      <c r="C16" s="616">
        <v>19269.505405386531</v>
      </c>
      <c r="D16" s="616">
        <v>306.67419999999998</v>
      </c>
      <c r="E16" s="617">
        <f t="shared" si="0"/>
        <v>1.5915001114365568</v>
      </c>
      <c r="F16" s="616">
        <v>18764.96</v>
      </c>
      <c r="G16" s="618">
        <v>19773.93</v>
      </c>
      <c r="I16"/>
      <c r="J16" t="s">
        <v>1062</v>
      </c>
      <c r="K16">
        <v>19055.900000000001</v>
      </c>
      <c r="L16">
        <v>307.2543</v>
      </c>
      <c r="M16" s="1">
        <v>1.6123840910164304</v>
      </c>
      <c r="N16">
        <v>18453.61</v>
      </c>
      <c r="O16">
        <v>19658.18</v>
      </c>
      <c r="P16" s="12"/>
      <c r="Q16"/>
      <c r="R16"/>
    </row>
    <row r="17" spans="1:18" x14ac:dyDescent="0.35">
      <c r="A17" s="481" t="s">
        <v>330</v>
      </c>
      <c r="B17" s="26" t="s">
        <v>977</v>
      </c>
      <c r="C17" s="620">
        <v>17169.332398002749</v>
      </c>
      <c r="D17" s="620">
        <v>294.78399999999999</v>
      </c>
      <c r="E17" s="621">
        <f t="shared" si="0"/>
        <v>1.7169217367723117</v>
      </c>
      <c r="F17" s="620">
        <v>16684.47</v>
      </c>
      <c r="G17" s="622">
        <v>17654.32</v>
      </c>
      <c r="I17"/>
      <c r="J17" t="s">
        <v>330</v>
      </c>
      <c r="K17">
        <v>17792.38</v>
      </c>
      <c r="L17">
        <v>512.02530000000002</v>
      </c>
      <c r="M17" s="1">
        <v>2.8777785771212172</v>
      </c>
      <c r="N17">
        <v>16788.71</v>
      </c>
      <c r="O17">
        <v>18796.060000000001</v>
      </c>
      <c r="P17" s="12"/>
      <c r="Q17"/>
      <c r="R17"/>
    </row>
    <row r="18" spans="1:18" x14ac:dyDescent="0.35">
      <c r="A18" s="481" t="s">
        <v>443</v>
      </c>
      <c r="B18" s="26" t="s">
        <v>973</v>
      </c>
      <c r="C18" s="620">
        <v>21813.683213633398</v>
      </c>
      <c r="D18" s="620">
        <v>2802.8710000000001</v>
      </c>
      <c r="E18" s="621">
        <f t="shared" si="0"/>
        <v>12.84914139693853</v>
      </c>
      <c r="F18" s="620">
        <v>17202.86</v>
      </c>
      <c r="G18" s="622">
        <v>26424.39</v>
      </c>
      <c r="I18"/>
      <c r="J18" t="s">
        <v>443</v>
      </c>
      <c r="K18">
        <v>20151.189999999999</v>
      </c>
      <c r="L18">
        <v>1192.3920000000001</v>
      </c>
      <c r="M18" s="1">
        <v>5.917228709570006</v>
      </c>
      <c r="N18">
        <v>17813.849999999999</v>
      </c>
      <c r="O18">
        <v>22488.52</v>
      </c>
      <c r="P18" s="12"/>
      <c r="Q18"/>
      <c r="R18"/>
    </row>
    <row r="19" spans="1:18" x14ac:dyDescent="0.35">
      <c r="A19" s="479" t="s">
        <v>1059</v>
      </c>
      <c r="B19" s="26" t="s">
        <v>1060</v>
      </c>
      <c r="C19" s="620">
        <v>17640.636040235524</v>
      </c>
      <c r="D19" s="620">
        <v>476.40190000000001</v>
      </c>
      <c r="E19" s="621">
        <f t="shared" si="0"/>
        <v>2.7005936685808947</v>
      </c>
      <c r="F19" s="620">
        <v>16852.62</v>
      </c>
      <c r="G19" s="622">
        <v>18420</v>
      </c>
      <c r="I19"/>
      <c r="J19" t="s">
        <v>1059</v>
      </c>
      <c r="K19">
        <v>31620.67</v>
      </c>
      <c r="L19">
        <v>3279.0729999999999</v>
      </c>
      <c r="M19" s="1">
        <v>10.370030110051431</v>
      </c>
      <c r="N19">
        <v>25193</v>
      </c>
      <c r="O19">
        <v>38048.33</v>
      </c>
      <c r="P19" s="12"/>
      <c r="Q19"/>
      <c r="R19"/>
    </row>
    <row r="20" spans="1:18" x14ac:dyDescent="0.35">
      <c r="A20" s="479" t="s">
        <v>571</v>
      </c>
      <c r="B20" s="26" t="s">
        <v>970</v>
      </c>
      <c r="C20" s="620">
        <v>24480.499947791162</v>
      </c>
      <c r="D20" s="620">
        <v>1463.182</v>
      </c>
      <c r="E20" s="621">
        <f t="shared" si="0"/>
        <v>5.9769285885520516</v>
      </c>
      <c r="F20" s="620">
        <v>22069.37</v>
      </c>
      <c r="G20" s="622">
        <v>26883.279999999999</v>
      </c>
      <c r="I20"/>
      <c r="J20" t="s">
        <v>571</v>
      </c>
      <c r="K20">
        <v>17705.310000000001</v>
      </c>
      <c r="L20">
        <v>1234.386</v>
      </c>
      <c r="M20" s="1">
        <v>6.9718406511944719</v>
      </c>
      <c r="N20">
        <v>15285.66</v>
      </c>
      <c r="O20">
        <v>20124.97</v>
      </c>
      <c r="P20" s="12"/>
      <c r="Q20"/>
      <c r="R20"/>
    </row>
    <row r="21" spans="1:18" x14ac:dyDescent="0.35">
      <c r="A21" s="479" t="s">
        <v>784</v>
      </c>
      <c r="B21" s="26" t="s">
        <v>964</v>
      </c>
      <c r="C21" s="620">
        <v>17254.398892643541</v>
      </c>
      <c r="D21" s="620">
        <v>331.50360000000001</v>
      </c>
      <c r="E21" s="621">
        <f t="shared" si="0"/>
        <v>1.9212700602472883</v>
      </c>
      <c r="F21" s="620">
        <v>16708.11</v>
      </c>
      <c r="G21" s="622">
        <v>17798.77</v>
      </c>
      <c r="I21"/>
      <c r="J21" t="s">
        <v>784</v>
      </c>
      <c r="K21">
        <v>17478.36</v>
      </c>
      <c r="L21">
        <v>844.08900000000006</v>
      </c>
      <c r="M21" s="1">
        <v>4.8293375351005476</v>
      </c>
      <c r="N21">
        <v>15823.77</v>
      </c>
      <c r="O21">
        <v>19132.95</v>
      </c>
      <c r="P21" s="12"/>
      <c r="Q21"/>
      <c r="R21"/>
    </row>
    <row r="22" spans="1:18" x14ac:dyDescent="0.35">
      <c r="A22" s="479" t="s">
        <v>667</v>
      </c>
      <c r="B22" s="26" t="s">
        <v>947</v>
      </c>
      <c r="C22" s="620">
        <v>17520.768654074072</v>
      </c>
      <c r="D22" s="620">
        <v>746.1268</v>
      </c>
      <c r="E22" s="621">
        <f t="shared" si="0"/>
        <v>4.258527777698295</v>
      </c>
      <c r="F22" s="620">
        <v>16295.97</v>
      </c>
      <c r="G22" s="622">
        <v>18750.75</v>
      </c>
      <c r="I22"/>
      <c r="J22" t="s">
        <v>667</v>
      </c>
      <c r="K22">
        <v>17602.419999999998</v>
      </c>
      <c r="L22">
        <v>1260.2370000000001</v>
      </c>
      <c r="M22" s="1">
        <v>7.1594530752021619</v>
      </c>
      <c r="N22">
        <v>15132.1</v>
      </c>
      <c r="O22">
        <v>20072.75</v>
      </c>
      <c r="P22" s="12"/>
      <c r="Q22"/>
      <c r="R22"/>
    </row>
    <row r="23" spans="1:18" ht="37.5" x14ac:dyDescent="0.35">
      <c r="A23" s="479" t="s">
        <v>1325</v>
      </c>
      <c r="B23" s="26" t="s">
        <v>1362</v>
      </c>
      <c r="C23" s="620">
        <v>18570.846114698386</v>
      </c>
      <c r="D23" s="620">
        <v>2116.9479999999999</v>
      </c>
      <c r="E23" s="621">
        <f t="shared" si="0"/>
        <v>11.399308286360121</v>
      </c>
      <c r="F23" s="620">
        <v>15081.95</v>
      </c>
      <c r="G23" s="622">
        <v>22046.77</v>
      </c>
      <c r="I23"/>
      <c r="J23" t="s">
        <v>1058</v>
      </c>
      <c r="K23">
        <v>15984.36</v>
      </c>
      <c r="L23">
        <v>839.39670000000001</v>
      </c>
      <c r="M23" s="1">
        <v>5.2513625819238303</v>
      </c>
      <c r="N23">
        <v>14338.97</v>
      </c>
      <c r="O23">
        <v>17629.75</v>
      </c>
      <c r="P23" s="12"/>
      <c r="Q23"/>
      <c r="R23"/>
    </row>
    <row r="24" spans="1:18" x14ac:dyDescent="0.35">
      <c r="A24" s="479" t="s">
        <v>405</v>
      </c>
      <c r="B24" s="26" t="s">
        <v>921</v>
      </c>
      <c r="C24" s="620">
        <v>18588.219432236841</v>
      </c>
      <c r="D24" s="620">
        <v>300.63709999999998</v>
      </c>
      <c r="E24" s="621">
        <f t="shared" si="0"/>
        <v>1.6173528674759265</v>
      </c>
      <c r="F24" s="620">
        <v>18092.900000000001</v>
      </c>
      <c r="G24" s="622">
        <v>19082</v>
      </c>
      <c r="I24"/>
      <c r="J24" t="s">
        <v>405</v>
      </c>
      <c r="K24">
        <v>20304.46</v>
      </c>
      <c r="L24">
        <v>1716.135</v>
      </c>
      <c r="M24" s="1">
        <v>8.4520100509937226</v>
      </c>
      <c r="N24">
        <v>16940.48</v>
      </c>
      <c r="O24">
        <v>23668.44</v>
      </c>
      <c r="P24" s="12"/>
      <c r="Q24"/>
      <c r="R24"/>
    </row>
    <row r="25" spans="1:18" x14ac:dyDescent="0.35">
      <c r="A25" s="479" t="s">
        <v>568</v>
      </c>
      <c r="B25" s="26" t="s">
        <v>913</v>
      </c>
      <c r="C25" s="620">
        <v>18215.506429770317</v>
      </c>
      <c r="D25" s="620">
        <v>576.20219999999995</v>
      </c>
      <c r="E25" s="621">
        <f t="shared" si="0"/>
        <v>3.1632510587698519</v>
      </c>
      <c r="F25" s="620">
        <v>17268.02</v>
      </c>
      <c r="G25" s="622">
        <v>19163.740000000002</v>
      </c>
      <c r="I25"/>
      <c r="J25" t="s">
        <v>568</v>
      </c>
      <c r="K25">
        <v>15107.01</v>
      </c>
      <c r="L25">
        <v>554.8338</v>
      </c>
      <c r="M25" s="1">
        <v>3.6726910222472875</v>
      </c>
      <c r="N25">
        <v>14019.42</v>
      </c>
      <c r="O25">
        <v>16194.6</v>
      </c>
      <c r="P25" s="12"/>
      <c r="Q25"/>
      <c r="R25"/>
    </row>
    <row r="26" spans="1:18" x14ac:dyDescent="0.35">
      <c r="A26" s="479" t="s">
        <v>305</v>
      </c>
      <c r="B26" s="26" t="s">
        <v>906</v>
      </c>
      <c r="C26" s="620">
        <v>19046.874413407822</v>
      </c>
      <c r="D26" s="620">
        <v>1326.328</v>
      </c>
      <c r="E26" s="621">
        <f t="shared" si="0"/>
        <v>6.9634942259415915</v>
      </c>
      <c r="F26" s="620">
        <v>16873.91</v>
      </c>
      <c r="G26" s="622">
        <v>21237.57</v>
      </c>
      <c r="I26"/>
      <c r="J26" t="s">
        <v>305</v>
      </c>
      <c r="K26">
        <v>22765.33</v>
      </c>
      <c r="L26">
        <v>3058.7550000000001</v>
      </c>
      <c r="M26" s="1">
        <v>13.436023110580869</v>
      </c>
      <c r="N26">
        <v>16769.53</v>
      </c>
      <c r="O26">
        <v>28761.119999999999</v>
      </c>
      <c r="P26" s="12"/>
      <c r="Q26"/>
      <c r="R26"/>
    </row>
    <row r="27" spans="1:18" x14ac:dyDescent="0.35">
      <c r="A27" s="479" t="s">
        <v>349</v>
      </c>
      <c r="B27" s="26" t="s">
        <v>897</v>
      </c>
      <c r="C27" s="620">
        <v>22150.541929111841</v>
      </c>
      <c r="D27" s="620">
        <v>885.57100000000003</v>
      </c>
      <c r="E27" s="621">
        <f t="shared" si="0"/>
        <v>3.9979653898946768</v>
      </c>
      <c r="F27" s="620">
        <v>20693.18</v>
      </c>
      <c r="G27" s="622">
        <v>23606.73</v>
      </c>
      <c r="I27"/>
      <c r="J27" t="s">
        <v>349</v>
      </c>
      <c r="K27">
        <v>19694.09</v>
      </c>
      <c r="L27">
        <v>706.39890000000003</v>
      </c>
      <c r="M27" s="1">
        <v>3.5868572754567487</v>
      </c>
      <c r="N27">
        <v>18309.400000000001</v>
      </c>
      <c r="O27">
        <v>21078.78</v>
      </c>
      <c r="P27" s="12"/>
      <c r="Q27"/>
      <c r="R27"/>
    </row>
    <row r="28" spans="1:18" ht="25" x14ac:dyDescent="0.35">
      <c r="A28" s="479" t="s">
        <v>574</v>
      </c>
      <c r="B28" s="26" t="s">
        <v>1339</v>
      </c>
      <c r="C28" s="620">
        <v>17585.682630298819</v>
      </c>
      <c r="D28" s="620">
        <v>880.76679999999999</v>
      </c>
      <c r="E28" s="621">
        <f t="shared" si="0"/>
        <v>5.0084311113547813</v>
      </c>
      <c r="F28" s="620">
        <v>16135.72</v>
      </c>
      <c r="G28" s="622">
        <v>19033.46</v>
      </c>
      <c r="I28"/>
      <c r="J28" t="s">
        <v>574</v>
      </c>
      <c r="K28">
        <v>19872.900000000001</v>
      </c>
      <c r="L28">
        <v>1473.739</v>
      </c>
      <c r="M28" s="1">
        <v>7.4158225523199937</v>
      </c>
      <c r="N28">
        <v>16984.060000000001</v>
      </c>
      <c r="O28">
        <v>22761.73</v>
      </c>
      <c r="P28" s="12"/>
      <c r="Q28"/>
      <c r="R28"/>
    </row>
    <row r="29" spans="1:18" x14ac:dyDescent="0.35">
      <c r="A29" s="479" t="s">
        <v>1181</v>
      </c>
      <c r="B29" s="26" t="s">
        <v>1340</v>
      </c>
      <c r="C29" s="620">
        <v>18730.451659456539</v>
      </c>
      <c r="D29" s="620">
        <v>451.0677</v>
      </c>
      <c r="E29" s="621">
        <f t="shared" si="0"/>
        <v>2.4082051420915263</v>
      </c>
      <c r="F29" s="620">
        <v>17988.919999999998</v>
      </c>
      <c r="G29" s="622">
        <v>19472.95</v>
      </c>
      <c r="I29"/>
      <c r="J29" t="s">
        <v>650</v>
      </c>
      <c r="K29">
        <v>19048.66</v>
      </c>
      <c r="L29">
        <v>850.15819999999997</v>
      </c>
      <c r="M29" s="1">
        <v>4.4630866423149973</v>
      </c>
      <c r="N29">
        <v>17382.18</v>
      </c>
      <c r="O29">
        <v>20715.150000000001</v>
      </c>
      <c r="P29" s="12"/>
      <c r="Q29"/>
      <c r="R29"/>
    </row>
    <row r="30" spans="1:18" x14ac:dyDescent="0.35">
      <c r="A30" s="479" t="s">
        <v>474</v>
      </c>
      <c r="B30" s="26" t="s">
        <v>853</v>
      </c>
      <c r="C30" s="620">
        <v>19643.396531676739</v>
      </c>
      <c r="D30" s="620">
        <v>703.08900000000006</v>
      </c>
      <c r="E30" s="621">
        <f t="shared" si="0"/>
        <v>3.5792638959673084</v>
      </c>
      <c r="F30" s="620">
        <v>18484.689999999999</v>
      </c>
      <c r="G30" s="622">
        <v>20797.87</v>
      </c>
      <c r="I30"/>
      <c r="J30" t="s">
        <v>474</v>
      </c>
      <c r="K30">
        <v>21304.51</v>
      </c>
      <c r="L30">
        <v>1677.3009999999999</v>
      </c>
      <c r="M30" s="1">
        <v>7.872985579109776</v>
      </c>
      <c r="N30">
        <v>18016.650000000001</v>
      </c>
      <c r="O30">
        <v>24592.37</v>
      </c>
      <c r="P30" s="12"/>
      <c r="Q30"/>
      <c r="R30"/>
    </row>
    <row r="31" spans="1:18" x14ac:dyDescent="0.35">
      <c r="A31" s="479" t="s">
        <v>441</v>
      </c>
      <c r="B31" s="26" t="s">
        <v>846</v>
      </c>
      <c r="C31" s="620">
        <v>18611.541449413806</v>
      </c>
      <c r="D31" s="620">
        <v>893.42259999999999</v>
      </c>
      <c r="E31" s="621">
        <f t="shared" si="0"/>
        <v>4.8003686445226679</v>
      </c>
      <c r="F31" s="620">
        <v>17145.52</v>
      </c>
      <c r="G31" s="622">
        <v>20084.91</v>
      </c>
      <c r="I31"/>
      <c r="J31" t="s">
        <v>441</v>
      </c>
      <c r="K31">
        <v>19929.759999999998</v>
      </c>
      <c r="L31">
        <v>1656.4190000000001</v>
      </c>
      <c r="M31" s="1">
        <v>8.311284230216522</v>
      </c>
      <c r="N31">
        <v>16682.84</v>
      </c>
      <c r="O31">
        <v>23176.69</v>
      </c>
      <c r="P31" s="12"/>
      <c r="Q31"/>
      <c r="R31"/>
    </row>
    <row r="32" spans="1:18" ht="25" x14ac:dyDescent="0.35">
      <c r="A32" s="479" t="s">
        <v>581</v>
      </c>
      <c r="B32" s="26" t="s">
        <v>1105</v>
      </c>
      <c r="C32" s="620">
        <v>19309.671895068393</v>
      </c>
      <c r="D32" s="620">
        <v>369.46870000000001</v>
      </c>
      <c r="E32" s="621">
        <f t="shared" si="0"/>
        <v>1.9133867318292481</v>
      </c>
      <c r="F32" s="620">
        <v>18700.560000000001</v>
      </c>
      <c r="G32" s="622">
        <v>19916.13</v>
      </c>
      <c r="I32"/>
      <c r="J32" t="s">
        <v>581</v>
      </c>
      <c r="K32">
        <v>19172.91</v>
      </c>
      <c r="L32">
        <v>665.25379999999996</v>
      </c>
      <c r="M32" s="1">
        <v>3.4697591549743882</v>
      </c>
      <c r="N32">
        <v>17868.87</v>
      </c>
      <c r="O32">
        <v>20476.939999999999</v>
      </c>
      <c r="P32" s="12"/>
      <c r="Q32"/>
      <c r="R32"/>
    </row>
    <row r="33" spans="1:18" x14ac:dyDescent="0.35">
      <c r="A33" s="479" t="s">
        <v>554</v>
      </c>
      <c r="B33" s="26" t="s">
        <v>817</v>
      </c>
      <c r="C33" s="620">
        <v>22559.852093484089</v>
      </c>
      <c r="D33" s="620">
        <v>2006.481</v>
      </c>
      <c r="E33" s="621">
        <f t="shared" si="0"/>
        <v>8.8940343743633292</v>
      </c>
      <c r="F33" s="620">
        <v>19259.43</v>
      </c>
      <c r="G33" s="622">
        <v>25860.81</v>
      </c>
      <c r="I33"/>
      <c r="J33" t="s">
        <v>554</v>
      </c>
      <c r="K33">
        <v>21596.32</v>
      </c>
      <c r="L33">
        <v>1673.4570000000001</v>
      </c>
      <c r="M33" s="1">
        <v>7.7488062781066418</v>
      </c>
      <c r="N33">
        <v>18316</v>
      </c>
      <c r="O33">
        <v>24876.65</v>
      </c>
      <c r="P33" s="12"/>
      <c r="Q33"/>
      <c r="R33"/>
    </row>
    <row r="34" spans="1:18" x14ac:dyDescent="0.35">
      <c r="A34" s="479" t="s">
        <v>598</v>
      </c>
      <c r="B34" s="26" t="s">
        <v>800</v>
      </c>
      <c r="C34" s="620">
        <v>18225.676394559305</v>
      </c>
      <c r="D34" s="620">
        <v>589.59540000000004</v>
      </c>
      <c r="E34" s="621">
        <f t="shared" si="0"/>
        <v>3.2349712967360977</v>
      </c>
      <c r="F34" s="620">
        <v>17256.439999999999</v>
      </c>
      <c r="G34" s="622">
        <v>19196.22</v>
      </c>
      <c r="I34"/>
      <c r="J34" t="s">
        <v>598</v>
      </c>
      <c r="K34">
        <v>19735.490000000002</v>
      </c>
      <c r="L34">
        <v>888.09069999999997</v>
      </c>
      <c r="M34" s="1">
        <v>4.499967824462427</v>
      </c>
      <c r="N34">
        <v>17994.650000000001</v>
      </c>
      <c r="O34">
        <v>21476.33</v>
      </c>
      <c r="P34" s="12"/>
      <c r="Q34"/>
      <c r="R34"/>
    </row>
    <row r="35" spans="1:18" x14ac:dyDescent="0.35">
      <c r="A35" s="479" t="s">
        <v>396</v>
      </c>
      <c r="B35" s="26" t="s">
        <v>786</v>
      </c>
      <c r="C35" s="620">
        <v>17302.651316279069</v>
      </c>
      <c r="D35" s="620">
        <v>269.23860000000002</v>
      </c>
      <c r="E35" s="621">
        <f t="shared" si="0"/>
        <v>1.5560540120616595</v>
      </c>
      <c r="F35" s="620">
        <v>16861.95</v>
      </c>
      <c r="G35" s="622">
        <v>17747.759999999998</v>
      </c>
      <c r="I35"/>
      <c r="J35" t="s">
        <v>396</v>
      </c>
      <c r="K35">
        <v>19510.990000000002</v>
      </c>
      <c r="L35">
        <v>3166.3890000000001</v>
      </c>
      <c r="M35" s="1">
        <v>16.228745952921916</v>
      </c>
      <c r="N35">
        <v>13304.21</v>
      </c>
      <c r="O35">
        <v>25717.77</v>
      </c>
      <c r="P35" s="12"/>
      <c r="Q35"/>
      <c r="R35"/>
    </row>
    <row r="36" spans="1:18" x14ac:dyDescent="0.35">
      <c r="A36" s="479" t="s">
        <v>334</v>
      </c>
      <c r="B36" s="26" t="s">
        <v>769</v>
      </c>
      <c r="C36" s="620">
        <v>22879.54650877825</v>
      </c>
      <c r="D36" s="620">
        <v>3206.0729999999999</v>
      </c>
      <c r="E36" s="621">
        <f t="shared" si="0"/>
        <v>14.012834558455598</v>
      </c>
      <c r="F36" s="620">
        <v>17606.240000000002</v>
      </c>
      <c r="G36" s="622">
        <v>28154.31</v>
      </c>
      <c r="I36"/>
      <c r="J36" t="s">
        <v>334</v>
      </c>
      <c r="K36">
        <v>23258.04</v>
      </c>
      <c r="L36">
        <v>1358.26</v>
      </c>
      <c r="M36" s="1">
        <v>5.8399589991246037</v>
      </c>
      <c r="N36">
        <v>20595.560000000001</v>
      </c>
      <c r="O36">
        <v>25920.51</v>
      </c>
      <c r="P36" s="12"/>
      <c r="Q36"/>
      <c r="R36"/>
    </row>
    <row r="37" spans="1:18" ht="25" x14ac:dyDescent="0.35">
      <c r="A37" s="480" t="s">
        <v>1054</v>
      </c>
      <c r="B37" s="26" t="s">
        <v>1326</v>
      </c>
      <c r="C37" s="620">
        <v>16178.677412815627</v>
      </c>
      <c r="D37" s="620">
        <v>1323.2729999999999</v>
      </c>
      <c r="E37" s="621">
        <f t="shared" si="0"/>
        <v>8.1791172803272207</v>
      </c>
      <c r="F37" s="620">
        <v>14001.87</v>
      </c>
      <c r="G37" s="622">
        <v>18355.48</v>
      </c>
      <c r="I37"/>
      <c r="J37" t="s">
        <v>1054</v>
      </c>
      <c r="K37">
        <v>20884.84</v>
      </c>
      <c r="L37">
        <v>2278.2570000000001</v>
      </c>
      <c r="M37" s="1">
        <v>10.908663892086318</v>
      </c>
      <c r="N37">
        <v>16418.98</v>
      </c>
      <c r="O37">
        <v>25350.69</v>
      </c>
      <c r="P37" s="12"/>
      <c r="Q37"/>
      <c r="R37"/>
    </row>
    <row r="38" spans="1:18" x14ac:dyDescent="0.35">
      <c r="A38" s="479" t="s">
        <v>385</v>
      </c>
      <c r="B38" s="26" t="s">
        <v>751</v>
      </c>
      <c r="C38" s="620">
        <v>25681.613974910393</v>
      </c>
      <c r="D38" s="620">
        <v>1789.999</v>
      </c>
      <c r="E38" s="621">
        <f t="shared" si="0"/>
        <v>6.9699630317188648</v>
      </c>
      <c r="F38" s="620">
        <v>22759.15</v>
      </c>
      <c r="G38" s="622">
        <v>28648.3</v>
      </c>
      <c r="I38"/>
      <c r="J38" t="s">
        <v>385</v>
      </c>
      <c r="K38">
        <v>21586.15</v>
      </c>
      <c r="L38">
        <v>1834.039</v>
      </c>
      <c r="M38" s="1">
        <v>8.4963691996951738</v>
      </c>
      <c r="N38">
        <v>17991.05</v>
      </c>
      <c r="O38">
        <v>25181.25</v>
      </c>
      <c r="P38" s="12"/>
      <c r="Q38"/>
      <c r="R38"/>
    </row>
    <row r="39" spans="1:18" x14ac:dyDescent="0.35">
      <c r="A39" s="479" t="s">
        <v>487</v>
      </c>
      <c r="B39" s="26" t="s">
        <v>730</v>
      </c>
      <c r="C39" s="620">
        <v>19386.244267183643</v>
      </c>
      <c r="D39" s="620">
        <v>621.87789999999995</v>
      </c>
      <c r="E39" s="621">
        <f t="shared" si="0"/>
        <v>3.2078307248645013</v>
      </c>
      <c r="F39" s="620">
        <v>18361.580000000002</v>
      </c>
      <c r="G39" s="622">
        <v>20407.580000000002</v>
      </c>
      <c r="I39"/>
      <c r="J39" t="s">
        <v>487</v>
      </c>
      <c r="K39">
        <v>19074.990000000002</v>
      </c>
      <c r="L39">
        <v>1885.9559999999999</v>
      </c>
      <c r="M39" s="1">
        <v>9.8870615397439252</v>
      </c>
      <c r="N39">
        <v>15378.12</v>
      </c>
      <c r="O39">
        <v>22771.86</v>
      </c>
      <c r="P39" s="12"/>
      <c r="Q39"/>
      <c r="R39"/>
    </row>
    <row r="40" spans="1:18" x14ac:dyDescent="0.35">
      <c r="A40" s="479" t="s">
        <v>1052</v>
      </c>
      <c r="B40" s="26" t="s">
        <v>1183</v>
      </c>
      <c r="C40" s="620">
        <v>21265.014832214765</v>
      </c>
      <c r="D40" s="620">
        <v>976.48209999999995</v>
      </c>
      <c r="E40" s="621"/>
      <c r="F40" s="620">
        <v>19655.849999999999</v>
      </c>
      <c r="G40" s="622">
        <v>22868.5</v>
      </c>
      <c r="I40"/>
      <c r="J40"/>
      <c r="K40"/>
      <c r="L40"/>
      <c r="M40" s="1"/>
      <c r="N40"/>
      <c r="O40"/>
      <c r="P40" s="12"/>
      <c r="Q40"/>
      <c r="R40"/>
    </row>
    <row r="41" spans="1:18" x14ac:dyDescent="0.35">
      <c r="A41" s="479" t="s">
        <v>1184</v>
      </c>
      <c r="B41" s="26" t="s">
        <v>1185</v>
      </c>
      <c r="C41" s="620">
        <v>17809.492608931803</v>
      </c>
      <c r="D41" s="620">
        <v>333.68079999999998</v>
      </c>
      <c r="E41" s="621">
        <f t="shared" si="0"/>
        <v>1.8736120524436086</v>
      </c>
      <c r="F41" s="620">
        <v>17258.89</v>
      </c>
      <c r="G41" s="622">
        <v>18356.71</v>
      </c>
      <c r="I41"/>
      <c r="J41" t="s">
        <v>1052</v>
      </c>
      <c r="K41">
        <v>19456.78</v>
      </c>
      <c r="L41">
        <v>909.80399999999997</v>
      </c>
      <c r="M41" s="1">
        <v>4.6760255294041455</v>
      </c>
      <c r="N41">
        <v>17673.38</v>
      </c>
      <c r="O41">
        <v>21240.19</v>
      </c>
      <c r="P41" s="12"/>
      <c r="Q41"/>
      <c r="R41"/>
    </row>
    <row r="42" spans="1:18" ht="26" x14ac:dyDescent="0.35">
      <c r="A42" s="477" t="s">
        <v>391</v>
      </c>
      <c r="B42" s="478" t="s">
        <v>1051</v>
      </c>
      <c r="C42" s="616">
        <v>30397.624177187423</v>
      </c>
      <c r="D42" s="616">
        <v>973.38099999999997</v>
      </c>
      <c r="E42" s="617">
        <f t="shared" si="0"/>
        <v>3.2021614397433584</v>
      </c>
      <c r="F42" s="616">
        <v>28793.88</v>
      </c>
      <c r="G42" s="618">
        <v>31996.33</v>
      </c>
      <c r="I42"/>
      <c r="J42" t="s">
        <v>391</v>
      </c>
      <c r="K42">
        <v>30675.77</v>
      </c>
      <c r="L42">
        <v>1350.8030000000001</v>
      </c>
      <c r="M42" s="1">
        <v>4.4034852262877182</v>
      </c>
      <c r="N42">
        <v>28027.91</v>
      </c>
      <c r="O42">
        <v>33323.620000000003</v>
      </c>
      <c r="P42" s="12"/>
      <c r="Q42"/>
      <c r="R42"/>
    </row>
    <row r="43" spans="1:18" ht="26" x14ac:dyDescent="0.35">
      <c r="A43" s="477" t="s">
        <v>1049</v>
      </c>
      <c r="B43" s="478" t="s">
        <v>1050</v>
      </c>
      <c r="C43" s="616">
        <v>21855.701845508196</v>
      </c>
      <c r="D43" s="616">
        <v>310.41660000000002</v>
      </c>
      <c r="E43" s="617">
        <f t="shared" si="0"/>
        <v>1.420300305129744</v>
      </c>
      <c r="F43" s="616">
        <v>21346.13</v>
      </c>
      <c r="G43" s="618">
        <v>22367.41</v>
      </c>
      <c r="I43"/>
      <c r="J43" t="s">
        <v>1049</v>
      </c>
      <c r="K43">
        <v>23884.639999999999</v>
      </c>
      <c r="L43">
        <v>960.00319999999999</v>
      </c>
      <c r="M43" s="1">
        <v>4.0193329269354701</v>
      </c>
      <c r="N43">
        <v>22002.84</v>
      </c>
      <c r="O43">
        <v>25766.45</v>
      </c>
      <c r="P43" s="12"/>
      <c r="Q43"/>
      <c r="R43"/>
    </row>
    <row r="44" spans="1:18" x14ac:dyDescent="0.35">
      <c r="A44" s="479" t="s">
        <v>402</v>
      </c>
      <c r="B44" s="26" t="s">
        <v>677</v>
      </c>
      <c r="C44" s="620">
        <v>22540.399153558752</v>
      </c>
      <c r="D44" s="620">
        <v>431.30369999999999</v>
      </c>
      <c r="E44" s="621">
        <f t="shared" si="0"/>
        <v>1.9134696642313203</v>
      </c>
      <c r="F44" s="620">
        <v>21830</v>
      </c>
      <c r="G44" s="622">
        <v>23249</v>
      </c>
      <c r="I44"/>
      <c r="J44" t="s">
        <v>402</v>
      </c>
      <c r="K44">
        <v>24926.19</v>
      </c>
      <c r="L44">
        <v>1059.3779999999999</v>
      </c>
      <c r="M44" s="1">
        <v>4.250059876780206</v>
      </c>
      <c r="N44">
        <v>22849.58</v>
      </c>
      <c r="O44">
        <v>27002.79</v>
      </c>
      <c r="P44" s="12"/>
      <c r="Q44"/>
      <c r="R44"/>
    </row>
    <row r="45" spans="1:18" ht="37.5" x14ac:dyDescent="0.35">
      <c r="A45" s="481" t="s">
        <v>1048</v>
      </c>
      <c r="B45" s="482" t="s">
        <v>1047</v>
      </c>
      <c r="C45" s="620">
        <v>20251.417834874504</v>
      </c>
      <c r="D45" s="620">
        <v>242.73009999999999</v>
      </c>
      <c r="E45" s="621">
        <f t="shared" si="0"/>
        <v>1.1985832398460519</v>
      </c>
      <c r="F45" s="620">
        <v>19848.439999999999</v>
      </c>
      <c r="G45" s="622">
        <v>20647.03</v>
      </c>
      <c r="I45"/>
      <c r="J45" t="s">
        <v>1046</v>
      </c>
      <c r="K45">
        <v>16489.75</v>
      </c>
      <c r="L45">
        <v>881.9135</v>
      </c>
      <c r="M45" s="1">
        <v>5.348252702436362</v>
      </c>
      <c r="N45">
        <v>14761.02</v>
      </c>
      <c r="O45">
        <v>18218.490000000002</v>
      </c>
      <c r="P45" s="12"/>
      <c r="Q45"/>
      <c r="R45"/>
    </row>
    <row r="46" spans="1:18" x14ac:dyDescent="0.35">
      <c r="A46" s="477" t="s">
        <v>654</v>
      </c>
      <c r="B46" s="478" t="s">
        <v>1045</v>
      </c>
      <c r="C46" s="616">
        <v>18642.527737656939</v>
      </c>
      <c r="D46" s="616">
        <v>277.58679999999998</v>
      </c>
      <c r="E46" s="617">
        <f t="shared" si="0"/>
        <v>1.4889976504596478</v>
      </c>
      <c r="F46" s="616">
        <v>18186</v>
      </c>
      <c r="G46" s="618">
        <v>19099.27</v>
      </c>
      <c r="I46"/>
      <c r="J46" t="s">
        <v>1044</v>
      </c>
      <c r="K46">
        <v>19998.740000000002</v>
      </c>
      <c r="L46">
        <v>477.30560000000003</v>
      </c>
      <c r="M46" s="1">
        <v>2.3866783607367261</v>
      </c>
      <c r="N46">
        <v>19063.13</v>
      </c>
      <c r="O46">
        <v>20934.36</v>
      </c>
      <c r="P46" s="12"/>
      <c r="Q46"/>
      <c r="R46"/>
    </row>
    <row r="47" spans="1:18" ht="26" x14ac:dyDescent="0.35">
      <c r="A47" s="477" t="s">
        <v>1042</v>
      </c>
      <c r="B47" s="478" t="s">
        <v>1043</v>
      </c>
      <c r="C47" s="616">
        <v>16784.236614657821</v>
      </c>
      <c r="D47" s="616">
        <v>106.081</v>
      </c>
      <c r="E47" s="617">
        <f t="shared" si="0"/>
        <v>0.63202755320643256</v>
      </c>
      <c r="F47" s="616">
        <v>16609.740000000002</v>
      </c>
      <c r="G47" s="618">
        <v>16958.75</v>
      </c>
      <c r="I47"/>
      <c r="J47" t="s">
        <v>1042</v>
      </c>
      <c r="K47">
        <v>17206.29</v>
      </c>
      <c r="L47">
        <v>510.58780000000002</v>
      </c>
      <c r="M47" s="1">
        <v>2.9674485319031585</v>
      </c>
      <c r="N47">
        <v>16205.43</v>
      </c>
      <c r="O47">
        <v>18207.14</v>
      </c>
      <c r="P47" s="12"/>
      <c r="Q47"/>
      <c r="R47"/>
    </row>
    <row r="48" spans="1:18" ht="25" x14ac:dyDescent="0.35">
      <c r="A48" s="479" t="s">
        <v>592</v>
      </c>
      <c r="B48" s="26" t="s">
        <v>1001</v>
      </c>
      <c r="C48" s="620">
        <v>14861.03017412561</v>
      </c>
      <c r="D48" s="620">
        <v>143.666</v>
      </c>
      <c r="E48" s="621">
        <f t="shared" si="0"/>
        <v>0.96672975101103986</v>
      </c>
      <c r="F48" s="620">
        <v>14624.76</v>
      </c>
      <c r="G48" s="622">
        <v>15097.43</v>
      </c>
      <c r="I48"/>
      <c r="J48" t="s">
        <v>592</v>
      </c>
      <c r="K48">
        <v>16167.55</v>
      </c>
      <c r="L48">
        <v>506.93090000000001</v>
      </c>
      <c r="M48" s="1">
        <v>3.1354837313012793</v>
      </c>
      <c r="N48">
        <v>15173.86</v>
      </c>
      <c r="O48">
        <v>17161.240000000002</v>
      </c>
      <c r="P48" s="12"/>
      <c r="Q48"/>
      <c r="R48"/>
    </row>
    <row r="49" spans="1:18" x14ac:dyDescent="0.35">
      <c r="A49" s="479" t="s">
        <v>428</v>
      </c>
      <c r="B49" s="26" t="s">
        <v>1041</v>
      </c>
      <c r="C49" s="620">
        <v>19159.619803821563</v>
      </c>
      <c r="D49" s="620">
        <v>172.571</v>
      </c>
      <c r="E49" s="621">
        <f t="shared" si="0"/>
        <v>0.90070158889885232</v>
      </c>
      <c r="F49" s="620">
        <v>18875.79</v>
      </c>
      <c r="G49" s="622">
        <v>19443.560000000001</v>
      </c>
      <c r="I49"/>
      <c r="J49" t="s">
        <v>428</v>
      </c>
      <c r="K49">
        <v>19638.18</v>
      </c>
      <c r="L49">
        <v>1226.4949999999999</v>
      </c>
      <c r="M49" s="1">
        <v>6.2454616466495363</v>
      </c>
      <c r="N49">
        <v>17234</v>
      </c>
      <c r="O49">
        <v>22042.37</v>
      </c>
      <c r="P49" s="12"/>
      <c r="Q49"/>
      <c r="R49"/>
    </row>
    <row r="50" spans="1:18" x14ac:dyDescent="0.35">
      <c r="A50" s="479" t="s">
        <v>311</v>
      </c>
      <c r="B50" s="26" t="s">
        <v>563</v>
      </c>
      <c r="C50" s="620">
        <v>15702.209822992741</v>
      </c>
      <c r="D50" s="620">
        <v>150.3749</v>
      </c>
      <c r="E50" s="621">
        <f t="shared" si="0"/>
        <v>0.95766711625395606</v>
      </c>
      <c r="F50" s="620">
        <v>15454.82</v>
      </c>
      <c r="G50" s="622">
        <v>15949.55</v>
      </c>
      <c r="I50"/>
      <c r="J50" t="s">
        <v>311</v>
      </c>
      <c r="K50">
        <v>15490.57</v>
      </c>
      <c r="L50">
        <v>245.36189999999999</v>
      </c>
      <c r="M50" s="1">
        <v>1.5839436508792122</v>
      </c>
      <c r="N50">
        <v>15009.61</v>
      </c>
      <c r="O50">
        <v>15971.53</v>
      </c>
      <c r="P50" s="12"/>
      <c r="Q50"/>
      <c r="R50"/>
    </row>
    <row r="51" spans="1:18" x14ac:dyDescent="0.35">
      <c r="A51" s="477" t="s">
        <v>1039</v>
      </c>
      <c r="B51" s="478" t="s">
        <v>1040</v>
      </c>
      <c r="C51" s="616">
        <v>19872.400448798606</v>
      </c>
      <c r="D51" s="616">
        <v>508.8673</v>
      </c>
      <c r="E51" s="617">
        <f t="shared" si="0"/>
        <v>2.560673539722091</v>
      </c>
      <c r="F51" s="616">
        <v>19035.32</v>
      </c>
      <c r="G51" s="618">
        <v>20709.509999999998</v>
      </c>
      <c r="I51"/>
      <c r="J51" t="s">
        <v>1039</v>
      </c>
      <c r="K51">
        <v>20000.599999999999</v>
      </c>
      <c r="L51">
        <v>1536.4280000000001</v>
      </c>
      <c r="M51" s="1">
        <v>7.6819095427137194</v>
      </c>
      <c r="N51">
        <v>16988.88</v>
      </c>
      <c r="O51">
        <v>23012.31</v>
      </c>
      <c r="P51" s="12"/>
      <c r="Q51"/>
      <c r="R51"/>
    </row>
    <row r="52" spans="1:18" ht="25" x14ac:dyDescent="0.35">
      <c r="A52" s="480" t="s">
        <v>1187</v>
      </c>
      <c r="B52" s="26" t="s">
        <v>1328</v>
      </c>
      <c r="C52" s="620">
        <v>17144.96816001058</v>
      </c>
      <c r="D52" s="620">
        <v>519.62080000000003</v>
      </c>
      <c r="E52" s="621">
        <f t="shared" si="0"/>
        <v>3.0307481189261036</v>
      </c>
      <c r="F52" s="620">
        <v>16289</v>
      </c>
      <c r="G52" s="622">
        <v>17998.57</v>
      </c>
      <c r="I52"/>
      <c r="J52" t="s">
        <v>446</v>
      </c>
      <c r="K52">
        <v>15997.67</v>
      </c>
      <c r="L52">
        <v>564.16030000000001</v>
      </c>
      <c r="M52" s="1">
        <v>3.5265154238085921</v>
      </c>
      <c r="N52">
        <v>14891.8</v>
      </c>
      <c r="O52">
        <v>17103.54</v>
      </c>
      <c r="P52" s="12"/>
      <c r="Q52"/>
      <c r="R52"/>
    </row>
    <row r="53" spans="1:18" x14ac:dyDescent="0.35">
      <c r="A53" s="479" t="s">
        <v>496</v>
      </c>
      <c r="B53" s="26" t="s">
        <v>525</v>
      </c>
      <c r="C53" s="620">
        <v>16243.740738884397</v>
      </c>
      <c r="D53" s="620">
        <v>788.58600000000001</v>
      </c>
      <c r="E53" s="621">
        <f t="shared" si="0"/>
        <v>4.8547068848019501</v>
      </c>
      <c r="F53" s="620">
        <v>14945.15</v>
      </c>
      <c r="G53" s="622">
        <v>17539.62</v>
      </c>
      <c r="I53"/>
      <c r="J53" t="s">
        <v>496</v>
      </c>
      <c r="K53">
        <v>16605.43</v>
      </c>
      <c r="L53">
        <v>994.70150000000001</v>
      </c>
      <c r="M53" s="1">
        <v>5.9902182599306375</v>
      </c>
      <c r="N53">
        <v>14655.61</v>
      </c>
      <c r="O53">
        <v>18555.25</v>
      </c>
      <c r="P53" s="12"/>
      <c r="Q53"/>
      <c r="R53"/>
    </row>
    <row r="54" spans="1:18" x14ac:dyDescent="0.35">
      <c r="A54" s="479" t="s">
        <v>471</v>
      </c>
      <c r="B54" s="26" t="s">
        <v>493</v>
      </c>
      <c r="C54" s="620">
        <v>18380.455640414508</v>
      </c>
      <c r="D54" s="620">
        <v>1603.895</v>
      </c>
      <c r="E54" s="621">
        <f t="shared" si="0"/>
        <v>8.726089447278957</v>
      </c>
      <c r="F54" s="620">
        <v>15740.3</v>
      </c>
      <c r="G54" s="622">
        <v>21017.16</v>
      </c>
      <c r="I54"/>
      <c r="J54" t="s">
        <v>471</v>
      </c>
      <c r="K54">
        <v>20090.13</v>
      </c>
      <c r="L54">
        <v>1476.184</v>
      </c>
      <c r="M54" s="1">
        <v>7.3478071072710831</v>
      </c>
      <c r="N54">
        <v>17196.5</v>
      </c>
      <c r="O54">
        <v>22983.75</v>
      </c>
      <c r="P54" s="12"/>
      <c r="Q54"/>
      <c r="R54"/>
    </row>
    <row r="55" spans="1:18" x14ac:dyDescent="0.35">
      <c r="A55" s="479" t="s">
        <v>438</v>
      </c>
      <c r="B55" s="26" t="s">
        <v>469</v>
      </c>
      <c r="C55" s="620">
        <v>31047.520284615384</v>
      </c>
      <c r="D55" s="620">
        <v>8718.1540000000005</v>
      </c>
      <c r="E55" s="621">
        <f t="shared" si="0"/>
        <v>28.080033188093307</v>
      </c>
      <c r="F55" s="620">
        <v>16684.400000000001</v>
      </c>
      <c r="G55" s="622">
        <v>45367.38</v>
      </c>
      <c r="I55"/>
      <c r="J55" t="s">
        <v>438</v>
      </c>
      <c r="K55">
        <v>22207.68</v>
      </c>
      <c r="L55">
        <v>931.20050000000003</v>
      </c>
      <c r="M55" s="1">
        <v>4.1931462449026649</v>
      </c>
      <c r="N55">
        <v>20382.34</v>
      </c>
      <c r="O55">
        <v>24033.03</v>
      </c>
      <c r="P55" s="12"/>
      <c r="Q55"/>
      <c r="R55"/>
    </row>
    <row r="56" spans="1:18" x14ac:dyDescent="0.35">
      <c r="A56" s="479" t="s">
        <v>423</v>
      </c>
      <c r="B56" s="26" t="s">
        <v>436</v>
      </c>
      <c r="C56" s="620">
        <v>20966.350284993481</v>
      </c>
      <c r="D56" s="620">
        <v>659.03369999999995</v>
      </c>
      <c r="E56" s="621">
        <f t="shared" si="0"/>
        <v>3.1432924235349566</v>
      </c>
      <c r="F56" s="620">
        <v>19882.41</v>
      </c>
      <c r="G56" s="622">
        <v>22050.65</v>
      </c>
      <c r="I56"/>
      <c r="J56" t="s">
        <v>423</v>
      </c>
      <c r="K56">
        <v>20725.080000000002</v>
      </c>
      <c r="L56">
        <v>2503.3130000000001</v>
      </c>
      <c r="M56" s="1">
        <v>12.078665076322986</v>
      </c>
      <c r="N56">
        <v>15818.06</v>
      </c>
      <c r="O56">
        <v>25632.1</v>
      </c>
      <c r="P56" s="12"/>
      <c r="Q56"/>
      <c r="R56"/>
    </row>
    <row r="57" spans="1:18" x14ac:dyDescent="0.35">
      <c r="A57" s="483" t="s">
        <v>325</v>
      </c>
      <c r="B57" s="21" t="s">
        <v>421</v>
      </c>
      <c r="C57" s="623">
        <v>18033.92248951468</v>
      </c>
      <c r="D57" s="623">
        <v>2317.5430000000001</v>
      </c>
      <c r="E57" s="624">
        <f t="shared" si="0"/>
        <v>12.851020078119282</v>
      </c>
      <c r="F57" s="623">
        <v>14226.95</v>
      </c>
      <c r="G57" s="625">
        <v>21851.73</v>
      </c>
      <c r="I57"/>
      <c r="J57" t="s">
        <v>325</v>
      </c>
      <c r="K57">
        <v>25884.33</v>
      </c>
      <c r="L57">
        <v>4134.7700000000004</v>
      </c>
      <c r="M57" s="1">
        <v>15.97402752939713</v>
      </c>
      <c r="N57">
        <v>17779.32</v>
      </c>
      <c r="O57">
        <v>33989.339999999997</v>
      </c>
      <c r="P57" s="12"/>
      <c r="Q57"/>
      <c r="R57"/>
    </row>
    <row r="58" spans="1:18" ht="30" customHeight="1" x14ac:dyDescent="0.35">
      <c r="A58" s="484" t="s">
        <v>1391</v>
      </c>
      <c r="B58" s="485"/>
      <c r="C58" s="485"/>
      <c r="D58" s="485"/>
      <c r="E58" s="485"/>
      <c r="F58" s="485"/>
      <c r="G58" s="485"/>
      <c r="I58"/>
      <c r="J58"/>
      <c r="K58"/>
      <c r="L58"/>
      <c r="M58" s="1"/>
      <c r="N58"/>
      <c r="O58"/>
      <c r="P58" s="12"/>
      <c r="Q58"/>
      <c r="R58"/>
    </row>
    <row r="59" spans="1:18" x14ac:dyDescent="0.35">
      <c r="A59" s="486" t="s">
        <v>1345</v>
      </c>
      <c r="B59" s="486"/>
      <c r="C59" s="486"/>
      <c r="D59" s="486"/>
      <c r="E59" s="486"/>
      <c r="F59" s="486"/>
      <c r="G59" s="486"/>
      <c r="I59"/>
      <c r="J59"/>
      <c r="K59"/>
      <c r="L59"/>
      <c r="M59" s="1"/>
      <c r="N59"/>
      <c r="O59"/>
      <c r="P59" s="12"/>
      <c r="Q59"/>
      <c r="R59"/>
    </row>
    <row r="60" spans="1:18" x14ac:dyDescent="0.35">
      <c r="A60" s="130"/>
      <c r="B60" s="130"/>
      <c r="C60" s="130"/>
      <c r="D60" s="130"/>
      <c r="E60" s="487"/>
      <c r="F60" s="487"/>
      <c r="G60" s="487"/>
      <c r="I60"/>
      <c r="J60"/>
      <c r="K60"/>
      <c r="L60"/>
      <c r="M60" s="1"/>
      <c r="N60"/>
      <c r="O60"/>
      <c r="P60" s="12"/>
      <c r="Q60"/>
      <c r="R60"/>
    </row>
    <row r="61" spans="1:18" ht="25" customHeight="1" x14ac:dyDescent="0.35">
      <c r="A61" s="411" t="s">
        <v>1038</v>
      </c>
      <c r="B61" s="411" t="s">
        <v>1037</v>
      </c>
      <c r="C61" s="419" t="s">
        <v>91</v>
      </c>
      <c r="D61" s="419" t="s">
        <v>90</v>
      </c>
      <c r="E61" s="419" t="s">
        <v>89</v>
      </c>
      <c r="F61" s="419" t="s">
        <v>1186</v>
      </c>
      <c r="G61" s="419"/>
      <c r="I61"/>
      <c r="J61"/>
      <c r="K61"/>
      <c r="L61"/>
      <c r="M61" s="1"/>
      <c r="N61"/>
      <c r="O61"/>
      <c r="P61" s="12"/>
      <c r="Q61"/>
      <c r="R61"/>
    </row>
    <row r="62" spans="1:18" ht="25" customHeight="1" x14ac:dyDescent="0.35">
      <c r="A62" s="412"/>
      <c r="B62" s="412"/>
      <c r="C62" s="419"/>
      <c r="D62" s="419"/>
      <c r="E62" s="419"/>
      <c r="F62" s="5" t="s">
        <v>88</v>
      </c>
      <c r="G62" s="5" t="s">
        <v>87</v>
      </c>
      <c r="I62"/>
      <c r="J62"/>
      <c r="K62"/>
      <c r="L62"/>
      <c r="M62" s="1"/>
      <c r="N62"/>
      <c r="O62"/>
      <c r="P62" s="12"/>
      <c r="Q62"/>
      <c r="R62"/>
    </row>
    <row r="63" spans="1:18" x14ac:dyDescent="0.35">
      <c r="A63" s="488"/>
      <c r="B63" s="489"/>
      <c r="C63" s="490"/>
      <c r="D63" s="490"/>
      <c r="E63" s="490"/>
      <c r="F63" s="490"/>
      <c r="G63" s="491"/>
      <c r="I63"/>
      <c r="J63"/>
      <c r="K63"/>
      <c r="L63"/>
      <c r="M63" s="1"/>
      <c r="N63"/>
      <c r="O63"/>
      <c r="P63" s="12"/>
      <c r="Q63"/>
      <c r="R63"/>
    </row>
    <row r="64" spans="1:18" x14ac:dyDescent="0.35">
      <c r="A64" s="477" t="s">
        <v>400</v>
      </c>
      <c r="B64" s="478" t="s">
        <v>1036</v>
      </c>
      <c r="C64" s="616">
        <v>17307.870691571086</v>
      </c>
      <c r="D64" s="616">
        <v>156.88640000000001</v>
      </c>
      <c r="E64" s="617">
        <f>D64/C64*100</f>
        <v>0.90644541316340832</v>
      </c>
      <c r="F64" s="616">
        <v>17049.91</v>
      </c>
      <c r="G64" s="618">
        <v>17566.07</v>
      </c>
      <c r="I64"/>
      <c r="J64" t="s">
        <v>1035</v>
      </c>
      <c r="K64">
        <v>17501.09</v>
      </c>
      <c r="L64">
        <v>453.16239999999999</v>
      </c>
      <c r="M64" s="1">
        <v>2.5893381497952412</v>
      </c>
      <c r="N64">
        <v>16612.79</v>
      </c>
      <c r="O64">
        <v>18389.38</v>
      </c>
      <c r="P64" s="12"/>
      <c r="Q64"/>
      <c r="R64"/>
    </row>
    <row r="65" spans="1:18" x14ac:dyDescent="0.35">
      <c r="A65" s="477" t="s">
        <v>1033</v>
      </c>
      <c r="B65" s="478" t="s">
        <v>1034</v>
      </c>
      <c r="C65" s="616">
        <v>25648.995287734157</v>
      </c>
      <c r="D65" s="616">
        <v>679.02089999999998</v>
      </c>
      <c r="E65" s="617">
        <f t="shared" ref="E65:E105" si="1">D65/C65*100</f>
        <v>2.6473586679815129</v>
      </c>
      <c r="F65" s="616">
        <v>24531.15</v>
      </c>
      <c r="G65" s="618">
        <v>26765.15</v>
      </c>
      <c r="I65"/>
      <c r="J65" t="s">
        <v>1033</v>
      </c>
      <c r="K65">
        <v>30731.47</v>
      </c>
      <c r="L65">
        <v>1663.165</v>
      </c>
      <c r="M65" s="1">
        <v>5.4119279032210299</v>
      </c>
      <c r="N65">
        <v>27471.32</v>
      </c>
      <c r="O65">
        <v>33991.61</v>
      </c>
      <c r="P65" s="12"/>
      <c r="Q65"/>
      <c r="R65"/>
    </row>
    <row r="66" spans="1:18" x14ac:dyDescent="0.35">
      <c r="A66" s="479" t="s">
        <v>301</v>
      </c>
      <c r="B66" s="26" t="s">
        <v>370</v>
      </c>
      <c r="C66" s="620">
        <v>24000.355177476413</v>
      </c>
      <c r="D66" s="620">
        <v>2286.6680000000001</v>
      </c>
      <c r="E66" s="621">
        <f t="shared" si="1"/>
        <v>9.5276423331683322</v>
      </c>
      <c r="F66" s="620">
        <v>20240.98</v>
      </c>
      <c r="G66" s="622">
        <v>27764.19</v>
      </c>
      <c r="I66"/>
      <c r="J66" t="s">
        <v>301</v>
      </c>
      <c r="K66">
        <v>27267.41</v>
      </c>
      <c r="L66">
        <v>3711.2359999999999</v>
      </c>
      <c r="M66" s="1">
        <v>13.610518930840881</v>
      </c>
      <c r="N66">
        <v>19992.61</v>
      </c>
      <c r="O66">
        <v>34542.199999999997</v>
      </c>
      <c r="P66" s="12"/>
      <c r="Q66"/>
      <c r="R66"/>
    </row>
    <row r="67" spans="1:18" ht="25" x14ac:dyDescent="0.35">
      <c r="A67" s="479" t="s">
        <v>1341</v>
      </c>
      <c r="B67" s="26" t="s">
        <v>1250</v>
      </c>
      <c r="C67" s="620">
        <v>20105.360290540539</v>
      </c>
      <c r="D67" s="620">
        <v>1443.7049999999999</v>
      </c>
      <c r="E67" s="621">
        <f t="shared" si="1"/>
        <v>7.1806969839742454</v>
      </c>
      <c r="F67" s="620">
        <v>17738.8</v>
      </c>
      <c r="G67" s="622">
        <v>22488.63</v>
      </c>
      <c r="I67"/>
      <c r="J67" t="s">
        <v>1031</v>
      </c>
      <c r="K67">
        <v>21295.41</v>
      </c>
      <c r="L67">
        <v>1125.377</v>
      </c>
      <c r="M67" s="1">
        <v>5.2845988877415362</v>
      </c>
      <c r="N67">
        <v>19089.439999999999</v>
      </c>
      <c r="O67">
        <v>23501.39</v>
      </c>
      <c r="P67" s="12"/>
      <c r="Q67"/>
      <c r="R67"/>
    </row>
    <row r="68" spans="1:18" x14ac:dyDescent="0.35">
      <c r="A68" s="479" t="s">
        <v>1188</v>
      </c>
      <c r="B68" s="26" t="s">
        <v>1256</v>
      </c>
      <c r="C68" s="620">
        <v>22300.96809539121</v>
      </c>
      <c r="D68" s="620">
        <v>1260.4480000000001</v>
      </c>
      <c r="E68" s="621">
        <f t="shared" si="1"/>
        <v>5.6519878177866563</v>
      </c>
      <c r="F68" s="620">
        <v>20238.259999999998</v>
      </c>
      <c r="G68" s="622">
        <v>24385.17</v>
      </c>
      <c r="I68"/>
      <c r="J68" t="s">
        <v>291</v>
      </c>
      <c r="K68">
        <v>25527.27</v>
      </c>
      <c r="L68" t="s">
        <v>289</v>
      </c>
      <c r="M68" s="1" t="e">
        <v>#VALUE!</v>
      </c>
      <c r="N68" t="s">
        <v>289</v>
      </c>
      <c r="O68" t="s">
        <v>289</v>
      </c>
      <c r="P68" s="12"/>
      <c r="Q68"/>
      <c r="R68"/>
    </row>
    <row r="69" spans="1:18" x14ac:dyDescent="0.35">
      <c r="A69" s="479" t="s">
        <v>295</v>
      </c>
      <c r="B69" s="26" t="s">
        <v>323</v>
      </c>
      <c r="C69" s="620">
        <v>21240.030510754317</v>
      </c>
      <c r="D69" s="620">
        <v>1557.8230000000001</v>
      </c>
      <c r="E69" s="621">
        <f t="shared" si="1"/>
        <v>7.3343727035196036</v>
      </c>
      <c r="F69" s="620">
        <v>18679.740000000002</v>
      </c>
      <c r="G69" s="622">
        <v>23805.03</v>
      </c>
      <c r="I69"/>
      <c r="J69" t="s">
        <v>295</v>
      </c>
      <c r="K69">
        <v>22235.06</v>
      </c>
      <c r="L69">
        <v>4017.373</v>
      </c>
      <c r="M69" s="1">
        <v>18.067740766159389</v>
      </c>
      <c r="N69">
        <v>14360.17</v>
      </c>
      <c r="O69">
        <v>30109.94</v>
      </c>
      <c r="P69" s="12"/>
      <c r="Q69"/>
      <c r="R69"/>
    </row>
    <row r="70" spans="1:18" x14ac:dyDescent="0.35">
      <c r="A70" s="479" t="s">
        <v>279</v>
      </c>
      <c r="B70" s="26" t="s">
        <v>1029</v>
      </c>
      <c r="C70" s="620">
        <v>29191.583055251009</v>
      </c>
      <c r="D70" s="620">
        <v>1007.412</v>
      </c>
      <c r="E70" s="621">
        <f t="shared" si="1"/>
        <v>3.451035862266421</v>
      </c>
      <c r="F70" s="620">
        <v>27535.56</v>
      </c>
      <c r="G70" s="622">
        <v>30849.97</v>
      </c>
      <c r="I70"/>
      <c r="J70" t="s">
        <v>279</v>
      </c>
      <c r="K70">
        <v>36887.360000000001</v>
      </c>
      <c r="L70">
        <v>3012.3519999999999</v>
      </c>
      <c r="M70" s="1">
        <v>8.1663529187233781</v>
      </c>
      <c r="N70">
        <v>30982.52</v>
      </c>
      <c r="O70">
        <v>42792.19</v>
      </c>
      <c r="P70" s="12"/>
      <c r="Q70"/>
      <c r="R70"/>
    </row>
    <row r="71" spans="1:18" x14ac:dyDescent="0.35">
      <c r="A71" s="479" t="s">
        <v>252</v>
      </c>
      <c r="B71" s="26" t="s">
        <v>277</v>
      </c>
      <c r="C71" s="620">
        <v>22439.465416988416</v>
      </c>
      <c r="D71" s="620">
        <v>1600.086</v>
      </c>
      <c r="E71" s="621">
        <f t="shared" si="1"/>
        <v>7.130677893906558</v>
      </c>
      <c r="F71" s="620">
        <v>19812.11</v>
      </c>
      <c r="G71" s="622">
        <v>25076.43</v>
      </c>
      <c r="I71"/>
      <c r="J71" t="s">
        <v>252</v>
      </c>
      <c r="K71">
        <v>32149.49</v>
      </c>
      <c r="L71">
        <v>2996.152</v>
      </c>
      <c r="M71" s="1">
        <v>9.3194386598356616</v>
      </c>
      <c r="N71">
        <v>26276.400000000001</v>
      </c>
      <c r="O71">
        <v>38022.57</v>
      </c>
      <c r="P71" s="12"/>
      <c r="Q71"/>
      <c r="R71"/>
    </row>
    <row r="72" spans="1:18" x14ac:dyDescent="0.35">
      <c r="A72" s="477" t="s">
        <v>1027</v>
      </c>
      <c r="B72" s="478" t="s">
        <v>1028</v>
      </c>
      <c r="C72" s="616">
        <v>19740.243488430449</v>
      </c>
      <c r="D72" s="616">
        <v>308.21679999999998</v>
      </c>
      <c r="E72" s="617">
        <f t="shared" si="1"/>
        <v>1.5613627064967188</v>
      </c>
      <c r="F72" s="616">
        <v>19233.2</v>
      </c>
      <c r="G72" s="618">
        <v>20247.240000000002</v>
      </c>
      <c r="I72"/>
      <c r="J72" t="s">
        <v>1027</v>
      </c>
      <c r="K72">
        <v>20118.64</v>
      </c>
      <c r="L72">
        <v>850.62239999999997</v>
      </c>
      <c r="M72" s="1">
        <v>4.2280313182203173</v>
      </c>
      <c r="N72">
        <v>18451.25</v>
      </c>
      <c r="O72">
        <v>21786.04</v>
      </c>
      <c r="P72" s="12"/>
      <c r="Q72"/>
      <c r="R72"/>
    </row>
    <row r="73" spans="1:18" ht="25" x14ac:dyDescent="0.35">
      <c r="A73" s="480" t="s">
        <v>1189</v>
      </c>
      <c r="B73" s="26" t="s">
        <v>1342</v>
      </c>
      <c r="C73" s="620">
        <v>19173.396482058266</v>
      </c>
      <c r="D73" s="620">
        <v>337.9409</v>
      </c>
      <c r="E73" s="621">
        <f t="shared" si="1"/>
        <v>1.7625510447052624</v>
      </c>
      <c r="F73" s="620">
        <v>18617.62</v>
      </c>
      <c r="G73" s="622">
        <v>19729.45</v>
      </c>
      <c r="I73"/>
      <c r="J73" t="s">
        <v>229</v>
      </c>
      <c r="K73">
        <v>19610.349999999999</v>
      </c>
      <c r="L73">
        <v>958.24609999999996</v>
      </c>
      <c r="M73" s="1">
        <v>4.8864303798759323</v>
      </c>
      <c r="N73">
        <v>17731.990000000002</v>
      </c>
      <c r="O73">
        <v>21488.71</v>
      </c>
      <c r="P73" s="12"/>
      <c r="Q73"/>
      <c r="R73"/>
    </row>
    <row r="74" spans="1:18" ht="25" x14ac:dyDescent="0.35">
      <c r="A74" s="479" t="s">
        <v>209</v>
      </c>
      <c r="B74" s="26" t="s">
        <v>1343</v>
      </c>
      <c r="C74" s="620">
        <v>24251.427782820458</v>
      </c>
      <c r="D74" s="620">
        <v>680.82719999999995</v>
      </c>
      <c r="E74" s="621">
        <f t="shared" si="1"/>
        <v>2.8073695540610322</v>
      </c>
      <c r="F74" s="620">
        <v>23130.15</v>
      </c>
      <c r="G74" s="622">
        <v>25370.09</v>
      </c>
      <c r="I74"/>
      <c r="J74" t="s">
        <v>209</v>
      </c>
      <c r="K74">
        <v>23015.14</v>
      </c>
      <c r="L74">
        <v>1252.316</v>
      </c>
      <c r="M74" s="1">
        <v>5.4412703985289683</v>
      </c>
      <c r="N74">
        <v>20560.34</v>
      </c>
      <c r="O74">
        <v>25469.94</v>
      </c>
      <c r="P74" s="12"/>
      <c r="Q74"/>
      <c r="R74"/>
    </row>
    <row r="75" spans="1:18" ht="15" customHeight="1" x14ac:dyDescent="0.35">
      <c r="A75" s="479" t="s">
        <v>1026</v>
      </c>
      <c r="B75" s="26" t="s">
        <v>1099</v>
      </c>
      <c r="C75" s="620">
        <v>19505.042328955224</v>
      </c>
      <c r="D75" s="620">
        <v>739.81650000000002</v>
      </c>
      <c r="E75" s="621">
        <f t="shared" si="1"/>
        <v>3.7929499845367824</v>
      </c>
      <c r="F75" s="620">
        <v>18287.28</v>
      </c>
      <c r="G75" s="622">
        <v>20721.3</v>
      </c>
      <c r="I75"/>
      <c r="J75" t="s">
        <v>1026</v>
      </c>
      <c r="K75">
        <v>23457.46</v>
      </c>
      <c r="L75">
        <v>2224.5459999999998</v>
      </c>
      <c r="M75" s="1">
        <v>9.4833200184504189</v>
      </c>
      <c r="N75">
        <v>19096.88</v>
      </c>
      <c r="O75">
        <v>27818.03</v>
      </c>
      <c r="P75" s="12"/>
      <c r="Q75"/>
      <c r="R75"/>
    </row>
    <row r="76" spans="1:18" ht="15" customHeight="1" x14ac:dyDescent="0.35">
      <c r="A76" s="477" t="s">
        <v>192</v>
      </c>
      <c r="B76" s="478" t="s">
        <v>1025</v>
      </c>
      <c r="C76" s="616">
        <v>20991.629259056466</v>
      </c>
      <c r="D76" s="616">
        <v>1055.327</v>
      </c>
      <c r="E76" s="617">
        <f t="shared" si="1"/>
        <v>5.0273706103336302</v>
      </c>
      <c r="F76" s="616">
        <v>19255.73</v>
      </c>
      <c r="G76" s="618">
        <v>22727.79</v>
      </c>
      <c r="I76"/>
      <c r="J76" t="s">
        <v>192</v>
      </c>
      <c r="K76">
        <v>21870.25</v>
      </c>
      <c r="L76">
        <v>1041.2639999999999</v>
      </c>
      <c r="M76" s="1">
        <v>4.761097838387764</v>
      </c>
      <c r="N76">
        <v>19829.16</v>
      </c>
      <c r="O76">
        <v>23911.34</v>
      </c>
      <c r="P76" s="12"/>
      <c r="Q76"/>
      <c r="R76"/>
    </row>
    <row r="77" spans="1:18" ht="15" customHeight="1" x14ac:dyDescent="0.35">
      <c r="A77" s="477" t="s">
        <v>1023</v>
      </c>
      <c r="B77" s="478" t="s">
        <v>1024</v>
      </c>
      <c r="C77" s="616">
        <v>22202.735359028691</v>
      </c>
      <c r="D77" s="616">
        <v>1271.0329999999999</v>
      </c>
      <c r="E77" s="617">
        <f t="shared" si="1"/>
        <v>5.7246685124458647</v>
      </c>
      <c r="F77" s="616">
        <v>20111.240000000002</v>
      </c>
      <c r="G77" s="618">
        <v>24292.98</v>
      </c>
      <c r="I77"/>
      <c r="J77" t="s">
        <v>1023</v>
      </c>
      <c r="K77">
        <v>25442.78</v>
      </c>
      <c r="L77">
        <v>2095.2130000000002</v>
      </c>
      <c r="M77" s="1">
        <v>8.2350002633360049</v>
      </c>
      <c r="N77">
        <v>21335.73</v>
      </c>
      <c r="O77">
        <v>29549.83</v>
      </c>
      <c r="P77" s="12"/>
      <c r="Q77"/>
      <c r="R77"/>
    </row>
    <row r="78" spans="1:18" ht="15" customHeight="1" x14ac:dyDescent="0.35">
      <c r="A78" s="479" t="s">
        <v>1022</v>
      </c>
      <c r="B78" s="26" t="s">
        <v>1267</v>
      </c>
      <c r="C78" s="620">
        <v>23517.882892544378</v>
      </c>
      <c r="D78" s="620">
        <v>2528.7109999999998</v>
      </c>
      <c r="E78" s="621">
        <f t="shared" si="1"/>
        <v>10.752290125577799</v>
      </c>
      <c r="F78" s="620">
        <v>19356.46</v>
      </c>
      <c r="G78" s="622">
        <v>27676</v>
      </c>
      <c r="I78"/>
      <c r="J78"/>
      <c r="K78"/>
      <c r="L78"/>
      <c r="M78" s="1"/>
      <c r="N78"/>
      <c r="O78"/>
      <c r="P78" s="12"/>
      <c r="Q78"/>
      <c r="R78"/>
    </row>
    <row r="79" spans="1:18" ht="15" customHeight="1" x14ac:dyDescent="0.35">
      <c r="A79" s="479" t="s">
        <v>1190</v>
      </c>
      <c r="B79" s="26" t="s">
        <v>1270</v>
      </c>
      <c r="C79" s="620">
        <v>24740.131937070335</v>
      </c>
      <c r="D79" s="620">
        <v>633.23329999999999</v>
      </c>
      <c r="E79" s="621">
        <f t="shared" si="1"/>
        <v>2.5595388966021249</v>
      </c>
      <c r="F79" s="620">
        <v>23702.92</v>
      </c>
      <c r="G79" s="622">
        <v>25786.27</v>
      </c>
      <c r="I79"/>
      <c r="J79"/>
      <c r="K79"/>
      <c r="L79"/>
      <c r="M79" s="1"/>
      <c r="N79"/>
      <c r="O79"/>
      <c r="P79" s="12"/>
      <c r="Q79"/>
      <c r="R79"/>
    </row>
    <row r="80" spans="1:18" ht="15" customHeight="1" x14ac:dyDescent="0.35">
      <c r="A80" s="479" t="s">
        <v>1191</v>
      </c>
      <c r="B80" s="26" t="s">
        <v>1272</v>
      </c>
      <c r="C80" s="620">
        <v>19003.758133228595</v>
      </c>
      <c r="D80" s="620">
        <v>1526.336</v>
      </c>
      <c r="E80" s="621">
        <f t="shared" si="1"/>
        <v>8.0317587147731562</v>
      </c>
      <c r="F80" s="620">
        <v>16494.13</v>
      </c>
      <c r="G80" s="622">
        <v>21515.82</v>
      </c>
      <c r="I80"/>
      <c r="J80"/>
      <c r="K80"/>
      <c r="L80"/>
      <c r="M80" s="1"/>
      <c r="N80"/>
      <c r="O80"/>
      <c r="P80" s="12"/>
      <c r="Q80"/>
      <c r="R80"/>
    </row>
    <row r="81" spans="1:18" ht="15" customHeight="1" x14ac:dyDescent="0.35">
      <c r="A81" s="479" t="s">
        <v>1192</v>
      </c>
      <c r="B81" s="26" t="s">
        <v>1275</v>
      </c>
      <c r="C81" s="620">
        <v>27927.321906762965</v>
      </c>
      <c r="D81" s="620">
        <v>1113.732</v>
      </c>
      <c r="E81" s="621">
        <f t="shared" si="1"/>
        <v>3.9879656335049272</v>
      </c>
      <c r="F81" s="620">
        <v>26087.200000000001</v>
      </c>
      <c r="G81" s="622">
        <v>29751.4</v>
      </c>
      <c r="I81"/>
      <c r="J81"/>
      <c r="K81"/>
      <c r="L81"/>
      <c r="M81" s="1"/>
      <c r="N81"/>
      <c r="O81"/>
      <c r="P81" s="12"/>
      <c r="Q81"/>
      <c r="R81"/>
    </row>
    <row r="82" spans="1:18" x14ac:dyDescent="0.35">
      <c r="A82" s="479" t="s">
        <v>1193</v>
      </c>
      <c r="B82" s="26" t="s">
        <v>1276</v>
      </c>
      <c r="C82" s="620">
        <v>23760.62357960199</v>
      </c>
      <c r="D82" s="620">
        <v>440.9753</v>
      </c>
      <c r="E82" s="621">
        <f t="shared" si="1"/>
        <v>1.8559079416525428</v>
      </c>
      <c r="F82" s="620">
        <v>23040.68</v>
      </c>
      <c r="G82" s="622">
        <v>24491.5</v>
      </c>
      <c r="I82"/>
      <c r="J82" t="s">
        <v>1022</v>
      </c>
      <c r="K82">
        <v>29622.21</v>
      </c>
      <c r="L82">
        <v>2433.0839999999998</v>
      </c>
      <c r="M82" s="1">
        <v>8.213715316986816</v>
      </c>
      <c r="N82">
        <v>24852.86</v>
      </c>
      <c r="O82">
        <v>34391.56</v>
      </c>
      <c r="P82" s="12"/>
      <c r="Q82"/>
      <c r="R82"/>
    </row>
    <row r="83" spans="1:18" x14ac:dyDescent="0.35">
      <c r="A83" s="479" t="s">
        <v>1194</v>
      </c>
      <c r="B83" s="26" t="s">
        <v>1280</v>
      </c>
      <c r="C83" s="620">
        <v>23348.619980837473</v>
      </c>
      <c r="D83" s="620">
        <v>1116.905</v>
      </c>
      <c r="E83" s="621">
        <f t="shared" si="1"/>
        <v>4.7836017756795002</v>
      </c>
      <c r="F83" s="620">
        <v>21506.69</v>
      </c>
      <c r="G83" s="622">
        <v>25181.34</v>
      </c>
      <c r="I83"/>
      <c r="J83" t="s">
        <v>177</v>
      </c>
      <c r="K83">
        <v>22432.83</v>
      </c>
      <c r="L83">
        <v>3944.598</v>
      </c>
      <c r="M83" s="1">
        <v>17.584040890070487</v>
      </c>
      <c r="N83">
        <v>14700.59</v>
      </c>
      <c r="O83">
        <v>30165.06</v>
      </c>
      <c r="P83" s="12"/>
      <c r="Q83"/>
      <c r="R83"/>
    </row>
    <row r="84" spans="1:18" x14ac:dyDescent="0.35">
      <c r="A84" s="479" t="s">
        <v>1195</v>
      </c>
      <c r="B84" s="26" t="s">
        <v>1281</v>
      </c>
      <c r="C84" s="620">
        <v>15731.966752834469</v>
      </c>
      <c r="D84" s="620">
        <v>374.21420000000001</v>
      </c>
      <c r="E84" s="621">
        <f t="shared" si="1"/>
        <v>2.3786866949269192</v>
      </c>
      <c r="F84" s="620">
        <v>15130.76</v>
      </c>
      <c r="G84" s="622">
        <v>16361.94</v>
      </c>
      <c r="I84"/>
      <c r="J84" t="s">
        <v>150</v>
      </c>
      <c r="K84">
        <v>23455.09</v>
      </c>
      <c r="L84">
        <v>1767.671</v>
      </c>
      <c r="M84" s="1">
        <v>7.5364068097798818</v>
      </c>
      <c r="N84">
        <v>19990.080000000002</v>
      </c>
      <c r="O84">
        <v>26920.09</v>
      </c>
      <c r="P84" s="12"/>
      <c r="Q84"/>
      <c r="R84"/>
    </row>
    <row r="85" spans="1:18" ht="15" customHeight="1" x14ac:dyDescent="0.35">
      <c r="A85" s="477" t="s">
        <v>1020</v>
      </c>
      <c r="B85" s="478" t="s">
        <v>1021</v>
      </c>
      <c r="C85" s="616">
        <v>25600.104328608519</v>
      </c>
      <c r="D85" s="616">
        <v>1552.1010000000001</v>
      </c>
      <c r="E85" s="617">
        <f t="shared" si="1"/>
        <v>6.0628698230167091</v>
      </c>
      <c r="F85" s="616">
        <v>23046.9</v>
      </c>
      <c r="G85" s="618">
        <v>28153.360000000001</v>
      </c>
      <c r="I85"/>
      <c r="J85" t="s">
        <v>1020</v>
      </c>
      <c r="K85">
        <v>22363.03</v>
      </c>
      <c r="L85">
        <v>809.08720000000005</v>
      </c>
      <c r="M85" s="1">
        <v>3.6179676904247775</v>
      </c>
      <c r="N85">
        <v>20777.05</v>
      </c>
      <c r="O85">
        <v>23949.01</v>
      </c>
      <c r="P85" s="12"/>
      <c r="Q85"/>
      <c r="R85"/>
    </row>
    <row r="86" spans="1:18" ht="15" customHeight="1" x14ac:dyDescent="0.35">
      <c r="A86" s="479" t="s">
        <v>1019</v>
      </c>
      <c r="B86" s="26" t="s">
        <v>1285</v>
      </c>
      <c r="C86" s="620">
        <v>20139.001670776819</v>
      </c>
      <c r="D86" s="620">
        <v>1633.0360000000001</v>
      </c>
      <c r="E86" s="621">
        <f t="shared" si="1"/>
        <v>8.1088230027293573</v>
      </c>
      <c r="F86" s="620">
        <v>17457.21</v>
      </c>
      <c r="G86" s="622">
        <v>22829.94</v>
      </c>
      <c r="I86"/>
      <c r="J86" t="s">
        <v>1019</v>
      </c>
      <c r="K86">
        <v>17235.03</v>
      </c>
      <c r="L86">
        <v>424.89429999999999</v>
      </c>
      <c r="M86" s="1">
        <v>2.4652948094665343</v>
      </c>
      <c r="N86">
        <v>16402.150000000001</v>
      </c>
      <c r="O86">
        <v>18067.91</v>
      </c>
      <c r="P86" s="12"/>
      <c r="Q86"/>
      <c r="R86"/>
    </row>
    <row r="87" spans="1:18" x14ac:dyDescent="0.35">
      <c r="A87" s="479" t="s">
        <v>1017</v>
      </c>
      <c r="B87" s="26" t="s">
        <v>1018</v>
      </c>
      <c r="C87" s="620">
        <v>19860.577596771465</v>
      </c>
      <c r="D87" s="620">
        <v>1071.9780000000001</v>
      </c>
      <c r="E87" s="621">
        <f t="shared" si="1"/>
        <v>5.3975167377521833</v>
      </c>
      <c r="F87" s="620">
        <v>18097.22</v>
      </c>
      <c r="G87" s="622">
        <v>21624.06</v>
      </c>
      <c r="I87"/>
      <c r="J87" t="s">
        <v>1017</v>
      </c>
      <c r="K87">
        <v>21477.98</v>
      </c>
      <c r="L87">
        <v>1828.6669999999999</v>
      </c>
      <c r="M87" s="1">
        <v>8.5141479785342931</v>
      </c>
      <c r="N87">
        <v>17893.41</v>
      </c>
      <c r="O87">
        <v>25062.55</v>
      </c>
      <c r="P87" s="12"/>
      <c r="Q87"/>
      <c r="R87"/>
    </row>
    <row r="88" spans="1:18" ht="25" x14ac:dyDescent="0.35">
      <c r="A88" s="479" t="s">
        <v>135</v>
      </c>
      <c r="B88" s="26" t="s">
        <v>1344</v>
      </c>
      <c r="C88" s="620">
        <v>17204.70861719457</v>
      </c>
      <c r="D88" s="620">
        <v>352.19450000000001</v>
      </c>
      <c r="E88" s="621">
        <f t="shared" si="1"/>
        <v>2.0470820392041573</v>
      </c>
      <c r="F88" s="620">
        <v>16617.71</v>
      </c>
      <c r="G88" s="622">
        <v>17776.439999999999</v>
      </c>
      <c r="I88"/>
      <c r="J88" t="s">
        <v>135</v>
      </c>
      <c r="K88">
        <v>20640.259999999998</v>
      </c>
      <c r="L88">
        <v>1514.194</v>
      </c>
      <c r="M88" s="1">
        <v>7.336118827960501</v>
      </c>
      <c r="N88">
        <v>17672.12</v>
      </c>
      <c r="O88">
        <v>23608.400000000001</v>
      </c>
      <c r="P88" s="12"/>
      <c r="Q88"/>
      <c r="R88"/>
    </row>
    <row r="89" spans="1:18" x14ac:dyDescent="0.35">
      <c r="A89" s="480" t="s">
        <v>1196</v>
      </c>
      <c r="B89" s="26" t="s">
        <v>1290</v>
      </c>
      <c r="C89" s="620">
        <v>18731.655960324111</v>
      </c>
      <c r="D89" s="620">
        <v>267.32960000000003</v>
      </c>
      <c r="E89" s="621">
        <f t="shared" si="1"/>
        <v>1.4271541211638528</v>
      </c>
      <c r="F89" s="620">
        <v>18291.75</v>
      </c>
      <c r="G89" s="622">
        <v>19171.27</v>
      </c>
      <c r="I89"/>
      <c r="J89" t="s">
        <v>1016</v>
      </c>
      <c r="K89">
        <v>29217.93</v>
      </c>
      <c r="L89">
        <v>2980.944</v>
      </c>
      <c r="M89" s="1">
        <v>10.202447606657966</v>
      </c>
      <c r="N89">
        <v>23374.66</v>
      </c>
      <c r="O89">
        <v>35061.199999999997</v>
      </c>
      <c r="P89" s="12"/>
      <c r="Q89"/>
      <c r="R89"/>
    </row>
    <row r="90" spans="1:18" x14ac:dyDescent="0.35">
      <c r="A90" s="479" t="s">
        <v>1197</v>
      </c>
      <c r="B90" s="26" t="s">
        <v>1292</v>
      </c>
      <c r="C90" s="620">
        <v>17293.1216566474</v>
      </c>
      <c r="D90" s="620">
        <v>1007.676</v>
      </c>
      <c r="E90" s="621">
        <f t="shared" si="1"/>
        <v>5.8270335455175255</v>
      </c>
      <c r="F90" s="620">
        <v>15632.73</v>
      </c>
      <c r="G90" s="622">
        <v>18948.009999999998</v>
      </c>
      <c r="I90"/>
      <c r="J90" t="s">
        <v>120</v>
      </c>
      <c r="K90">
        <v>25099.09</v>
      </c>
      <c r="L90">
        <v>1215.1849999999999</v>
      </c>
      <c r="M90" s="1">
        <v>4.8415500322920071</v>
      </c>
      <c r="N90">
        <v>22717.07</v>
      </c>
      <c r="O90">
        <v>27481.11</v>
      </c>
      <c r="P90" s="12"/>
      <c r="Q90"/>
      <c r="R90"/>
    </row>
    <row r="91" spans="1:18" ht="50" x14ac:dyDescent="0.35">
      <c r="A91" s="479" t="s">
        <v>1016</v>
      </c>
      <c r="B91" s="26" t="s">
        <v>1293</v>
      </c>
      <c r="C91" s="620">
        <v>35512.724785005754</v>
      </c>
      <c r="D91" s="620">
        <v>6148.8710000000001</v>
      </c>
      <c r="E91" s="621">
        <f>D91/C91*100</f>
        <v>17.314557069966614</v>
      </c>
      <c r="F91" s="620">
        <v>25397.64</v>
      </c>
      <c r="G91" s="622">
        <v>45627.61</v>
      </c>
      <c r="I91"/>
      <c r="J91" t="s">
        <v>96</v>
      </c>
      <c r="K91">
        <v>24072.799999999999</v>
      </c>
      <c r="L91">
        <v>2826.692</v>
      </c>
      <c r="M91" s="1">
        <v>11.742265129108372</v>
      </c>
      <c r="N91">
        <v>18531.89</v>
      </c>
      <c r="O91">
        <v>29613.71</v>
      </c>
      <c r="P91" s="12"/>
      <c r="Q91"/>
      <c r="R91"/>
    </row>
    <row r="92" spans="1:18" x14ac:dyDescent="0.35">
      <c r="A92" s="479" t="s">
        <v>120</v>
      </c>
      <c r="B92" s="26" t="s">
        <v>1294</v>
      </c>
      <c r="C92" s="620">
        <v>29553.2418858807</v>
      </c>
      <c r="D92" s="620">
        <v>1054.2339999999999</v>
      </c>
      <c r="E92" s="621">
        <f>D92/C92*100</f>
        <v>3.5672363934586433</v>
      </c>
      <c r="F92" s="620">
        <v>27819.439999999999</v>
      </c>
      <c r="G92" s="622">
        <v>31287.9</v>
      </c>
      <c r="I92"/>
      <c r="J92"/>
      <c r="K92"/>
      <c r="L92"/>
      <c r="M92" s="1"/>
      <c r="N92"/>
      <c r="O92"/>
      <c r="P92" s="12"/>
      <c r="Q92"/>
      <c r="R92"/>
    </row>
    <row r="93" spans="1:18" x14ac:dyDescent="0.35">
      <c r="A93" s="479" t="s">
        <v>96</v>
      </c>
      <c r="B93" s="26" t="s">
        <v>1297</v>
      </c>
      <c r="C93" s="620">
        <v>32796.188847405327</v>
      </c>
      <c r="D93" s="620">
        <v>3781.1680000000001</v>
      </c>
      <c r="E93" s="621">
        <f t="shared" si="1"/>
        <v>11.529290850205442</v>
      </c>
      <c r="F93" s="620">
        <v>26577.71</v>
      </c>
      <c r="G93" s="622">
        <v>39017.86</v>
      </c>
      <c r="I93"/>
      <c r="J93" t="s">
        <v>80</v>
      </c>
      <c r="K93">
        <v>25631.35</v>
      </c>
      <c r="L93">
        <v>2970.8090000000002</v>
      </c>
      <c r="M93" s="1">
        <v>11.590528786037414</v>
      </c>
      <c r="N93">
        <v>19807.939999999999</v>
      </c>
      <c r="O93">
        <v>31454.75</v>
      </c>
      <c r="P93" s="12"/>
      <c r="Q93"/>
      <c r="R93"/>
    </row>
    <row r="94" spans="1:18" x14ac:dyDescent="0.35">
      <c r="A94" s="477" t="s">
        <v>54</v>
      </c>
      <c r="B94" s="478" t="s">
        <v>1015</v>
      </c>
      <c r="C94" s="616">
        <v>17834.936412994663</v>
      </c>
      <c r="D94" s="616">
        <v>376.4393</v>
      </c>
      <c r="E94" s="617">
        <f t="shared" si="1"/>
        <v>2.1106848450871047</v>
      </c>
      <c r="F94" s="616">
        <v>17215.5</v>
      </c>
      <c r="G94" s="618">
        <v>18453.990000000002</v>
      </c>
      <c r="I94"/>
      <c r="J94" t="s">
        <v>54</v>
      </c>
      <c r="K94">
        <v>18188</v>
      </c>
      <c r="L94">
        <v>460.14460000000003</v>
      </c>
      <c r="M94" s="1">
        <v>2.5299351220585002</v>
      </c>
      <c r="N94">
        <v>17286.02</v>
      </c>
      <c r="O94">
        <v>19089.98</v>
      </c>
      <c r="P94" s="12"/>
      <c r="Q94"/>
      <c r="R94"/>
    </row>
    <row r="95" spans="1:18" x14ac:dyDescent="0.35">
      <c r="A95" s="477" t="s">
        <v>1013</v>
      </c>
      <c r="B95" s="478" t="s">
        <v>1014</v>
      </c>
      <c r="C95" s="616">
        <v>17016.760334385392</v>
      </c>
      <c r="D95" s="616">
        <v>368.74869999999999</v>
      </c>
      <c r="E95" s="617">
        <f t="shared" si="1"/>
        <v>2.1669735763679863</v>
      </c>
      <c r="F95" s="616">
        <v>16410.36</v>
      </c>
      <c r="G95" s="618">
        <v>17623.55</v>
      </c>
      <c r="I95"/>
      <c r="J95" t="s">
        <v>1013</v>
      </c>
      <c r="K95">
        <v>16472.36</v>
      </c>
      <c r="L95">
        <v>409.35219999999998</v>
      </c>
      <c r="M95" s="1">
        <v>2.4850853186792903</v>
      </c>
      <c r="N95">
        <v>15669.94</v>
      </c>
      <c r="O95">
        <v>17274.78</v>
      </c>
      <c r="P95" s="12"/>
      <c r="Q95"/>
      <c r="R95"/>
    </row>
    <row r="96" spans="1:18" x14ac:dyDescent="0.35">
      <c r="A96" s="479" t="s">
        <v>22</v>
      </c>
      <c r="B96" s="26" t="s">
        <v>52</v>
      </c>
      <c r="C96" s="620">
        <v>16857.979719121791</v>
      </c>
      <c r="D96" s="620">
        <v>385.49310000000003</v>
      </c>
      <c r="E96" s="621">
        <f t="shared" si="1"/>
        <v>2.2867099523363414</v>
      </c>
      <c r="F96" s="620">
        <v>16223.91</v>
      </c>
      <c r="G96" s="622">
        <v>17492.189999999999</v>
      </c>
      <c r="I96"/>
      <c r="J96" t="s">
        <v>22</v>
      </c>
      <c r="K96">
        <v>16195.03</v>
      </c>
      <c r="L96">
        <v>379.03039999999999</v>
      </c>
      <c r="M96" s="1">
        <v>2.3404118423985629</v>
      </c>
      <c r="N96">
        <v>15452.05</v>
      </c>
      <c r="O96">
        <v>16938.009999999998</v>
      </c>
      <c r="P96" s="12"/>
      <c r="Q96"/>
      <c r="R96"/>
    </row>
    <row r="97" spans="1:18" ht="25" x14ac:dyDescent="0.35">
      <c r="A97" s="479" t="s">
        <v>1012</v>
      </c>
      <c r="B97" s="26" t="s">
        <v>1011</v>
      </c>
      <c r="C97" s="620">
        <v>20021.645588433465</v>
      </c>
      <c r="D97" s="620">
        <v>963.25829999999996</v>
      </c>
      <c r="E97" s="621">
        <f t="shared" si="1"/>
        <v>4.8110845621824199</v>
      </c>
      <c r="F97" s="620">
        <v>18440.05</v>
      </c>
      <c r="G97" s="622">
        <v>21609.19</v>
      </c>
      <c r="I97"/>
      <c r="J97" t="s">
        <v>1010</v>
      </c>
      <c r="K97">
        <v>21715.39</v>
      </c>
      <c r="L97">
        <v>1954.598</v>
      </c>
      <c r="M97" s="1">
        <v>9.0009804106672746</v>
      </c>
      <c r="N97">
        <v>17883.97</v>
      </c>
      <c r="O97">
        <v>25546.81</v>
      </c>
      <c r="P97" s="12"/>
      <c r="Q97"/>
      <c r="R97"/>
    </row>
    <row r="98" spans="1:18" x14ac:dyDescent="0.35">
      <c r="A98" s="477" t="s">
        <v>1008</v>
      </c>
      <c r="B98" s="478" t="s">
        <v>1009</v>
      </c>
      <c r="C98" s="616">
        <v>18885.569342169001</v>
      </c>
      <c r="D98" s="616">
        <v>1466.837</v>
      </c>
      <c r="E98" s="617">
        <f t="shared" si="1"/>
        <v>7.7669726203315737</v>
      </c>
      <c r="F98" s="616">
        <v>16472.28</v>
      </c>
      <c r="G98" s="618">
        <v>21298.21</v>
      </c>
      <c r="I98"/>
      <c r="J98" t="s">
        <v>1008</v>
      </c>
      <c r="K98">
        <v>18763.03</v>
      </c>
      <c r="L98">
        <v>1399.2049999999999</v>
      </c>
      <c r="M98" s="1">
        <v>7.4572443789729066</v>
      </c>
      <c r="N98">
        <v>16020.3</v>
      </c>
      <c r="O98">
        <v>21505.77</v>
      </c>
      <c r="P98" s="12"/>
      <c r="Q98"/>
      <c r="R98"/>
    </row>
    <row r="99" spans="1:18" x14ac:dyDescent="0.35">
      <c r="A99" s="479" t="s">
        <v>1200</v>
      </c>
      <c r="B99" s="26" t="s">
        <v>1309</v>
      </c>
      <c r="C99" s="620">
        <v>14115.78947368421</v>
      </c>
      <c r="D99" s="620">
        <v>603.62609999999995</v>
      </c>
      <c r="E99" s="621">
        <f t="shared" si="1"/>
        <v>4.276247539149888</v>
      </c>
      <c r="F99" s="620">
        <v>13122.66</v>
      </c>
      <c r="G99" s="622">
        <v>15108.6</v>
      </c>
      <c r="I99"/>
      <c r="J99"/>
      <c r="K99"/>
      <c r="L99"/>
      <c r="M99" s="1"/>
      <c r="N99"/>
      <c r="O99"/>
      <c r="P99" s="12"/>
      <c r="Q99"/>
      <c r="R99"/>
    </row>
    <row r="100" spans="1:18" x14ac:dyDescent="0.35">
      <c r="A100" s="479" t="s">
        <v>1201</v>
      </c>
      <c r="B100" s="26" t="s">
        <v>1311</v>
      </c>
      <c r="C100" s="620">
        <v>22654.764910052909</v>
      </c>
      <c r="D100" s="620">
        <v>544.6576</v>
      </c>
      <c r="E100" s="621">
        <f t="shared" si="1"/>
        <v>2.4041635486506929</v>
      </c>
      <c r="F100" s="620">
        <v>21785.82</v>
      </c>
      <c r="G100" s="622">
        <v>23577.759999999998</v>
      </c>
      <c r="I100"/>
      <c r="J100"/>
      <c r="K100"/>
      <c r="L100"/>
      <c r="M100" s="1"/>
      <c r="N100"/>
      <c r="O100"/>
      <c r="P100" s="12"/>
      <c r="Q100"/>
      <c r="R100"/>
    </row>
    <row r="101" spans="1:18" x14ac:dyDescent="0.35">
      <c r="A101" s="479" t="s">
        <v>1202</v>
      </c>
      <c r="B101" s="26" t="s">
        <v>1312</v>
      </c>
      <c r="C101" s="620">
        <v>20915.843995032479</v>
      </c>
      <c r="D101" s="620">
        <v>3742.2220000000002</v>
      </c>
      <c r="E101" s="621">
        <f t="shared" si="1"/>
        <v>17.891804896272795</v>
      </c>
      <c r="F101" s="620">
        <v>14756.96</v>
      </c>
      <c r="G101" s="622">
        <v>27068.98</v>
      </c>
      <c r="I101"/>
      <c r="J101"/>
      <c r="K101"/>
      <c r="L101"/>
      <c r="M101" s="1"/>
      <c r="N101"/>
      <c r="O101"/>
      <c r="P101" s="12"/>
      <c r="Q101"/>
      <c r="R101"/>
    </row>
    <row r="102" spans="1:18" x14ac:dyDescent="0.35">
      <c r="A102" s="479" t="s">
        <v>1203</v>
      </c>
      <c r="B102" s="26" t="s">
        <v>1315</v>
      </c>
      <c r="C102" s="620">
        <v>17438.112961768769</v>
      </c>
      <c r="D102" s="620">
        <v>420.59519999999998</v>
      </c>
      <c r="E102" s="621">
        <f t="shared" si="1"/>
        <v>2.4119306998533085</v>
      </c>
      <c r="F102" s="620">
        <v>16745.36</v>
      </c>
      <c r="G102" s="622">
        <v>18129.13</v>
      </c>
      <c r="I102"/>
      <c r="J102"/>
      <c r="K102"/>
      <c r="L102"/>
      <c r="M102" s="1"/>
      <c r="N102"/>
      <c r="O102"/>
      <c r="P102" s="12"/>
      <c r="Q102"/>
      <c r="R102"/>
    </row>
    <row r="103" spans="1:18" x14ac:dyDescent="0.35">
      <c r="A103" s="477" t="s">
        <v>1006</v>
      </c>
      <c r="B103" s="478" t="s">
        <v>1007</v>
      </c>
      <c r="C103" s="616">
        <v>15859.326221791391</v>
      </c>
      <c r="D103" s="616">
        <v>163.37559999999999</v>
      </c>
      <c r="E103" s="617">
        <f t="shared" si="1"/>
        <v>1.0301547349187821</v>
      </c>
      <c r="F103" s="616">
        <v>15589.4</v>
      </c>
      <c r="G103" s="618">
        <v>16126.91</v>
      </c>
      <c r="I103"/>
      <c r="J103" t="s">
        <v>1006</v>
      </c>
      <c r="K103">
        <v>21508.85</v>
      </c>
      <c r="L103">
        <v>4199.241</v>
      </c>
      <c r="M103" s="1">
        <v>19.523317146197961</v>
      </c>
      <c r="N103">
        <v>13277.47</v>
      </c>
      <c r="O103">
        <v>29740.240000000002</v>
      </c>
      <c r="P103" s="12"/>
      <c r="Q103"/>
      <c r="R103"/>
    </row>
    <row r="104" spans="1:18" x14ac:dyDescent="0.35">
      <c r="A104" s="492" t="s">
        <v>1004</v>
      </c>
      <c r="B104" s="26" t="s">
        <v>1005</v>
      </c>
      <c r="C104" s="620">
        <v>15470.860471131638</v>
      </c>
      <c r="D104" s="620">
        <v>316.03640000000001</v>
      </c>
      <c r="E104" s="621">
        <f t="shared" si="1"/>
        <v>2.0427848896298855</v>
      </c>
      <c r="F104" s="620">
        <v>14950.91</v>
      </c>
      <c r="G104" s="622">
        <v>15990.68</v>
      </c>
      <c r="I104"/>
      <c r="J104" t="s">
        <v>1004</v>
      </c>
      <c r="K104">
        <v>25435.99</v>
      </c>
      <c r="L104">
        <v>6024.2470000000003</v>
      </c>
      <c r="M104" s="1">
        <v>23.683949396111572</v>
      </c>
      <c r="N104">
        <v>13627.21</v>
      </c>
      <c r="O104">
        <v>37244.769999999997</v>
      </c>
      <c r="P104" s="12"/>
      <c r="Q104"/>
      <c r="R104"/>
    </row>
    <row r="105" spans="1:18" ht="25" x14ac:dyDescent="0.35">
      <c r="A105" s="493" t="s">
        <v>6</v>
      </c>
      <c r="B105" s="21" t="s">
        <v>1322</v>
      </c>
      <c r="C105" s="623">
        <v>16055.713460595447</v>
      </c>
      <c r="D105" s="623">
        <v>178.0752</v>
      </c>
      <c r="E105" s="621">
        <f t="shared" si="1"/>
        <v>1.1091079847497218</v>
      </c>
      <c r="F105" s="623">
        <v>15761.02</v>
      </c>
      <c r="G105" s="625">
        <v>16346.9</v>
      </c>
      <c r="H105" s="18"/>
      <c r="I105"/>
      <c r="J105" t="s">
        <v>6</v>
      </c>
      <c r="K105">
        <v>15487</v>
      </c>
      <c r="L105">
        <v>644.15309999999999</v>
      </c>
      <c r="M105" s="1">
        <v>4.1593149092787494</v>
      </c>
      <c r="N105">
        <v>14224.33</v>
      </c>
      <c r="O105">
        <v>16749.68</v>
      </c>
      <c r="P105" s="12"/>
      <c r="Q105"/>
      <c r="R105"/>
    </row>
    <row r="106" spans="1:18" s="13" customFormat="1" ht="15" customHeight="1" x14ac:dyDescent="0.25">
      <c r="A106" s="494" t="s">
        <v>94</v>
      </c>
      <c r="B106" s="495"/>
      <c r="C106" s="495"/>
      <c r="D106" s="496"/>
      <c r="E106" s="495"/>
      <c r="F106" s="495"/>
      <c r="G106" s="495"/>
      <c r="H106" s="14"/>
    </row>
    <row r="107" spans="1:18" s="13" customFormat="1" ht="15" customHeight="1" x14ac:dyDescent="0.25">
      <c r="A107" s="497" t="s">
        <v>93</v>
      </c>
      <c r="B107" s="498"/>
      <c r="C107" s="498"/>
      <c r="D107" s="499"/>
      <c r="E107" s="498"/>
      <c r="F107" s="498"/>
      <c r="G107" s="498"/>
      <c r="H107" s="14"/>
    </row>
    <row r="108" spans="1:18" ht="15" customHeight="1" x14ac:dyDescent="0.35">
      <c r="A108" s="497" t="s">
        <v>1356</v>
      </c>
      <c r="B108" s="500"/>
      <c r="C108" s="500"/>
      <c r="D108" s="500"/>
      <c r="E108" s="487"/>
      <c r="F108" s="487"/>
      <c r="G108" s="487"/>
    </row>
    <row r="109" spans="1:18" x14ac:dyDescent="0.35">
      <c r="A109" s="500"/>
      <c r="B109" s="500"/>
      <c r="C109" s="500"/>
      <c r="D109" s="500"/>
      <c r="E109" s="487"/>
      <c r="F109" s="487"/>
      <c r="G109" s="487"/>
    </row>
    <row r="110" spans="1:18" x14ac:dyDescent="0.35">
      <c r="A110" s="500"/>
      <c r="B110" s="500"/>
      <c r="C110" s="500"/>
      <c r="D110" s="500"/>
      <c r="E110" s="487"/>
      <c r="F110" s="487"/>
      <c r="G110" s="487"/>
    </row>
  </sheetData>
  <mergeCells count="16">
    <mergeCell ref="A58:G58"/>
    <mergeCell ref="A59:G59"/>
    <mergeCell ref="A61:A62"/>
    <mergeCell ref="B61:B62"/>
    <mergeCell ref="C61:C62"/>
    <mergeCell ref="D61:D62"/>
    <mergeCell ref="E61:E62"/>
    <mergeCell ref="F61:G61"/>
    <mergeCell ref="A1:G1"/>
    <mergeCell ref="A2:G2"/>
    <mergeCell ref="A4:A5"/>
    <mergeCell ref="B4:B5"/>
    <mergeCell ref="C4:C5"/>
    <mergeCell ref="D4:D5"/>
    <mergeCell ref="E4:E5"/>
    <mergeCell ref="F4:G4"/>
  </mergeCells>
  <pageMargins left="0.70866141732283472" right="0.70866141732283472" top="0.55118110236220474" bottom="0.23622047244094491" header="0.31496062992125984" footer="0.31496062992125984"/>
  <pageSetup paperSize="9" scale="63" firstPageNumber="11" orientation="portrait" useFirstPageNumber="1" r:id="rId1"/>
  <headerFooter>
    <oddFooter>&amp;C&amp;"Arial,Regular"&amp;12&amp;P</oddFooter>
  </headerFooter>
  <rowBreaks count="1" manualBreakCount="1">
    <brk id="57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4CA4-E7A6-4334-A3A4-5AB44DE11787}">
  <dimension ref="A1:X108"/>
  <sheetViews>
    <sheetView topLeftCell="A50" zoomScale="130" zoomScaleNormal="130" zoomScaleSheetLayoutView="85" workbookViewId="0">
      <selection activeCell="A108" sqref="A108"/>
    </sheetView>
  </sheetViews>
  <sheetFormatPr defaultColWidth="9.1796875" defaultRowHeight="14.5" x14ac:dyDescent="0.35"/>
  <cols>
    <col min="1" max="1" width="16.26953125" style="11" customWidth="1"/>
    <col min="2" max="2" width="53" style="11" customWidth="1"/>
    <col min="3" max="4" width="13.54296875" style="11" customWidth="1"/>
    <col min="5" max="7" width="13.54296875" style="10" customWidth="1"/>
    <col min="8" max="9" width="9.1796875" style="10"/>
    <col min="10" max="15" width="9.1796875" style="10" hidden="1" customWidth="1"/>
    <col min="16" max="18" width="9.1796875" style="10"/>
    <col min="25" max="16384" width="9.1796875" style="10"/>
  </cols>
  <sheetData>
    <row r="1" spans="1:18" ht="30" customHeight="1" x14ac:dyDescent="0.35">
      <c r="A1" s="425" t="s">
        <v>1352</v>
      </c>
      <c r="B1" s="426"/>
      <c r="C1" s="426"/>
      <c r="D1" s="426"/>
      <c r="E1" s="426"/>
      <c r="F1" s="426"/>
      <c r="G1" s="426"/>
    </row>
    <row r="2" spans="1:18" x14ac:dyDescent="0.35">
      <c r="A2" s="427" t="s">
        <v>1337</v>
      </c>
      <c r="B2" s="427"/>
      <c r="C2" s="427"/>
      <c r="D2" s="427"/>
      <c r="E2" s="427"/>
      <c r="F2" s="427"/>
      <c r="G2" s="427"/>
    </row>
    <row r="3" spans="1:18" ht="15" customHeight="1" x14ac:dyDescent="0.35">
      <c r="A3" s="3"/>
      <c r="B3" s="3"/>
      <c r="C3" s="3"/>
      <c r="D3" s="3"/>
    </row>
    <row r="4" spans="1:18" ht="25" customHeight="1" x14ac:dyDescent="0.35">
      <c r="A4" s="419" t="s">
        <v>1038</v>
      </c>
      <c r="B4" s="419" t="s">
        <v>1037</v>
      </c>
      <c r="C4" s="419" t="s">
        <v>91</v>
      </c>
      <c r="D4" s="419" t="s">
        <v>90</v>
      </c>
      <c r="E4" s="419" t="s">
        <v>89</v>
      </c>
      <c r="F4" s="419" t="s">
        <v>1186</v>
      </c>
      <c r="G4" s="419"/>
    </row>
    <row r="5" spans="1:18" ht="25" customHeight="1" x14ac:dyDescent="0.35">
      <c r="A5" s="419"/>
      <c r="B5" s="419"/>
      <c r="C5" s="419"/>
      <c r="D5" s="419"/>
      <c r="E5" s="419"/>
      <c r="F5" s="5" t="s">
        <v>88</v>
      </c>
      <c r="G5" s="5" t="s">
        <v>87</v>
      </c>
    </row>
    <row r="6" spans="1:18" x14ac:dyDescent="0.35">
      <c r="A6" s="38"/>
      <c r="B6" s="37"/>
      <c r="C6" s="52"/>
      <c r="D6" s="52"/>
      <c r="E6" s="51"/>
      <c r="F6" s="51"/>
      <c r="G6" s="50"/>
    </row>
    <row r="7" spans="1:18" x14ac:dyDescent="0.35">
      <c r="A7" s="49"/>
      <c r="B7" s="48" t="s">
        <v>1073</v>
      </c>
      <c r="C7" s="29">
        <v>13505.86</v>
      </c>
      <c r="D7" s="29">
        <v>98.135429999999999</v>
      </c>
      <c r="E7" s="202">
        <f>D7/C7*100</f>
        <v>0.72661370693906202</v>
      </c>
      <c r="F7" s="29">
        <v>13344.41</v>
      </c>
      <c r="G7" s="28">
        <v>13667.31</v>
      </c>
      <c r="I7"/>
      <c r="J7" t="s">
        <v>991</v>
      </c>
      <c r="K7">
        <v>19676.46</v>
      </c>
      <c r="L7">
        <v>236.8646</v>
      </c>
      <c r="M7" s="1">
        <v>1.2037968211761669</v>
      </c>
      <c r="N7">
        <v>19212.16</v>
      </c>
      <c r="O7">
        <v>20140.759999999998</v>
      </c>
      <c r="P7" s="12"/>
      <c r="Q7"/>
      <c r="R7"/>
    </row>
    <row r="8" spans="1:18" x14ac:dyDescent="0.35">
      <c r="A8" s="47"/>
      <c r="B8" s="46"/>
      <c r="C8" s="44"/>
      <c r="D8" s="44"/>
      <c r="E8" s="45"/>
      <c r="F8" s="44"/>
      <c r="G8" s="43"/>
      <c r="I8"/>
      <c r="J8"/>
      <c r="K8"/>
      <c r="L8"/>
      <c r="M8"/>
      <c r="N8"/>
      <c r="O8"/>
      <c r="P8"/>
      <c r="Q8"/>
      <c r="R8"/>
    </row>
    <row r="9" spans="1:18" x14ac:dyDescent="0.35">
      <c r="A9" s="4" t="s">
        <v>1071</v>
      </c>
      <c r="B9" s="31" t="s">
        <v>1072</v>
      </c>
      <c r="C9" s="29">
        <v>12109.869410973233</v>
      </c>
      <c r="D9" s="29">
        <v>132.0359</v>
      </c>
      <c r="E9" s="202">
        <f t="shared" ref="E9:E56" si="0">D9/C9*100</f>
        <v>1.0903164643572212</v>
      </c>
      <c r="F9" s="29">
        <v>11892.69</v>
      </c>
      <c r="G9" s="28">
        <v>12327.14</v>
      </c>
      <c r="I9"/>
      <c r="J9" t="s">
        <v>1071</v>
      </c>
      <c r="K9">
        <v>16801.400000000001</v>
      </c>
      <c r="L9">
        <v>899.77629999999999</v>
      </c>
      <c r="M9" s="1">
        <v>5.3553650291047168</v>
      </c>
      <c r="N9">
        <v>15037.66</v>
      </c>
      <c r="O9">
        <v>18565.150000000001</v>
      </c>
      <c r="P9" s="12"/>
      <c r="Q9"/>
      <c r="R9"/>
    </row>
    <row r="10" spans="1:18" ht="26" x14ac:dyDescent="0.35">
      <c r="A10" s="33" t="s">
        <v>992</v>
      </c>
      <c r="B10" s="32" t="s">
        <v>1070</v>
      </c>
      <c r="C10" s="24">
        <v>12124.718332993409</v>
      </c>
      <c r="D10" s="24">
        <v>137.43729999999999</v>
      </c>
      <c r="E10" s="203">
        <f t="shared" si="0"/>
        <v>1.13352983735721</v>
      </c>
      <c r="F10" s="24">
        <v>11898.58</v>
      </c>
      <c r="G10" s="23">
        <v>12350.81</v>
      </c>
      <c r="I10"/>
      <c r="J10" t="s">
        <v>664</v>
      </c>
      <c r="K10">
        <v>16717.8</v>
      </c>
      <c r="L10">
        <v>1105.7070000000001</v>
      </c>
      <c r="M10" s="1">
        <v>6.6139504001722722</v>
      </c>
      <c r="N10">
        <v>14550.38</v>
      </c>
      <c r="O10">
        <v>18885.21</v>
      </c>
      <c r="P10" s="12"/>
      <c r="Q10"/>
      <c r="R10"/>
    </row>
    <row r="11" spans="1:18" x14ac:dyDescent="0.35">
      <c r="A11" s="33" t="s">
        <v>704</v>
      </c>
      <c r="B11" s="32" t="s">
        <v>990</v>
      </c>
      <c r="C11" s="24">
        <v>11882.419319062772</v>
      </c>
      <c r="D11" s="24">
        <v>291.85399999999998</v>
      </c>
      <c r="E11" s="203">
        <f t="shared" si="0"/>
        <v>2.4561833088299059</v>
      </c>
      <c r="F11" s="24">
        <v>11403.28</v>
      </c>
      <c r="G11" s="23">
        <v>12363.61</v>
      </c>
      <c r="I11"/>
      <c r="J11" t="s">
        <v>704</v>
      </c>
      <c r="K11">
        <v>17134.810000000001</v>
      </c>
      <c r="L11">
        <v>743.24080000000004</v>
      </c>
      <c r="M11" s="1">
        <v>4.3376074785772349</v>
      </c>
      <c r="N11">
        <v>15677.91</v>
      </c>
      <c r="O11">
        <v>18591.72</v>
      </c>
      <c r="P11" s="12"/>
      <c r="Q11"/>
      <c r="R11"/>
    </row>
    <row r="12" spans="1:18" x14ac:dyDescent="0.35">
      <c r="A12" s="4" t="s">
        <v>1068</v>
      </c>
      <c r="B12" s="31" t="s">
        <v>1069</v>
      </c>
      <c r="C12" s="29">
        <v>12812.833806130468</v>
      </c>
      <c r="D12" s="29">
        <v>170.86009999999999</v>
      </c>
      <c r="E12" s="202">
        <f t="shared" si="0"/>
        <v>1.333507501816263</v>
      </c>
      <c r="F12" s="29">
        <v>12532.16</v>
      </c>
      <c r="G12" s="28">
        <v>13094.36</v>
      </c>
      <c r="I12"/>
      <c r="J12" t="s">
        <v>1068</v>
      </c>
      <c r="K12">
        <v>20879.310000000001</v>
      </c>
      <c r="L12">
        <v>1894.394</v>
      </c>
      <c r="M12" s="1">
        <v>9.0730680276311801</v>
      </c>
      <c r="N12">
        <v>17165.900000000001</v>
      </c>
      <c r="O12">
        <v>24592.720000000001</v>
      </c>
      <c r="P12" s="12"/>
      <c r="Q12"/>
      <c r="R12"/>
    </row>
    <row r="13" spans="1:18" ht="26" x14ac:dyDescent="0.35">
      <c r="A13" s="34" t="s">
        <v>987</v>
      </c>
      <c r="B13" s="32" t="s">
        <v>1067</v>
      </c>
      <c r="C13" s="24">
        <v>11883.654532283465</v>
      </c>
      <c r="D13" s="24">
        <v>176.88040000000001</v>
      </c>
      <c r="E13" s="203">
        <f t="shared" si="0"/>
        <v>1.4884343828700324</v>
      </c>
      <c r="F13" s="24">
        <v>11594.59</v>
      </c>
      <c r="G13" s="23">
        <v>12176.61</v>
      </c>
      <c r="I13"/>
      <c r="J13" t="s">
        <v>327</v>
      </c>
      <c r="K13">
        <v>16035.4</v>
      </c>
      <c r="L13">
        <v>804.52909999999997</v>
      </c>
      <c r="M13" s="1">
        <v>5.0172063060478687</v>
      </c>
      <c r="N13">
        <v>14458.35</v>
      </c>
      <c r="O13">
        <v>17612.439999999999</v>
      </c>
      <c r="P13" s="12"/>
      <c r="Q13"/>
      <c r="R13"/>
    </row>
    <row r="14" spans="1:18" x14ac:dyDescent="0.35">
      <c r="A14" s="33" t="s">
        <v>506</v>
      </c>
      <c r="B14" s="32" t="s">
        <v>1066</v>
      </c>
      <c r="C14" s="24">
        <v>12965.40531892427</v>
      </c>
      <c r="D14" s="24">
        <v>223.28110000000001</v>
      </c>
      <c r="E14" s="203">
        <f t="shared" si="0"/>
        <v>1.7221297329910661</v>
      </c>
      <c r="F14" s="24">
        <v>12598.17</v>
      </c>
      <c r="G14" s="23">
        <v>13332.86</v>
      </c>
      <c r="I14"/>
      <c r="J14" t="s">
        <v>506</v>
      </c>
      <c r="K14">
        <v>22771.91</v>
      </c>
      <c r="L14">
        <v>3106.2809999999999</v>
      </c>
      <c r="M14" s="1">
        <v>13.640845234325974</v>
      </c>
      <c r="N14">
        <v>16682.96</v>
      </c>
      <c r="O14">
        <v>28860.87</v>
      </c>
      <c r="P14" s="12"/>
      <c r="Q14"/>
      <c r="R14"/>
    </row>
    <row r="15" spans="1:18" x14ac:dyDescent="0.35">
      <c r="A15" s="33" t="s">
        <v>1064</v>
      </c>
      <c r="B15" s="32" t="s">
        <v>1065</v>
      </c>
      <c r="C15" s="24">
        <v>13655.479808580858</v>
      </c>
      <c r="D15" s="24">
        <v>250.7157</v>
      </c>
      <c r="E15" s="203">
        <f t="shared" si="0"/>
        <v>1.8360079873755499</v>
      </c>
      <c r="F15" s="24">
        <v>13242.89</v>
      </c>
      <c r="G15" s="23">
        <v>14067.85</v>
      </c>
      <c r="I15"/>
      <c r="J15" t="s">
        <v>1064</v>
      </c>
      <c r="K15">
        <v>29184.45</v>
      </c>
      <c r="L15">
        <v>7523.8140000000003</v>
      </c>
      <c r="M15" s="1">
        <v>25.780215148820691</v>
      </c>
      <c r="N15">
        <v>14436.2</v>
      </c>
      <c r="O15">
        <v>43932.69</v>
      </c>
      <c r="P15" s="12"/>
      <c r="Q15"/>
      <c r="R15"/>
    </row>
    <row r="16" spans="1:18" x14ac:dyDescent="0.35">
      <c r="A16" s="4" t="s">
        <v>1062</v>
      </c>
      <c r="B16" s="31" t="s">
        <v>1063</v>
      </c>
      <c r="C16" s="29">
        <v>14315.342212238091</v>
      </c>
      <c r="D16" s="29">
        <v>103.482</v>
      </c>
      <c r="E16" s="202">
        <f t="shared" si="0"/>
        <v>0.72287479031785862</v>
      </c>
      <c r="F16" s="29">
        <v>14145.12</v>
      </c>
      <c r="G16" s="28">
        <v>14485.62</v>
      </c>
      <c r="I16"/>
      <c r="J16" t="s">
        <v>1062</v>
      </c>
      <c r="K16">
        <v>19055.900000000001</v>
      </c>
      <c r="L16">
        <v>307.2543</v>
      </c>
      <c r="M16" s="1">
        <v>1.6123840910164304</v>
      </c>
      <c r="N16">
        <v>18453.61</v>
      </c>
      <c r="O16">
        <v>19658.18</v>
      </c>
      <c r="P16" s="12"/>
      <c r="Q16"/>
      <c r="R16"/>
    </row>
    <row r="17" spans="1:18" x14ac:dyDescent="0.35">
      <c r="A17" s="42" t="s">
        <v>330</v>
      </c>
      <c r="B17" s="32" t="s">
        <v>977</v>
      </c>
      <c r="C17" s="24">
        <v>13275.840560387269</v>
      </c>
      <c r="D17" s="24">
        <v>173.41550000000001</v>
      </c>
      <c r="E17" s="203">
        <f t="shared" si="0"/>
        <v>1.3062487396650484</v>
      </c>
      <c r="F17" s="24">
        <v>12990.52</v>
      </c>
      <c r="G17" s="23">
        <v>13561.13</v>
      </c>
      <c r="I17"/>
      <c r="J17" t="s">
        <v>330</v>
      </c>
      <c r="K17">
        <v>17792.38</v>
      </c>
      <c r="L17">
        <v>512.02530000000002</v>
      </c>
      <c r="M17" s="1">
        <v>2.8777785771212172</v>
      </c>
      <c r="N17">
        <v>16788.71</v>
      </c>
      <c r="O17">
        <v>18796.060000000001</v>
      </c>
      <c r="P17" s="12"/>
      <c r="Q17"/>
      <c r="R17"/>
    </row>
    <row r="18" spans="1:18" x14ac:dyDescent="0.35">
      <c r="A18" s="42" t="s">
        <v>443</v>
      </c>
      <c r="B18" s="32" t="s">
        <v>973</v>
      </c>
      <c r="C18" s="24">
        <v>14743.661526414504</v>
      </c>
      <c r="D18" s="24">
        <v>1126.338</v>
      </c>
      <c r="E18" s="203">
        <f t="shared" si="0"/>
        <v>7.639472718375087</v>
      </c>
      <c r="F18" s="24">
        <v>12888.95</v>
      </c>
      <c r="G18" s="23">
        <v>16595.080000000002</v>
      </c>
      <c r="I18"/>
      <c r="J18" t="s">
        <v>443</v>
      </c>
      <c r="K18">
        <v>20151.189999999999</v>
      </c>
      <c r="L18">
        <v>1192.3920000000001</v>
      </c>
      <c r="M18" s="1">
        <v>5.917228709570006</v>
      </c>
      <c r="N18">
        <v>17813.849999999999</v>
      </c>
      <c r="O18">
        <v>22488.52</v>
      </c>
      <c r="P18" s="12"/>
      <c r="Q18"/>
      <c r="R18"/>
    </row>
    <row r="19" spans="1:18" x14ac:dyDescent="0.35">
      <c r="A19" s="33" t="s">
        <v>1059</v>
      </c>
      <c r="B19" s="32" t="s">
        <v>1060</v>
      </c>
      <c r="C19" s="24">
        <v>14854.58507222914</v>
      </c>
      <c r="D19" s="24">
        <v>738.30420000000004</v>
      </c>
      <c r="E19" s="203">
        <f t="shared" si="0"/>
        <v>4.9702108568503229</v>
      </c>
      <c r="F19" s="24">
        <v>13647.63</v>
      </c>
      <c r="G19" s="23">
        <v>16076.96</v>
      </c>
      <c r="I19"/>
      <c r="J19" t="s">
        <v>1059</v>
      </c>
      <c r="K19">
        <v>31620.67</v>
      </c>
      <c r="L19">
        <v>3279.0729999999999</v>
      </c>
      <c r="M19" s="1">
        <v>10.370030110051431</v>
      </c>
      <c r="N19">
        <v>25193</v>
      </c>
      <c r="O19">
        <v>38048.33</v>
      </c>
      <c r="P19" s="12"/>
      <c r="Q19"/>
      <c r="R19"/>
    </row>
    <row r="20" spans="1:18" x14ac:dyDescent="0.35">
      <c r="A20" s="33" t="s">
        <v>571</v>
      </c>
      <c r="B20" s="32" t="s">
        <v>970</v>
      </c>
      <c r="C20" s="24">
        <v>13450.076330162627</v>
      </c>
      <c r="D20" s="24">
        <v>356.70339999999999</v>
      </c>
      <c r="E20" s="203">
        <f t="shared" si="0"/>
        <v>2.6520548377860917</v>
      </c>
      <c r="F20" s="24">
        <v>12862.76</v>
      </c>
      <c r="G20" s="23">
        <v>14036.46</v>
      </c>
      <c r="I20"/>
      <c r="J20" t="s">
        <v>571</v>
      </c>
      <c r="K20">
        <v>17705.310000000001</v>
      </c>
      <c r="L20">
        <v>1234.386</v>
      </c>
      <c r="M20" s="1">
        <v>6.9718406511944719</v>
      </c>
      <c r="N20">
        <v>15285.66</v>
      </c>
      <c r="O20">
        <v>20124.97</v>
      </c>
      <c r="P20" s="12"/>
      <c r="Q20"/>
      <c r="R20"/>
    </row>
    <row r="21" spans="1:18" x14ac:dyDescent="0.35">
      <c r="A21" s="33" t="s">
        <v>784</v>
      </c>
      <c r="B21" s="32" t="s">
        <v>964</v>
      </c>
      <c r="C21" s="24">
        <v>13533.355444712432</v>
      </c>
      <c r="D21" s="24">
        <v>177.80170000000001</v>
      </c>
      <c r="E21" s="203">
        <f t="shared" si="0"/>
        <v>1.3138035184723407</v>
      </c>
      <c r="F21" s="24">
        <v>13241.15</v>
      </c>
      <c r="G21" s="23">
        <v>13826.19</v>
      </c>
      <c r="I21"/>
      <c r="J21" t="s">
        <v>784</v>
      </c>
      <c r="K21">
        <v>17478.36</v>
      </c>
      <c r="L21">
        <v>844.08900000000006</v>
      </c>
      <c r="M21" s="1">
        <v>4.8293375351005476</v>
      </c>
      <c r="N21">
        <v>15823.77</v>
      </c>
      <c r="O21">
        <v>19132.95</v>
      </c>
      <c r="P21" s="12"/>
      <c r="Q21"/>
      <c r="R21"/>
    </row>
    <row r="22" spans="1:18" x14ac:dyDescent="0.35">
      <c r="A22" s="33" t="s">
        <v>667</v>
      </c>
      <c r="B22" s="32" t="s">
        <v>947</v>
      </c>
      <c r="C22" s="24">
        <v>14567.206803559206</v>
      </c>
      <c r="D22" s="24">
        <v>586.3578</v>
      </c>
      <c r="E22" s="203">
        <f t="shared" si="0"/>
        <v>4.0251903326912002</v>
      </c>
      <c r="F22" s="24">
        <v>13601.72</v>
      </c>
      <c r="G22" s="23">
        <v>15531.09</v>
      </c>
      <c r="I22"/>
      <c r="J22" t="s">
        <v>667</v>
      </c>
      <c r="K22">
        <v>17602.419999999998</v>
      </c>
      <c r="L22">
        <v>1260.2370000000001</v>
      </c>
      <c r="M22" s="1">
        <v>7.1594530752021619</v>
      </c>
      <c r="N22">
        <v>15132.1</v>
      </c>
      <c r="O22">
        <v>20072.75</v>
      </c>
      <c r="P22" s="12"/>
      <c r="Q22"/>
      <c r="R22"/>
    </row>
    <row r="23" spans="1:18" ht="51" x14ac:dyDescent="0.35">
      <c r="A23" s="33" t="s">
        <v>1325</v>
      </c>
      <c r="B23" s="32" t="s">
        <v>1338</v>
      </c>
      <c r="C23" s="24">
        <v>11930.204597826087</v>
      </c>
      <c r="D23" s="24">
        <v>386.43079999999998</v>
      </c>
      <c r="E23" s="203">
        <f t="shared" si="0"/>
        <v>3.2390961683122779</v>
      </c>
      <c r="F23" s="24">
        <v>11293.77</v>
      </c>
      <c r="G23" s="23">
        <v>12565.29</v>
      </c>
      <c r="I23"/>
      <c r="J23" t="s">
        <v>1058</v>
      </c>
      <c r="K23">
        <v>15984.36</v>
      </c>
      <c r="L23">
        <v>839.39670000000001</v>
      </c>
      <c r="M23" s="1">
        <v>5.2513625819238303</v>
      </c>
      <c r="N23">
        <v>14338.97</v>
      </c>
      <c r="O23">
        <v>17629.75</v>
      </c>
      <c r="P23" s="12"/>
      <c r="Q23"/>
      <c r="R23"/>
    </row>
    <row r="24" spans="1:18" x14ac:dyDescent="0.35">
      <c r="A24" s="33" t="s">
        <v>405</v>
      </c>
      <c r="B24" s="32" t="s">
        <v>921</v>
      </c>
      <c r="C24" s="24">
        <v>15345.676217886739</v>
      </c>
      <c r="D24" s="24">
        <v>198.89169999999999</v>
      </c>
      <c r="E24" s="203">
        <f t="shared" si="0"/>
        <v>1.2960764789770174</v>
      </c>
      <c r="F24" s="24">
        <v>15018.63</v>
      </c>
      <c r="G24" s="23">
        <v>15673.07</v>
      </c>
      <c r="I24"/>
      <c r="J24" t="s">
        <v>405</v>
      </c>
      <c r="K24">
        <v>20304.46</v>
      </c>
      <c r="L24">
        <v>1716.135</v>
      </c>
      <c r="M24" s="1">
        <v>8.4520100509937226</v>
      </c>
      <c r="N24">
        <v>16940.48</v>
      </c>
      <c r="O24">
        <v>23668.44</v>
      </c>
      <c r="P24" s="12"/>
      <c r="Q24"/>
      <c r="R24"/>
    </row>
    <row r="25" spans="1:18" x14ac:dyDescent="0.35">
      <c r="A25" s="33" t="s">
        <v>568</v>
      </c>
      <c r="B25" s="32" t="s">
        <v>913</v>
      </c>
      <c r="C25" s="24">
        <v>14589.455433325604</v>
      </c>
      <c r="D25" s="24">
        <v>143.91919999999999</v>
      </c>
      <c r="E25" s="203">
        <f t="shared" si="0"/>
        <v>0.98646039708415789</v>
      </c>
      <c r="F25" s="24">
        <v>14352.21</v>
      </c>
      <c r="G25" s="23">
        <v>14825.77</v>
      </c>
      <c r="I25"/>
      <c r="J25" t="s">
        <v>568</v>
      </c>
      <c r="K25">
        <v>15107.01</v>
      </c>
      <c r="L25">
        <v>554.8338</v>
      </c>
      <c r="M25" s="1">
        <v>3.6726910222472875</v>
      </c>
      <c r="N25">
        <v>14019.42</v>
      </c>
      <c r="O25">
        <v>16194.6</v>
      </c>
      <c r="P25" s="12"/>
      <c r="Q25"/>
      <c r="R25"/>
    </row>
    <row r="26" spans="1:18" x14ac:dyDescent="0.35">
      <c r="A26" s="33" t="s">
        <v>305</v>
      </c>
      <c r="B26" s="32" t="s">
        <v>906</v>
      </c>
      <c r="C26" s="24">
        <v>16917.065792828686</v>
      </c>
      <c r="D26" s="24">
        <v>225.88730000000001</v>
      </c>
      <c r="E26" s="203">
        <f t="shared" si="0"/>
        <v>1.3352628804916979</v>
      </c>
      <c r="F26" s="24">
        <v>16551.05</v>
      </c>
      <c r="G26" s="23">
        <v>17294.310000000001</v>
      </c>
      <c r="I26"/>
      <c r="J26" t="s">
        <v>305</v>
      </c>
      <c r="K26">
        <v>22765.33</v>
      </c>
      <c r="L26">
        <v>3058.7550000000001</v>
      </c>
      <c r="M26" s="1">
        <v>13.436023110580869</v>
      </c>
      <c r="N26">
        <v>16769.53</v>
      </c>
      <c r="O26">
        <v>28761.119999999999</v>
      </c>
      <c r="P26" s="12"/>
      <c r="Q26"/>
      <c r="R26"/>
    </row>
    <row r="27" spans="1:18" x14ac:dyDescent="0.35">
      <c r="A27" s="33" t="s">
        <v>349</v>
      </c>
      <c r="B27" s="32" t="s">
        <v>897</v>
      </c>
      <c r="C27" s="24">
        <v>14953.670736805208</v>
      </c>
      <c r="D27" s="24">
        <v>161.63419999999999</v>
      </c>
      <c r="E27" s="203">
        <f t="shared" si="0"/>
        <v>1.0808998194815975</v>
      </c>
      <c r="F27" s="24">
        <v>14687.93</v>
      </c>
      <c r="G27" s="23">
        <v>15219.78</v>
      </c>
      <c r="I27"/>
      <c r="J27" t="s">
        <v>349</v>
      </c>
      <c r="K27">
        <v>19694.09</v>
      </c>
      <c r="L27">
        <v>706.39890000000003</v>
      </c>
      <c r="M27" s="1">
        <v>3.5868572754567487</v>
      </c>
      <c r="N27">
        <v>18309.400000000001</v>
      </c>
      <c r="O27">
        <v>21078.78</v>
      </c>
      <c r="P27" s="12"/>
      <c r="Q27"/>
      <c r="R27"/>
    </row>
    <row r="28" spans="1:18" ht="26" x14ac:dyDescent="0.35">
      <c r="A28" s="33" t="s">
        <v>574</v>
      </c>
      <c r="B28" s="32" t="s">
        <v>1339</v>
      </c>
      <c r="C28" s="24">
        <v>15779.163419650655</v>
      </c>
      <c r="D28" s="24">
        <v>267.9246</v>
      </c>
      <c r="E28" s="203">
        <f t="shared" si="0"/>
        <v>1.6979645426977379</v>
      </c>
      <c r="F28" s="24">
        <v>15334.92</v>
      </c>
      <c r="G28" s="23">
        <v>16216.51</v>
      </c>
      <c r="I28"/>
      <c r="J28" t="s">
        <v>574</v>
      </c>
      <c r="K28">
        <v>19872.900000000001</v>
      </c>
      <c r="L28">
        <v>1473.739</v>
      </c>
      <c r="M28" s="1">
        <v>7.4158225523199937</v>
      </c>
      <c r="N28">
        <v>16984.060000000001</v>
      </c>
      <c r="O28">
        <v>22761.73</v>
      </c>
      <c r="P28" s="12"/>
      <c r="Q28"/>
      <c r="R28"/>
    </row>
    <row r="29" spans="1:18" x14ac:dyDescent="0.35">
      <c r="A29" s="33" t="s">
        <v>1181</v>
      </c>
      <c r="B29" s="32" t="s">
        <v>1340</v>
      </c>
      <c r="C29" s="24">
        <v>14662.152528709368</v>
      </c>
      <c r="D29" s="24">
        <v>173.1514</v>
      </c>
      <c r="E29" s="203">
        <f t="shared" si="0"/>
        <v>1.1809411998747064</v>
      </c>
      <c r="F29" s="24">
        <v>14376.75</v>
      </c>
      <c r="G29" s="23">
        <v>14946.49</v>
      </c>
      <c r="I29"/>
      <c r="J29" t="s">
        <v>650</v>
      </c>
      <c r="K29">
        <v>19048.66</v>
      </c>
      <c r="L29">
        <v>850.15819999999997</v>
      </c>
      <c r="M29" s="1">
        <v>4.4630866423149973</v>
      </c>
      <c r="N29">
        <v>17382.18</v>
      </c>
      <c r="O29">
        <v>20715.150000000001</v>
      </c>
      <c r="P29" s="12"/>
      <c r="Q29"/>
      <c r="R29"/>
    </row>
    <row r="30" spans="1:18" x14ac:dyDescent="0.35">
      <c r="A30" s="33" t="s">
        <v>474</v>
      </c>
      <c r="B30" s="32" t="s">
        <v>853</v>
      </c>
      <c r="C30" s="24">
        <v>14104.902361252593</v>
      </c>
      <c r="D30" s="24">
        <v>290.28129999999999</v>
      </c>
      <c r="E30" s="203">
        <f t="shared" si="0"/>
        <v>2.0580170820425403</v>
      </c>
      <c r="F30" s="24">
        <v>13628.09</v>
      </c>
      <c r="G30" s="23">
        <v>14583.23</v>
      </c>
      <c r="I30"/>
      <c r="J30" t="s">
        <v>474</v>
      </c>
      <c r="K30">
        <v>21304.51</v>
      </c>
      <c r="L30">
        <v>1677.3009999999999</v>
      </c>
      <c r="M30" s="1">
        <v>7.872985579109776</v>
      </c>
      <c r="N30">
        <v>18016.650000000001</v>
      </c>
      <c r="O30">
        <v>24592.37</v>
      </c>
      <c r="P30" s="12"/>
      <c r="Q30"/>
      <c r="R30"/>
    </row>
    <row r="31" spans="1:18" x14ac:dyDescent="0.35">
      <c r="A31" s="33" t="s">
        <v>441</v>
      </c>
      <c r="B31" s="32" t="s">
        <v>846</v>
      </c>
      <c r="C31" s="24">
        <v>15121.68040366754</v>
      </c>
      <c r="D31" s="24">
        <v>887.90129999999999</v>
      </c>
      <c r="E31" s="203">
        <f t="shared" si="0"/>
        <v>5.8717105261968943</v>
      </c>
      <c r="F31" s="24">
        <v>13660.88</v>
      </c>
      <c r="G31" s="23">
        <v>16582.45</v>
      </c>
      <c r="I31"/>
      <c r="J31" t="s">
        <v>441</v>
      </c>
      <c r="K31">
        <v>19929.759999999998</v>
      </c>
      <c r="L31">
        <v>1656.4190000000001</v>
      </c>
      <c r="M31" s="1">
        <v>8.311284230216522</v>
      </c>
      <c r="N31">
        <v>16682.84</v>
      </c>
      <c r="O31">
        <v>23176.69</v>
      </c>
      <c r="P31" s="12"/>
      <c r="Q31"/>
      <c r="R31"/>
    </row>
    <row r="32" spans="1:18" ht="26" x14ac:dyDescent="0.35">
      <c r="A32" s="33" t="s">
        <v>581</v>
      </c>
      <c r="B32" s="32" t="s">
        <v>1105</v>
      </c>
      <c r="C32" s="24">
        <v>15109.956736787817</v>
      </c>
      <c r="D32" s="24">
        <v>659.70510000000002</v>
      </c>
      <c r="E32" s="203">
        <f t="shared" si="0"/>
        <v>4.366029046223761</v>
      </c>
      <c r="F32" s="24">
        <v>14024.69</v>
      </c>
      <c r="G32" s="23">
        <v>16195.4</v>
      </c>
      <c r="I32"/>
      <c r="J32" t="s">
        <v>581</v>
      </c>
      <c r="K32">
        <v>19172.91</v>
      </c>
      <c r="L32">
        <v>665.25379999999996</v>
      </c>
      <c r="M32" s="1">
        <v>3.4697591549743882</v>
      </c>
      <c r="N32">
        <v>17868.87</v>
      </c>
      <c r="O32">
        <v>20476.939999999999</v>
      </c>
      <c r="P32" s="12"/>
      <c r="Q32"/>
      <c r="R32"/>
    </row>
    <row r="33" spans="1:18" x14ac:dyDescent="0.35">
      <c r="A33" s="33" t="s">
        <v>554</v>
      </c>
      <c r="B33" s="32" t="s">
        <v>817</v>
      </c>
      <c r="C33" s="24">
        <v>14749.209138924511</v>
      </c>
      <c r="D33" s="24">
        <v>253.90629999999999</v>
      </c>
      <c r="E33" s="203">
        <f t="shared" si="0"/>
        <v>1.7214909464529731</v>
      </c>
      <c r="F33" s="24">
        <v>14331.43</v>
      </c>
      <c r="G33" s="23">
        <v>15166.89</v>
      </c>
      <c r="I33"/>
      <c r="J33" t="s">
        <v>554</v>
      </c>
      <c r="K33">
        <v>21596.32</v>
      </c>
      <c r="L33">
        <v>1673.4570000000001</v>
      </c>
      <c r="M33" s="1">
        <v>7.7488062781066418</v>
      </c>
      <c r="N33">
        <v>18316</v>
      </c>
      <c r="O33">
        <v>24876.65</v>
      </c>
      <c r="P33" s="12"/>
      <c r="Q33"/>
      <c r="R33"/>
    </row>
    <row r="34" spans="1:18" x14ac:dyDescent="0.35">
      <c r="A34" s="33" t="s">
        <v>598</v>
      </c>
      <c r="B34" s="32" t="s">
        <v>800</v>
      </c>
      <c r="C34" s="24">
        <v>13991.10137370801</v>
      </c>
      <c r="D34" s="24">
        <v>448.3741</v>
      </c>
      <c r="E34" s="203">
        <f t="shared" si="0"/>
        <v>3.204709107766039</v>
      </c>
      <c r="F34" s="24">
        <v>13253.6</v>
      </c>
      <c r="G34" s="23">
        <v>14728.94</v>
      </c>
      <c r="I34"/>
      <c r="J34" t="s">
        <v>598</v>
      </c>
      <c r="K34">
        <v>19735.490000000002</v>
      </c>
      <c r="L34">
        <v>888.09069999999997</v>
      </c>
      <c r="M34" s="1">
        <v>4.499967824462427</v>
      </c>
      <c r="N34">
        <v>17994.650000000001</v>
      </c>
      <c r="O34">
        <v>21476.33</v>
      </c>
      <c r="P34" s="12"/>
      <c r="Q34"/>
      <c r="R34"/>
    </row>
    <row r="35" spans="1:18" x14ac:dyDescent="0.35">
      <c r="A35" s="33" t="s">
        <v>396</v>
      </c>
      <c r="B35" s="32" t="s">
        <v>786</v>
      </c>
      <c r="C35" s="24">
        <v>15470.679486404322</v>
      </c>
      <c r="D35" s="24">
        <v>393.00799999999998</v>
      </c>
      <c r="E35" s="203">
        <f t="shared" si="0"/>
        <v>2.5403409096890446</v>
      </c>
      <c r="F35" s="24">
        <v>14824.23</v>
      </c>
      <c r="G35" s="23">
        <v>16117.4</v>
      </c>
      <c r="I35"/>
      <c r="J35" t="s">
        <v>396</v>
      </c>
      <c r="K35">
        <v>19510.990000000002</v>
      </c>
      <c r="L35">
        <v>3166.3890000000001</v>
      </c>
      <c r="M35" s="1">
        <v>16.228745952921916</v>
      </c>
      <c r="N35">
        <v>13304.21</v>
      </c>
      <c r="O35">
        <v>25717.77</v>
      </c>
      <c r="P35" s="12"/>
      <c r="Q35"/>
      <c r="R35"/>
    </row>
    <row r="36" spans="1:18" x14ac:dyDescent="0.35">
      <c r="A36" s="33" t="s">
        <v>334</v>
      </c>
      <c r="B36" s="32" t="s">
        <v>769</v>
      </c>
      <c r="C36" s="24">
        <v>14954.348642350624</v>
      </c>
      <c r="D36" s="24">
        <v>569.31650000000002</v>
      </c>
      <c r="E36" s="203">
        <f t="shared" si="0"/>
        <v>3.8070297384113356</v>
      </c>
      <c r="F36" s="24">
        <v>14017.42</v>
      </c>
      <c r="G36" s="23">
        <v>15890.72</v>
      </c>
      <c r="I36"/>
      <c r="J36" t="s">
        <v>334</v>
      </c>
      <c r="K36">
        <v>23258.04</v>
      </c>
      <c r="L36">
        <v>1358.26</v>
      </c>
      <c r="M36" s="1">
        <v>5.8399589991246037</v>
      </c>
      <c r="N36">
        <v>20595.560000000001</v>
      </c>
      <c r="O36">
        <v>25920.51</v>
      </c>
      <c r="P36" s="12"/>
      <c r="Q36"/>
      <c r="R36"/>
    </row>
    <row r="37" spans="1:18" ht="25" x14ac:dyDescent="0.35">
      <c r="A37" s="34" t="s">
        <v>1054</v>
      </c>
      <c r="B37" s="26" t="s">
        <v>1326</v>
      </c>
      <c r="C37" s="24">
        <v>13695.305024626048</v>
      </c>
      <c r="D37" s="24">
        <v>266.64460000000003</v>
      </c>
      <c r="E37" s="203">
        <f t="shared" si="0"/>
        <v>1.9469781762475258</v>
      </c>
      <c r="F37" s="24">
        <v>13255.37</v>
      </c>
      <c r="G37" s="23">
        <v>14132.74</v>
      </c>
      <c r="I37"/>
      <c r="J37" t="s">
        <v>1054</v>
      </c>
      <c r="K37">
        <v>20884.84</v>
      </c>
      <c r="L37">
        <v>2278.2570000000001</v>
      </c>
      <c r="M37" s="1">
        <v>10.908663892086318</v>
      </c>
      <c r="N37">
        <v>16418.98</v>
      </c>
      <c r="O37">
        <v>25350.69</v>
      </c>
      <c r="P37" s="12"/>
      <c r="Q37"/>
      <c r="R37"/>
    </row>
    <row r="38" spans="1:18" x14ac:dyDescent="0.35">
      <c r="A38" s="33" t="s">
        <v>385</v>
      </c>
      <c r="B38" s="32" t="s">
        <v>751</v>
      </c>
      <c r="C38" s="24">
        <v>15929.393585908529</v>
      </c>
      <c r="D38" s="24">
        <v>1825.354</v>
      </c>
      <c r="E38" s="203">
        <f t="shared" si="0"/>
        <v>11.459030063860974</v>
      </c>
      <c r="F38" s="24">
        <v>12921.97</v>
      </c>
      <c r="G38" s="23">
        <v>18928.16</v>
      </c>
      <c r="I38"/>
      <c r="J38" t="s">
        <v>385</v>
      </c>
      <c r="K38">
        <v>21586.15</v>
      </c>
      <c r="L38">
        <v>1834.039</v>
      </c>
      <c r="M38" s="1">
        <v>8.4963691996951738</v>
      </c>
      <c r="N38">
        <v>17991.05</v>
      </c>
      <c r="O38">
        <v>25181.25</v>
      </c>
      <c r="P38" s="12"/>
      <c r="Q38"/>
      <c r="R38"/>
    </row>
    <row r="39" spans="1:18" x14ac:dyDescent="0.35">
      <c r="A39" s="33" t="s">
        <v>487</v>
      </c>
      <c r="B39" s="32" t="s">
        <v>730</v>
      </c>
      <c r="C39" s="24">
        <v>14244.772859114017</v>
      </c>
      <c r="D39" s="24">
        <v>187.9151</v>
      </c>
      <c r="E39" s="203">
        <f t="shared" si="0"/>
        <v>1.3191863559956249</v>
      </c>
      <c r="F39" s="24">
        <v>13935.5</v>
      </c>
      <c r="G39" s="23">
        <v>14553.82</v>
      </c>
      <c r="I39"/>
      <c r="J39" t="s">
        <v>487</v>
      </c>
      <c r="K39">
        <v>19074.990000000002</v>
      </c>
      <c r="L39">
        <v>1885.9559999999999</v>
      </c>
      <c r="M39" s="1">
        <v>9.8870615397439252</v>
      </c>
      <c r="N39">
        <v>15378.12</v>
      </c>
      <c r="O39">
        <v>22771.86</v>
      </c>
      <c r="P39" s="12"/>
      <c r="Q39"/>
      <c r="R39"/>
    </row>
    <row r="40" spans="1:18" x14ac:dyDescent="0.35">
      <c r="A40" s="33" t="s">
        <v>1052</v>
      </c>
      <c r="B40" s="32" t="s">
        <v>1183</v>
      </c>
      <c r="C40" s="24">
        <v>15768.226801237181</v>
      </c>
      <c r="D40" s="24">
        <v>405.21</v>
      </c>
      <c r="E40" s="203"/>
      <c r="F40" s="24">
        <v>15102.75</v>
      </c>
      <c r="G40" s="23">
        <v>16436.060000000001</v>
      </c>
      <c r="I40"/>
      <c r="J40"/>
      <c r="K40"/>
      <c r="L40"/>
      <c r="M40" s="1"/>
      <c r="N40"/>
      <c r="O40"/>
      <c r="P40" s="12"/>
      <c r="Q40"/>
      <c r="R40"/>
    </row>
    <row r="41" spans="1:18" x14ac:dyDescent="0.35">
      <c r="A41" s="33" t="s">
        <v>1184</v>
      </c>
      <c r="B41" s="32" t="s">
        <v>1185</v>
      </c>
      <c r="C41" s="24">
        <v>14599.115628676471</v>
      </c>
      <c r="D41" s="24">
        <v>577.33989999999994</v>
      </c>
      <c r="E41" s="203">
        <f t="shared" si="0"/>
        <v>3.9546224215523971</v>
      </c>
      <c r="F41" s="24">
        <v>13636.65</v>
      </c>
      <c r="G41" s="23">
        <v>15536.34</v>
      </c>
      <c r="I41"/>
      <c r="J41" t="s">
        <v>1052</v>
      </c>
      <c r="K41">
        <v>19456.78</v>
      </c>
      <c r="L41">
        <v>909.80399999999997</v>
      </c>
      <c r="M41" s="1">
        <v>4.6760255294041455</v>
      </c>
      <c r="N41">
        <v>17673.38</v>
      </c>
      <c r="O41">
        <v>21240.19</v>
      </c>
      <c r="P41" s="12"/>
      <c r="Q41"/>
      <c r="R41"/>
    </row>
    <row r="42" spans="1:18" ht="26.5" x14ac:dyDescent="0.35">
      <c r="A42" s="4" t="s">
        <v>391</v>
      </c>
      <c r="B42" s="31" t="s">
        <v>1051</v>
      </c>
      <c r="C42" s="29">
        <v>22258.571277777777</v>
      </c>
      <c r="D42" s="29">
        <v>654.05790000000002</v>
      </c>
      <c r="E42" s="202">
        <f t="shared" si="0"/>
        <v>2.9384540985925267</v>
      </c>
      <c r="F42" s="29">
        <v>21186.22</v>
      </c>
      <c r="G42" s="28">
        <v>23338.34</v>
      </c>
      <c r="I42"/>
      <c r="J42" t="s">
        <v>391</v>
      </c>
      <c r="K42">
        <v>30675.77</v>
      </c>
      <c r="L42">
        <v>1350.8030000000001</v>
      </c>
      <c r="M42" s="1">
        <v>4.4034852262877182</v>
      </c>
      <c r="N42">
        <v>28027.91</v>
      </c>
      <c r="O42">
        <v>33323.620000000003</v>
      </c>
      <c r="P42" s="12"/>
      <c r="Q42"/>
      <c r="R42"/>
    </row>
    <row r="43" spans="1:18" ht="26.5" x14ac:dyDescent="0.35">
      <c r="A43" s="4" t="s">
        <v>1049</v>
      </c>
      <c r="B43" s="31" t="s">
        <v>1050</v>
      </c>
      <c r="C43" s="29">
        <v>15561.829670450148</v>
      </c>
      <c r="D43" s="29">
        <v>193.7167</v>
      </c>
      <c r="E43" s="202">
        <f t="shared" si="0"/>
        <v>1.2448195623670288</v>
      </c>
      <c r="F43" s="29">
        <v>15243.74</v>
      </c>
      <c r="G43" s="28">
        <v>15881.15</v>
      </c>
      <c r="I43"/>
      <c r="J43" t="s">
        <v>1049</v>
      </c>
      <c r="K43">
        <v>23884.639999999999</v>
      </c>
      <c r="L43">
        <v>960.00319999999999</v>
      </c>
      <c r="M43" s="1">
        <v>4.0193329269354701</v>
      </c>
      <c r="N43">
        <v>22002.84</v>
      </c>
      <c r="O43">
        <v>25766.45</v>
      </c>
      <c r="P43" s="12"/>
      <c r="Q43"/>
      <c r="R43"/>
    </row>
    <row r="44" spans="1:18" x14ac:dyDescent="0.35">
      <c r="A44" s="33" t="s">
        <v>402</v>
      </c>
      <c r="B44" s="32" t="s">
        <v>677</v>
      </c>
      <c r="C44" s="24">
        <v>15325.749153428515</v>
      </c>
      <c r="D44" s="24">
        <v>243.4444</v>
      </c>
      <c r="E44" s="203">
        <f t="shared" si="0"/>
        <v>1.5884665575747021</v>
      </c>
      <c r="F44" s="24">
        <v>14923.75</v>
      </c>
      <c r="G44" s="23">
        <v>15724.79</v>
      </c>
      <c r="I44"/>
      <c r="J44" t="s">
        <v>402</v>
      </c>
      <c r="K44">
        <v>24926.19</v>
      </c>
      <c r="L44">
        <v>1059.3779999999999</v>
      </c>
      <c r="M44" s="1">
        <v>4.250059876780206</v>
      </c>
      <c r="N44">
        <v>22849.58</v>
      </c>
      <c r="O44">
        <v>27002.79</v>
      </c>
      <c r="P44" s="12"/>
      <c r="Q44"/>
      <c r="R44"/>
    </row>
    <row r="45" spans="1:18" ht="38.5" x14ac:dyDescent="0.35">
      <c r="A45" s="42" t="s">
        <v>1048</v>
      </c>
      <c r="B45" s="41" t="s">
        <v>1047</v>
      </c>
      <c r="C45" s="24">
        <v>15989.893808924075</v>
      </c>
      <c r="D45" s="24">
        <v>204.66640000000001</v>
      </c>
      <c r="E45" s="203">
        <f t="shared" si="0"/>
        <v>1.2799734785341366</v>
      </c>
      <c r="F45" s="24">
        <v>15651.94</v>
      </c>
      <c r="G45" s="23">
        <v>16325.38</v>
      </c>
      <c r="I45"/>
      <c r="J45" t="s">
        <v>1046</v>
      </c>
      <c r="K45">
        <v>16489.75</v>
      </c>
      <c r="L45">
        <v>881.9135</v>
      </c>
      <c r="M45" s="1">
        <v>5.348252702436362</v>
      </c>
      <c r="N45">
        <v>14761.02</v>
      </c>
      <c r="O45">
        <v>18218.490000000002</v>
      </c>
      <c r="P45" s="12"/>
      <c r="Q45"/>
      <c r="R45"/>
    </row>
    <row r="46" spans="1:18" x14ac:dyDescent="0.35">
      <c r="A46" s="4" t="s">
        <v>654</v>
      </c>
      <c r="B46" s="31" t="s">
        <v>1045</v>
      </c>
      <c r="C46" s="29">
        <v>14014.571225608135</v>
      </c>
      <c r="D46" s="29">
        <v>211.78880000000001</v>
      </c>
      <c r="E46" s="202">
        <f t="shared" si="0"/>
        <v>1.51120427867967</v>
      </c>
      <c r="F46" s="29">
        <v>13666.26</v>
      </c>
      <c r="G46" s="28">
        <v>14363.13</v>
      </c>
      <c r="I46"/>
      <c r="J46" t="s">
        <v>1044</v>
      </c>
      <c r="K46">
        <v>19998.740000000002</v>
      </c>
      <c r="L46">
        <v>477.30560000000003</v>
      </c>
      <c r="M46" s="1">
        <v>2.3866783607367261</v>
      </c>
      <c r="N46">
        <v>19063.13</v>
      </c>
      <c r="O46">
        <v>20934.36</v>
      </c>
      <c r="P46" s="12"/>
      <c r="Q46"/>
      <c r="R46"/>
    </row>
    <row r="47" spans="1:18" ht="26.5" x14ac:dyDescent="0.35">
      <c r="A47" s="4" t="s">
        <v>1042</v>
      </c>
      <c r="B47" s="31" t="s">
        <v>1043</v>
      </c>
      <c r="C47" s="29">
        <v>13061.390545018236</v>
      </c>
      <c r="D47" s="29">
        <v>54.474339999999998</v>
      </c>
      <c r="E47" s="202">
        <f t="shared" si="0"/>
        <v>0.41706386324063432</v>
      </c>
      <c r="F47" s="29">
        <v>12971.74</v>
      </c>
      <c r="G47" s="28">
        <v>13150.98</v>
      </c>
      <c r="I47"/>
      <c r="J47" t="s">
        <v>1042</v>
      </c>
      <c r="K47">
        <v>17206.29</v>
      </c>
      <c r="L47">
        <v>510.58780000000002</v>
      </c>
      <c r="M47" s="1">
        <v>2.9674485319031585</v>
      </c>
      <c r="N47">
        <v>16205.43</v>
      </c>
      <c r="O47">
        <v>18207.14</v>
      </c>
      <c r="P47" s="12"/>
      <c r="Q47"/>
      <c r="R47"/>
    </row>
    <row r="48" spans="1:18" ht="26" x14ac:dyDescent="0.35">
      <c r="A48" s="33" t="s">
        <v>592</v>
      </c>
      <c r="B48" s="32" t="s">
        <v>1001</v>
      </c>
      <c r="C48" s="24">
        <v>12600.66912429719</v>
      </c>
      <c r="D48" s="24">
        <v>95.473889999999997</v>
      </c>
      <c r="E48" s="203">
        <f t="shared" si="0"/>
        <v>0.75768904855935659</v>
      </c>
      <c r="F48" s="24">
        <v>12443.63</v>
      </c>
      <c r="G48" s="23">
        <v>12757.78</v>
      </c>
      <c r="I48"/>
      <c r="J48" t="s">
        <v>592</v>
      </c>
      <c r="K48">
        <v>16167.55</v>
      </c>
      <c r="L48">
        <v>506.93090000000001</v>
      </c>
      <c r="M48" s="1">
        <v>3.1354837313012793</v>
      </c>
      <c r="N48">
        <v>15173.86</v>
      </c>
      <c r="O48">
        <v>17161.240000000002</v>
      </c>
      <c r="P48" s="12"/>
      <c r="Q48"/>
      <c r="R48"/>
    </row>
    <row r="49" spans="1:18" x14ac:dyDescent="0.35">
      <c r="A49" s="33" t="s">
        <v>428</v>
      </c>
      <c r="B49" s="32" t="s">
        <v>1041</v>
      </c>
      <c r="C49" s="24">
        <v>13579.341926293082</v>
      </c>
      <c r="D49" s="24">
        <v>83.451300000000003</v>
      </c>
      <c r="E49" s="203">
        <f t="shared" si="0"/>
        <v>0.61454598060025956</v>
      </c>
      <c r="F49" s="24">
        <v>13442.02</v>
      </c>
      <c r="G49" s="23">
        <v>13716.61</v>
      </c>
      <c r="I49"/>
      <c r="J49" t="s">
        <v>428</v>
      </c>
      <c r="K49">
        <v>19638.18</v>
      </c>
      <c r="L49">
        <v>1226.4949999999999</v>
      </c>
      <c r="M49" s="1">
        <v>6.2454616466495363</v>
      </c>
      <c r="N49">
        <v>17234</v>
      </c>
      <c r="O49">
        <v>22042.37</v>
      </c>
      <c r="P49" s="12"/>
      <c r="Q49"/>
      <c r="R49"/>
    </row>
    <row r="50" spans="1:18" x14ac:dyDescent="0.35">
      <c r="A50" s="33" t="s">
        <v>311</v>
      </c>
      <c r="B50" s="32" t="s">
        <v>563</v>
      </c>
      <c r="C50" s="24">
        <v>12689.985454418309</v>
      </c>
      <c r="D50" s="24">
        <v>81.106669999999994</v>
      </c>
      <c r="E50" s="203">
        <f t="shared" si="0"/>
        <v>0.63913918807338621</v>
      </c>
      <c r="F50" s="24">
        <v>12556.49</v>
      </c>
      <c r="G50" s="23">
        <v>12823.36</v>
      </c>
      <c r="I50"/>
      <c r="J50" t="s">
        <v>311</v>
      </c>
      <c r="K50">
        <v>15490.57</v>
      </c>
      <c r="L50">
        <v>245.36189999999999</v>
      </c>
      <c r="M50" s="1">
        <v>1.5839436508792122</v>
      </c>
      <c r="N50">
        <v>15009.61</v>
      </c>
      <c r="O50">
        <v>15971.53</v>
      </c>
      <c r="P50" s="12"/>
      <c r="Q50"/>
      <c r="R50"/>
    </row>
    <row r="51" spans="1:18" x14ac:dyDescent="0.35">
      <c r="A51" s="4" t="s">
        <v>1039</v>
      </c>
      <c r="B51" s="31" t="s">
        <v>1040</v>
      </c>
      <c r="C51" s="29">
        <v>14716.822896972244</v>
      </c>
      <c r="D51" s="29">
        <v>268.863</v>
      </c>
      <c r="E51" s="202">
        <f t="shared" si="0"/>
        <v>1.8269092580798425</v>
      </c>
      <c r="F51" s="29">
        <v>14274.69</v>
      </c>
      <c r="G51" s="28">
        <v>15159.36</v>
      </c>
      <c r="I51"/>
      <c r="J51" t="s">
        <v>1039</v>
      </c>
      <c r="K51">
        <v>20000.599999999999</v>
      </c>
      <c r="L51">
        <v>1536.4280000000001</v>
      </c>
      <c r="M51" s="1">
        <v>7.6819095427137194</v>
      </c>
      <c r="N51">
        <v>16988.88</v>
      </c>
      <c r="O51">
        <v>23012.31</v>
      </c>
      <c r="P51" s="12"/>
      <c r="Q51"/>
      <c r="R51"/>
    </row>
    <row r="52" spans="1:18" ht="26" x14ac:dyDescent="0.35">
      <c r="A52" s="34" t="s">
        <v>1187</v>
      </c>
      <c r="B52" s="32" t="s">
        <v>1328</v>
      </c>
      <c r="C52" s="24">
        <v>12847.180677142856</v>
      </c>
      <c r="D52" s="24">
        <v>558.3152</v>
      </c>
      <c r="E52" s="203">
        <f t="shared" si="0"/>
        <v>4.3458188534184004</v>
      </c>
      <c r="F52" s="24">
        <v>11930.28</v>
      </c>
      <c r="G52" s="23">
        <v>13767.38</v>
      </c>
      <c r="I52"/>
      <c r="J52" t="s">
        <v>446</v>
      </c>
      <c r="K52">
        <v>15997.67</v>
      </c>
      <c r="L52">
        <v>564.16030000000001</v>
      </c>
      <c r="M52" s="1">
        <v>3.5265154238085921</v>
      </c>
      <c r="N52">
        <v>14891.8</v>
      </c>
      <c r="O52">
        <v>17103.54</v>
      </c>
      <c r="P52" s="12"/>
      <c r="Q52"/>
      <c r="R52"/>
    </row>
    <row r="53" spans="1:18" x14ac:dyDescent="0.35">
      <c r="A53" s="33" t="s">
        <v>496</v>
      </c>
      <c r="B53" s="32" t="s">
        <v>525</v>
      </c>
      <c r="C53" s="24">
        <v>15527.402224025973</v>
      </c>
      <c r="D53" s="24">
        <v>1961.1130000000001</v>
      </c>
      <c r="E53" s="203">
        <f t="shared" si="0"/>
        <v>12.630013518716716</v>
      </c>
      <c r="F53" s="24">
        <v>12309.3</v>
      </c>
      <c r="G53" s="23">
        <v>18762.189999999999</v>
      </c>
      <c r="I53"/>
      <c r="J53" t="s">
        <v>496</v>
      </c>
      <c r="K53">
        <v>16605.43</v>
      </c>
      <c r="L53">
        <v>994.70150000000001</v>
      </c>
      <c r="M53" s="1">
        <v>5.9902182599306375</v>
      </c>
      <c r="N53">
        <v>14655.61</v>
      </c>
      <c r="O53">
        <v>18555.25</v>
      </c>
      <c r="P53" s="12"/>
      <c r="Q53"/>
      <c r="R53"/>
    </row>
    <row r="54" spans="1:18" x14ac:dyDescent="0.35">
      <c r="A54" s="33" t="s">
        <v>471</v>
      </c>
      <c r="B54" s="32" t="s">
        <v>493</v>
      </c>
      <c r="C54" s="24">
        <v>13209.66459551761</v>
      </c>
      <c r="D54" s="24">
        <v>213.24250000000001</v>
      </c>
      <c r="E54" s="203">
        <f t="shared" si="0"/>
        <v>1.6142915549298569</v>
      </c>
      <c r="F54" s="24">
        <v>12860.53</v>
      </c>
      <c r="G54" s="23">
        <v>13562.19</v>
      </c>
      <c r="I54"/>
      <c r="J54" t="s">
        <v>471</v>
      </c>
      <c r="K54">
        <v>20090.13</v>
      </c>
      <c r="L54">
        <v>1476.184</v>
      </c>
      <c r="M54" s="1">
        <v>7.3478071072710831</v>
      </c>
      <c r="N54">
        <v>17196.5</v>
      </c>
      <c r="O54">
        <v>22983.75</v>
      </c>
      <c r="P54" s="12"/>
      <c r="Q54"/>
      <c r="R54"/>
    </row>
    <row r="55" spans="1:18" x14ac:dyDescent="0.35">
      <c r="A55" s="33" t="s">
        <v>438</v>
      </c>
      <c r="B55" s="32" t="s">
        <v>469</v>
      </c>
      <c r="C55" s="24">
        <v>19172.162627968337</v>
      </c>
      <c r="D55" s="24">
        <v>87.339160000000007</v>
      </c>
      <c r="E55" s="203">
        <f t="shared" si="0"/>
        <v>0.45555194630255069</v>
      </c>
      <c r="F55" s="24">
        <v>19014.73</v>
      </c>
      <c r="G55" s="23">
        <v>19302.11</v>
      </c>
      <c r="I55"/>
      <c r="J55" t="s">
        <v>438</v>
      </c>
      <c r="K55">
        <v>22207.68</v>
      </c>
      <c r="L55">
        <v>931.20050000000003</v>
      </c>
      <c r="M55" s="1">
        <v>4.1931462449026649</v>
      </c>
      <c r="N55">
        <v>20382.34</v>
      </c>
      <c r="O55">
        <v>24033.03</v>
      </c>
      <c r="P55" s="12"/>
      <c r="Q55"/>
      <c r="R55"/>
    </row>
    <row r="56" spans="1:18" x14ac:dyDescent="0.35">
      <c r="A56" s="33" t="s">
        <v>423</v>
      </c>
      <c r="B56" s="32" t="s">
        <v>436</v>
      </c>
      <c r="C56" s="24">
        <v>14872.55647896546</v>
      </c>
      <c r="D56" s="24">
        <v>367.32859999999999</v>
      </c>
      <c r="E56" s="203">
        <f t="shared" si="0"/>
        <v>2.4698416880750784</v>
      </c>
      <c r="F56" s="24">
        <v>14268.32</v>
      </c>
      <c r="G56" s="23">
        <v>15476.99</v>
      </c>
      <c r="I56"/>
      <c r="J56" t="s">
        <v>423</v>
      </c>
      <c r="K56">
        <v>20725.080000000002</v>
      </c>
      <c r="L56">
        <v>2503.3130000000001</v>
      </c>
      <c r="M56" s="1">
        <v>12.078665076322986</v>
      </c>
      <c r="N56">
        <v>15818.06</v>
      </c>
      <c r="O56">
        <v>25632.1</v>
      </c>
      <c r="P56" s="12"/>
      <c r="Q56"/>
      <c r="R56"/>
    </row>
    <row r="57" spans="1:18" x14ac:dyDescent="0.35">
      <c r="A57" s="40" t="s">
        <v>325</v>
      </c>
      <c r="B57" s="39" t="s">
        <v>421</v>
      </c>
      <c r="C57" s="20">
        <v>14253.76759512195</v>
      </c>
      <c r="D57" s="20" t="s">
        <v>289</v>
      </c>
      <c r="E57" s="20" t="s">
        <v>289</v>
      </c>
      <c r="F57" s="20" t="s">
        <v>289</v>
      </c>
      <c r="G57" s="19" t="s">
        <v>289</v>
      </c>
      <c r="I57"/>
      <c r="J57" t="s">
        <v>325</v>
      </c>
      <c r="K57">
        <v>25884.33</v>
      </c>
      <c r="L57">
        <v>4134.7700000000004</v>
      </c>
      <c r="M57" s="1">
        <v>15.97402752939713</v>
      </c>
      <c r="N57">
        <v>17779.32</v>
      </c>
      <c r="O57">
        <v>33989.339999999997</v>
      </c>
      <c r="P57" s="12"/>
      <c r="Q57"/>
      <c r="R57"/>
    </row>
    <row r="58" spans="1:18" ht="30" customHeight="1" x14ac:dyDescent="0.35">
      <c r="A58" s="425" t="s">
        <v>1353</v>
      </c>
      <c r="B58" s="426"/>
      <c r="C58" s="426"/>
      <c r="D58" s="426"/>
      <c r="E58" s="426"/>
      <c r="F58" s="426"/>
      <c r="G58" s="426"/>
      <c r="I58"/>
      <c r="J58"/>
      <c r="K58"/>
      <c r="L58"/>
      <c r="M58" s="1"/>
      <c r="N58"/>
      <c r="O58"/>
      <c r="P58" s="12"/>
      <c r="Q58"/>
      <c r="R58"/>
    </row>
    <row r="59" spans="1:18" x14ac:dyDescent="0.35">
      <c r="A59" s="427" t="s">
        <v>1337</v>
      </c>
      <c r="B59" s="427"/>
      <c r="C59" s="427"/>
      <c r="D59" s="427"/>
      <c r="E59" s="427"/>
      <c r="F59" s="427"/>
      <c r="G59" s="427"/>
      <c r="I59"/>
      <c r="J59"/>
      <c r="K59"/>
      <c r="L59"/>
      <c r="M59" s="1"/>
      <c r="N59"/>
      <c r="O59"/>
      <c r="P59" s="12"/>
      <c r="Q59"/>
      <c r="R59"/>
    </row>
    <row r="60" spans="1:18" x14ac:dyDescent="0.35">
      <c r="A60" s="3"/>
      <c r="B60" s="3"/>
      <c r="C60" s="3"/>
      <c r="D60" s="3"/>
      <c r="I60"/>
      <c r="J60"/>
      <c r="K60"/>
      <c r="L60"/>
      <c r="M60" s="1"/>
      <c r="N60"/>
      <c r="O60"/>
      <c r="P60" s="12"/>
      <c r="Q60"/>
      <c r="R60"/>
    </row>
    <row r="61" spans="1:18" ht="25" customHeight="1" x14ac:dyDescent="0.35">
      <c r="A61" s="411" t="s">
        <v>1038</v>
      </c>
      <c r="B61" s="411" t="s">
        <v>1037</v>
      </c>
      <c r="C61" s="419" t="s">
        <v>91</v>
      </c>
      <c r="D61" s="419" t="s">
        <v>90</v>
      </c>
      <c r="E61" s="419" t="s">
        <v>89</v>
      </c>
      <c r="F61" s="419" t="s">
        <v>1186</v>
      </c>
      <c r="G61" s="419"/>
      <c r="I61"/>
      <c r="J61"/>
      <c r="K61"/>
      <c r="L61"/>
      <c r="M61" s="1"/>
      <c r="N61"/>
      <c r="O61"/>
      <c r="P61" s="12"/>
      <c r="Q61"/>
      <c r="R61"/>
    </row>
    <row r="62" spans="1:18" ht="25" customHeight="1" x14ac:dyDescent="0.35">
      <c r="A62" s="412"/>
      <c r="B62" s="412"/>
      <c r="C62" s="419"/>
      <c r="D62" s="419"/>
      <c r="E62" s="419"/>
      <c r="F62" s="5" t="s">
        <v>88</v>
      </c>
      <c r="G62" s="5" t="s">
        <v>87</v>
      </c>
      <c r="I62"/>
      <c r="J62"/>
      <c r="K62"/>
      <c r="L62"/>
      <c r="M62" s="1"/>
      <c r="N62"/>
      <c r="O62"/>
      <c r="P62" s="12"/>
      <c r="Q62"/>
      <c r="R62"/>
    </row>
    <row r="63" spans="1:18" x14ac:dyDescent="0.35">
      <c r="A63" s="38"/>
      <c r="B63" s="37"/>
      <c r="C63" s="36"/>
      <c r="D63" s="36"/>
      <c r="E63" s="36"/>
      <c r="F63" s="36"/>
      <c r="G63" s="35"/>
      <c r="I63"/>
      <c r="J63"/>
      <c r="K63"/>
      <c r="L63"/>
      <c r="M63" s="1"/>
      <c r="N63"/>
      <c r="O63"/>
      <c r="P63" s="12"/>
      <c r="Q63"/>
      <c r="R63"/>
    </row>
    <row r="64" spans="1:18" x14ac:dyDescent="0.35">
      <c r="A64" s="4" t="s">
        <v>400</v>
      </c>
      <c r="B64" s="31" t="s">
        <v>1036</v>
      </c>
      <c r="C64" s="29">
        <v>13163.221196874452</v>
      </c>
      <c r="D64" s="29">
        <v>471.84289999999999</v>
      </c>
      <c r="E64" s="202">
        <f>D64/C64*100</f>
        <v>3.5845549728514552</v>
      </c>
      <c r="F64" s="29">
        <v>12386.69</v>
      </c>
      <c r="G64" s="28">
        <v>13939.25</v>
      </c>
      <c r="I64"/>
      <c r="J64" t="s">
        <v>1035</v>
      </c>
      <c r="K64">
        <v>17501.09</v>
      </c>
      <c r="L64">
        <v>453.16239999999999</v>
      </c>
      <c r="M64" s="1">
        <v>2.5893381497952412</v>
      </c>
      <c r="N64">
        <v>16612.79</v>
      </c>
      <c r="O64">
        <v>18389.38</v>
      </c>
      <c r="P64" s="12"/>
      <c r="Q64"/>
      <c r="R64"/>
    </row>
    <row r="65" spans="1:18" x14ac:dyDescent="0.35">
      <c r="A65" s="4" t="s">
        <v>1033</v>
      </c>
      <c r="B65" s="31" t="s">
        <v>1034</v>
      </c>
      <c r="C65" s="29">
        <v>15705.539763205828</v>
      </c>
      <c r="D65" s="29">
        <v>324.2353</v>
      </c>
      <c r="E65" s="202">
        <f t="shared" ref="E65:E105" si="1">D65/C65*100</f>
        <v>2.0644645449219299</v>
      </c>
      <c r="F65" s="29">
        <v>15173.45</v>
      </c>
      <c r="G65" s="28">
        <v>16240.32</v>
      </c>
      <c r="I65"/>
      <c r="J65" t="s">
        <v>1033</v>
      </c>
      <c r="K65">
        <v>30731.47</v>
      </c>
      <c r="L65">
        <v>1663.165</v>
      </c>
      <c r="M65" s="1">
        <v>5.4119279032210299</v>
      </c>
      <c r="N65">
        <v>27471.32</v>
      </c>
      <c r="O65">
        <v>33991.61</v>
      </c>
      <c r="P65" s="12"/>
      <c r="Q65"/>
      <c r="R65"/>
    </row>
    <row r="66" spans="1:18" x14ac:dyDescent="0.35">
      <c r="A66" s="33" t="s">
        <v>301</v>
      </c>
      <c r="B66" s="32" t="s">
        <v>370</v>
      </c>
      <c r="C66" s="24">
        <v>16901.18746896552</v>
      </c>
      <c r="D66" s="24" t="s">
        <v>289</v>
      </c>
      <c r="E66" s="24" t="s">
        <v>289</v>
      </c>
      <c r="F66" s="24" t="s">
        <v>289</v>
      </c>
      <c r="G66" s="23" t="s">
        <v>289</v>
      </c>
      <c r="I66"/>
      <c r="J66" t="s">
        <v>301</v>
      </c>
      <c r="K66">
        <v>27267.41</v>
      </c>
      <c r="L66">
        <v>3711.2359999999999</v>
      </c>
      <c r="M66" s="1">
        <v>13.610518930840881</v>
      </c>
      <c r="N66">
        <v>19992.61</v>
      </c>
      <c r="O66">
        <v>34542.199999999997</v>
      </c>
      <c r="P66" s="12"/>
      <c r="Q66"/>
      <c r="R66"/>
    </row>
    <row r="67" spans="1:18" ht="26" x14ac:dyDescent="0.35">
      <c r="A67" s="33" t="s">
        <v>1341</v>
      </c>
      <c r="B67" s="32" t="s">
        <v>1250</v>
      </c>
      <c r="C67" s="24">
        <v>17830.605742537311</v>
      </c>
      <c r="D67" s="24" t="s">
        <v>289</v>
      </c>
      <c r="E67" s="24" t="s">
        <v>289</v>
      </c>
      <c r="F67" s="24" t="s">
        <v>289</v>
      </c>
      <c r="G67" s="23" t="s">
        <v>289</v>
      </c>
      <c r="I67"/>
      <c r="J67" t="s">
        <v>1031</v>
      </c>
      <c r="K67">
        <v>21295.41</v>
      </c>
      <c r="L67">
        <v>1125.377</v>
      </c>
      <c r="M67" s="1">
        <v>5.2845988877415362</v>
      </c>
      <c r="N67">
        <v>19089.439999999999</v>
      </c>
      <c r="O67">
        <v>23501.39</v>
      </c>
      <c r="P67" s="12"/>
      <c r="Q67"/>
      <c r="R67"/>
    </row>
    <row r="68" spans="1:18" x14ac:dyDescent="0.35">
      <c r="A68" s="33" t="s">
        <v>1188</v>
      </c>
      <c r="B68" s="32" t="s">
        <v>1256</v>
      </c>
      <c r="C68" s="24">
        <v>13880.166455026454</v>
      </c>
      <c r="D68" s="24">
        <v>844.13379999999995</v>
      </c>
      <c r="E68" s="203">
        <f t="shared" si="1"/>
        <v>6.08158268659892</v>
      </c>
      <c r="F68" s="24">
        <v>12517.32</v>
      </c>
      <c r="G68" s="23">
        <v>15294.88</v>
      </c>
      <c r="I68"/>
      <c r="J68" t="s">
        <v>291</v>
      </c>
      <c r="K68">
        <v>25527.27</v>
      </c>
      <c r="L68" t="s">
        <v>289</v>
      </c>
      <c r="M68" s="1" t="e">
        <v>#VALUE!</v>
      </c>
      <c r="N68" t="s">
        <v>289</v>
      </c>
      <c r="O68" t="s">
        <v>289</v>
      </c>
      <c r="P68" s="12"/>
      <c r="Q68"/>
      <c r="R68"/>
    </row>
    <row r="69" spans="1:18" x14ac:dyDescent="0.35">
      <c r="A69" s="33" t="s">
        <v>295</v>
      </c>
      <c r="B69" s="32" t="s">
        <v>323</v>
      </c>
      <c r="C69" s="24">
        <v>13885.882144781146</v>
      </c>
      <c r="D69" s="24">
        <v>581.69569999999999</v>
      </c>
      <c r="E69" s="203">
        <f t="shared" si="1"/>
        <v>4.189115923172543</v>
      </c>
      <c r="F69" s="24">
        <v>12921.48</v>
      </c>
      <c r="G69" s="23">
        <v>14835.51</v>
      </c>
      <c r="I69"/>
      <c r="J69" t="s">
        <v>295</v>
      </c>
      <c r="K69">
        <v>22235.06</v>
      </c>
      <c r="L69">
        <v>4017.373</v>
      </c>
      <c r="M69" s="1">
        <v>18.067740766159389</v>
      </c>
      <c r="N69">
        <v>14360.17</v>
      </c>
      <c r="O69">
        <v>30109.94</v>
      </c>
      <c r="P69" s="12"/>
      <c r="Q69"/>
      <c r="R69"/>
    </row>
    <row r="70" spans="1:18" x14ac:dyDescent="0.35">
      <c r="A70" s="33" t="s">
        <v>279</v>
      </c>
      <c r="B70" s="32" t="s">
        <v>1029</v>
      </c>
      <c r="C70" s="24">
        <v>17705.567583076921</v>
      </c>
      <c r="D70" s="24">
        <v>642.96270000000004</v>
      </c>
      <c r="E70" s="203">
        <f t="shared" si="1"/>
        <v>3.6314153555548669</v>
      </c>
      <c r="F70" s="24">
        <v>16638.63</v>
      </c>
      <c r="G70" s="23">
        <v>18754.25</v>
      </c>
      <c r="I70"/>
      <c r="J70" t="s">
        <v>279</v>
      </c>
      <c r="K70">
        <v>36887.360000000001</v>
      </c>
      <c r="L70">
        <v>3012.3519999999999</v>
      </c>
      <c r="M70" s="1">
        <v>8.1663529187233781</v>
      </c>
      <c r="N70">
        <v>30982.52</v>
      </c>
      <c r="O70">
        <v>42792.19</v>
      </c>
      <c r="P70" s="12"/>
      <c r="Q70"/>
      <c r="R70"/>
    </row>
    <row r="71" spans="1:18" x14ac:dyDescent="0.35">
      <c r="A71" s="33" t="s">
        <v>252</v>
      </c>
      <c r="B71" s="32" t="s">
        <v>277</v>
      </c>
      <c r="C71" s="24">
        <v>15578.306892026578</v>
      </c>
      <c r="D71" s="24" t="s">
        <v>289</v>
      </c>
      <c r="E71" s="24" t="s">
        <v>289</v>
      </c>
      <c r="F71" s="24" t="s">
        <v>289</v>
      </c>
      <c r="G71" s="23" t="s">
        <v>289</v>
      </c>
      <c r="I71"/>
      <c r="J71" t="s">
        <v>252</v>
      </c>
      <c r="K71">
        <v>32149.49</v>
      </c>
      <c r="L71">
        <v>2996.152</v>
      </c>
      <c r="M71" s="1">
        <v>9.3194386598356616</v>
      </c>
      <c r="N71">
        <v>26276.400000000001</v>
      </c>
      <c r="O71">
        <v>38022.57</v>
      </c>
      <c r="P71" s="12"/>
      <c r="Q71"/>
      <c r="R71"/>
    </row>
    <row r="72" spans="1:18" x14ac:dyDescent="0.35">
      <c r="A72" s="4" t="s">
        <v>1027</v>
      </c>
      <c r="B72" s="31" t="s">
        <v>1028</v>
      </c>
      <c r="C72" s="29">
        <v>12593.43961525974</v>
      </c>
      <c r="D72" s="29">
        <v>412.13350000000003</v>
      </c>
      <c r="E72" s="202">
        <f t="shared" si="1"/>
        <v>3.2726047258813158</v>
      </c>
      <c r="F72" s="29">
        <v>11916.32</v>
      </c>
      <c r="G72" s="28">
        <v>13272.41</v>
      </c>
      <c r="I72"/>
      <c r="J72" t="s">
        <v>1027</v>
      </c>
      <c r="K72">
        <v>20118.64</v>
      </c>
      <c r="L72">
        <v>850.62239999999997</v>
      </c>
      <c r="M72" s="1">
        <v>4.2280313182203173</v>
      </c>
      <c r="N72">
        <v>18451.25</v>
      </c>
      <c r="O72">
        <v>21786.04</v>
      </c>
      <c r="P72" s="12"/>
      <c r="Q72"/>
      <c r="R72"/>
    </row>
    <row r="73" spans="1:18" ht="26" x14ac:dyDescent="0.35">
      <c r="A73" s="34" t="s">
        <v>1189</v>
      </c>
      <c r="B73" s="32" t="s">
        <v>1342</v>
      </c>
      <c r="C73" s="24">
        <v>12645.298581758845</v>
      </c>
      <c r="D73" s="24">
        <v>442.88560000000001</v>
      </c>
      <c r="E73" s="203">
        <f t="shared" si="1"/>
        <v>3.502373606574015</v>
      </c>
      <c r="F73" s="24">
        <v>11916.09</v>
      </c>
      <c r="G73" s="23">
        <v>13373.37</v>
      </c>
      <c r="I73"/>
      <c r="J73" t="s">
        <v>229</v>
      </c>
      <c r="K73">
        <v>19610.349999999999</v>
      </c>
      <c r="L73">
        <v>958.24609999999996</v>
      </c>
      <c r="M73" s="1">
        <v>4.8864303798759323</v>
      </c>
      <c r="N73">
        <v>17731.990000000002</v>
      </c>
      <c r="O73">
        <v>21488.71</v>
      </c>
      <c r="P73" s="12"/>
      <c r="Q73"/>
      <c r="R73"/>
    </row>
    <row r="74" spans="1:18" ht="26" x14ac:dyDescent="0.35">
      <c r="A74" s="33" t="s">
        <v>209</v>
      </c>
      <c r="B74" s="32" t="s">
        <v>1343</v>
      </c>
      <c r="C74" s="24">
        <v>13100.491950495049</v>
      </c>
      <c r="D74" s="24" t="s">
        <v>289</v>
      </c>
      <c r="E74" s="24" t="s">
        <v>289</v>
      </c>
      <c r="F74" s="24" t="s">
        <v>289</v>
      </c>
      <c r="G74" s="23" t="s">
        <v>289</v>
      </c>
      <c r="I74"/>
      <c r="J74" t="s">
        <v>209</v>
      </c>
      <c r="K74">
        <v>23015.14</v>
      </c>
      <c r="L74">
        <v>1252.316</v>
      </c>
      <c r="M74" s="1">
        <v>5.4412703985289683</v>
      </c>
      <c r="N74">
        <v>20560.34</v>
      </c>
      <c r="O74">
        <v>25469.94</v>
      </c>
      <c r="P74" s="12"/>
      <c r="Q74"/>
      <c r="R74"/>
    </row>
    <row r="75" spans="1:18" ht="15" customHeight="1" x14ac:dyDescent="0.35">
      <c r="A75" s="33" t="s">
        <v>1026</v>
      </c>
      <c r="B75" s="32" t="s">
        <v>1099</v>
      </c>
      <c r="C75" s="24">
        <v>11150.466101694916</v>
      </c>
      <c r="D75" s="24" t="s">
        <v>289</v>
      </c>
      <c r="E75" s="24" t="s">
        <v>289</v>
      </c>
      <c r="F75" s="24" t="s">
        <v>289</v>
      </c>
      <c r="G75" s="23" t="s">
        <v>289</v>
      </c>
      <c r="I75"/>
      <c r="J75" t="s">
        <v>1026</v>
      </c>
      <c r="K75">
        <v>23457.46</v>
      </c>
      <c r="L75">
        <v>2224.5459999999998</v>
      </c>
      <c r="M75" s="1">
        <v>9.4833200184504189</v>
      </c>
      <c r="N75">
        <v>19096.88</v>
      </c>
      <c r="O75">
        <v>27818.03</v>
      </c>
      <c r="P75" s="12"/>
      <c r="Q75"/>
      <c r="R75"/>
    </row>
    <row r="76" spans="1:18" ht="15" customHeight="1" x14ac:dyDescent="0.35">
      <c r="A76" s="4" t="s">
        <v>192</v>
      </c>
      <c r="B76" s="31" t="s">
        <v>1025</v>
      </c>
      <c r="C76" s="29">
        <v>14181.899967201012</v>
      </c>
      <c r="D76" s="29">
        <v>230.5607</v>
      </c>
      <c r="E76" s="202">
        <f t="shared" si="1"/>
        <v>1.6257391501366247</v>
      </c>
      <c r="F76" s="29">
        <v>13802.03</v>
      </c>
      <c r="G76" s="28">
        <v>14560.68</v>
      </c>
      <c r="I76"/>
      <c r="J76" t="s">
        <v>192</v>
      </c>
      <c r="K76">
        <v>21870.25</v>
      </c>
      <c r="L76">
        <v>1041.2639999999999</v>
      </c>
      <c r="M76" s="1">
        <v>4.761097838387764</v>
      </c>
      <c r="N76">
        <v>19829.16</v>
      </c>
      <c r="O76">
        <v>23911.34</v>
      </c>
      <c r="P76" s="12"/>
      <c r="Q76"/>
      <c r="R76"/>
    </row>
    <row r="77" spans="1:18" ht="15" customHeight="1" x14ac:dyDescent="0.35">
      <c r="A77" s="4" t="s">
        <v>1023</v>
      </c>
      <c r="B77" s="31" t="s">
        <v>1024</v>
      </c>
      <c r="C77" s="29">
        <v>14380.550156865565</v>
      </c>
      <c r="D77" s="29">
        <v>296.81420000000003</v>
      </c>
      <c r="E77" s="202">
        <f t="shared" si="1"/>
        <v>2.0639975297349449</v>
      </c>
      <c r="F77" s="29">
        <v>13892.9</v>
      </c>
      <c r="G77" s="28">
        <v>14869.54</v>
      </c>
      <c r="I77"/>
      <c r="J77" t="s">
        <v>1023</v>
      </c>
      <c r="K77">
        <v>25442.78</v>
      </c>
      <c r="L77">
        <v>2095.2130000000002</v>
      </c>
      <c r="M77" s="1">
        <v>8.2350002633360049</v>
      </c>
      <c r="N77">
        <v>21335.73</v>
      </c>
      <c r="O77">
        <v>29549.83</v>
      </c>
      <c r="P77" s="12"/>
      <c r="Q77"/>
      <c r="R77"/>
    </row>
    <row r="78" spans="1:18" ht="15" customHeight="1" x14ac:dyDescent="0.35">
      <c r="A78" s="33" t="s">
        <v>1022</v>
      </c>
      <c r="B78" s="32" t="s">
        <v>1267</v>
      </c>
      <c r="C78" s="24">
        <v>18756.410485416665</v>
      </c>
      <c r="D78" s="24">
        <v>502.14049999999997</v>
      </c>
      <c r="E78" s="203">
        <f t="shared" si="1"/>
        <v>2.677167363075255</v>
      </c>
      <c r="F78" s="24">
        <v>17930.740000000002</v>
      </c>
      <c r="G78" s="23">
        <v>19583</v>
      </c>
      <c r="I78"/>
      <c r="J78"/>
      <c r="K78"/>
      <c r="L78"/>
      <c r="M78" s="1"/>
      <c r="N78"/>
      <c r="O78"/>
      <c r="P78" s="12"/>
      <c r="Q78"/>
      <c r="R78"/>
    </row>
    <row r="79" spans="1:18" ht="15" customHeight="1" x14ac:dyDescent="0.35">
      <c r="A79" s="33" t="s">
        <v>1190</v>
      </c>
      <c r="B79" s="32" t="s">
        <v>1270</v>
      </c>
      <c r="C79" s="24">
        <v>15919.070477341389</v>
      </c>
      <c r="D79" s="24">
        <v>174.31809999999999</v>
      </c>
      <c r="E79" s="203">
        <f t="shared" si="1"/>
        <v>1.0950268751439844</v>
      </c>
      <c r="F79" s="24">
        <v>15634.44</v>
      </c>
      <c r="G79" s="23">
        <v>16208.02</v>
      </c>
      <c r="I79"/>
      <c r="J79"/>
      <c r="K79"/>
      <c r="L79"/>
      <c r="M79" s="1"/>
      <c r="N79"/>
      <c r="O79"/>
      <c r="P79" s="12"/>
      <c r="Q79"/>
      <c r="R79"/>
    </row>
    <row r="80" spans="1:18" ht="15" customHeight="1" x14ac:dyDescent="0.35">
      <c r="A80" s="33" t="s">
        <v>1191</v>
      </c>
      <c r="B80" s="32" t="s">
        <v>1272</v>
      </c>
      <c r="C80" s="24">
        <v>13514.633034028073</v>
      </c>
      <c r="D80" s="24">
        <v>264.00920000000002</v>
      </c>
      <c r="E80" s="203">
        <f t="shared" si="1"/>
        <v>1.9535062427167613</v>
      </c>
      <c r="F80" s="24">
        <v>13080.71</v>
      </c>
      <c r="G80" s="23">
        <v>13949.41</v>
      </c>
      <c r="I80"/>
      <c r="J80"/>
      <c r="K80"/>
      <c r="L80"/>
      <c r="M80" s="1"/>
      <c r="N80"/>
      <c r="O80"/>
      <c r="P80" s="12"/>
      <c r="Q80"/>
      <c r="R80"/>
    </row>
    <row r="81" spans="1:18" ht="15" customHeight="1" x14ac:dyDescent="0.35">
      <c r="A81" s="33" t="s">
        <v>1192</v>
      </c>
      <c r="B81" s="32" t="s">
        <v>1275</v>
      </c>
      <c r="C81" s="24">
        <v>19356.848353846151</v>
      </c>
      <c r="D81" s="24">
        <v>1759.3630000000001</v>
      </c>
      <c r="E81" s="203">
        <f t="shared" si="1"/>
        <v>9.0890984308941984</v>
      </c>
      <c r="F81" s="24">
        <v>16430.349999999999</v>
      </c>
      <c r="G81" s="23">
        <v>22219.4</v>
      </c>
      <c r="I81"/>
      <c r="J81"/>
      <c r="K81"/>
      <c r="L81"/>
      <c r="M81" s="1"/>
      <c r="N81"/>
      <c r="O81"/>
      <c r="P81" s="12"/>
      <c r="Q81"/>
      <c r="R81"/>
    </row>
    <row r="82" spans="1:18" x14ac:dyDescent="0.35">
      <c r="A82" s="33" t="s">
        <v>1193</v>
      </c>
      <c r="B82" s="32" t="s">
        <v>1276</v>
      </c>
      <c r="C82" s="24">
        <v>13993.767577253218</v>
      </c>
      <c r="D82" s="24">
        <v>387.54469999999998</v>
      </c>
      <c r="E82" s="203">
        <f t="shared" si="1"/>
        <v>2.7694092949632196</v>
      </c>
      <c r="F82" s="24">
        <v>13351.42</v>
      </c>
      <c r="G82" s="23">
        <v>14626.61</v>
      </c>
      <c r="I82"/>
      <c r="J82" t="s">
        <v>1022</v>
      </c>
      <c r="K82">
        <v>29622.21</v>
      </c>
      <c r="L82">
        <v>2433.0839999999998</v>
      </c>
      <c r="M82" s="1">
        <v>8.213715316986816</v>
      </c>
      <c r="N82">
        <v>24852.86</v>
      </c>
      <c r="O82">
        <v>34391.56</v>
      </c>
      <c r="P82" s="12"/>
      <c r="Q82"/>
      <c r="R82"/>
    </row>
    <row r="83" spans="1:18" x14ac:dyDescent="0.35">
      <c r="A83" s="33" t="s">
        <v>1194</v>
      </c>
      <c r="B83" s="32" t="s">
        <v>1280</v>
      </c>
      <c r="C83" s="24">
        <v>15547.209514084509</v>
      </c>
      <c r="D83" s="24">
        <v>621.0095</v>
      </c>
      <c r="E83" s="203">
        <f t="shared" si="1"/>
        <v>3.9943470205210518</v>
      </c>
      <c r="F83" s="24">
        <v>14515.31</v>
      </c>
      <c r="G83" s="23">
        <v>16558.7</v>
      </c>
      <c r="I83"/>
      <c r="J83" t="s">
        <v>177</v>
      </c>
      <c r="K83">
        <v>22432.83</v>
      </c>
      <c r="L83">
        <v>3944.598</v>
      </c>
      <c r="M83" s="1">
        <v>17.584040890070487</v>
      </c>
      <c r="N83">
        <v>14700.59</v>
      </c>
      <c r="O83">
        <v>30165.06</v>
      </c>
      <c r="P83" s="12"/>
      <c r="Q83"/>
      <c r="R83"/>
    </row>
    <row r="84" spans="1:18" x14ac:dyDescent="0.35">
      <c r="A84" s="33" t="s">
        <v>1195</v>
      </c>
      <c r="B84" s="32" t="s">
        <v>1281</v>
      </c>
      <c r="C84" s="24">
        <v>12339.735965986394</v>
      </c>
      <c r="D84" s="24">
        <v>358.22770000000003</v>
      </c>
      <c r="E84" s="203">
        <f t="shared" si="1"/>
        <v>2.9030418558989366</v>
      </c>
      <c r="F84" s="24">
        <v>11757.11</v>
      </c>
      <c r="G84" s="23">
        <v>12935.83</v>
      </c>
      <c r="I84"/>
      <c r="J84" t="s">
        <v>150</v>
      </c>
      <c r="K84">
        <v>23455.09</v>
      </c>
      <c r="L84">
        <v>1767.671</v>
      </c>
      <c r="M84" s="1">
        <v>7.5364068097798818</v>
      </c>
      <c r="N84">
        <v>19990.080000000002</v>
      </c>
      <c r="O84">
        <v>26920.09</v>
      </c>
      <c r="P84" s="12"/>
      <c r="Q84"/>
      <c r="R84"/>
    </row>
    <row r="85" spans="1:18" ht="15" customHeight="1" x14ac:dyDescent="0.35">
      <c r="A85" s="4" t="s">
        <v>1020</v>
      </c>
      <c r="B85" s="31" t="s">
        <v>1021</v>
      </c>
      <c r="C85" s="29">
        <v>12592.076268473631</v>
      </c>
      <c r="D85" s="29">
        <v>274.75729999999999</v>
      </c>
      <c r="E85" s="202">
        <f t="shared" si="1"/>
        <v>2.1819856721158915</v>
      </c>
      <c r="F85" s="29">
        <v>12140.03</v>
      </c>
      <c r="G85" s="28">
        <v>13044.1</v>
      </c>
      <c r="I85"/>
      <c r="J85" t="s">
        <v>1020</v>
      </c>
      <c r="K85">
        <v>22363.03</v>
      </c>
      <c r="L85">
        <v>809.08720000000005</v>
      </c>
      <c r="M85" s="1">
        <v>3.6179676904247775</v>
      </c>
      <c r="N85">
        <v>20777.05</v>
      </c>
      <c r="O85">
        <v>23949.01</v>
      </c>
      <c r="P85" s="12"/>
      <c r="Q85"/>
      <c r="R85"/>
    </row>
    <row r="86" spans="1:18" ht="15" customHeight="1" x14ac:dyDescent="0.35">
      <c r="A86" s="33" t="s">
        <v>1019</v>
      </c>
      <c r="B86" s="32" t="s">
        <v>1285</v>
      </c>
      <c r="C86" s="24">
        <v>14070.508960957644</v>
      </c>
      <c r="D86" s="24">
        <v>554.20370000000003</v>
      </c>
      <c r="E86" s="203">
        <f t="shared" si="1"/>
        <v>3.9387608617270704</v>
      </c>
      <c r="F86" s="24">
        <v>13160.83</v>
      </c>
      <c r="G86" s="23">
        <v>14984.39</v>
      </c>
      <c r="I86"/>
      <c r="J86" t="s">
        <v>1019</v>
      </c>
      <c r="K86">
        <v>17235.03</v>
      </c>
      <c r="L86">
        <v>424.89429999999999</v>
      </c>
      <c r="M86" s="1">
        <v>2.4652948094665343</v>
      </c>
      <c r="N86">
        <v>16402.150000000001</v>
      </c>
      <c r="O86">
        <v>18067.91</v>
      </c>
      <c r="P86" s="12"/>
      <c r="Q86"/>
      <c r="R86"/>
    </row>
    <row r="87" spans="1:18" x14ac:dyDescent="0.35">
      <c r="A87" s="33" t="s">
        <v>1017</v>
      </c>
      <c r="B87" s="32" t="s">
        <v>1018</v>
      </c>
      <c r="C87" s="24">
        <v>12154.937399832963</v>
      </c>
      <c r="D87" s="24">
        <v>253.00579999999999</v>
      </c>
      <c r="E87" s="203">
        <f t="shared" si="1"/>
        <v>2.0815064008760498</v>
      </c>
      <c r="F87" s="24">
        <v>11738.67</v>
      </c>
      <c r="G87" s="23">
        <v>12571.17</v>
      </c>
      <c r="I87"/>
      <c r="J87" t="s">
        <v>1017</v>
      </c>
      <c r="K87">
        <v>21477.98</v>
      </c>
      <c r="L87">
        <v>1828.6669999999999</v>
      </c>
      <c r="M87" s="1">
        <v>8.5141479785342931</v>
      </c>
      <c r="N87">
        <v>17893.41</v>
      </c>
      <c r="O87">
        <v>25062.55</v>
      </c>
      <c r="P87" s="12"/>
      <c r="Q87"/>
      <c r="R87"/>
    </row>
    <row r="88" spans="1:18" ht="26" x14ac:dyDescent="0.35">
      <c r="A88" s="33" t="s">
        <v>135</v>
      </c>
      <c r="B88" s="32" t="s">
        <v>1344</v>
      </c>
      <c r="C88" s="24">
        <v>8523.0974034782612</v>
      </c>
      <c r="D88" s="24">
        <v>57.75206</v>
      </c>
      <c r="E88" s="203">
        <f t="shared" si="1"/>
        <v>0.67759474362491134</v>
      </c>
      <c r="F88" s="24">
        <v>8432.652</v>
      </c>
      <c r="G88" s="23">
        <v>8622.6810000000005</v>
      </c>
      <c r="I88"/>
      <c r="J88" t="s">
        <v>135</v>
      </c>
      <c r="K88">
        <v>20640.259999999998</v>
      </c>
      <c r="L88">
        <v>1514.194</v>
      </c>
      <c r="M88" s="1">
        <v>7.336118827960501</v>
      </c>
      <c r="N88">
        <v>17672.12</v>
      </c>
      <c r="O88">
        <v>23608.400000000001</v>
      </c>
      <c r="P88" s="12"/>
      <c r="Q88"/>
      <c r="R88"/>
    </row>
    <row r="89" spans="1:18" x14ac:dyDescent="0.35">
      <c r="A89" s="34" t="s">
        <v>1196</v>
      </c>
      <c r="B89" s="32" t="s">
        <v>1290</v>
      </c>
      <c r="C89" s="24">
        <v>13064.226442564559</v>
      </c>
      <c r="D89" s="24">
        <v>693.16120000000001</v>
      </c>
      <c r="E89" s="203">
        <f t="shared" si="1"/>
        <v>5.30579596922487</v>
      </c>
      <c r="F89" s="24">
        <v>11923.6</v>
      </c>
      <c r="G89" s="23">
        <v>14204.39</v>
      </c>
      <c r="I89"/>
      <c r="J89" t="s">
        <v>1016</v>
      </c>
      <c r="K89">
        <v>29217.93</v>
      </c>
      <c r="L89">
        <v>2980.944</v>
      </c>
      <c r="M89" s="1">
        <v>10.202447606657966</v>
      </c>
      <c r="N89">
        <v>23374.66</v>
      </c>
      <c r="O89">
        <v>35061.199999999997</v>
      </c>
      <c r="P89" s="12"/>
      <c r="Q89"/>
      <c r="R89"/>
    </row>
    <row r="90" spans="1:18" x14ac:dyDescent="0.35">
      <c r="A90" s="33" t="s">
        <v>1197</v>
      </c>
      <c r="B90" s="32" t="s">
        <v>1292</v>
      </c>
      <c r="C90" s="24">
        <v>15045.700370942035</v>
      </c>
      <c r="D90" s="24">
        <v>517.4479</v>
      </c>
      <c r="E90" s="203">
        <f t="shared" si="1"/>
        <v>3.4391745631154143</v>
      </c>
      <c r="F90" s="24">
        <v>14194.22</v>
      </c>
      <c r="G90" s="23">
        <v>15896.84</v>
      </c>
      <c r="I90"/>
      <c r="J90" t="s">
        <v>120</v>
      </c>
      <c r="K90">
        <v>25099.09</v>
      </c>
      <c r="L90">
        <v>1215.1849999999999</v>
      </c>
      <c r="M90" s="1">
        <v>4.8415500322920071</v>
      </c>
      <c r="N90">
        <v>22717.07</v>
      </c>
      <c r="O90">
        <v>27481.11</v>
      </c>
      <c r="P90" s="12"/>
      <c r="Q90"/>
      <c r="R90"/>
    </row>
    <row r="91" spans="1:18" ht="51" x14ac:dyDescent="0.35">
      <c r="A91" s="33" t="s">
        <v>1016</v>
      </c>
      <c r="B91" s="32" t="s">
        <v>1293</v>
      </c>
      <c r="C91" s="24">
        <v>14984.018663781231</v>
      </c>
      <c r="D91" s="24">
        <v>745.94529999999997</v>
      </c>
      <c r="E91" s="203">
        <f t="shared" si="1"/>
        <v>4.978272629912488</v>
      </c>
      <c r="F91" s="24">
        <v>13757.91</v>
      </c>
      <c r="G91" s="23">
        <v>16212.39</v>
      </c>
      <c r="I91"/>
      <c r="J91" t="s">
        <v>96</v>
      </c>
      <c r="K91">
        <v>24072.799999999999</v>
      </c>
      <c r="L91">
        <v>2826.692</v>
      </c>
      <c r="M91" s="1">
        <v>11.742265129108372</v>
      </c>
      <c r="N91">
        <v>18531.89</v>
      </c>
      <c r="O91">
        <v>29613.71</v>
      </c>
      <c r="P91" s="12"/>
      <c r="Q91"/>
      <c r="R91"/>
    </row>
    <row r="92" spans="1:18" x14ac:dyDescent="0.35">
      <c r="A92" s="33" t="s">
        <v>120</v>
      </c>
      <c r="B92" s="32" t="s">
        <v>1294</v>
      </c>
      <c r="C92" s="24">
        <v>17613.275168362834</v>
      </c>
      <c r="D92" s="24">
        <v>2526.4119999999998</v>
      </c>
      <c r="E92" s="203"/>
      <c r="F92" s="24">
        <v>13457.26</v>
      </c>
      <c r="G92" s="23">
        <v>21770.22</v>
      </c>
      <c r="I92"/>
      <c r="J92"/>
      <c r="K92"/>
      <c r="L92"/>
      <c r="M92" s="1"/>
      <c r="N92"/>
      <c r="O92"/>
      <c r="P92" s="12"/>
      <c r="Q92"/>
      <c r="R92"/>
    </row>
    <row r="93" spans="1:18" x14ac:dyDescent="0.35">
      <c r="A93" s="33" t="s">
        <v>96</v>
      </c>
      <c r="B93" s="32" t="s">
        <v>1297</v>
      </c>
      <c r="C93" s="24">
        <v>11115.478100803506</v>
      </c>
      <c r="D93" s="24">
        <v>24.308409999999999</v>
      </c>
      <c r="E93" s="203">
        <f t="shared" si="1"/>
        <v>0.21868973857492296</v>
      </c>
      <c r="F93" s="24">
        <v>11075.37</v>
      </c>
      <c r="G93" s="23">
        <v>11155.36</v>
      </c>
      <c r="I93"/>
      <c r="J93" t="s">
        <v>80</v>
      </c>
      <c r="K93">
        <v>25631.35</v>
      </c>
      <c r="L93">
        <v>2970.8090000000002</v>
      </c>
      <c r="M93" s="1">
        <v>11.590528786037414</v>
      </c>
      <c r="N93">
        <v>19807.939999999999</v>
      </c>
      <c r="O93">
        <v>31454.75</v>
      </c>
      <c r="P93" s="12"/>
      <c r="Q93"/>
      <c r="R93"/>
    </row>
    <row r="94" spans="1:18" x14ac:dyDescent="0.35">
      <c r="A94" s="4" t="s">
        <v>54</v>
      </c>
      <c r="B94" s="31" t="s">
        <v>1015</v>
      </c>
      <c r="C94" s="29">
        <v>12960.083166760649</v>
      </c>
      <c r="D94" s="29">
        <v>153.0539</v>
      </c>
      <c r="E94" s="202">
        <f t="shared" si="1"/>
        <v>1.1809638721497153</v>
      </c>
      <c r="F94" s="29">
        <v>12708.46</v>
      </c>
      <c r="G94" s="28">
        <v>13212.07</v>
      </c>
      <c r="I94"/>
      <c r="J94" t="s">
        <v>54</v>
      </c>
      <c r="K94">
        <v>18188</v>
      </c>
      <c r="L94">
        <v>460.14460000000003</v>
      </c>
      <c r="M94" s="1">
        <v>2.5299351220585002</v>
      </c>
      <c r="N94">
        <v>17286.02</v>
      </c>
      <c r="O94">
        <v>19089.98</v>
      </c>
      <c r="P94" s="12"/>
      <c r="Q94"/>
      <c r="R94"/>
    </row>
    <row r="95" spans="1:18" x14ac:dyDescent="0.35">
      <c r="A95" s="4" t="s">
        <v>1013</v>
      </c>
      <c r="B95" s="31" t="s">
        <v>1014</v>
      </c>
      <c r="C95" s="29">
        <v>12984.988126246695</v>
      </c>
      <c r="D95" s="29">
        <v>328.75490000000002</v>
      </c>
      <c r="E95" s="202">
        <f t="shared" si="1"/>
        <v>2.5318074749370334</v>
      </c>
      <c r="F95" s="29">
        <v>12443.66</v>
      </c>
      <c r="G95" s="28">
        <v>13525.4</v>
      </c>
      <c r="I95"/>
      <c r="J95" t="s">
        <v>1013</v>
      </c>
      <c r="K95">
        <v>16472.36</v>
      </c>
      <c r="L95">
        <v>409.35219999999998</v>
      </c>
      <c r="M95" s="1">
        <v>2.4850853186792903</v>
      </c>
      <c r="N95">
        <v>15669.94</v>
      </c>
      <c r="O95">
        <v>17274.78</v>
      </c>
      <c r="P95" s="12"/>
      <c r="Q95"/>
      <c r="R95"/>
    </row>
    <row r="96" spans="1:18" x14ac:dyDescent="0.35">
      <c r="A96" s="33" t="s">
        <v>22</v>
      </c>
      <c r="B96" s="32" t="s">
        <v>52</v>
      </c>
      <c r="C96" s="24">
        <v>13034.556056330472</v>
      </c>
      <c r="D96" s="24">
        <v>344.029</v>
      </c>
      <c r="E96" s="203">
        <f t="shared" si="1"/>
        <v>2.6393610838239172</v>
      </c>
      <c r="F96" s="24">
        <v>12468.08</v>
      </c>
      <c r="G96" s="23">
        <v>13600.08</v>
      </c>
      <c r="I96"/>
      <c r="J96" t="s">
        <v>22</v>
      </c>
      <c r="K96">
        <v>16195.03</v>
      </c>
      <c r="L96">
        <v>379.03039999999999</v>
      </c>
      <c r="M96" s="1">
        <v>2.3404118423985629</v>
      </c>
      <c r="N96">
        <v>15452.05</v>
      </c>
      <c r="O96">
        <v>16938.009999999998</v>
      </c>
      <c r="P96" s="12"/>
      <c r="Q96"/>
      <c r="R96"/>
    </row>
    <row r="97" spans="1:18" ht="26" x14ac:dyDescent="0.35">
      <c r="A97" s="33" t="s">
        <v>1012</v>
      </c>
      <c r="B97" s="32" t="s">
        <v>1011</v>
      </c>
      <c r="C97" s="24">
        <v>11971.51878427788</v>
      </c>
      <c r="D97" s="24">
        <v>124.4883</v>
      </c>
      <c r="E97" s="203">
        <f t="shared" si="1"/>
        <v>1.039870564823318</v>
      </c>
      <c r="F97" s="24">
        <v>11766.45</v>
      </c>
      <c r="G97" s="23">
        <v>12176.07</v>
      </c>
      <c r="I97"/>
      <c r="J97" t="s">
        <v>1010</v>
      </c>
      <c r="K97">
        <v>21715.39</v>
      </c>
      <c r="L97">
        <v>1954.598</v>
      </c>
      <c r="M97" s="1">
        <v>9.0009804106672746</v>
      </c>
      <c r="N97">
        <v>17883.97</v>
      </c>
      <c r="O97">
        <v>25546.81</v>
      </c>
      <c r="P97" s="12"/>
      <c r="Q97"/>
      <c r="R97"/>
    </row>
    <row r="98" spans="1:18" x14ac:dyDescent="0.35">
      <c r="A98" s="4" t="s">
        <v>1008</v>
      </c>
      <c r="B98" s="31" t="s">
        <v>1009</v>
      </c>
      <c r="C98" s="29">
        <v>14261.697312789016</v>
      </c>
      <c r="D98" s="29">
        <v>883.33969999999999</v>
      </c>
      <c r="E98" s="202">
        <f t="shared" si="1"/>
        <v>6.1937908274625562</v>
      </c>
      <c r="F98" s="29">
        <v>12808.26</v>
      </c>
      <c r="G98" s="28">
        <v>15714.82</v>
      </c>
      <c r="I98"/>
      <c r="J98" t="s">
        <v>1008</v>
      </c>
      <c r="K98">
        <v>18763.03</v>
      </c>
      <c r="L98">
        <v>1399.2049999999999</v>
      </c>
      <c r="M98" s="1">
        <v>7.4572443789729066</v>
      </c>
      <c r="N98">
        <v>16020.3</v>
      </c>
      <c r="O98">
        <v>21505.77</v>
      </c>
      <c r="P98" s="12"/>
      <c r="Q98"/>
      <c r="R98"/>
    </row>
    <row r="99" spans="1:18" x14ac:dyDescent="0.35">
      <c r="A99" s="33" t="s">
        <v>1200</v>
      </c>
      <c r="B99" s="32" t="s">
        <v>1309</v>
      </c>
      <c r="C99" s="24">
        <v>16643.357142857141</v>
      </c>
      <c r="D99" s="24" t="s">
        <v>289</v>
      </c>
      <c r="E99" s="24" t="s">
        <v>289</v>
      </c>
      <c r="F99" s="24" t="s">
        <v>289</v>
      </c>
      <c r="G99" s="23" t="s">
        <v>289</v>
      </c>
      <c r="I99"/>
      <c r="J99"/>
      <c r="K99"/>
      <c r="L99"/>
      <c r="M99" s="1"/>
      <c r="N99"/>
      <c r="O99"/>
      <c r="P99" s="12"/>
      <c r="Q99"/>
      <c r="R99"/>
    </row>
    <row r="100" spans="1:18" x14ac:dyDescent="0.35">
      <c r="A100" s="33" t="s">
        <v>1201</v>
      </c>
      <c r="B100" s="32" t="s">
        <v>1311</v>
      </c>
      <c r="C100" s="24">
        <v>14168.152722222223</v>
      </c>
      <c r="D100" s="24">
        <v>397.87740000000002</v>
      </c>
      <c r="E100" s="203">
        <f t="shared" si="1"/>
        <v>2.8082517728365821</v>
      </c>
      <c r="F100" s="24">
        <v>13497.86</v>
      </c>
      <c r="G100" s="23">
        <v>14807.05</v>
      </c>
      <c r="I100"/>
      <c r="J100"/>
      <c r="K100"/>
      <c r="L100"/>
      <c r="M100" s="1"/>
      <c r="N100"/>
      <c r="O100"/>
      <c r="P100" s="12"/>
      <c r="Q100"/>
      <c r="R100"/>
    </row>
    <row r="101" spans="1:18" x14ac:dyDescent="0.35">
      <c r="A101" s="33" t="s">
        <v>1202</v>
      </c>
      <c r="B101" s="32" t="s">
        <v>1312</v>
      </c>
      <c r="C101" s="24">
        <v>18616.736902265373</v>
      </c>
      <c r="D101" s="24">
        <v>1361.17</v>
      </c>
      <c r="E101" s="203">
        <f t="shared" si="1"/>
        <v>7.3115391120683801</v>
      </c>
      <c r="F101" s="24">
        <v>16378.42</v>
      </c>
      <c r="G101" s="23">
        <v>20857.240000000002</v>
      </c>
      <c r="I101"/>
      <c r="J101"/>
      <c r="K101"/>
      <c r="L101"/>
      <c r="M101" s="1"/>
      <c r="N101"/>
      <c r="O101"/>
      <c r="P101" s="12"/>
      <c r="Q101"/>
      <c r="R101"/>
    </row>
    <row r="102" spans="1:18" x14ac:dyDescent="0.35">
      <c r="A102" s="33" t="s">
        <v>1203</v>
      </c>
      <c r="B102" s="32" t="s">
        <v>1315</v>
      </c>
      <c r="C102" s="24">
        <v>11939.973902690326</v>
      </c>
      <c r="D102" s="24">
        <v>133.02760000000001</v>
      </c>
      <c r="E102" s="203">
        <f t="shared" si="1"/>
        <v>1.1141364385229193</v>
      </c>
      <c r="F102" s="24">
        <v>11721.16</v>
      </c>
      <c r="G102" s="23">
        <v>12158.88</v>
      </c>
      <c r="I102"/>
      <c r="J102"/>
      <c r="K102"/>
      <c r="L102"/>
      <c r="M102" s="1"/>
      <c r="N102"/>
      <c r="O102"/>
      <c r="P102" s="12"/>
      <c r="Q102"/>
      <c r="R102"/>
    </row>
    <row r="103" spans="1:18" x14ac:dyDescent="0.35">
      <c r="A103" s="4" t="s">
        <v>1006</v>
      </c>
      <c r="B103" s="31" t="s">
        <v>1007</v>
      </c>
      <c r="C103" s="29">
        <v>13714.821497064078</v>
      </c>
      <c r="D103" s="29">
        <v>180.3475</v>
      </c>
      <c r="E103" s="202">
        <f t="shared" si="1"/>
        <v>1.3149824810961401</v>
      </c>
      <c r="F103" s="29">
        <v>13418.04</v>
      </c>
      <c r="G103" s="28">
        <v>14011.46</v>
      </c>
      <c r="I103"/>
      <c r="J103" t="s">
        <v>1006</v>
      </c>
      <c r="K103">
        <v>21508.85</v>
      </c>
      <c r="L103">
        <v>4199.241</v>
      </c>
      <c r="M103" s="1">
        <v>19.523317146197961</v>
      </c>
      <c r="N103">
        <v>13277.47</v>
      </c>
      <c r="O103">
        <v>29740.240000000002</v>
      </c>
      <c r="P103" s="12"/>
      <c r="Q103"/>
      <c r="R103"/>
    </row>
    <row r="104" spans="1:18" x14ac:dyDescent="0.35">
      <c r="A104" s="27" t="s">
        <v>1004</v>
      </c>
      <c r="B104" s="26" t="s">
        <v>1005</v>
      </c>
      <c r="C104" s="24">
        <v>16098.001621349445</v>
      </c>
      <c r="D104" s="24">
        <v>53.258490000000002</v>
      </c>
      <c r="E104" s="203">
        <f t="shared" si="1"/>
        <v>0.33083913924674774</v>
      </c>
      <c r="F104" s="24">
        <v>16013.41</v>
      </c>
      <c r="G104" s="23">
        <v>16188.65</v>
      </c>
      <c r="I104"/>
      <c r="J104" t="s">
        <v>1004</v>
      </c>
      <c r="K104">
        <v>25435.99</v>
      </c>
      <c r="L104">
        <v>6024.2470000000003</v>
      </c>
      <c r="M104" s="1">
        <v>23.683949396111572</v>
      </c>
      <c r="N104">
        <v>13627.21</v>
      </c>
      <c r="O104">
        <v>37244.769999999997</v>
      </c>
      <c r="P104" s="12"/>
      <c r="Q104"/>
      <c r="R104"/>
    </row>
    <row r="105" spans="1:18" ht="25" x14ac:dyDescent="0.35">
      <c r="A105" s="22" t="s">
        <v>6</v>
      </c>
      <c r="B105" s="21" t="s">
        <v>1322</v>
      </c>
      <c r="C105" s="20">
        <v>12905.48570246238</v>
      </c>
      <c r="D105" s="20">
        <v>223.93109999999999</v>
      </c>
      <c r="E105" s="203">
        <f t="shared" si="1"/>
        <v>1.7351621253377061</v>
      </c>
      <c r="F105" s="20">
        <v>12536.16</v>
      </c>
      <c r="G105" s="19">
        <v>13272.99</v>
      </c>
      <c r="H105" s="18"/>
      <c r="I105"/>
      <c r="J105" t="s">
        <v>6</v>
      </c>
      <c r="K105">
        <v>15487</v>
      </c>
      <c r="L105">
        <v>644.15309999999999</v>
      </c>
      <c r="M105" s="1">
        <v>4.1593149092787494</v>
      </c>
      <c r="N105">
        <v>14224.33</v>
      </c>
      <c r="O105">
        <v>16749.68</v>
      </c>
      <c r="P105" s="12"/>
      <c r="Q105"/>
      <c r="R105"/>
    </row>
    <row r="106" spans="1:18" s="13" customFormat="1" ht="21.75" customHeight="1" x14ac:dyDescent="0.3">
      <c r="A106" s="227" t="s">
        <v>94</v>
      </c>
      <c r="B106" s="16"/>
      <c r="C106" s="16"/>
      <c r="D106" s="17"/>
      <c r="E106" s="16"/>
      <c r="F106" s="16"/>
      <c r="G106" s="16"/>
      <c r="H106" s="14"/>
    </row>
    <row r="107" spans="1:18" s="13" customFormat="1" ht="15" customHeight="1" x14ac:dyDescent="0.3">
      <c r="A107" s="7" t="s">
        <v>93</v>
      </c>
      <c r="B107" s="14"/>
      <c r="C107" s="14"/>
      <c r="D107" s="15"/>
      <c r="E107" s="14"/>
      <c r="F107" s="14"/>
      <c r="G107" s="14"/>
      <c r="H107" s="14"/>
    </row>
    <row r="108" spans="1:18" ht="15" customHeight="1" x14ac:dyDescent="0.35">
      <c r="A108" s="7" t="s">
        <v>1356</v>
      </c>
    </row>
  </sheetData>
  <mergeCells count="16">
    <mergeCell ref="A58:G58"/>
    <mergeCell ref="A59:G59"/>
    <mergeCell ref="A61:A62"/>
    <mergeCell ref="B61:B62"/>
    <mergeCell ref="C61:C62"/>
    <mergeCell ref="D61:D62"/>
    <mergeCell ref="E61:E62"/>
    <mergeCell ref="F61:G61"/>
    <mergeCell ref="A1:G1"/>
    <mergeCell ref="A2:G2"/>
    <mergeCell ref="A4:A5"/>
    <mergeCell ref="B4:B5"/>
    <mergeCell ref="C4:C5"/>
    <mergeCell ref="D4:D5"/>
    <mergeCell ref="E4:E5"/>
    <mergeCell ref="F4:G4"/>
  </mergeCells>
  <pageMargins left="0.70866141732283472" right="0.70866141732283472" top="0.55118110236220474" bottom="0.23622047244094491" header="0.31496062992125984" footer="0.31496062992125984"/>
  <pageSetup paperSize="9" scale="63" firstPageNumber="11" orientation="portrait" useFirstPageNumber="1" r:id="rId1"/>
  <headerFooter>
    <oddFooter>&amp;C&amp;"Arial,Regular"&amp;12&amp;P</oddFooter>
  </headerFooter>
  <rowBreaks count="1" manualBreakCount="1">
    <brk id="57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5210-701A-4C00-8AE0-E5FA174469C2}">
  <dimension ref="A1:N29"/>
  <sheetViews>
    <sheetView view="pageBreakPreview" zoomScale="130" zoomScaleNormal="100" zoomScaleSheetLayoutView="130" workbookViewId="0">
      <selection activeCell="B8" sqref="B8"/>
    </sheetView>
  </sheetViews>
  <sheetFormatPr defaultRowHeight="14.5" x14ac:dyDescent="0.35"/>
  <cols>
    <col min="1" max="1" width="50.7265625" style="11" customWidth="1"/>
    <col min="2" max="3" width="13.54296875" style="11" customWidth="1"/>
    <col min="4" max="6" width="13.54296875" customWidth="1"/>
    <col min="8" max="13" width="0" hidden="1" customWidth="1"/>
  </cols>
  <sheetData>
    <row r="1" spans="1:14" ht="30" customHeight="1" x14ac:dyDescent="0.35">
      <c r="A1" s="425" t="s">
        <v>1392</v>
      </c>
      <c r="B1" s="425"/>
      <c r="C1" s="425"/>
      <c r="D1" s="425"/>
      <c r="E1" s="425"/>
      <c r="F1" s="425"/>
      <c r="G1" s="65"/>
    </row>
    <row r="2" spans="1:14" x14ac:dyDescent="0.35">
      <c r="A2" s="427" t="s">
        <v>1337</v>
      </c>
      <c r="B2" s="427"/>
      <c r="C2" s="427"/>
      <c r="D2" s="427"/>
      <c r="E2" s="427"/>
      <c r="F2" s="427"/>
    </row>
    <row r="3" spans="1:14" x14ac:dyDescent="0.35">
      <c r="A3" s="3"/>
      <c r="B3" s="3"/>
      <c r="C3" s="3"/>
    </row>
    <row r="4" spans="1:14" ht="25" customHeight="1" x14ac:dyDescent="0.35">
      <c r="A4" s="419" t="s">
        <v>1094</v>
      </c>
      <c r="B4" s="419" t="s">
        <v>91</v>
      </c>
      <c r="C4" s="419" t="s">
        <v>90</v>
      </c>
      <c r="D4" s="419" t="s">
        <v>89</v>
      </c>
      <c r="E4" s="419" t="s">
        <v>1186</v>
      </c>
      <c r="F4" s="419"/>
    </row>
    <row r="5" spans="1:14" ht="25" customHeight="1" x14ac:dyDescent="0.35">
      <c r="A5" s="419"/>
      <c r="B5" s="419"/>
      <c r="C5" s="419"/>
      <c r="D5" s="419"/>
      <c r="E5" s="5" t="s">
        <v>88</v>
      </c>
      <c r="F5" s="5" t="s">
        <v>87</v>
      </c>
    </row>
    <row r="6" spans="1:14" x14ac:dyDescent="0.35">
      <c r="A6" s="58"/>
      <c r="B6" s="64"/>
      <c r="C6" s="64"/>
      <c r="D6" s="63"/>
      <c r="E6" s="63"/>
      <c r="F6" s="9"/>
    </row>
    <row r="7" spans="1:14" x14ac:dyDescent="0.35">
      <c r="A7" s="57" t="s">
        <v>1093</v>
      </c>
      <c r="B7" s="29">
        <v>19720.59</v>
      </c>
      <c r="C7" s="62">
        <v>313.22300000000001</v>
      </c>
      <c r="D7" s="30">
        <f>C7/B7*100</f>
        <v>1.588304406713998</v>
      </c>
      <c r="E7" s="29">
        <v>19205.34</v>
      </c>
      <c r="F7" s="28">
        <v>20235.849999999999</v>
      </c>
      <c r="H7" t="s">
        <v>991</v>
      </c>
      <c r="I7">
        <v>19676.46</v>
      </c>
      <c r="J7">
        <v>236.8646</v>
      </c>
      <c r="K7" s="1">
        <v>1.2037968211761669</v>
      </c>
      <c r="L7" s="1">
        <v>19212.16</v>
      </c>
      <c r="M7">
        <v>20140.759999999998</v>
      </c>
      <c r="N7" s="12"/>
    </row>
    <row r="8" spans="1:14" x14ac:dyDescent="0.35">
      <c r="A8" s="57"/>
      <c r="B8" s="29"/>
      <c r="C8" s="61"/>
      <c r="D8" s="30"/>
      <c r="E8" s="29"/>
      <c r="F8" s="28"/>
      <c r="K8" s="1"/>
      <c r="L8" s="1"/>
    </row>
    <row r="9" spans="1:14" x14ac:dyDescent="0.35">
      <c r="A9" s="56" t="s">
        <v>1092</v>
      </c>
      <c r="B9" s="24">
        <v>22902.85</v>
      </c>
      <c r="C9" s="60">
        <v>347.11970000000002</v>
      </c>
      <c r="D9" s="25">
        <f>C9/B9*100</f>
        <v>1.5156179252800419</v>
      </c>
      <c r="E9" s="24">
        <v>22331.83</v>
      </c>
      <c r="F9" s="23">
        <v>23473.87</v>
      </c>
      <c r="H9">
        <v>13</v>
      </c>
      <c r="I9">
        <v>24529.97</v>
      </c>
      <c r="J9">
        <v>471.34890000000001</v>
      </c>
      <c r="K9" s="1">
        <v>1.9215225293793672</v>
      </c>
      <c r="L9" s="1">
        <v>23606.03</v>
      </c>
      <c r="M9">
        <v>25453.91</v>
      </c>
      <c r="N9" s="12"/>
    </row>
    <row r="10" spans="1:14" x14ac:dyDescent="0.35">
      <c r="A10" s="56" t="s">
        <v>1077</v>
      </c>
      <c r="B10" s="24">
        <v>17782.84</v>
      </c>
      <c r="C10" s="60">
        <v>428.49430000000001</v>
      </c>
      <c r="D10" s="25">
        <f t="shared" ref="D10:D24" si="0">C10/B10*100</f>
        <v>2.409594305521503</v>
      </c>
      <c r="E10" s="24">
        <v>17077.96</v>
      </c>
      <c r="F10" s="23">
        <v>18487.72</v>
      </c>
      <c r="H10">
        <v>14</v>
      </c>
      <c r="I10">
        <v>17638.759999999998</v>
      </c>
      <c r="J10">
        <v>1311.6030000000001</v>
      </c>
      <c r="K10" s="1">
        <v>7.4359138624257044</v>
      </c>
      <c r="L10" s="1">
        <v>15067.74</v>
      </c>
      <c r="M10">
        <v>20209.77</v>
      </c>
      <c r="N10" s="12"/>
    </row>
    <row r="11" spans="1:14" x14ac:dyDescent="0.35">
      <c r="A11" s="56" t="s">
        <v>1091</v>
      </c>
      <c r="B11" s="24">
        <v>15637.1</v>
      </c>
      <c r="C11" s="60">
        <v>209.85810000000001</v>
      </c>
      <c r="D11" s="25">
        <f t="shared" si="0"/>
        <v>1.3420525545017938</v>
      </c>
      <c r="E11" s="24">
        <v>15291.88</v>
      </c>
      <c r="F11" s="23">
        <v>15982.32</v>
      </c>
      <c r="H11">
        <v>1</v>
      </c>
      <c r="I11">
        <v>14989.04</v>
      </c>
      <c r="J11">
        <v>416.4126</v>
      </c>
      <c r="K11" s="1">
        <v>2.778113875204816</v>
      </c>
      <c r="L11" s="1">
        <v>14172.79</v>
      </c>
      <c r="M11">
        <v>15805.3</v>
      </c>
      <c r="N11" s="12"/>
    </row>
    <row r="12" spans="1:14" x14ac:dyDescent="0.35">
      <c r="A12" s="56" t="s">
        <v>1090</v>
      </c>
      <c r="B12" s="24">
        <v>16182.67</v>
      </c>
      <c r="C12" s="60">
        <v>195.98169999999999</v>
      </c>
      <c r="D12" s="25">
        <f t="shared" si="0"/>
        <v>1.2110591144724572</v>
      </c>
      <c r="E12" s="24">
        <v>15860.27</v>
      </c>
      <c r="F12" s="23">
        <v>16505.060000000001</v>
      </c>
      <c r="H12">
        <v>2</v>
      </c>
      <c r="I12">
        <v>17037.71</v>
      </c>
      <c r="J12">
        <v>600.5883</v>
      </c>
      <c r="K12" s="1">
        <v>3.52505295606041</v>
      </c>
      <c r="L12" s="1">
        <v>15860.44</v>
      </c>
      <c r="M12">
        <v>18214.990000000002</v>
      </c>
      <c r="N12" s="12"/>
    </row>
    <row r="13" spans="1:14" x14ac:dyDescent="0.35">
      <c r="A13" s="56" t="s">
        <v>1089</v>
      </c>
      <c r="B13" s="24">
        <v>20843.78</v>
      </c>
      <c r="C13" s="60">
        <v>1684.694</v>
      </c>
      <c r="D13" s="25">
        <f t="shared" si="0"/>
        <v>8.0824783220701821</v>
      </c>
      <c r="E13" s="24">
        <v>18072.439999999999</v>
      </c>
      <c r="F13" s="23">
        <v>23615.13</v>
      </c>
      <c r="H13">
        <v>3</v>
      </c>
      <c r="I13">
        <v>20028.55</v>
      </c>
      <c r="J13">
        <v>413.5718</v>
      </c>
      <c r="K13" s="1">
        <v>2.064911339063487</v>
      </c>
      <c r="L13" s="1">
        <v>19217.86</v>
      </c>
      <c r="M13">
        <v>20839.240000000002</v>
      </c>
      <c r="N13" s="12"/>
    </row>
    <row r="14" spans="1:14" x14ac:dyDescent="0.35">
      <c r="A14" s="56" t="s">
        <v>1088</v>
      </c>
      <c r="B14" s="24">
        <v>18817.14</v>
      </c>
      <c r="C14" s="60">
        <v>365.02050000000003</v>
      </c>
      <c r="D14" s="25">
        <f t="shared" si="0"/>
        <v>1.9398298572471697</v>
      </c>
      <c r="E14" s="24">
        <v>18216.68</v>
      </c>
      <c r="F14" s="23">
        <v>19417.61</v>
      </c>
      <c r="H14">
        <v>4</v>
      </c>
      <c r="I14">
        <v>17724.14</v>
      </c>
      <c r="J14">
        <v>326.0179</v>
      </c>
      <c r="K14" s="1">
        <v>1.8394003883968417</v>
      </c>
      <c r="L14" s="1">
        <v>17085.080000000002</v>
      </c>
      <c r="M14">
        <v>18363.21</v>
      </c>
      <c r="N14" s="12"/>
    </row>
    <row r="15" spans="1:14" x14ac:dyDescent="0.35">
      <c r="A15" s="56" t="s">
        <v>1087</v>
      </c>
      <c r="B15" s="24">
        <v>14610.27</v>
      </c>
      <c r="C15" s="60">
        <v>289.05959999999999</v>
      </c>
      <c r="D15" s="25">
        <f t="shared" si="0"/>
        <v>1.9784685703960296</v>
      </c>
      <c r="E15" s="24">
        <v>14134.77</v>
      </c>
      <c r="F15" s="23">
        <v>15085.78</v>
      </c>
      <c r="H15">
        <v>17</v>
      </c>
      <c r="I15">
        <v>14077.97</v>
      </c>
      <c r="J15">
        <v>482.90899999999999</v>
      </c>
      <c r="K15" s="1">
        <v>3.4302459800667284</v>
      </c>
      <c r="L15" s="1">
        <v>13131.36</v>
      </c>
      <c r="M15">
        <v>15024.57</v>
      </c>
      <c r="N15" s="12"/>
    </row>
    <row r="16" spans="1:14" x14ac:dyDescent="0.35">
      <c r="A16" s="56" t="s">
        <v>1086</v>
      </c>
      <c r="B16" s="24">
        <v>14458.22</v>
      </c>
      <c r="C16" s="60">
        <v>250.8083</v>
      </c>
      <c r="D16" s="25">
        <f t="shared" si="0"/>
        <v>1.734710773525372</v>
      </c>
      <c r="E16" s="24">
        <v>14045.64</v>
      </c>
      <c r="F16" s="23">
        <v>14870.81</v>
      </c>
      <c r="H16">
        <v>5</v>
      </c>
      <c r="I16">
        <v>13729.99</v>
      </c>
      <c r="J16">
        <v>561.76779999999997</v>
      </c>
      <c r="K16" s="1">
        <v>4.0915383041065585</v>
      </c>
      <c r="L16" s="1">
        <v>12628.81</v>
      </c>
      <c r="M16">
        <v>14831.17</v>
      </c>
      <c r="N16" s="12"/>
    </row>
    <row r="17" spans="1:14" x14ac:dyDescent="0.35">
      <c r="A17" s="56" t="s">
        <v>1085</v>
      </c>
      <c r="B17" s="24">
        <v>15846.16</v>
      </c>
      <c r="C17" s="60">
        <v>226.19130000000001</v>
      </c>
      <c r="D17" s="25">
        <f t="shared" si="0"/>
        <v>1.4274202709047492</v>
      </c>
      <c r="E17" s="24">
        <v>15474.07</v>
      </c>
      <c r="F17" s="23">
        <v>16218.24</v>
      </c>
      <c r="H17">
        <v>6</v>
      </c>
      <c r="I17">
        <v>16170.63</v>
      </c>
      <c r="J17">
        <v>356.15100000000001</v>
      </c>
      <c r="K17" s="1">
        <v>2.202455933998861</v>
      </c>
      <c r="L17" s="1">
        <v>15472.5</v>
      </c>
      <c r="M17">
        <v>16868.759999999998</v>
      </c>
      <c r="N17" s="12"/>
    </row>
    <row r="18" spans="1:14" x14ac:dyDescent="0.35">
      <c r="A18" s="56" t="s">
        <v>1084</v>
      </c>
      <c r="B18" s="24">
        <v>24852.38</v>
      </c>
      <c r="C18" s="60">
        <v>1432.1289999999999</v>
      </c>
      <c r="D18" s="25">
        <f t="shared" si="0"/>
        <v>5.7625426619100457</v>
      </c>
      <c r="E18" s="24">
        <v>22496.51</v>
      </c>
      <c r="F18" s="23">
        <v>27208.26</v>
      </c>
      <c r="H18">
        <v>7</v>
      </c>
      <c r="I18">
        <v>18989.41</v>
      </c>
      <c r="J18">
        <v>476.8965</v>
      </c>
      <c r="K18" s="1">
        <v>2.5113813436015127</v>
      </c>
      <c r="L18" s="1">
        <v>18054.59</v>
      </c>
      <c r="M18">
        <v>19924.22</v>
      </c>
      <c r="N18" s="12"/>
    </row>
    <row r="19" spans="1:14" x14ac:dyDescent="0.35">
      <c r="A19" s="56" t="s">
        <v>1083</v>
      </c>
      <c r="B19" s="24">
        <v>15243.05</v>
      </c>
      <c r="C19" s="60">
        <v>315.32760000000002</v>
      </c>
      <c r="D19" s="25">
        <f t="shared" si="0"/>
        <v>2.0686647357320225</v>
      </c>
      <c r="E19" s="24">
        <v>14724.33</v>
      </c>
      <c r="F19" s="23">
        <v>15761.77</v>
      </c>
      <c r="H19">
        <v>8</v>
      </c>
      <c r="I19">
        <v>14344.19</v>
      </c>
      <c r="J19">
        <v>723.07119999999998</v>
      </c>
      <c r="K19" s="1">
        <v>5.0408646288148713</v>
      </c>
      <c r="L19" s="1">
        <v>12926.82</v>
      </c>
      <c r="M19">
        <v>15761.56</v>
      </c>
      <c r="N19" s="12"/>
    </row>
    <row r="20" spans="1:14" x14ac:dyDescent="0.35">
      <c r="A20" s="56" t="s">
        <v>1082</v>
      </c>
      <c r="B20" s="24">
        <v>13620.91</v>
      </c>
      <c r="C20" s="60">
        <v>363.63810000000001</v>
      </c>
      <c r="D20" s="25">
        <f t="shared" si="0"/>
        <v>2.669704887558908</v>
      </c>
      <c r="E20" s="24">
        <v>13022.72</v>
      </c>
      <c r="F20" s="23">
        <v>14219.1</v>
      </c>
      <c r="H20">
        <v>9</v>
      </c>
      <c r="I20">
        <v>13893.49</v>
      </c>
      <c r="J20">
        <v>583.01049999999998</v>
      </c>
      <c r="K20" s="1">
        <v>4.1962854545546149</v>
      </c>
      <c r="L20" s="1">
        <v>12750.67</v>
      </c>
      <c r="M20">
        <v>15036.31</v>
      </c>
      <c r="N20" s="12"/>
    </row>
    <row r="21" spans="1:14" x14ac:dyDescent="0.35">
      <c r="A21" s="56" t="s">
        <v>1081</v>
      </c>
      <c r="B21" s="24">
        <v>15405.99</v>
      </c>
      <c r="C21" s="60">
        <v>159.9699</v>
      </c>
      <c r="D21" s="25">
        <f t="shared" si="0"/>
        <v>1.0383617021690914</v>
      </c>
      <c r="E21" s="24">
        <v>15142.84</v>
      </c>
      <c r="F21" s="23">
        <v>15669.14</v>
      </c>
      <c r="H21">
        <v>10</v>
      </c>
      <c r="I21">
        <v>15114.06</v>
      </c>
      <c r="J21">
        <v>397.9196</v>
      </c>
      <c r="K21" s="1">
        <v>2.6327776917651513</v>
      </c>
      <c r="L21" s="1">
        <v>14334.05</v>
      </c>
      <c r="M21">
        <v>15894.06</v>
      </c>
      <c r="N21" s="12"/>
    </row>
    <row r="22" spans="1:14" x14ac:dyDescent="0.35">
      <c r="A22" s="56" t="s">
        <v>1080</v>
      </c>
      <c r="B22" s="24">
        <v>15717.97</v>
      </c>
      <c r="C22" s="60">
        <v>223.0035</v>
      </c>
      <c r="D22" s="25">
        <f t="shared" si="0"/>
        <v>1.418780542271044</v>
      </c>
      <c r="E22" s="24">
        <v>15351.13</v>
      </c>
      <c r="F22" s="23">
        <v>16084.82</v>
      </c>
      <c r="H22">
        <v>11</v>
      </c>
      <c r="I22">
        <v>15540.16</v>
      </c>
      <c r="J22">
        <v>413.65800000000002</v>
      </c>
      <c r="K22" s="1">
        <v>2.6618644853077447</v>
      </c>
      <c r="L22" s="1">
        <v>14729.31</v>
      </c>
      <c r="M22">
        <v>16351.02</v>
      </c>
      <c r="N22" s="12"/>
    </row>
    <row r="23" spans="1:14" x14ac:dyDescent="0.35">
      <c r="A23" s="56" t="s">
        <v>1079</v>
      </c>
      <c r="B23" s="24">
        <v>14297.79</v>
      </c>
      <c r="C23" s="60">
        <v>165.55690000000001</v>
      </c>
      <c r="D23" s="25">
        <f t="shared" si="0"/>
        <v>1.1579195106376581</v>
      </c>
      <c r="E23" s="24">
        <v>14025.45</v>
      </c>
      <c r="F23" s="23">
        <v>14570.14</v>
      </c>
      <c r="H23">
        <v>12</v>
      </c>
      <c r="I23">
        <v>13806.55</v>
      </c>
      <c r="J23">
        <v>321.97230000000002</v>
      </c>
      <c r="K23" s="1">
        <v>2.3320257414053476</v>
      </c>
      <c r="L23" s="1">
        <v>13175.42</v>
      </c>
      <c r="M23">
        <v>14437.68</v>
      </c>
      <c r="N23" s="12"/>
    </row>
    <row r="24" spans="1:14" x14ac:dyDescent="0.35">
      <c r="A24" s="56" t="s">
        <v>1346</v>
      </c>
      <c r="B24" s="24">
        <v>15953.06</v>
      </c>
      <c r="C24" s="60">
        <v>370.97179999999997</v>
      </c>
      <c r="D24" s="25">
        <f t="shared" si="0"/>
        <v>2.3253958801634296</v>
      </c>
      <c r="E24" s="24">
        <v>15342.81</v>
      </c>
      <c r="F24" s="23">
        <v>16563.310000000001</v>
      </c>
      <c r="H24">
        <v>16</v>
      </c>
      <c r="I24">
        <v>14787.39</v>
      </c>
      <c r="J24">
        <v>599.98310000000004</v>
      </c>
      <c r="K24" s="1">
        <v>4.057396876663157</v>
      </c>
      <c r="L24" s="1">
        <v>13611.29</v>
      </c>
      <c r="M24">
        <v>15963.48</v>
      </c>
      <c r="N24" s="12"/>
    </row>
    <row r="25" spans="1:14" x14ac:dyDescent="0.35">
      <c r="A25" s="55" t="s">
        <v>1076</v>
      </c>
      <c r="B25" s="20">
        <v>13346.65</v>
      </c>
      <c r="C25" s="59" t="s">
        <v>996</v>
      </c>
      <c r="D25" s="59" t="s">
        <v>996</v>
      </c>
      <c r="E25" s="59" t="s">
        <v>996</v>
      </c>
      <c r="F25" s="59" t="s">
        <v>996</v>
      </c>
      <c r="H25">
        <v>15</v>
      </c>
      <c r="I25">
        <v>16162.99</v>
      </c>
      <c r="J25">
        <v>2204.1889999999999</v>
      </c>
      <c r="K25" s="1">
        <v>13.637260185151383</v>
      </c>
      <c r="L25" s="1">
        <v>11842.32</v>
      </c>
      <c r="M25">
        <v>20483.66</v>
      </c>
      <c r="N25" s="12"/>
    </row>
    <row r="26" spans="1:14" x14ac:dyDescent="0.35">
      <c r="A26" s="54"/>
      <c r="B26" s="53"/>
      <c r="C26" s="53"/>
    </row>
    <row r="27" spans="1:14" s="13" customFormat="1" ht="15" customHeight="1" x14ac:dyDescent="0.3">
      <c r="A27" s="7" t="s">
        <v>1096</v>
      </c>
      <c r="B27" s="14"/>
      <c r="C27" s="14"/>
      <c r="D27" s="15"/>
      <c r="E27" s="14"/>
      <c r="F27" s="14"/>
      <c r="G27" s="14"/>
      <c r="H27" s="14"/>
    </row>
    <row r="28" spans="1:14" s="13" customFormat="1" ht="15" customHeight="1" x14ac:dyDescent="0.3">
      <c r="A28" s="7" t="s">
        <v>1095</v>
      </c>
      <c r="B28" s="14"/>
      <c r="C28" s="14"/>
      <c r="D28" s="15"/>
      <c r="E28" s="14"/>
      <c r="F28" s="14"/>
      <c r="G28" s="14"/>
      <c r="H28" s="14"/>
    </row>
    <row r="29" spans="1:14" x14ac:dyDescent="0.35">
      <c r="A29" s="7" t="s">
        <v>1356</v>
      </c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scale="73" firstPageNumber="15" orientation="portrait" useFirstPageNumber="1" r:id="rId1"/>
  <headerFooter>
    <oddFooter>&amp;C&amp;"Arial,Regular"&amp;12&amp;P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777E-52C8-4F66-A51D-4CCEA67072F2}">
  <dimension ref="A1:XEX149"/>
  <sheetViews>
    <sheetView zoomScale="115" zoomScaleNormal="115" zoomScaleSheetLayoutView="115" zoomScalePageLayoutView="70" workbookViewId="0">
      <selection activeCell="D15" sqref="D15"/>
    </sheetView>
  </sheetViews>
  <sheetFormatPr defaultColWidth="9.1796875" defaultRowHeight="12.5" x14ac:dyDescent="0.25"/>
  <cols>
    <col min="1" max="1" width="15.7265625" style="76" customWidth="1"/>
    <col min="2" max="2" width="49.7265625" style="86" customWidth="1"/>
    <col min="3" max="7" width="13.26953125" style="76" customWidth="1"/>
    <col min="8" max="16384" width="9.1796875" style="76"/>
  </cols>
  <sheetData>
    <row r="1" spans="1:11" s="75" customFormat="1" ht="25.5" customHeight="1" x14ac:dyDescent="0.3">
      <c r="A1" s="428" t="s">
        <v>1354</v>
      </c>
      <c r="B1" s="428"/>
      <c r="C1" s="428"/>
      <c r="D1" s="428"/>
      <c r="E1" s="428"/>
      <c r="F1" s="428"/>
      <c r="G1" s="428"/>
    </row>
    <row r="2" spans="1:11" ht="12.75" customHeight="1" x14ac:dyDescent="0.25">
      <c r="A2" s="429" t="s">
        <v>1337</v>
      </c>
      <c r="B2" s="429"/>
      <c r="C2" s="429"/>
      <c r="D2" s="429"/>
      <c r="E2" s="429"/>
      <c r="F2" s="429"/>
      <c r="G2" s="429"/>
      <c r="H2" s="104"/>
    </row>
    <row r="3" spans="1:11" ht="12.75" customHeight="1" x14ac:dyDescent="0.25">
      <c r="A3" s="77"/>
      <c r="B3" s="238"/>
      <c r="C3" s="77"/>
      <c r="D3" s="77"/>
      <c r="E3" s="77"/>
      <c r="F3" s="77"/>
      <c r="G3" s="77"/>
    </row>
    <row r="4" spans="1:11" ht="15" customHeight="1" x14ac:dyDescent="0.25">
      <c r="A4" s="430" t="s">
        <v>1038</v>
      </c>
      <c r="B4" s="430" t="s">
        <v>1037</v>
      </c>
      <c r="C4" s="419" t="s">
        <v>1371</v>
      </c>
      <c r="D4" s="419" t="s">
        <v>90</v>
      </c>
      <c r="E4" s="419" t="s">
        <v>89</v>
      </c>
      <c r="F4" s="419" t="s">
        <v>1186</v>
      </c>
      <c r="G4" s="419"/>
    </row>
    <row r="5" spans="1:11" ht="50.15" customHeight="1" x14ac:dyDescent="0.25">
      <c r="A5" s="430"/>
      <c r="B5" s="430"/>
      <c r="C5" s="419"/>
      <c r="D5" s="419"/>
      <c r="E5" s="419"/>
      <c r="F5" s="5" t="s">
        <v>88</v>
      </c>
      <c r="G5" s="5" t="s">
        <v>87</v>
      </c>
    </row>
    <row r="6" spans="1:11" x14ac:dyDescent="0.25">
      <c r="A6" s="78"/>
      <c r="B6" s="79"/>
      <c r="C6" s="79"/>
      <c r="D6" s="80"/>
      <c r="E6" s="80"/>
      <c r="F6" s="80"/>
      <c r="G6" s="246"/>
    </row>
    <row r="7" spans="1:11" s="83" customFormat="1" ht="18" customHeight="1" x14ac:dyDescent="0.3">
      <c r="A7" s="81"/>
      <c r="B7" s="247" t="s">
        <v>1073</v>
      </c>
      <c r="C7" s="248">
        <v>20309.03</v>
      </c>
      <c r="D7" s="248">
        <v>282.03250000000003</v>
      </c>
      <c r="E7" s="249">
        <f>IF(C7&lt;&gt;"",D7/C7*100,"")</f>
        <v>1.3887049258384081</v>
      </c>
      <c r="F7" s="248">
        <v>19845.09</v>
      </c>
      <c r="G7" s="250">
        <v>20772.97</v>
      </c>
      <c r="H7" s="82"/>
    </row>
    <row r="8" spans="1:11" s="83" customFormat="1" ht="9.75" customHeight="1" x14ac:dyDescent="0.3">
      <c r="A8" s="81"/>
      <c r="B8" s="251"/>
      <c r="C8" s="252"/>
      <c r="D8" s="91"/>
      <c r="E8" s="105"/>
      <c r="F8" s="91"/>
      <c r="G8" s="253"/>
    </row>
    <row r="9" spans="1:11" s="83" customFormat="1" ht="14.25" customHeight="1" x14ac:dyDescent="0.3">
      <c r="A9" s="84" t="s">
        <v>1071</v>
      </c>
      <c r="B9" s="111" t="s">
        <v>1072</v>
      </c>
      <c r="C9" s="248">
        <v>14191.2</v>
      </c>
      <c r="D9" s="248">
        <v>877.2441</v>
      </c>
      <c r="E9" s="249">
        <f>IF(C9&lt;&gt;"",D9/C9*100,"")</f>
        <v>6.1816062066632842</v>
      </c>
      <c r="F9" s="248">
        <v>12748.15</v>
      </c>
      <c r="G9" s="250">
        <v>15634.25</v>
      </c>
      <c r="H9" s="82"/>
    </row>
    <row r="10" spans="1:11" s="83" customFormat="1" ht="27.75" customHeight="1" x14ac:dyDescent="0.3">
      <c r="A10" s="85" t="s">
        <v>992</v>
      </c>
      <c r="B10" s="97" t="s">
        <v>1070</v>
      </c>
      <c r="C10" s="254">
        <v>14233.06</v>
      </c>
      <c r="D10" s="254">
        <v>1005.151</v>
      </c>
      <c r="E10" s="255">
        <f>IF(C10&lt;&gt;"",D10/C10*100,"")</f>
        <v>7.0620864381938944</v>
      </c>
      <c r="F10" s="254">
        <v>12579.6</v>
      </c>
      <c r="G10" s="256">
        <v>15886.51</v>
      </c>
      <c r="H10" s="82"/>
    </row>
    <row r="11" spans="1:11" ht="14" x14ac:dyDescent="0.3">
      <c r="A11" s="85" t="s">
        <v>704</v>
      </c>
      <c r="B11" s="90" t="s">
        <v>990</v>
      </c>
      <c r="C11" s="254">
        <v>13918.07</v>
      </c>
      <c r="D11" s="254">
        <v>466.4522</v>
      </c>
      <c r="E11" s="255">
        <f>IF(C11&lt;&gt;"",D11/C11*100,"")</f>
        <v>3.3514143843219641</v>
      </c>
      <c r="F11" s="254">
        <v>13150.76</v>
      </c>
      <c r="G11" s="256">
        <v>14685.38</v>
      </c>
      <c r="H11" s="82"/>
    </row>
    <row r="12" spans="1:11" ht="14" x14ac:dyDescent="0.3">
      <c r="A12" s="87"/>
      <c r="B12" s="90"/>
      <c r="C12" s="254"/>
      <c r="D12" s="254"/>
      <c r="E12" s="254"/>
      <c r="F12" s="254"/>
      <c r="G12" s="256"/>
    </row>
    <row r="13" spans="1:11" s="83" customFormat="1" ht="14" x14ac:dyDescent="0.3">
      <c r="A13" s="88" t="s">
        <v>1068</v>
      </c>
      <c r="B13" s="111" t="s">
        <v>1069</v>
      </c>
      <c r="C13" s="248">
        <v>19505.169999999998</v>
      </c>
      <c r="D13" s="248">
        <v>1087.2929999999999</v>
      </c>
      <c r="E13" s="249">
        <f>IF(C13&lt;&gt;"",D13/C13*100,"")</f>
        <v>5.5743836121397559</v>
      </c>
      <c r="F13" s="248">
        <v>17716.59</v>
      </c>
      <c r="G13" s="250">
        <v>21293.74</v>
      </c>
      <c r="H13" s="82"/>
    </row>
    <row r="14" spans="1:11" s="83" customFormat="1" ht="24.75" customHeight="1" x14ac:dyDescent="0.3">
      <c r="A14" s="85" t="s">
        <v>1106</v>
      </c>
      <c r="B14" s="90" t="s">
        <v>1067</v>
      </c>
      <c r="C14" s="254">
        <v>17885.23</v>
      </c>
      <c r="D14" s="254">
        <v>409.08530000000002</v>
      </c>
      <c r="E14" s="255">
        <f>IF(C14&lt;&gt;"",D14/C14*100,"")</f>
        <v>2.2872800629346117</v>
      </c>
      <c r="F14" s="254">
        <v>17212.29</v>
      </c>
      <c r="G14" s="256">
        <v>18558.169999999998</v>
      </c>
      <c r="H14" s="82"/>
      <c r="K14" s="83" t="s">
        <v>1107</v>
      </c>
    </row>
    <row r="15" spans="1:11" ht="12" customHeight="1" x14ac:dyDescent="0.3">
      <c r="A15" s="85" t="s">
        <v>506</v>
      </c>
      <c r="B15" s="90" t="s">
        <v>1066</v>
      </c>
      <c r="C15" s="254">
        <v>20129.22</v>
      </c>
      <c r="D15" s="254">
        <v>1438.8330000000001</v>
      </c>
      <c r="E15" s="255">
        <f>IF(C15&lt;&gt;"",D15/C15*100,"")</f>
        <v>7.1479818890150728</v>
      </c>
      <c r="F15" s="254">
        <v>17762.37</v>
      </c>
      <c r="G15" s="256">
        <v>22496.080000000002</v>
      </c>
      <c r="H15" s="82"/>
    </row>
    <row r="16" spans="1:11" ht="14" x14ac:dyDescent="0.3">
      <c r="A16" s="85" t="s">
        <v>1064</v>
      </c>
      <c r="B16" s="90" t="s">
        <v>1065</v>
      </c>
      <c r="C16" s="254">
        <v>17393.419999999998</v>
      </c>
      <c r="D16" s="254">
        <v>1359.635</v>
      </c>
      <c r="E16" s="255">
        <f>IF(C16&lt;&gt;"",D16/C16*100,"")</f>
        <v>7.8169503179938165</v>
      </c>
      <c r="F16" s="254">
        <v>15156.84</v>
      </c>
      <c r="G16" s="256">
        <v>19629.990000000002</v>
      </c>
      <c r="H16" s="82"/>
    </row>
    <row r="17" spans="1:16378" ht="14" x14ac:dyDescent="0.3">
      <c r="A17" s="89"/>
      <c r="B17" s="90"/>
      <c r="C17" s="254"/>
      <c r="D17" s="254"/>
      <c r="E17" s="255"/>
      <c r="F17" s="254"/>
      <c r="G17" s="256"/>
    </row>
    <row r="18" spans="1:16378" s="83" customFormat="1" ht="14" x14ac:dyDescent="0.3">
      <c r="A18" s="88" t="s">
        <v>1062</v>
      </c>
      <c r="B18" s="111" t="s">
        <v>1063</v>
      </c>
      <c r="C18" s="248">
        <v>18280.05</v>
      </c>
      <c r="D18" s="248">
        <v>355.82920000000001</v>
      </c>
      <c r="E18" s="249">
        <f t="shared" ref="E18:E29" si="0">IF(C18&lt;&gt;"",D18/C18*100,"")</f>
        <v>1.9465439098908375</v>
      </c>
      <c r="F18" s="248">
        <v>17694.72</v>
      </c>
      <c r="G18" s="250">
        <v>18865.39</v>
      </c>
      <c r="H18" s="82"/>
    </row>
    <row r="19" spans="1:16378" ht="14" x14ac:dyDescent="0.3">
      <c r="A19" s="85" t="s">
        <v>330</v>
      </c>
      <c r="B19" s="90" t="s">
        <v>1061</v>
      </c>
      <c r="C19" s="254">
        <v>17238.689999999999</v>
      </c>
      <c r="D19" s="254">
        <v>535.25009999999997</v>
      </c>
      <c r="E19" s="255">
        <f t="shared" si="0"/>
        <v>3.1049348877437906</v>
      </c>
      <c r="F19" s="254">
        <v>16358.21</v>
      </c>
      <c r="G19" s="256">
        <v>18119.16</v>
      </c>
      <c r="H19" s="82"/>
    </row>
    <row r="20" spans="1:16378" ht="14" x14ac:dyDescent="0.3">
      <c r="A20" s="85" t="s">
        <v>443</v>
      </c>
      <c r="B20" s="90" t="s">
        <v>973</v>
      </c>
      <c r="C20" s="254">
        <v>24150.37</v>
      </c>
      <c r="D20" s="254">
        <v>1421.6289999999999</v>
      </c>
      <c r="E20" s="255">
        <f t="shared" si="0"/>
        <v>5.886572338229187</v>
      </c>
      <c r="F20" s="254">
        <v>21811.82</v>
      </c>
      <c r="G20" s="256">
        <v>26488.93</v>
      </c>
      <c r="H20" s="82"/>
    </row>
    <row r="21" spans="1:16378" ht="14" x14ac:dyDescent="0.3">
      <c r="A21" s="85" t="s">
        <v>1059</v>
      </c>
      <c r="B21" s="90" t="s">
        <v>1060</v>
      </c>
      <c r="C21" s="254">
        <v>33756.61</v>
      </c>
      <c r="D21" s="254">
        <v>8802.4310000000005</v>
      </c>
      <c r="E21" s="255">
        <f t="shared" si="0"/>
        <v>26.076169970859041</v>
      </c>
      <c r="F21" s="254">
        <v>19276.759999999998</v>
      </c>
      <c r="G21" s="256">
        <v>48236.46</v>
      </c>
      <c r="H21" s="82"/>
    </row>
    <row r="22" spans="1:16378" ht="14.25" customHeight="1" x14ac:dyDescent="0.3">
      <c r="A22" s="85" t="s">
        <v>571</v>
      </c>
      <c r="B22" s="90" t="s">
        <v>970</v>
      </c>
      <c r="C22" s="254">
        <v>14786.51</v>
      </c>
      <c r="D22" s="254">
        <v>492.80799999999999</v>
      </c>
      <c r="E22" s="255">
        <f t="shared" si="0"/>
        <v>3.3328216056391939</v>
      </c>
      <c r="F22" s="254">
        <v>13975.85</v>
      </c>
      <c r="G22" s="256">
        <v>15597.17</v>
      </c>
      <c r="H22" s="82"/>
    </row>
    <row r="23" spans="1:16378" ht="13.5" customHeight="1" x14ac:dyDescent="0.3">
      <c r="A23" s="85" t="s">
        <v>784</v>
      </c>
      <c r="B23" s="90" t="s">
        <v>964</v>
      </c>
      <c r="C23" s="254">
        <v>15455.59</v>
      </c>
      <c r="D23" s="254">
        <v>1020.304</v>
      </c>
      <c r="E23" s="255">
        <f t="shared" si="0"/>
        <v>6.60152087367742</v>
      </c>
      <c r="F23" s="254">
        <v>13777.21</v>
      </c>
      <c r="G23" s="256">
        <v>17133.98</v>
      </c>
      <c r="H23" s="82"/>
    </row>
    <row r="24" spans="1:16378" ht="14" x14ac:dyDescent="0.3">
      <c r="A24" s="85" t="s">
        <v>667</v>
      </c>
      <c r="B24" s="90" t="s">
        <v>947</v>
      </c>
      <c r="C24" s="254">
        <v>15887.91</v>
      </c>
      <c r="D24" s="254">
        <v>2419.2280000000001</v>
      </c>
      <c r="E24" s="255">
        <f t="shared" si="0"/>
        <v>15.226848591161456</v>
      </c>
      <c r="F24" s="254">
        <v>11908.32</v>
      </c>
      <c r="G24" s="256">
        <v>19867.5</v>
      </c>
      <c r="H24" s="82"/>
    </row>
    <row r="25" spans="1:16378" ht="25.5" customHeight="1" x14ac:dyDescent="0.3">
      <c r="A25" s="85" t="s">
        <v>614</v>
      </c>
      <c r="B25" s="98" t="s">
        <v>1108</v>
      </c>
      <c r="C25" s="254">
        <v>14417.58</v>
      </c>
      <c r="D25" s="254">
        <v>522.64469999999994</v>
      </c>
      <c r="E25" s="255">
        <f t="shared" si="0"/>
        <v>3.625051499627538</v>
      </c>
      <c r="F25" s="254">
        <v>13557.84</v>
      </c>
      <c r="G25" s="256">
        <v>15277.32</v>
      </c>
      <c r="H25" s="82"/>
    </row>
    <row r="26" spans="1:16378" ht="14" x14ac:dyDescent="0.3">
      <c r="A26" s="85" t="s">
        <v>405</v>
      </c>
      <c r="B26" s="90" t="s">
        <v>921</v>
      </c>
      <c r="C26" s="254">
        <v>19110.86</v>
      </c>
      <c r="D26" s="254">
        <v>518.39030000000002</v>
      </c>
      <c r="E26" s="255">
        <f t="shared" si="0"/>
        <v>2.7125430252746345</v>
      </c>
      <c r="F26" s="254">
        <v>18258.12</v>
      </c>
      <c r="G26" s="256">
        <v>19963.61</v>
      </c>
      <c r="H26" s="82"/>
    </row>
    <row r="27" spans="1:16378" ht="14" x14ac:dyDescent="0.3">
      <c r="A27" s="85" t="s">
        <v>568</v>
      </c>
      <c r="B27" s="90" t="s">
        <v>913</v>
      </c>
      <c r="C27" s="254">
        <v>16161.6</v>
      </c>
      <c r="D27" s="254">
        <v>527.06629999999996</v>
      </c>
      <c r="E27" s="255">
        <f t="shared" si="0"/>
        <v>3.2612259924759921</v>
      </c>
      <c r="F27" s="254">
        <v>15294.59</v>
      </c>
      <c r="G27" s="256">
        <v>17028.62</v>
      </c>
      <c r="H27" s="82"/>
    </row>
    <row r="28" spans="1:16378" ht="14" x14ac:dyDescent="0.3">
      <c r="A28" s="85" t="s">
        <v>305</v>
      </c>
      <c r="B28" s="90" t="s">
        <v>906</v>
      </c>
      <c r="C28" s="254">
        <v>18532.189999999999</v>
      </c>
      <c r="D28" s="254">
        <v>481.00170000000003</v>
      </c>
      <c r="E28" s="255">
        <f t="shared" si="0"/>
        <v>2.5954930313147018</v>
      </c>
      <c r="F28" s="254">
        <v>17740.95</v>
      </c>
      <c r="G28" s="256">
        <v>19323.419999999998</v>
      </c>
      <c r="H28" s="82"/>
    </row>
    <row r="29" spans="1:16378" ht="14" x14ac:dyDescent="0.3">
      <c r="A29" s="85" t="s">
        <v>349</v>
      </c>
      <c r="B29" s="90" t="s">
        <v>897</v>
      </c>
      <c r="C29" s="254">
        <v>22361.13</v>
      </c>
      <c r="D29" s="254">
        <v>1078.2840000000001</v>
      </c>
      <c r="E29" s="255">
        <f t="shared" si="0"/>
        <v>4.8221355539724513</v>
      </c>
      <c r="F29" s="254">
        <v>20587.37</v>
      </c>
      <c r="G29" s="256">
        <v>24134.89</v>
      </c>
      <c r="H29" s="82"/>
    </row>
    <row r="30" spans="1:16378" s="91" customFormat="1" ht="5.5" customHeight="1" x14ac:dyDescent="0.25">
      <c r="A30" s="92"/>
      <c r="B30" s="231"/>
      <c r="C30" s="93"/>
      <c r="D30" s="94"/>
      <c r="E30" s="94"/>
      <c r="F30" s="94"/>
      <c r="G30" s="257"/>
      <c r="H30" s="232"/>
      <c r="I30" s="95"/>
      <c r="J30" s="96"/>
      <c r="P30" s="232"/>
      <c r="Q30" s="95"/>
      <c r="R30" s="96"/>
      <c r="X30" s="232"/>
      <c r="Y30" s="95"/>
      <c r="Z30" s="96"/>
      <c r="AF30" s="232"/>
      <c r="AG30" s="95"/>
      <c r="AH30" s="96"/>
      <c r="AN30" s="232"/>
      <c r="AO30" s="95"/>
      <c r="AP30" s="96"/>
      <c r="AV30" s="232"/>
      <c r="AW30" s="95"/>
      <c r="AX30" s="96"/>
      <c r="BD30" s="232"/>
      <c r="BE30" s="95"/>
      <c r="BF30" s="96"/>
      <c r="BL30" s="232"/>
      <c r="BM30" s="95"/>
      <c r="BN30" s="96"/>
      <c r="BT30" s="232"/>
      <c r="BU30" s="95"/>
      <c r="BV30" s="96"/>
      <c r="CB30" s="232"/>
      <c r="CC30" s="95"/>
      <c r="CD30" s="96"/>
      <c r="CJ30" s="232"/>
      <c r="CK30" s="95"/>
      <c r="CL30" s="96"/>
      <c r="CR30" s="232"/>
      <c r="CS30" s="95"/>
      <c r="CT30" s="96"/>
      <c r="CZ30" s="232"/>
      <c r="DA30" s="95"/>
      <c r="DB30" s="96"/>
      <c r="DH30" s="232"/>
      <c r="DI30" s="95"/>
      <c r="DJ30" s="96"/>
      <c r="DP30" s="232"/>
      <c r="DQ30" s="95"/>
      <c r="DR30" s="96"/>
      <c r="DX30" s="232"/>
      <c r="DY30" s="95"/>
      <c r="DZ30" s="96"/>
      <c r="EF30" s="232"/>
      <c r="EG30" s="95"/>
      <c r="EH30" s="96"/>
      <c r="EN30" s="232"/>
      <c r="EO30" s="95"/>
      <c r="EP30" s="96"/>
      <c r="EV30" s="232"/>
      <c r="EW30" s="95"/>
      <c r="EX30" s="96"/>
      <c r="FD30" s="232"/>
      <c r="FE30" s="95"/>
      <c r="FF30" s="96"/>
      <c r="FL30" s="232"/>
      <c r="FM30" s="95"/>
      <c r="FN30" s="96"/>
      <c r="FT30" s="232"/>
      <c r="FU30" s="95"/>
      <c r="FV30" s="96"/>
      <c r="GB30" s="232"/>
      <c r="GC30" s="95"/>
      <c r="GD30" s="96"/>
      <c r="GJ30" s="232"/>
      <c r="GK30" s="95"/>
      <c r="GL30" s="96"/>
      <c r="GR30" s="232"/>
      <c r="GS30" s="95"/>
      <c r="GT30" s="96"/>
      <c r="GZ30" s="232"/>
      <c r="HA30" s="95"/>
      <c r="HB30" s="96"/>
      <c r="HH30" s="232"/>
      <c r="HI30" s="95"/>
      <c r="HJ30" s="96"/>
      <c r="HP30" s="232"/>
      <c r="HQ30" s="95"/>
      <c r="HR30" s="96"/>
      <c r="HX30" s="232"/>
      <c r="HY30" s="95"/>
      <c r="HZ30" s="96"/>
      <c r="IF30" s="232"/>
      <c r="IG30" s="95"/>
      <c r="IH30" s="96"/>
      <c r="IN30" s="232"/>
      <c r="IO30" s="95"/>
      <c r="IP30" s="96"/>
      <c r="IV30" s="232"/>
      <c r="IW30" s="95"/>
      <c r="IX30" s="96"/>
      <c r="JD30" s="232"/>
      <c r="JE30" s="95"/>
      <c r="JF30" s="96"/>
      <c r="JL30" s="232"/>
      <c r="JM30" s="95"/>
      <c r="JN30" s="96"/>
      <c r="JT30" s="232"/>
      <c r="JU30" s="95"/>
      <c r="JV30" s="96"/>
      <c r="KB30" s="232"/>
      <c r="KC30" s="95"/>
      <c r="KD30" s="96"/>
      <c r="KJ30" s="232"/>
      <c r="KK30" s="95"/>
      <c r="KL30" s="96"/>
      <c r="KR30" s="232"/>
      <c r="KS30" s="95"/>
      <c r="KT30" s="96"/>
      <c r="KZ30" s="232"/>
      <c r="LA30" s="95"/>
      <c r="LB30" s="96"/>
      <c r="LH30" s="232"/>
      <c r="LI30" s="95"/>
      <c r="LJ30" s="96"/>
      <c r="LP30" s="232"/>
      <c r="LQ30" s="95"/>
      <c r="LR30" s="96"/>
      <c r="LX30" s="232"/>
      <c r="LY30" s="95"/>
      <c r="LZ30" s="96"/>
      <c r="MF30" s="232"/>
      <c r="MG30" s="95"/>
      <c r="MH30" s="96"/>
      <c r="MN30" s="232"/>
      <c r="MO30" s="95"/>
      <c r="MP30" s="96"/>
      <c r="MV30" s="232"/>
      <c r="MW30" s="95"/>
      <c r="MX30" s="96"/>
      <c r="ND30" s="232"/>
      <c r="NE30" s="95"/>
      <c r="NF30" s="96"/>
      <c r="NL30" s="232"/>
      <c r="NM30" s="95"/>
      <c r="NN30" s="96"/>
      <c r="NT30" s="232"/>
      <c r="NU30" s="95"/>
      <c r="NV30" s="96"/>
      <c r="OB30" s="232"/>
      <c r="OC30" s="95"/>
      <c r="OD30" s="96"/>
      <c r="OJ30" s="232"/>
      <c r="OK30" s="95"/>
      <c r="OL30" s="96"/>
      <c r="OR30" s="232"/>
      <c r="OS30" s="95"/>
      <c r="OT30" s="96"/>
      <c r="OZ30" s="232"/>
      <c r="PA30" s="95"/>
      <c r="PB30" s="96"/>
      <c r="PH30" s="232"/>
      <c r="PI30" s="95"/>
      <c r="PJ30" s="96"/>
      <c r="PP30" s="232"/>
      <c r="PQ30" s="95"/>
      <c r="PR30" s="96"/>
      <c r="PX30" s="232"/>
      <c r="PY30" s="95"/>
      <c r="PZ30" s="96"/>
      <c r="QF30" s="232"/>
      <c r="QG30" s="95"/>
      <c r="QH30" s="96"/>
      <c r="QN30" s="232"/>
      <c r="QO30" s="95"/>
      <c r="QP30" s="96"/>
      <c r="QV30" s="232"/>
      <c r="QW30" s="95"/>
      <c r="QX30" s="96"/>
      <c r="RD30" s="232"/>
      <c r="RE30" s="95"/>
      <c r="RF30" s="96"/>
      <c r="RL30" s="232"/>
      <c r="RM30" s="95"/>
      <c r="RN30" s="96"/>
      <c r="RT30" s="232"/>
      <c r="RU30" s="95"/>
      <c r="RV30" s="96"/>
      <c r="SB30" s="232"/>
      <c r="SC30" s="95"/>
      <c r="SD30" s="96"/>
      <c r="SJ30" s="232"/>
      <c r="SK30" s="95"/>
      <c r="SL30" s="96"/>
      <c r="SR30" s="232"/>
      <c r="SS30" s="95"/>
      <c r="ST30" s="96"/>
      <c r="SZ30" s="232"/>
      <c r="TA30" s="95"/>
      <c r="TB30" s="96"/>
      <c r="TH30" s="232"/>
      <c r="TI30" s="95"/>
      <c r="TJ30" s="96"/>
      <c r="TP30" s="232"/>
      <c r="TQ30" s="95"/>
      <c r="TR30" s="96"/>
      <c r="TX30" s="232"/>
      <c r="TY30" s="95"/>
      <c r="TZ30" s="96"/>
      <c r="UF30" s="232"/>
      <c r="UG30" s="95"/>
      <c r="UH30" s="96"/>
      <c r="UN30" s="232"/>
      <c r="UO30" s="95"/>
      <c r="UP30" s="96"/>
      <c r="UV30" s="232"/>
      <c r="UW30" s="95"/>
      <c r="UX30" s="96"/>
      <c r="VD30" s="232"/>
      <c r="VE30" s="95"/>
      <c r="VF30" s="96"/>
      <c r="VL30" s="232"/>
      <c r="VM30" s="95"/>
      <c r="VN30" s="96"/>
      <c r="VT30" s="232"/>
      <c r="VU30" s="95"/>
      <c r="VV30" s="96"/>
      <c r="WB30" s="232"/>
      <c r="WC30" s="95"/>
      <c r="WD30" s="96"/>
      <c r="WJ30" s="232"/>
      <c r="WK30" s="95"/>
      <c r="WL30" s="96"/>
      <c r="WR30" s="232"/>
      <c r="WS30" s="95"/>
      <c r="WT30" s="96"/>
      <c r="WZ30" s="232"/>
      <c r="XA30" s="95"/>
      <c r="XB30" s="96"/>
      <c r="XH30" s="232"/>
      <c r="XI30" s="95"/>
      <c r="XJ30" s="96"/>
      <c r="XP30" s="232"/>
      <c r="XQ30" s="95"/>
      <c r="XR30" s="96"/>
      <c r="XX30" s="232"/>
      <c r="XY30" s="95"/>
      <c r="XZ30" s="96"/>
      <c r="YF30" s="232"/>
      <c r="YG30" s="95"/>
      <c r="YH30" s="96"/>
      <c r="YN30" s="232"/>
      <c r="YO30" s="95"/>
      <c r="YP30" s="96"/>
      <c r="YV30" s="232"/>
      <c r="YW30" s="95"/>
      <c r="YX30" s="96"/>
      <c r="ZD30" s="232"/>
      <c r="ZE30" s="95"/>
      <c r="ZF30" s="96"/>
      <c r="ZL30" s="232"/>
      <c r="ZM30" s="95"/>
      <c r="ZN30" s="96"/>
      <c r="ZT30" s="232"/>
      <c r="ZU30" s="95"/>
      <c r="ZV30" s="96"/>
      <c r="AAB30" s="232"/>
      <c r="AAC30" s="95"/>
      <c r="AAD30" s="96"/>
      <c r="AAJ30" s="232"/>
      <c r="AAK30" s="95"/>
      <c r="AAL30" s="96"/>
      <c r="AAR30" s="232"/>
      <c r="AAS30" s="95"/>
      <c r="AAT30" s="96"/>
      <c r="AAZ30" s="232"/>
      <c r="ABA30" s="95"/>
      <c r="ABB30" s="96"/>
      <c r="ABH30" s="232"/>
      <c r="ABI30" s="95"/>
      <c r="ABJ30" s="96"/>
      <c r="ABP30" s="232"/>
      <c r="ABQ30" s="95"/>
      <c r="ABR30" s="96"/>
      <c r="ABX30" s="232"/>
      <c r="ABY30" s="95"/>
      <c r="ABZ30" s="96"/>
      <c r="ACF30" s="232"/>
      <c r="ACG30" s="95"/>
      <c r="ACH30" s="96"/>
      <c r="ACN30" s="232"/>
      <c r="ACO30" s="95"/>
      <c r="ACP30" s="96"/>
      <c r="ACV30" s="232"/>
      <c r="ACW30" s="95"/>
      <c r="ACX30" s="96"/>
      <c r="ADD30" s="232"/>
      <c r="ADE30" s="95"/>
      <c r="ADF30" s="96"/>
      <c r="ADL30" s="232"/>
      <c r="ADM30" s="95"/>
      <c r="ADN30" s="96"/>
      <c r="ADT30" s="232"/>
      <c r="ADU30" s="95"/>
      <c r="ADV30" s="96"/>
      <c r="AEB30" s="232"/>
      <c r="AEC30" s="95"/>
      <c r="AED30" s="96"/>
      <c r="AEJ30" s="232"/>
      <c r="AEK30" s="95"/>
      <c r="AEL30" s="96"/>
      <c r="AER30" s="232"/>
      <c r="AES30" s="95"/>
      <c r="AET30" s="96"/>
      <c r="AEZ30" s="232"/>
      <c r="AFA30" s="95"/>
      <c r="AFB30" s="96"/>
      <c r="AFH30" s="232"/>
      <c r="AFI30" s="95"/>
      <c r="AFJ30" s="96"/>
      <c r="AFP30" s="232"/>
      <c r="AFQ30" s="95"/>
      <c r="AFR30" s="96"/>
      <c r="AFX30" s="232"/>
      <c r="AFY30" s="95"/>
      <c r="AFZ30" s="96"/>
      <c r="AGF30" s="232"/>
      <c r="AGG30" s="95"/>
      <c r="AGH30" s="96"/>
      <c r="AGN30" s="232"/>
      <c r="AGO30" s="95"/>
      <c r="AGP30" s="96"/>
      <c r="AGV30" s="232"/>
      <c r="AGW30" s="95"/>
      <c r="AGX30" s="96"/>
      <c r="AHD30" s="232"/>
      <c r="AHE30" s="95"/>
      <c r="AHF30" s="96"/>
      <c r="AHL30" s="232"/>
      <c r="AHM30" s="95"/>
      <c r="AHN30" s="96"/>
      <c r="AHT30" s="232"/>
      <c r="AHU30" s="95"/>
      <c r="AHV30" s="96"/>
      <c r="AIB30" s="232"/>
      <c r="AIC30" s="95"/>
      <c r="AID30" s="96"/>
      <c r="AIJ30" s="232"/>
      <c r="AIK30" s="95"/>
      <c r="AIL30" s="96"/>
      <c r="AIR30" s="232"/>
      <c r="AIS30" s="95"/>
      <c r="AIT30" s="96"/>
      <c r="AIZ30" s="232"/>
      <c r="AJA30" s="95"/>
      <c r="AJB30" s="96"/>
      <c r="AJH30" s="232"/>
      <c r="AJI30" s="95"/>
      <c r="AJJ30" s="96"/>
      <c r="AJP30" s="232"/>
      <c r="AJQ30" s="95"/>
      <c r="AJR30" s="96"/>
      <c r="AJX30" s="232"/>
      <c r="AJY30" s="95"/>
      <c r="AJZ30" s="96"/>
      <c r="AKF30" s="232"/>
      <c r="AKG30" s="95"/>
      <c r="AKH30" s="96"/>
      <c r="AKN30" s="232"/>
      <c r="AKO30" s="95"/>
      <c r="AKP30" s="96"/>
      <c r="AKV30" s="232"/>
      <c r="AKW30" s="95"/>
      <c r="AKX30" s="96"/>
      <c r="ALD30" s="232"/>
      <c r="ALE30" s="95"/>
      <c r="ALF30" s="96"/>
      <c r="ALL30" s="232"/>
      <c r="ALM30" s="95"/>
      <c r="ALN30" s="96"/>
      <c r="ALT30" s="232"/>
      <c r="ALU30" s="95"/>
      <c r="ALV30" s="96"/>
      <c r="AMB30" s="232"/>
      <c r="AMC30" s="95"/>
      <c r="AMD30" s="96"/>
      <c r="AMJ30" s="232"/>
      <c r="AMK30" s="95"/>
      <c r="AML30" s="96"/>
      <c r="AMR30" s="232"/>
      <c r="AMS30" s="95"/>
      <c r="AMT30" s="96"/>
      <c r="AMZ30" s="232"/>
      <c r="ANA30" s="95"/>
      <c r="ANB30" s="96"/>
      <c r="ANH30" s="232"/>
      <c r="ANI30" s="95"/>
      <c r="ANJ30" s="96"/>
      <c r="ANP30" s="232"/>
      <c r="ANQ30" s="95"/>
      <c r="ANR30" s="96"/>
      <c r="ANX30" s="232"/>
      <c r="ANY30" s="95"/>
      <c r="ANZ30" s="96"/>
      <c r="AOF30" s="232"/>
      <c r="AOG30" s="95"/>
      <c r="AOH30" s="96"/>
      <c r="AON30" s="232"/>
      <c r="AOO30" s="95"/>
      <c r="AOP30" s="96"/>
      <c r="AOV30" s="232"/>
      <c r="AOW30" s="95"/>
      <c r="AOX30" s="96"/>
      <c r="APD30" s="232"/>
      <c r="APE30" s="95"/>
      <c r="APF30" s="96"/>
      <c r="APL30" s="232"/>
      <c r="APM30" s="95"/>
      <c r="APN30" s="96"/>
      <c r="APT30" s="232"/>
      <c r="APU30" s="95"/>
      <c r="APV30" s="96"/>
      <c r="AQB30" s="232"/>
      <c r="AQC30" s="95"/>
      <c r="AQD30" s="96"/>
      <c r="AQJ30" s="232"/>
      <c r="AQK30" s="95"/>
      <c r="AQL30" s="96"/>
      <c r="AQR30" s="232"/>
      <c r="AQS30" s="95"/>
      <c r="AQT30" s="96"/>
      <c r="AQZ30" s="232"/>
      <c r="ARA30" s="95"/>
      <c r="ARB30" s="96"/>
      <c r="ARH30" s="232"/>
      <c r="ARI30" s="95"/>
      <c r="ARJ30" s="96"/>
      <c r="ARP30" s="232"/>
      <c r="ARQ30" s="95"/>
      <c r="ARR30" s="96"/>
      <c r="ARX30" s="232"/>
      <c r="ARY30" s="95"/>
      <c r="ARZ30" s="96"/>
      <c r="ASF30" s="232"/>
      <c r="ASG30" s="95"/>
      <c r="ASH30" s="96"/>
      <c r="ASN30" s="232"/>
      <c r="ASO30" s="95"/>
      <c r="ASP30" s="96"/>
      <c r="ASV30" s="232"/>
      <c r="ASW30" s="95"/>
      <c r="ASX30" s="96"/>
      <c r="ATD30" s="232"/>
      <c r="ATE30" s="95"/>
      <c r="ATF30" s="96"/>
      <c r="ATL30" s="232"/>
      <c r="ATM30" s="95"/>
      <c r="ATN30" s="96"/>
      <c r="ATT30" s="232"/>
      <c r="ATU30" s="95"/>
      <c r="ATV30" s="96"/>
      <c r="AUB30" s="232"/>
      <c r="AUC30" s="95"/>
      <c r="AUD30" s="96"/>
      <c r="AUJ30" s="232"/>
      <c r="AUK30" s="95"/>
      <c r="AUL30" s="96"/>
      <c r="AUR30" s="232"/>
      <c r="AUS30" s="95"/>
      <c r="AUT30" s="96"/>
      <c r="AUZ30" s="232"/>
      <c r="AVA30" s="95"/>
      <c r="AVB30" s="96"/>
      <c r="AVH30" s="232"/>
      <c r="AVI30" s="95"/>
      <c r="AVJ30" s="96"/>
      <c r="AVP30" s="232"/>
      <c r="AVQ30" s="95"/>
      <c r="AVR30" s="96"/>
      <c r="AVX30" s="232"/>
      <c r="AVY30" s="95"/>
      <c r="AVZ30" s="96"/>
      <c r="AWF30" s="232"/>
      <c r="AWG30" s="95"/>
      <c r="AWH30" s="96"/>
      <c r="AWN30" s="232"/>
      <c r="AWO30" s="95"/>
      <c r="AWP30" s="96"/>
      <c r="AWV30" s="232"/>
      <c r="AWW30" s="95"/>
      <c r="AWX30" s="96"/>
      <c r="AXD30" s="232"/>
      <c r="AXE30" s="95"/>
      <c r="AXF30" s="96"/>
      <c r="AXL30" s="232"/>
      <c r="AXM30" s="95"/>
      <c r="AXN30" s="96"/>
      <c r="AXT30" s="232"/>
      <c r="AXU30" s="95"/>
      <c r="AXV30" s="96"/>
      <c r="AYB30" s="232"/>
      <c r="AYC30" s="95"/>
      <c r="AYD30" s="96"/>
      <c r="AYJ30" s="232"/>
      <c r="AYK30" s="95"/>
      <c r="AYL30" s="96"/>
      <c r="AYR30" s="232"/>
      <c r="AYS30" s="95"/>
      <c r="AYT30" s="96"/>
      <c r="AYZ30" s="232"/>
      <c r="AZA30" s="95"/>
      <c r="AZB30" s="96"/>
      <c r="AZH30" s="232"/>
      <c r="AZI30" s="95"/>
      <c r="AZJ30" s="96"/>
      <c r="AZP30" s="232"/>
      <c r="AZQ30" s="95"/>
      <c r="AZR30" s="96"/>
      <c r="AZX30" s="232"/>
      <c r="AZY30" s="95"/>
      <c r="AZZ30" s="96"/>
      <c r="BAF30" s="232"/>
      <c r="BAG30" s="95"/>
      <c r="BAH30" s="96"/>
      <c r="BAN30" s="232"/>
      <c r="BAO30" s="95"/>
      <c r="BAP30" s="96"/>
      <c r="BAV30" s="232"/>
      <c r="BAW30" s="95"/>
      <c r="BAX30" s="96"/>
      <c r="BBD30" s="232"/>
      <c r="BBE30" s="95"/>
      <c r="BBF30" s="96"/>
      <c r="BBL30" s="232"/>
      <c r="BBM30" s="95"/>
      <c r="BBN30" s="96"/>
      <c r="BBT30" s="232"/>
      <c r="BBU30" s="95"/>
      <c r="BBV30" s="96"/>
      <c r="BCB30" s="232"/>
      <c r="BCC30" s="95"/>
      <c r="BCD30" s="96"/>
      <c r="BCJ30" s="232"/>
      <c r="BCK30" s="95"/>
      <c r="BCL30" s="96"/>
      <c r="BCR30" s="232"/>
      <c r="BCS30" s="95"/>
      <c r="BCT30" s="96"/>
      <c r="BCZ30" s="232"/>
      <c r="BDA30" s="95"/>
      <c r="BDB30" s="96"/>
      <c r="BDH30" s="232"/>
      <c r="BDI30" s="95"/>
      <c r="BDJ30" s="96"/>
      <c r="BDP30" s="232"/>
      <c r="BDQ30" s="95"/>
      <c r="BDR30" s="96"/>
      <c r="BDX30" s="232"/>
      <c r="BDY30" s="95"/>
      <c r="BDZ30" s="96"/>
      <c r="BEF30" s="232"/>
      <c r="BEG30" s="95"/>
      <c r="BEH30" s="96"/>
      <c r="BEN30" s="232"/>
      <c r="BEO30" s="95"/>
      <c r="BEP30" s="96"/>
      <c r="BEV30" s="232"/>
      <c r="BEW30" s="95"/>
      <c r="BEX30" s="96"/>
      <c r="BFD30" s="232"/>
      <c r="BFE30" s="95"/>
      <c r="BFF30" s="96"/>
      <c r="BFL30" s="232"/>
      <c r="BFM30" s="95"/>
      <c r="BFN30" s="96"/>
      <c r="BFT30" s="232"/>
      <c r="BFU30" s="95"/>
      <c r="BFV30" s="96"/>
      <c r="BGB30" s="232"/>
      <c r="BGC30" s="95"/>
      <c r="BGD30" s="96"/>
      <c r="BGJ30" s="232"/>
      <c r="BGK30" s="95"/>
      <c r="BGL30" s="96"/>
      <c r="BGR30" s="232"/>
      <c r="BGS30" s="95"/>
      <c r="BGT30" s="96"/>
      <c r="BGZ30" s="232"/>
      <c r="BHA30" s="95"/>
      <c r="BHB30" s="96"/>
      <c r="BHH30" s="232"/>
      <c r="BHI30" s="95"/>
      <c r="BHJ30" s="96"/>
      <c r="BHP30" s="232"/>
      <c r="BHQ30" s="95"/>
      <c r="BHR30" s="96"/>
      <c r="BHX30" s="232"/>
      <c r="BHY30" s="95"/>
      <c r="BHZ30" s="96"/>
      <c r="BIF30" s="232"/>
      <c r="BIG30" s="95"/>
      <c r="BIH30" s="96"/>
      <c r="BIN30" s="232"/>
      <c r="BIO30" s="95"/>
      <c r="BIP30" s="96"/>
      <c r="BIV30" s="232"/>
      <c r="BIW30" s="95"/>
      <c r="BIX30" s="96"/>
      <c r="BJD30" s="232"/>
      <c r="BJE30" s="95"/>
      <c r="BJF30" s="96"/>
      <c r="BJL30" s="232"/>
      <c r="BJM30" s="95"/>
      <c r="BJN30" s="96"/>
      <c r="BJT30" s="232"/>
      <c r="BJU30" s="95"/>
      <c r="BJV30" s="96"/>
      <c r="BKB30" s="232"/>
      <c r="BKC30" s="95"/>
      <c r="BKD30" s="96"/>
      <c r="BKJ30" s="232"/>
      <c r="BKK30" s="95"/>
      <c r="BKL30" s="96"/>
      <c r="BKR30" s="232"/>
      <c r="BKS30" s="95"/>
      <c r="BKT30" s="96"/>
      <c r="BKZ30" s="232"/>
      <c r="BLA30" s="95"/>
      <c r="BLB30" s="96"/>
      <c r="BLH30" s="232"/>
      <c r="BLI30" s="95"/>
      <c r="BLJ30" s="96"/>
      <c r="BLP30" s="232"/>
      <c r="BLQ30" s="95"/>
      <c r="BLR30" s="96"/>
      <c r="BLX30" s="232"/>
      <c r="BLY30" s="95"/>
      <c r="BLZ30" s="96"/>
      <c r="BMF30" s="232"/>
      <c r="BMG30" s="95"/>
      <c r="BMH30" s="96"/>
      <c r="BMN30" s="232"/>
      <c r="BMO30" s="95"/>
      <c r="BMP30" s="96"/>
      <c r="BMV30" s="232"/>
      <c r="BMW30" s="95"/>
      <c r="BMX30" s="96"/>
      <c r="BND30" s="232"/>
      <c r="BNE30" s="95"/>
      <c r="BNF30" s="96"/>
      <c r="BNL30" s="232"/>
      <c r="BNM30" s="95"/>
      <c r="BNN30" s="96"/>
      <c r="BNT30" s="232"/>
      <c r="BNU30" s="95"/>
      <c r="BNV30" s="96"/>
      <c r="BOB30" s="232"/>
      <c r="BOC30" s="95"/>
      <c r="BOD30" s="96"/>
      <c r="BOJ30" s="232"/>
      <c r="BOK30" s="95"/>
      <c r="BOL30" s="96"/>
      <c r="BOR30" s="232"/>
      <c r="BOS30" s="95"/>
      <c r="BOT30" s="96"/>
      <c r="BOZ30" s="232"/>
      <c r="BPA30" s="95"/>
      <c r="BPB30" s="96"/>
      <c r="BPH30" s="232"/>
      <c r="BPI30" s="95"/>
      <c r="BPJ30" s="96"/>
      <c r="BPP30" s="232"/>
      <c r="BPQ30" s="95"/>
      <c r="BPR30" s="96"/>
      <c r="BPX30" s="232"/>
      <c r="BPY30" s="95"/>
      <c r="BPZ30" s="96"/>
      <c r="BQF30" s="232"/>
      <c r="BQG30" s="95"/>
      <c r="BQH30" s="96"/>
      <c r="BQN30" s="232"/>
      <c r="BQO30" s="95"/>
      <c r="BQP30" s="96"/>
      <c r="BQV30" s="232"/>
      <c r="BQW30" s="95"/>
      <c r="BQX30" s="96"/>
      <c r="BRD30" s="232"/>
      <c r="BRE30" s="95"/>
      <c r="BRF30" s="96"/>
      <c r="BRL30" s="232"/>
      <c r="BRM30" s="95"/>
      <c r="BRN30" s="96"/>
      <c r="BRT30" s="232"/>
      <c r="BRU30" s="95"/>
      <c r="BRV30" s="96"/>
      <c r="BSB30" s="232"/>
      <c r="BSC30" s="95"/>
      <c r="BSD30" s="96"/>
      <c r="BSJ30" s="232"/>
      <c r="BSK30" s="95"/>
      <c r="BSL30" s="96"/>
      <c r="BSR30" s="232"/>
      <c r="BSS30" s="95"/>
      <c r="BST30" s="96"/>
      <c r="BSZ30" s="232"/>
      <c r="BTA30" s="95"/>
      <c r="BTB30" s="96"/>
      <c r="BTH30" s="232"/>
      <c r="BTI30" s="95"/>
      <c r="BTJ30" s="96"/>
      <c r="BTP30" s="232"/>
      <c r="BTQ30" s="95"/>
      <c r="BTR30" s="96"/>
      <c r="BTX30" s="232"/>
      <c r="BTY30" s="95"/>
      <c r="BTZ30" s="96"/>
      <c r="BUF30" s="232"/>
      <c r="BUG30" s="95"/>
      <c r="BUH30" s="96"/>
      <c r="BUN30" s="232"/>
      <c r="BUO30" s="95"/>
      <c r="BUP30" s="96"/>
      <c r="BUV30" s="232"/>
      <c r="BUW30" s="95"/>
      <c r="BUX30" s="96"/>
      <c r="BVD30" s="232"/>
      <c r="BVE30" s="95"/>
      <c r="BVF30" s="96"/>
      <c r="BVL30" s="232"/>
      <c r="BVM30" s="95"/>
      <c r="BVN30" s="96"/>
      <c r="BVT30" s="232"/>
      <c r="BVU30" s="95"/>
      <c r="BVV30" s="96"/>
      <c r="BWB30" s="232"/>
      <c r="BWC30" s="95"/>
      <c r="BWD30" s="96"/>
      <c r="BWJ30" s="232"/>
      <c r="BWK30" s="95"/>
      <c r="BWL30" s="96"/>
      <c r="BWR30" s="232"/>
      <c r="BWS30" s="95"/>
      <c r="BWT30" s="96"/>
      <c r="BWZ30" s="232"/>
      <c r="BXA30" s="95"/>
      <c r="BXB30" s="96"/>
      <c r="BXH30" s="232"/>
      <c r="BXI30" s="95"/>
      <c r="BXJ30" s="96"/>
      <c r="BXP30" s="232"/>
      <c r="BXQ30" s="95"/>
      <c r="BXR30" s="96"/>
      <c r="BXX30" s="232"/>
      <c r="BXY30" s="95"/>
      <c r="BXZ30" s="96"/>
      <c r="BYF30" s="232"/>
      <c r="BYG30" s="95"/>
      <c r="BYH30" s="96"/>
      <c r="BYN30" s="232"/>
      <c r="BYO30" s="95"/>
      <c r="BYP30" s="96"/>
      <c r="BYV30" s="232"/>
      <c r="BYW30" s="95"/>
      <c r="BYX30" s="96"/>
      <c r="BZD30" s="232"/>
      <c r="BZE30" s="95"/>
      <c r="BZF30" s="96"/>
      <c r="BZL30" s="232"/>
      <c r="BZM30" s="95"/>
      <c r="BZN30" s="96"/>
      <c r="BZT30" s="232"/>
      <c r="BZU30" s="95"/>
      <c r="BZV30" s="96"/>
      <c r="CAB30" s="232"/>
      <c r="CAC30" s="95"/>
      <c r="CAD30" s="96"/>
      <c r="CAJ30" s="232"/>
      <c r="CAK30" s="95"/>
      <c r="CAL30" s="96"/>
      <c r="CAR30" s="232"/>
      <c r="CAS30" s="95"/>
      <c r="CAT30" s="96"/>
      <c r="CAZ30" s="232"/>
      <c r="CBA30" s="95"/>
      <c r="CBB30" s="96"/>
      <c r="CBH30" s="232"/>
      <c r="CBI30" s="95"/>
      <c r="CBJ30" s="96"/>
      <c r="CBP30" s="232"/>
      <c r="CBQ30" s="95"/>
      <c r="CBR30" s="96"/>
      <c r="CBX30" s="232"/>
      <c r="CBY30" s="95"/>
      <c r="CBZ30" s="96"/>
      <c r="CCF30" s="232"/>
      <c r="CCG30" s="95"/>
      <c r="CCH30" s="96"/>
      <c r="CCN30" s="232"/>
      <c r="CCO30" s="95"/>
      <c r="CCP30" s="96"/>
      <c r="CCV30" s="232"/>
      <c r="CCW30" s="95"/>
      <c r="CCX30" s="96"/>
      <c r="CDD30" s="232"/>
      <c r="CDE30" s="95"/>
      <c r="CDF30" s="96"/>
      <c r="CDL30" s="232"/>
      <c r="CDM30" s="95"/>
      <c r="CDN30" s="96"/>
      <c r="CDT30" s="232"/>
      <c r="CDU30" s="95"/>
      <c r="CDV30" s="96"/>
      <c r="CEB30" s="232"/>
      <c r="CEC30" s="95"/>
      <c r="CED30" s="96"/>
      <c r="CEJ30" s="232"/>
      <c r="CEK30" s="95"/>
      <c r="CEL30" s="96"/>
      <c r="CER30" s="232"/>
      <c r="CES30" s="95"/>
      <c r="CET30" s="96"/>
      <c r="CEZ30" s="232"/>
      <c r="CFA30" s="95"/>
      <c r="CFB30" s="96"/>
      <c r="CFH30" s="232"/>
      <c r="CFI30" s="95"/>
      <c r="CFJ30" s="96"/>
      <c r="CFP30" s="232"/>
      <c r="CFQ30" s="95"/>
      <c r="CFR30" s="96"/>
      <c r="CFX30" s="232"/>
      <c r="CFY30" s="95"/>
      <c r="CFZ30" s="96"/>
      <c r="CGF30" s="232"/>
      <c r="CGG30" s="95"/>
      <c r="CGH30" s="96"/>
      <c r="CGN30" s="232"/>
      <c r="CGO30" s="95"/>
      <c r="CGP30" s="96"/>
      <c r="CGV30" s="232"/>
      <c r="CGW30" s="95"/>
      <c r="CGX30" s="96"/>
      <c r="CHD30" s="232"/>
      <c r="CHE30" s="95"/>
      <c r="CHF30" s="96"/>
      <c r="CHL30" s="232"/>
      <c r="CHM30" s="95"/>
      <c r="CHN30" s="96"/>
      <c r="CHT30" s="232"/>
      <c r="CHU30" s="95"/>
      <c r="CHV30" s="96"/>
      <c r="CIB30" s="232"/>
      <c r="CIC30" s="95"/>
      <c r="CID30" s="96"/>
      <c r="CIJ30" s="232"/>
      <c r="CIK30" s="95"/>
      <c r="CIL30" s="96"/>
      <c r="CIR30" s="232"/>
      <c r="CIS30" s="95"/>
      <c r="CIT30" s="96"/>
      <c r="CIZ30" s="232"/>
      <c r="CJA30" s="95"/>
      <c r="CJB30" s="96"/>
      <c r="CJH30" s="232"/>
      <c r="CJI30" s="95"/>
      <c r="CJJ30" s="96"/>
      <c r="CJP30" s="232"/>
      <c r="CJQ30" s="95"/>
      <c r="CJR30" s="96"/>
      <c r="CJX30" s="232"/>
      <c r="CJY30" s="95"/>
      <c r="CJZ30" s="96"/>
      <c r="CKF30" s="232"/>
      <c r="CKG30" s="95"/>
      <c r="CKH30" s="96"/>
      <c r="CKN30" s="232"/>
      <c r="CKO30" s="95"/>
      <c r="CKP30" s="96"/>
      <c r="CKV30" s="232"/>
      <c r="CKW30" s="95"/>
      <c r="CKX30" s="96"/>
      <c r="CLD30" s="232"/>
      <c r="CLE30" s="95"/>
      <c r="CLF30" s="96"/>
      <c r="CLL30" s="232"/>
      <c r="CLM30" s="95"/>
      <c r="CLN30" s="96"/>
      <c r="CLT30" s="232"/>
      <c r="CLU30" s="95"/>
      <c r="CLV30" s="96"/>
      <c r="CMB30" s="232"/>
      <c r="CMC30" s="95"/>
      <c r="CMD30" s="96"/>
      <c r="CMJ30" s="232"/>
      <c r="CMK30" s="95"/>
      <c r="CML30" s="96"/>
      <c r="CMR30" s="232"/>
      <c r="CMS30" s="95"/>
      <c r="CMT30" s="96"/>
      <c r="CMZ30" s="232"/>
      <c r="CNA30" s="95"/>
      <c r="CNB30" s="96"/>
      <c r="CNH30" s="232"/>
      <c r="CNI30" s="95"/>
      <c r="CNJ30" s="96"/>
      <c r="CNP30" s="232"/>
      <c r="CNQ30" s="95"/>
      <c r="CNR30" s="96"/>
      <c r="CNX30" s="232"/>
      <c r="CNY30" s="95"/>
      <c r="CNZ30" s="96"/>
      <c r="COF30" s="232"/>
      <c r="COG30" s="95"/>
      <c r="COH30" s="96"/>
      <c r="CON30" s="232"/>
      <c r="COO30" s="95"/>
      <c r="COP30" s="96"/>
      <c r="COV30" s="232"/>
      <c r="COW30" s="95"/>
      <c r="COX30" s="96"/>
      <c r="CPD30" s="232"/>
      <c r="CPE30" s="95"/>
      <c r="CPF30" s="96"/>
      <c r="CPL30" s="232"/>
      <c r="CPM30" s="95"/>
      <c r="CPN30" s="96"/>
      <c r="CPT30" s="232"/>
      <c r="CPU30" s="95"/>
      <c r="CPV30" s="96"/>
      <c r="CQB30" s="232"/>
      <c r="CQC30" s="95"/>
      <c r="CQD30" s="96"/>
      <c r="CQJ30" s="232"/>
      <c r="CQK30" s="95"/>
      <c r="CQL30" s="96"/>
      <c r="CQR30" s="232"/>
      <c r="CQS30" s="95"/>
      <c r="CQT30" s="96"/>
      <c r="CQZ30" s="232"/>
      <c r="CRA30" s="95"/>
      <c r="CRB30" s="96"/>
      <c r="CRH30" s="232"/>
      <c r="CRI30" s="95"/>
      <c r="CRJ30" s="96"/>
      <c r="CRP30" s="232"/>
      <c r="CRQ30" s="95"/>
      <c r="CRR30" s="96"/>
      <c r="CRX30" s="232"/>
      <c r="CRY30" s="95"/>
      <c r="CRZ30" s="96"/>
      <c r="CSF30" s="232"/>
      <c r="CSG30" s="95"/>
      <c r="CSH30" s="96"/>
      <c r="CSN30" s="232"/>
      <c r="CSO30" s="95"/>
      <c r="CSP30" s="96"/>
      <c r="CSV30" s="232"/>
      <c r="CSW30" s="95"/>
      <c r="CSX30" s="96"/>
      <c r="CTD30" s="232"/>
      <c r="CTE30" s="95"/>
      <c r="CTF30" s="96"/>
      <c r="CTL30" s="232"/>
      <c r="CTM30" s="95"/>
      <c r="CTN30" s="96"/>
      <c r="CTT30" s="232"/>
      <c r="CTU30" s="95"/>
      <c r="CTV30" s="96"/>
      <c r="CUB30" s="232"/>
      <c r="CUC30" s="95"/>
      <c r="CUD30" s="96"/>
      <c r="CUJ30" s="232"/>
      <c r="CUK30" s="95"/>
      <c r="CUL30" s="96"/>
      <c r="CUR30" s="232"/>
      <c r="CUS30" s="95"/>
      <c r="CUT30" s="96"/>
      <c r="CUZ30" s="232"/>
      <c r="CVA30" s="95"/>
      <c r="CVB30" s="96"/>
      <c r="CVH30" s="232"/>
      <c r="CVI30" s="95"/>
      <c r="CVJ30" s="96"/>
      <c r="CVP30" s="232"/>
      <c r="CVQ30" s="95"/>
      <c r="CVR30" s="96"/>
      <c r="CVX30" s="232"/>
      <c r="CVY30" s="95"/>
      <c r="CVZ30" s="96"/>
      <c r="CWF30" s="232"/>
      <c r="CWG30" s="95"/>
      <c r="CWH30" s="96"/>
      <c r="CWN30" s="232"/>
      <c r="CWO30" s="95"/>
      <c r="CWP30" s="96"/>
      <c r="CWV30" s="232"/>
      <c r="CWW30" s="95"/>
      <c r="CWX30" s="96"/>
      <c r="CXD30" s="232"/>
      <c r="CXE30" s="95"/>
      <c r="CXF30" s="96"/>
      <c r="CXL30" s="232"/>
      <c r="CXM30" s="95"/>
      <c r="CXN30" s="96"/>
      <c r="CXT30" s="232"/>
      <c r="CXU30" s="95"/>
      <c r="CXV30" s="96"/>
      <c r="CYB30" s="232"/>
      <c r="CYC30" s="95"/>
      <c r="CYD30" s="96"/>
      <c r="CYJ30" s="232"/>
      <c r="CYK30" s="95"/>
      <c r="CYL30" s="96"/>
      <c r="CYR30" s="232"/>
      <c r="CYS30" s="95"/>
      <c r="CYT30" s="96"/>
      <c r="CYZ30" s="232"/>
      <c r="CZA30" s="95"/>
      <c r="CZB30" s="96"/>
      <c r="CZH30" s="232"/>
      <c r="CZI30" s="95"/>
      <c r="CZJ30" s="96"/>
      <c r="CZP30" s="232"/>
      <c r="CZQ30" s="95"/>
      <c r="CZR30" s="96"/>
      <c r="CZX30" s="232"/>
      <c r="CZY30" s="95"/>
      <c r="CZZ30" s="96"/>
      <c r="DAF30" s="232"/>
      <c r="DAG30" s="95"/>
      <c r="DAH30" s="96"/>
      <c r="DAN30" s="232"/>
      <c r="DAO30" s="95"/>
      <c r="DAP30" s="96"/>
      <c r="DAV30" s="232"/>
      <c r="DAW30" s="95"/>
      <c r="DAX30" s="96"/>
      <c r="DBD30" s="232"/>
      <c r="DBE30" s="95"/>
      <c r="DBF30" s="96"/>
      <c r="DBL30" s="232"/>
      <c r="DBM30" s="95"/>
      <c r="DBN30" s="96"/>
      <c r="DBT30" s="232"/>
      <c r="DBU30" s="95"/>
      <c r="DBV30" s="96"/>
      <c r="DCB30" s="232"/>
      <c r="DCC30" s="95"/>
      <c r="DCD30" s="96"/>
      <c r="DCJ30" s="232"/>
      <c r="DCK30" s="95"/>
      <c r="DCL30" s="96"/>
      <c r="DCR30" s="232"/>
      <c r="DCS30" s="95"/>
      <c r="DCT30" s="96"/>
      <c r="DCZ30" s="232"/>
      <c r="DDA30" s="95"/>
      <c r="DDB30" s="96"/>
      <c r="DDH30" s="232"/>
      <c r="DDI30" s="95"/>
      <c r="DDJ30" s="96"/>
      <c r="DDP30" s="232"/>
      <c r="DDQ30" s="95"/>
      <c r="DDR30" s="96"/>
      <c r="DDX30" s="232"/>
      <c r="DDY30" s="95"/>
      <c r="DDZ30" s="96"/>
      <c r="DEF30" s="232"/>
      <c r="DEG30" s="95"/>
      <c r="DEH30" s="96"/>
      <c r="DEN30" s="232"/>
      <c r="DEO30" s="95"/>
      <c r="DEP30" s="96"/>
      <c r="DEV30" s="232"/>
      <c r="DEW30" s="95"/>
      <c r="DEX30" s="96"/>
      <c r="DFD30" s="232"/>
      <c r="DFE30" s="95"/>
      <c r="DFF30" s="96"/>
      <c r="DFL30" s="232"/>
      <c r="DFM30" s="95"/>
      <c r="DFN30" s="96"/>
      <c r="DFT30" s="232"/>
      <c r="DFU30" s="95"/>
      <c r="DFV30" s="96"/>
      <c r="DGB30" s="232"/>
      <c r="DGC30" s="95"/>
      <c r="DGD30" s="96"/>
      <c r="DGJ30" s="232"/>
      <c r="DGK30" s="95"/>
      <c r="DGL30" s="96"/>
      <c r="DGR30" s="232"/>
      <c r="DGS30" s="95"/>
      <c r="DGT30" s="96"/>
      <c r="DGZ30" s="232"/>
      <c r="DHA30" s="95"/>
      <c r="DHB30" s="96"/>
      <c r="DHH30" s="232"/>
      <c r="DHI30" s="95"/>
      <c r="DHJ30" s="96"/>
      <c r="DHP30" s="232"/>
      <c r="DHQ30" s="95"/>
      <c r="DHR30" s="96"/>
      <c r="DHX30" s="232"/>
      <c r="DHY30" s="95"/>
      <c r="DHZ30" s="96"/>
      <c r="DIF30" s="232"/>
      <c r="DIG30" s="95"/>
      <c r="DIH30" s="96"/>
      <c r="DIN30" s="232"/>
      <c r="DIO30" s="95"/>
      <c r="DIP30" s="96"/>
      <c r="DIV30" s="232"/>
      <c r="DIW30" s="95"/>
      <c r="DIX30" s="96"/>
      <c r="DJD30" s="232"/>
      <c r="DJE30" s="95"/>
      <c r="DJF30" s="96"/>
      <c r="DJL30" s="232"/>
      <c r="DJM30" s="95"/>
      <c r="DJN30" s="96"/>
      <c r="DJT30" s="232"/>
      <c r="DJU30" s="95"/>
      <c r="DJV30" s="96"/>
      <c r="DKB30" s="232"/>
      <c r="DKC30" s="95"/>
      <c r="DKD30" s="96"/>
      <c r="DKJ30" s="232"/>
      <c r="DKK30" s="95"/>
      <c r="DKL30" s="96"/>
      <c r="DKR30" s="232"/>
      <c r="DKS30" s="95"/>
      <c r="DKT30" s="96"/>
      <c r="DKZ30" s="232"/>
      <c r="DLA30" s="95"/>
      <c r="DLB30" s="96"/>
      <c r="DLH30" s="232"/>
      <c r="DLI30" s="95"/>
      <c r="DLJ30" s="96"/>
      <c r="DLP30" s="232"/>
      <c r="DLQ30" s="95"/>
      <c r="DLR30" s="96"/>
      <c r="DLX30" s="232"/>
      <c r="DLY30" s="95"/>
      <c r="DLZ30" s="96"/>
      <c r="DMF30" s="232"/>
      <c r="DMG30" s="95"/>
      <c r="DMH30" s="96"/>
      <c r="DMN30" s="232"/>
      <c r="DMO30" s="95"/>
      <c r="DMP30" s="96"/>
      <c r="DMV30" s="232"/>
      <c r="DMW30" s="95"/>
      <c r="DMX30" s="96"/>
      <c r="DND30" s="232"/>
      <c r="DNE30" s="95"/>
      <c r="DNF30" s="96"/>
      <c r="DNL30" s="232"/>
      <c r="DNM30" s="95"/>
      <c r="DNN30" s="96"/>
      <c r="DNT30" s="232"/>
      <c r="DNU30" s="95"/>
      <c r="DNV30" s="96"/>
      <c r="DOB30" s="232"/>
      <c r="DOC30" s="95"/>
      <c r="DOD30" s="96"/>
      <c r="DOJ30" s="232"/>
      <c r="DOK30" s="95"/>
      <c r="DOL30" s="96"/>
      <c r="DOR30" s="232"/>
      <c r="DOS30" s="95"/>
      <c r="DOT30" s="96"/>
      <c r="DOZ30" s="232"/>
      <c r="DPA30" s="95"/>
      <c r="DPB30" s="96"/>
      <c r="DPH30" s="232"/>
      <c r="DPI30" s="95"/>
      <c r="DPJ30" s="96"/>
      <c r="DPP30" s="232"/>
      <c r="DPQ30" s="95"/>
      <c r="DPR30" s="96"/>
      <c r="DPX30" s="232"/>
      <c r="DPY30" s="95"/>
      <c r="DPZ30" s="96"/>
      <c r="DQF30" s="232"/>
      <c r="DQG30" s="95"/>
      <c r="DQH30" s="96"/>
      <c r="DQN30" s="232"/>
      <c r="DQO30" s="95"/>
      <c r="DQP30" s="96"/>
      <c r="DQV30" s="232"/>
      <c r="DQW30" s="95"/>
      <c r="DQX30" s="96"/>
      <c r="DRD30" s="232"/>
      <c r="DRE30" s="95"/>
      <c r="DRF30" s="96"/>
      <c r="DRL30" s="232"/>
      <c r="DRM30" s="95"/>
      <c r="DRN30" s="96"/>
      <c r="DRT30" s="232"/>
      <c r="DRU30" s="95"/>
      <c r="DRV30" s="96"/>
      <c r="DSB30" s="232"/>
      <c r="DSC30" s="95"/>
      <c r="DSD30" s="96"/>
      <c r="DSJ30" s="232"/>
      <c r="DSK30" s="95"/>
      <c r="DSL30" s="96"/>
      <c r="DSR30" s="232"/>
      <c r="DSS30" s="95"/>
      <c r="DST30" s="96"/>
      <c r="DSZ30" s="232"/>
      <c r="DTA30" s="95"/>
      <c r="DTB30" s="96"/>
      <c r="DTH30" s="232"/>
      <c r="DTI30" s="95"/>
      <c r="DTJ30" s="96"/>
      <c r="DTP30" s="232"/>
      <c r="DTQ30" s="95"/>
      <c r="DTR30" s="96"/>
      <c r="DTX30" s="232"/>
      <c r="DTY30" s="95"/>
      <c r="DTZ30" s="96"/>
      <c r="DUF30" s="232"/>
      <c r="DUG30" s="95"/>
      <c r="DUH30" s="96"/>
      <c r="DUN30" s="232"/>
      <c r="DUO30" s="95"/>
      <c r="DUP30" s="96"/>
      <c r="DUV30" s="232"/>
      <c r="DUW30" s="95"/>
      <c r="DUX30" s="96"/>
      <c r="DVD30" s="232"/>
      <c r="DVE30" s="95"/>
      <c r="DVF30" s="96"/>
      <c r="DVL30" s="232"/>
      <c r="DVM30" s="95"/>
      <c r="DVN30" s="96"/>
      <c r="DVT30" s="232"/>
      <c r="DVU30" s="95"/>
      <c r="DVV30" s="96"/>
      <c r="DWB30" s="232"/>
      <c r="DWC30" s="95"/>
      <c r="DWD30" s="96"/>
      <c r="DWJ30" s="232"/>
      <c r="DWK30" s="95"/>
      <c r="DWL30" s="96"/>
      <c r="DWR30" s="232"/>
      <c r="DWS30" s="95"/>
      <c r="DWT30" s="96"/>
      <c r="DWZ30" s="232"/>
      <c r="DXA30" s="95"/>
      <c r="DXB30" s="96"/>
      <c r="DXH30" s="232"/>
      <c r="DXI30" s="95"/>
      <c r="DXJ30" s="96"/>
      <c r="DXP30" s="232"/>
      <c r="DXQ30" s="95"/>
      <c r="DXR30" s="96"/>
      <c r="DXX30" s="232"/>
      <c r="DXY30" s="95"/>
      <c r="DXZ30" s="96"/>
      <c r="DYF30" s="232"/>
      <c r="DYG30" s="95"/>
      <c r="DYH30" s="96"/>
      <c r="DYN30" s="232"/>
      <c r="DYO30" s="95"/>
      <c r="DYP30" s="96"/>
      <c r="DYV30" s="232"/>
      <c r="DYW30" s="95"/>
      <c r="DYX30" s="96"/>
      <c r="DZD30" s="232"/>
      <c r="DZE30" s="95"/>
      <c r="DZF30" s="96"/>
      <c r="DZL30" s="232"/>
      <c r="DZM30" s="95"/>
      <c r="DZN30" s="96"/>
      <c r="DZT30" s="232"/>
      <c r="DZU30" s="95"/>
      <c r="DZV30" s="96"/>
      <c r="EAB30" s="232"/>
      <c r="EAC30" s="95"/>
      <c r="EAD30" s="96"/>
      <c r="EAJ30" s="232"/>
      <c r="EAK30" s="95"/>
      <c r="EAL30" s="96"/>
      <c r="EAR30" s="232"/>
      <c r="EAS30" s="95"/>
      <c r="EAT30" s="96"/>
      <c r="EAZ30" s="232"/>
      <c r="EBA30" s="95"/>
      <c r="EBB30" s="96"/>
      <c r="EBH30" s="232"/>
      <c r="EBI30" s="95"/>
      <c r="EBJ30" s="96"/>
      <c r="EBP30" s="232"/>
      <c r="EBQ30" s="95"/>
      <c r="EBR30" s="96"/>
      <c r="EBX30" s="232"/>
      <c r="EBY30" s="95"/>
      <c r="EBZ30" s="96"/>
      <c r="ECF30" s="232"/>
      <c r="ECG30" s="95"/>
      <c r="ECH30" s="96"/>
      <c r="ECN30" s="232"/>
      <c r="ECO30" s="95"/>
      <c r="ECP30" s="96"/>
      <c r="ECV30" s="232"/>
      <c r="ECW30" s="95"/>
      <c r="ECX30" s="96"/>
      <c r="EDD30" s="232"/>
      <c r="EDE30" s="95"/>
      <c r="EDF30" s="96"/>
      <c r="EDL30" s="232"/>
      <c r="EDM30" s="95"/>
      <c r="EDN30" s="96"/>
      <c r="EDT30" s="232"/>
      <c r="EDU30" s="95"/>
      <c r="EDV30" s="96"/>
      <c r="EEB30" s="232"/>
      <c r="EEC30" s="95"/>
      <c r="EED30" s="96"/>
      <c r="EEJ30" s="232"/>
      <c r="EEK30" s="95"/>
      <c r="EEL30" s="96"/>
      <c r="EER30" s="232"/>
      <c r="EES30" s="95"/>
      <c r="EET30" s="96"/>
      <c r="EEZ30" s="232"/>
      <c r="EFA30" s="95"/>
      <c r="EFB30" s="96"/>
      <c r="EFH30" s="232"/>
      <c r="EFI30" s="95"/>
      <c r="EFJ30" s="96"/>
      <c r="EFP30" s="232"/>
      <c r="EFQ30" s="95"/>
      <c r="EFR30" s="96"/>
      <c r="EFX30" s="232"/>
      <c r="EFY30" s="95"/>
      <c r="EFZ30" s="96"/>
      <c r="EGF30" s="232"/>
      <c r="EGG30" s="95"/>
      <c r="EGH30" s="96"/>
      <c r="EGN30" s="232"/>
      <c r="EGO30" s="95"/>
      <c r="EGP30" s="96"/>
      <c r="EGV30" s="232"/>
      <c r="EGW30" s="95"/>
      <c r="EGX30" s="96"/>
      <c r="EHD30" s="232"/>
      <c r="EHE30" s="95"/>
      <c r="EHF30" s="96"/>
      <c r="EHL30" s="232"/>
      <c r="EHM30" s="95"/>
      <c r="EHN30" s="96"/>
      <c r="EHT30" s="232"/>
      <c r="EHU30" s="95"/>
      <c r="EHV30" s="96"/>
      <c r="EIB30" s="232"/>
      <c r="EIC30" s="95"/>
      <c r="EID30" s="96"/>
      <c r="EIJ30" s="232"/>
      <c r="EIK30" s="95"/>
      <c r="EIL30" s="96"/>
      <c r="EIR30" s="232"/>
      <c r="EIS30" s="95"/>
      <c r="EIT30" s="96"/>
      <c r="EIZ30" s="232"/>
      <c r="EJA30" s="95"/>
      <c r="EJB30" s="96"/>
      <c r="EJH30" s="232"/>
      <c r="EJI30" s="95"/>
      <c r="EJJ30" s="96"/>
      <c r="EJP30" s="232"/>
      <c r="EJQ30" s="95"/>
      <c r="EJR30" s="96"/>
      <c r="EJX30" s="232"/>
      <c r="EJY30" s="95"/>
      <c r="EJZ30" s="96"/>
      <c r="EKF30" s="232"/>
      <c r="EKG30" s="95"/>
      <c r="EKH30" s="96"/>
      <c r="EKN30" s="232"/>
      <c r="EKO30" s="95"/>
      <c r="EKP30" s="96"/>
      <c r="EKV30" s="232"/>
      <c r="EKW30" s="95"/>
      <c r="EKX30" s="96"/>
      <c r="ELD30" s="232"/>
      <c r="ELE30" s="95"/>
      <c r="ELF30" s="96"/>
      <c r="ELL30" s="232"/>
      <c r="ELM30" s="95"/>
      <c r="ELN30" s="96"/>
      <c r="ELT30" s="232"/>
      <c r="ELU30" s="95"/>
      <c r="ELV30" s="96"/>
      <c r="EMB30" s="232"/>
      <c r="EMC30" s="95"/>
      <c r="EMD30" s="96"/>
      <c r="EMJ30" s="232"/>
      <c r="EMK30" s="95"/>
      <c r="EML30" s="96"/>
      <c r="EMR30" s="232"/>
      <c r="EMS30" s="95"/>
      <c r="EMT30" s="96"/>
      <c r="EMZ30" s="232"/>
      <c r="ENA30" s="95"/>
      <c r="ENB30" s="96"/>
      <c r="ENH30" s="232"/>
      <c r="ENI30" s="95"/>
      <c r="ENJ30" s="96"/>
      <c r="ENP30" s="232"/>
      <c r="ENQ30" s="95"/>
      <c r="ENR30" s="96"/>
      <c r="ENX30" s="232"/>
      <c r="ENY30" s="95"/>
      <c r="ENZ30" s="96"/>
      <c r="EOF30" s="232"/>
      <c r="EOG30" s="95"/>
      <c r="EOH30" s="96"/>
      <c r="EON30" s="232"/>
      <c r="EOO30" s="95"/>
      <c r="EOP30" s="96"/>
      <c r="EOV30" s="232"/>
      <c r="EOW30" s="95"/>
      <c r="EOX30" s="96"/>
      <c r="EPD30" s="232"/>
      <c r="EPE30" s="95"/>
      <c r="EPF30" s="96"/>
      <c r="EPL30" s="232"/>
      <c r="EPM30" s="95"/>
      <c r="EPN30" s="96"/>
      <c r="EPT30" s="232"/>
      <c r="EPU30" s="95"/>
      <c r="EPV30" s="96"/>
      <c r="EQB30" s="232"/>
      <c r="EQC30" s="95"/>
      <c r="EQD30" s="96"/>
      <c r="EQJ30" s="232"/>
      <c r="EQK30" s="95"/>
      <c r="EQL30" s="96"/>
      <c r="EQR30" s="232"/>
      <c r="EQS30" s="95"/>
      <c r="EQT30" s="96"/>
      <c r="EQZ30" s="232"/>
      <c r="ERA30" s="95"/>
      <c r="ERB30" s="96"/>
      <c r="ERH30" s="232"/>
      <c r="ERI30" s="95"/>
      <c r="ERJ30" s="96"/>
      <c r="ERP30" s="232"/>
      <c r="ERQ30" s="95"/>
      <c r="ERR30" s="96"/>
      <c r="ERX30" s="232"/>
      <c r="ERY30" s="95"/>
      <c r="ERZ30" s="96"/>
      <c r="ESF30" s="232"/>
      <c r="ESG30" s="95"/>
      <c r="ESH30" s="96"/>
      <c r="ESN30" s="232"/>
      <c r="ESO30" s="95"/>
      <c r="ESP30" s="96"/>
      <c r="ESV30" s="232"/>
      <c r="ESW30" s="95"/>
      <c r="ESX30" s="96"/>
      <c r="ETD30" s="232"/>
      <c r="ETE30" s="95"/>
      <c r="ETF30" s="96"/>
      <c r="ETL30" s="232"/>
      <c r="ETM30" s="95"/>
      <c r="ETN30" s="96"/>
      <c r="ETT30" s="232"/>
      <c r="ETU30" s="95"/>
      <c r="ETV30" s="96"/>
      <c r="EUB30" s="232"/>
      <c r="EUC30" s="95"/>
      <c r="EUD30" s="96"/>
      <c r="EUJ30" s="232"/>
      <c r="EUK30" s="95"/>
      <c r="EUL30" s="96"/>
      <c r="EUR30" s="232"/>
      <c r="EUS30" s="95"/>
      <c r="EUT30" s="96"/>
      <c r="EUZ30" s="232"/>
      <c r="EVA30" s="95"/>
      <c r="EVB30" s="96"/>
      <c r="EVH30" s="232"/>
      <c r="EVI30" s="95"/>
      <c r="EVJ30" s="96"/>
      <c r="EVP30" s="232"/>
      <c r="EVQ30" s="95"/>
      <c r="EVR30" s="96"/>
      <c r="EVX30" s="232"/>
      <c r="EVY30" s="95"/>
      <c r="EVZ30" s="96"/>
      <c r="EWF30" s="232"/>
      <c r="EWG30" s="95"/>
      <c r="EWH30" s="96"/>
      <c r="EWN30" s="232"/>
      <c r="EWO30" s="95"/>
      <c r="EWP30" s="96"/>
      <c r="EWV30" s="232"/>
      <c r="EWW30" s="95"/>
      <c r="EWX30" s="96"/>
      <c r="EXD30" s="232"/>
      <c r="EXE30" s="95"/>
      <c r="EXF30" s="96"/>
      <c r="EXL30" s="232"/>
      <c r="EXM30" s="95"/>
      <c r="EXN30" s="96"/>
      <c r="EXT30" s="232"/>
      <c r="EXU30" s="95"/>
      <c r="EXV30" s="96"/>
      <c r="EYB30" s="232"/>
      <c r="EYC30" s="95"/>
      <c r="EYD30" s="96"/>
      <c r="EYJ30" s="232"/>
      <c r="EYK30" s="95"/>
      <c r="EYL30" s="96"/>
      <c r="EYR30" s="232"/>
      <c r="EYS30" s="95"/>
      <c r="EYT30" s="96"/>
      <c r="EYZ30" s="232"/>
      <c r="EZA30" s="95"/>
      <c r="EZB30" s="96"/>
      <c r="EZH30" s="232"/>
      <c r="EZI30" s="95"/>
      <c r="EZJ30" s="96"/>
      <c r="EZP30" s="232"/>
      <c r="EZQ30" s="95"/>
      <c r="EZR30" s="96"/>
      <c r="EZX30" s="232"/>
      <c r="EZY30" s="95"/>
      <c r="EZZ30" s="96"/>
      <c r="FAF30" s="232"/>
      <c r="FAG30" s="95"/>
      <c r="FAH30" s="96"/>
      <c r="FAN30" s="232"/>
      <c r="FAO30" s="95"/>
      <c r="FAP30" s="96"/>
      <c r="FAV30" s="232"/>
      <c r="FAW30" s="95"/>
      <c r="FAX30" s="96"/>
      <c r="FBD30" s="232"/>
      <c r="FBE30" s="95"/>
      <c r="FBF30" s="96"/>
      <c r="FBL30" s="232"/>
      <c r="FBM30" s="95"/>
      <c r="FBN30" s="96"/>
      <c r="FBT30" s="232"/>
      <c r="FBU30" s="95"/>
      <c r="FBV30" s="96"/>
      <c r="FCB30" s="232"/>
      <c r="FCC30" s="95"/>
      <c r="FCD30" s="96"/>
      <c r="FCJ30" s="232"/>
      <c r="FCK30" s="95"/>
      <c r="FCL30" s="96"/>
      <c r="FCR30" s="232"/>
      <c r="FCS30" s="95"/>
      <c r="FCT30" s="96"/>
      <c r="FCZ30" s="232"/>
      <c r="FDA30" s="95"/>
      <c r="FDB30" s="96"/>
      <c r="FDH30" s="232"/>
      <c r="FDI30" s="95"/>
      <c r="FDJ30" s="96"/>
      <c r="FDP30" s="232"/>
      <c r="FDQ30" s="95"/>
      <c r="FDR30" s="96"/>
      <c r="FDX30" s="232"/>
      <c r="FDY30" s="95"/>
      <c r="FDZ30" s="96"/>
      <c r="FEF30" s="232"/>
      <c r="FEG30" s="95"/>
      <c r="FEH30" s="96"/>
      <c r="FEN30" s="232"/>
      <c r="FEO30" s="95"/>
      <c r="FEP30" s="96"/>
      <c r="FEV30" s="232"/>
      <c r="FEW30" s="95"/>
      <c r="FEX30" s="96"/>
      <c r="FFD30" s="232"/>
      <c r="FFE30" s="95"/>
      <c r="FFF30" s="96"/>
      <c r="FFL30" s="232"/>
      <c r="FFM30" s="95"/>
      <c r="FFN30" s="96"/>
      <c r="FFT30" s="232"/>
      <c r="FFU30" s="95"/>
      <c r="FFV30" s="96"/>
      <c r="FGB30" s="232"/>
      <c r="FGC30" s="95"/>
      <c r="FGD30" s="96"/>
      <c r="FGJ30" s="232"/>
      <c r="FGK30" s="95"/>
      <c r="FGL30" s="96"/>
      <c r="FGR30" s="232"/>
      <c r="FGS30" s="95"/>
      <c r="FGT30" s="96"/>
      <c r="FGZ30" s="232"/>
      <c r="FHA30" s="95"/>
      <c r="FHB30" s="96"/>
      <c r="FHH30" s="232"/>
      <c r="FHI30" s="95"/>
      <c r="FHJ30" s="96"/>
      <c r="FHP30" s="232"/>
      <c r="FHQ30" s="95"/>
      <c r="FHR30" s="96"/>
      <c r="FHX30" s="232"/>
      <c r="FHY30" s="95"/>
      <c r="FHZ30" s="96"/>
      <c r="FIF30" s="232"/>
      <c r="FIG30" s="95"/>
      <c r="FIH30" s="96"/>
      <c r="FIN30" s="232"/>
      <c r="FIO30" s="95"/>
      <c r="FIP30" s="96"/>
      <c r="FIV30" s="232"/>
      <c r="FIW30" s="95"/>
      <c r="FIX30" s="96"/>
      <c r="FJD30" s="232"/>
      <c r="FJE30" s="95"/>
      <c r="FJF30" s="96"/>
      <c r="FJL30" s="232"/>
      <c r="FJM30" s="95"/>
      <c r="FJN30" s="96"/>
      <c r="FJT30" s="232"/>
      <c r="FJU30" s="95"/>
      <c r="FJV30" s="96"/>
      <c r="FKB30" s="232"/>
      <c r="FKC30" s="95"/>
      <c r="FKD30" s="96"/>
      <c r="FKJ30" s="232"/>
      <c r="FKK30" s="95"/>
      <c r="FKL30" s="96"/>
      <c r="FKR30" s="232"/>
      <c r="FKS30" s="95"/>
      <c r="FKT30" s="96"/>
      <c r="FKZ30" s="232"/>
      <c r="FLA30" s="95"/>
      <c r="FLB30" s="96"/>
      <c r="FLH30" s="232"/>
      <c r="FLI30" s="95"/>
      <c r="FLJ30" s="96"/>
      <c r="FLP30" s="232"/>
      <c r="FLQ30" s="95"/>
      <c r="FLR30" s="96"/>
      <c r="FLX30" s="232"/>
      <c r="FLY30" s="95"/>
      <c r="FLZ30" s="96"/>
      <c r="FMF30" s="232"/>
      <c r="FMG30" s="95"/>
      <c r="FMH30" s="96"/>
      <c r="FMN30" s="232"/>
      <c r="FMO30" s="95"/>
      <c r="FMP30" s="96"/>
      <c r="FMV30" s="232"/>
      <c r="FMW30" s="95"/>
      <c r="FMX30" s="96"/>
      <c r="FND30" s="232"/>
      <c r="FNE30" s="95"/>
      <c r="FNF30" s="96"/>
      <c r="FNL30" s="232"/>
      <c r="FNM30" s="95"/>
      <c r="FNN30" s="96"/>
      <c r="FNT30" s="232"/>
      <c r="FNU30" s="95"/>
      <c r="FNV30" s="96"/>
      <c r="FOB30" s="232"/>
      <c r="FOC30" s="95"/>
      <c r="FOD30" s="96"/>
      <c r="FOJ30" s="232"/>
      <c r="FOK30" s="95"/>
      <c r="FOL30" s="96"/>
      <c r="FOR30" s="232"/>
      <c r="FOS30" s="95"/>
      <c r="FOT30" s="96"/>
      <c r="FOZ30" s="232"/>
      <c r="FPA30" s="95"/>
      <c r="FPB30" s="96"/>
      <c r="FPH30" s="232"/>
      <c r="FPI30" s="95"/>
      <c r="FPJ30" s="96"/>
      <c r="FPP30" s="232"/>
      <c r="FPQ30" s="95"/>
      <c r="FPR30" s="96"/>
      <c r="FPX30" s="232"/>
      <c r="FPY30" s="95"/>
      <c r="FPZ30" s="96"/>
      <c r="FQF30" s="232"/>
      <c r="FQG30" s="95"/>
      <c r="FQH30" s="96"/>
      <c r="FQN30" s="232"/>
      <c r="FQO30" s="95"/>
      <c r="FQP30" s="96"/>
      <c r="FQV30" s="232"/>
      <c r="FQW30" s="95"/>
      <c r="FQX30" s="96"/>
      <c r="FRD30" s="232"/>
      <c r="FRE30" s="95"/>
      <c r="FRF30" s="96"/>
      <c r="FRL30" s="232"/>
      <c r="FRM30" s="95"/>
      <c r="FRN30" s="96"/>
      <c r="FRT30" s="232"/>
      <c r="FRU30" s="95"/>
      <c r="FRV30" s="96"/>
      <c r="FSB30" s="232"/>
      <c r="FSC30" s="95"/>
      <c r="FSD30" s="96"/>
      <c r="FSJ30" s="232"/>
      <c r="FSK30" s="95"/>
      <c r="FSL30" s="96"/>
      <c r="FSR30" s="232"/>
      <c r="FSS30" s="95"/>
      <c r="FST30" s="96"/>
      <c r="FSZ30" s="232"/>
      <c r="FTA30" s="95"/>
      <c r="FTB30" s="96"/>
      <c r="FTH30" s="232"/>
      <c r="FTI30" s="95"/>
      <c r="FTJ30" s="96"/>
      <c r="FTP30" s="232"/>
      <c r="FTQ30" s="95"/>
      <c r="FTR30" s="96"/>
      <c r="FTX30" s="232"/>
      <c r="FTY30" s="95"/>
      <c r="FTZ30" s="96"/>
      <c r="FUF30" s="232"/>
      <c r="FUG30" s="95"/>
      <c r="FUH30" s="96"/>
      <c r="FUN30" s="232"/>
      <c r="FUO30" s="95"/>
      <c r="FUP30" s="96"/>
      <c r="FUV30" s="232"/>
      <c r="FUW30" s="95"/>
      <c r="FUX30" s="96"/>
      <c r="FVD30" s="232"/>
      <c r="FVE30" s="95"/>
      <c r="FVF30" s="96"/>
      <c r="FVL30" s="232"/>
      <c r="FVM30" s="95"/>
      <c r="FVN30" s="96"/>
      <c r="FVT30" s="232"/>
      <c r="FVU30" s="95"/>
      <c r="FVV30" s="96"/>
      <c r="FWB30" s="232"/>
      <c r="FWC30" s="95"/>
      <c r="FWD30" s="96"/>
      <c r="FWJ30" s="232"/>
      <c r="FWK30" s="95"/>
      <c r="FWL30" s="96"/>
      <c r="FWR30" s="232"/>
      <c r="FWS30" s="95"/>
      <c r="FWT30" s="96"/>
      <c r="FWZ30" s="232"/>
      <c r="FXA30" s="95"/>
      <c r="FXB30" s="96"/>
      <c r="FXH30" s="232"/>
      <c r="FXI30" s="95"/>
      <c r="FXJ30" s="96"/>
      <c r="FXP30" s="232"/>
      <c r="FXQ30" s="95"/>
      <c r="FXR30" s="96"/>
      <c r="FXX30" s="232"/>
      <c r="FXY30" s="95"/>
      <c r="FXZ30" s="96"/>
      <c r="FYF30" s="232"/>
      <c r="FYG30" s="95"/>
      <c r="FYH30" s="96"/>
      <c r="FYN30" s="232"/>
      <c r="FYO30" s="95"/>
      <c r="FYP30" s="96"/>
      <c r="FYV30" s="232"/>
      <c r="FYW30" s="95"/>
      <c r="FYX30" s="96"/>
      <c r="FZD30" s="232"/>
      <c r="FZE30" s="95"/>
      <c r="FZF30" s="96"/>
      <c r="FZL30" s="232"/>
      <c r="FZM30" s="95"/>
      <c r="FZN30" s="96"/>
      <c r="FZT30" s="232"/>
      <c r="FZU30" s="95"/>
      <c r="FZV30" s="96"/>
      <c r="GAB30" s="232"/>
      <c r="GAC30" s="95"/>
      <c r="GAD30" s="96"/>
      <c r="GAJ30" s="232"/>
      <c r="GAK30" s="95"/>
      <c r="GAL30" s="96"/>
      <c r="GAR30" s="232"/>
      <c r="GAS30" s="95"/>
      <c r="GAT30" s="96"/>
      <c r="GAZ30" s="232"/>
      <c r="GBA30" s="95"/>
      <c r="GBB30" s="96"/>
      <c r="GBH30" s="232"/>
      <c r="GBI30" s="95"/>
      <c r="GBJ30" s="96"/>
      <c r="GBP30" s="232"/>
      <c r="GBQ30" s="95"/>
      <c r="GBR30" s="96"/>
      <c r="GBX30" s="232"/>
      <c r="GBY30" s="95"/>
      <c r="GBZ30" s="96"/>
      <c r="GCF30" s="232"/>
      <c r="GCG30" s="95"/>
      <c r="GCH30" s="96"/>
      <c r="GCN30" s="232"/>
      <c r="GCO30" s="95"/>
      <c r="GCP30" s="96"/>
      <c r="GCV30" s="232"/>
      <c r="GCW30" s="95"/>
      <c r="GCX30" s="96"/>
      <c r="GDD30" s="232"/>
      <c r="GDE30" s="95"/>
      <c r="GDF30" s="96"/>
      <c r="GDL30" s="232"/>
      <c r="GDM30" s="95"/>
      <c r="GDN30" s="96"/>
      <c r="GDT30" s="232"/>
      <c r="GDU30" s="95"/>
      <c r="GDV30" s="96"/>
      <c r="GEB30" s="232"/>
      <c r="GEC30" s="95"/>
      <c r="GED30" s="96"/>
      <c r="GEJ30" s="232"/>
      <c r="GEK30" s="95"/>
      <c r="GEL30" s="96"/>
      <c r="GER30" s="232"/>
      <c r="GES30" s="95"/>
      <c r="GET30" s="96"/>
      <c r="GEZ30" s="232"/>
      <c r="GFA30" s="95"/>
      <c r="GFB30" s="96"/>
      <c r="GFH30" s="232"/>
      <c r="GFI30" s="95"/>
      <c r="GFJ30" s="96"/>
      <c r="GFP30" s="232"/>
      <c r="GFQ30" s="95"/>
      <c r="GFR30" s="96"/>
      <c r="GFX30" s="232"/>
      <c r="GFY30" s="95"/>
      <c r="GFZ30" s="96"/>
      <c r="GGF30" s="232"/>
      <c r="GGG30" s="95"/>
      <c r="GGH30" s="96"/>
      <c r="GGN30" s="232"/>
      <c r="GGO30" s="95"/>
      <c r="GGP30" s="96"/>
      <c r="GGV30" s="232"/>
      <c r="GGW30" s="95"/>
      <c r="GGX30" s="96"/>
      <c r="GHD30" s="232"/>
      <c r="GHE30" s="95"/>
      <c r="GHF30" s="96"/>
      <c r="GHL30" s="232"/>
      <c r="GHM30" s="95"/>
      <c r="GHN30" s="96"/>
      <c r="GHT30" s="232"/>
      <c r="GHU30" s="95"/>
      <c r="GHV30" s="96"/>
      <c r="GIB30" s="232"/>
      <c r="GIC30" s="95"/>
      <c r="GID30" s="96"/>
      <c r="GIJ30" s="232"/>
      <c r="GIK30" s="95"/>
      <c r="GIL30" s="96"/>
      <c r="GIR30" s="232"/>
      <c r="GIS30" s="95"/>
      <c r="GIT30" s="96"/>
      <c r="GIZ30" s="232"/>
      <c r="GJA30" s="95"/>
      <c r="GJB30" s="96"/>
      <c r="GJH30" s="232"/>
      <c r="GJI30" s="95"/>
      <c r="GJJ30" s="96"/>
      <c r="GJP30" s="232"/>
      <c r="GJQ30" s="95"/>
      <c r="GJR30" s="96"/>
      <c r="GJX30" s="232"/>
      <c r="GJY30" s="95"/>
      <c r="GJZ30" s="96"/>
      <c r="GKF30" s="232"/>
      <c r="GKG30" s="95"/>
      <c r="GKH30" s="96"/>
      <c r="GKN30" s="232"/>
      <c r="GKO30" s="95"/>
      <c r="GKP30" s="96"/>
      <c r="GKV30" s="232"/>
      <c r="GKW30" s="95"/>
      <c r="GKX30" s="96"/>
      <c r="GLD30" s="232"/>
      <c r="GLE30" s="95"/>
      <c r="GLF30" s="96"/>
      <c r="GLL30" s="232"/>
      <c r="GLM30" s="95"/>
      <c r="GLN30" s="96"/>
      <c r="GLT30" s="232"/>
      <c r="GLU30" s="95"/>
      <c r="GLV30" s="96"/>
      <c r="GMB30" s="232"/>
      <c r="GMC30" s="95"/>
      <c r="GMD30" s="96"/>
      <c r="GMJ30" s="232"/>
      <c r="GMK30" s="95"/>
      <c r="GML30" s="96"/>
      <c r="GMR30" s="232"/>
      <c r="GMS30" s="95"/>
      <c r="GMT30" s="96"/>
      <c r="GMZ30" s="232"/>
      <c r="GNA30" s="95"/>
      <c r="GNB30" s="96"/>
      <c r="GNH30" s="232"/>
      <c r="GNI30" s="95"/>
      <c r="GNJ30" s="96"/>
      <c r="GNP30" s="232"/>
      <c r="GNQ30" s="95"/>
      <c r="GNR30" s="96"/>
      <c r="GNX30" s="232"/>
      <c r="GNY30" s="95"/>
      <c r="GNZ30" s="96"/>
      <c r="GOF30" s="232"/>
      <c r="GOG30" s="95"/>
      <c r="GOH30" s="96"/>
      <c r="GON30" s="232"/>
      <c r="GOO30" s="95"/>
      <c r="GOP30" s="96"/>
      <c r="GOV30" s="232"/>
      <c r="GOW30" s="95"/>
      <c r="GOX30" s="96"/>
      <c r="GPD30" s="232"/>
      <c r="GPE30" s="95"/>
      <c r="GPF30" s="96"/>
      <c r="GPL30" s="232"/>
      <c r="GPM30" s="95"/>
      <c r="GPN30" s="96"/>
      <c r="GPT30" s="232"/>
      <c r="GPU30" s="95"/>
      <c r="GPV30" s="96"/>
      <c r="GQB30" s="232"/>
      <c r="GQC30" s="95"/>
      <c r="GQD30" s="96"/>
      <c r="GQJ30" s="232"/>
      <c r="GQK30" s="95"/>
      <c r="GQL30" s="96"/>
      <c r="GQR30" s="232"/>
      <c r="GQS30" s="95"/>
      <c r="GQT30" s="96"/>
      <c r="GQZ30" s="232"/>
      <c r="GRA30" s="95"/>
      <c r="GRB30" s="96"/>
      <c r="GRH30" s="232"/>
      <c r="GRI30" s="95"/>
      <c r="GRJ30" s="96"/>
      <c r="GRP30" s="232"/>
      <c r="GRQ30" s="95"/>
      <c r="GRR30" s="96"/>
      <c r="GRX30" s="232"/>
      <c r="GRY30" s="95"/>
      <c r="GRZ30" s="96"/>
      <c r="GSF30" s="232"/>
      <c r="GSG30" s="95"/>
      <c r="GSH30" s="96"/>
      <c r="GSN30" s="232"/>
      <c r="GSO30" s="95"/>
      <c r="GSP30" s="96"/>
      <c r="GSV30" s="232"/>
      <c r="GSW30" s="95"/>
      <c r="GSX30" s="96"/>
      <c r="GTD30" s="232"/>
      <c r="GTE30" s="95"/>
      <c r="GTF30" s="96"/>
      <c r="GTL30" s="232"/>
      <c r="GTM30" s="95"/>
      <c r="GTN30" s="96"/>
      <c r="GTT30" s="232"/>
      <c r="GTU30" s="95"/>
      <c r="GTV30" s="96"/>
      <c r="GUB30" s="232"/>
      <c r="GUC30" s="95"/>
      <c r="GUD30" s="96"/>
      <c r="GUJ30" s="232"/>
      <c r="GUK30" s="95"/>
      <c r="GUL30" s="96"/>
      <c r="GUR30" s="232"/>
      <c r="GUS30" s="95"/>
      <c r="GUT30" s="96"/>
      <c r="GUZ30" s="232"/>
      <c r="GVA30" s="95"/>
      <c r="GVB30" s="96"/>
      <c r="GVH30" s="232"/>
      <c r="GVI30" s="95"/>
      <c r="GVJ30" s="96"/>
      <c r="GVP30" s="232"/>
      <c r="GVQ30" s="95"/>
      <c r="GVR30" s="96"/>
      <c r="GVX30" s="232"/>
      <c r="GVY30" s="95"/>
      <c r="GVZ30" s="96"/>
      <c r="GWF30" s="232"/>
      <c r="GWG30" s="95"/>
      <c r="GWH30" s="96"/>
      <c r="GWN30" s="232"/>
      <c r="GWO30" s="95"/>
      <c r="GWP30" s="96"/>
      <c r="GWV30" s="232"/>
      <c r="GWW30" s="95"/>
      <c r="GWX30" s="96"/>
      <c r="GXD30" s="232"/>
      <c r="GXE30" s="95"/>
      <c r="GXF30" s="96"/>
      <c r="GXL30" s="232"/>
      <c r="GXM30" s="95"/>
      <c r="GXN30" s="96"/>
      <c r="GXT30" s="232"/>
      <c r="GXU30" s="95"/>
      <c r="GXV30" s="96"/>
      <c r="GYB30" s="232"/>
      <c r="GYC30" s="95"/>
      <c r="GYD30" s="96"/>
      <c r="GYJ30" s="232"/>
      <c r="GYK30" s="95"/>
      <c r="GYL30" s="96"/>
      <c r="GYR30" s="232"/>
      <c r="GYS30" s="95"/>
      <c r="GYT30" s="96"/>
      <c r="GYZ30" s="232"/>
      <c r="GZA30" s="95"/>
      <c r="GZB30" s="96"/>
      <c r="GZH30" s="232"/>
      <c r="GZI30" s="95"/>
      <c r="GZJ30" s="96"/>
      <c r="GZP30" s="232"/>
      <c r="GZQ30" s="95"/>
      <c r="GZR30" s="96"/>
      <c r="GZX30" s="232"/>
      <c r="GZY30" s="95"/>
      <c r="GZZ30" s="96"/>
      <c r="HAF30" s="232"/>
      <c r="HAG30" s="95"/>
      <c r="HAH30" s="96"/>
      <c r="HAN30" s="232"/>
      <c r="HAO30" s="95"/>
      <c r="HAP30" s="96"/>
      <c r="HAV30" s="232"/>
      <c r="HAW30" s="95"/>
      <c r="HAX30" s="96"/>
      <c r="HBD30" s="232"/>
      <c r="HBE30" s="95"/>
      <c r="HBF30" s="96"/>
      <c r="HBL30" s="232"/>
      <c r="HBM30" s="95"/>
      <c r="HBN30" s="96"/>
      <c r="HBT30" s="232"/>
      <c r="HBU30" s="95"/>
      <c r="HBV30" s="96"/>
      <c r="HCB30" s="232"/>
      <c r="HCC30" s="95"/>
      <c r="HCD30" s="96"/>
      <c r="HCJ30" s="232"/>
      <c r="HCK30" s="95"/>
      <c r="HCL30" s="96"/>
      <c r="HCR30" s="232"/>
      <c r="HCS30" s="95"/>
      <c r="HCT30" s="96"/>
      <c r="HCZ30" s="232"/>
      <c r="HDA30" s="95"/>
      <c r="HDB30" s="96"/>
      <c r="HDH30" s="232"/>
      <c r="HDI30" s="95"/>
      <c r="HDJ30" s="96"/>
      <c r="HDP30" s="232"/>
      <c r="HDQ30" s="95"/>
      <c r="HDR30" s="96"/>
      <c r="HDX30" s="232"/>
      <c r="HDY30" s="95"/>
      <c r="HDZ30" s="96"/>
      <c r="HEF30" s="232"/>
      <c r="HEG30" s="95"/>
      <c r="HEH30" s="96"/>
      <c r="HEN30" s="232"/>
      <c r="HEO30" s="95"/>
      <c r="HEP30" s="96"/>
      <c r="HEV30" s="232"/>
      <c r="HEW30" s="95"/>
      <c r="HEX30" s="96"/>
      <c r="HFD30" s="232"/>
      <c r="HFE30" s="95"/>
      <c r="HFF30" s="96"/>
      <c r="HFL30" s="232"/>
      <c r="HFM30" s="95"/>
      <c r="HFN30" s="96"/>
      <c r="HFT30" s="232"/>
      <c r="HFU30" s="95"/>
      <c r="HFV30" s="96"/>
      <c r="HGB30" s="232"/>
      <c r="HGC30" s="95"/>
      <c r="HGD30" s="96"/>
      <c r="HGJ30" s="232"/>
      <c r="HGK30" s="95"/>
      <c r="HGL30" s="96"/>
      <c r="HGR30" s="232"/>
      <c r="HGS30" s="95"/>
      <c r="HGT30" s="96"/>
      <c r="HGZ30" s="232"/>
      <c r="HHA30" s="95"/>
      <c r="HHB30" s="96"/>
      <c r="HHH30" s="232"/>
      <c r="HHI30" s="95"/>
      <c r="HHJ30" s="96"/>
      <c r="HHP30" s="232"/>
      <c r="HHQ30" s="95"/>
      <c r="HHR30" s="96"/>
      <c r="HHX30" s="232"/>
      <c r="HHY30" s="95"/>
      <c r="HHZ30" s="96"/>
      <c r="HIF30" s="232"/>
      <c r="HIG30" s="95"/>
      <c r="HIH30" s="96"/>
      <c r="HIN30" s="232"/>
      <c r="HIO30" s="95"/>
      <c r="HIP30" s="96"/>
      <c r="HIV30" s="232"/>
      <c r="HIW30" s="95"/>
      <c r="HIX30" s="96"/>
      <c r="HJD30" s="232"/>
      <c r="HJE30" s="95"/>
      <c r="HJF30" s="96"/>
      <c r="HJL30" s="232"/>
      <c r="HJM30" s="95"/>
      <c r="HJN30" s="96"/>
      <c r="HJT30" s="232"/>
      <c r="HJU30" s="95"/>
      <c r="HJV30" s="96"/>
      <c r="HKB30" s="232"/>
      <c r="HKC30" s="95"/>
      <c r="HKD30" s="96"/>
      <c r="HKJ30" s="232"/>
      <c r="HKK30" s="95"/>
      <c r="HKL30" s="96"/>
      <c r="HKR30" s="232"/>
      <c r="HKS30" s="95"/>
      <c r="HKT30" s="96"/>
      <c r="HKZ30" s="232"/>
      <c r="HLA30" s="95"/>
      <c r="HLB30" s="96"/>
      <c r="HLH30" s="232"/>
      <c r="HLI30" s="95"/>
      <c r="HLJ30" s="96"/>
      <c r="HLP30" s="232"/>
      <c r="HLQ30" s="95"/>
      <c r="HLR30" s="96"/>
      <c r="HLX30" s="232"/>
      <c r="HLY30" s="95"/>
      <c r="HLZ30" s="96"/>
      <c r="HMF30" s="232"/>
      <c r="HMG30" s="95"/>
      <c r="HMH30" s="96"/>
      <c r="HMN30" s="232"/>
      <c r="HMO30" s="95"/>
      <c r="HMP30" s="96"/>
      <c r="HMV30" s="232"/>
      <c r="HMW30" s="95"/>
      <c r="HMX30" s="96"/>
      <c r="HND30" s="232"/>
      <c r="HNE30" s="95"/>
      <c r="HNF30" s="96"/>
      <c r="HNL30" s="232"/>
      <c r="HNM30" s="95"/>
      <c r="HNN30" s="96"/>
      <c r="HNT30" s="232"/>
      <c r="HNU30" s="95"/>
      <c r="HNV30" s="96"/>
      <c r="HOB30" s="232"/>
      <c r="HOC30" s="95"/>
      <c r="HOD30" s="96"/>
      <c r="HOJ30" s="232"/>
      <c r="HOK30" s="95"/>
      <c r="HOL30" s="96"/>
      <c r="HOR30" s="232"/>
      <c r="HOS30" s="95"/>
      <c r="HOT30" s="96"/>
      <c r="HOZ30" s="232"/>
      <c r="HPA30" s="95"/>
      <c r="HPB30" s="96"/>
      <c r="HPH30" s="232"/>
      <c r="HPI30" s="95"/>
      <c r="HPJ30" s="96"/>
      <c r="HPP30" s="232"/>
      <c r="HPQ30" s="95"/>
      <c r="HPR30" s="96"/>
      <c r="HPX30" s="232"/>
      <c r="HPY30" s="95"/>
      <c r="HPZ30" s="96"/>
      <c r="HQF30" s="232"/>
      <c r="HQG30" s="95"/>
      <c r="HQH30" s="96"/>
      <c r="HQN30" s="232"/>
      <c r="HQO30" s="95"/>
      <c r="HQP30" s="96"/>
      <c r="HQV30" s="232"/>
      <c r="HQW30" s="95"/>
      <c r="HQX30" s="96"/>
      <c r="HRD30" s="232"/>
      <c r="HRE30" s="95"/>
      <c r="HRF30" s="96"/>
      <c r="HRL30" s="232"/>
      <c r="HRM30" s="95"/>
      <c r="HRN30" s="96"/>
      <c r="HRT30" s="232"/>
      <c r="HRU30" s="95"/>
      <c r="HRV30" s="96"/>
      <c r="HSB30" s="232"/>
      <c r="HSC30" s="95"/>
      <c r="HSD30" s="96"/>
      <c r="HSJ30" s="232"/>
      <c r="HSK30" s="95"/>
      <c r="HSL30" s="96"/>
      <c r="HSR30" s="232"/>
      <c r="HSS30" s="95"/>
      <c r="HST30" s="96"/>
      <c r="HSZ30" s="232"/>
      <c r="HTA30" s="95"/>
      <c r="HTB30" s="96"/>
      <c r="HTH30" s="232"/>
      <c r="HTI30" s="95"/>
      <c r="HTJ30" s="96"/>
      <c r="HTP30" s="232"/>
      <c r="HTQ30" s="95"/>
      <c r="HTR30" s="96"/>
      <c r="HTX30" s="232"/>
      <c r="HTY30" s="95"/>
      <c r="HTZ30" s="96"/>
      <c r="HUF30" s="232"/>
      <c r="HUG30" s="95"/>
      <c r="HUH30" s="96"/>
      <c r="HUN30" s="232"/>
      <c r="HUO30" s="95"/>
      <c r="HUP30" s="96"/>
      <c r="HUV30" s="232"/>
      <c r="HUW30" s="95"/>
      <c r="HUX30" s="96"/>
      <c r="HVD30" s="232"/>
      <c r="HVE30" s="95"/>
      <c r="HVF30" s="96"/>
      <c r="HVL30" s="232"/>
      <c r="HVM30" s="95"/>
      <c r="HVN30" s="96"/>
      <c r="HVT30" s="232"/>
      <c r="HVU30" s="95"/>
      <c r="HVV30" s="96"/>
      <c r="HWB30" s="232"/>
      <c r="HWC30" s="95"/>
      <c r="HWD30" s="96"/>
      <c r="HWJ30" s="232"/>
      <c r="HWK30" s="95"/>
      <c r="HWL30" s="96"/>
      <c r="HWR30" s="232"/>
      <c r="HWS30" s="95"/>
      <c r="HWT30" s="96"/>
      <c r="HWZ30" s="232"/>
      <c r="HXA30" s="95"/>
      <c r="HXB30" s="96"/>
      <c r="HXH30" s="232"/>
      <c r="HXI30" s="95"/>
      <c r="HXJ30" s="96"/>
      <c r="HXP30" s="232"/>
      <c r="HXQ30" s="95"/>
      <c r="HXR30" s="96"/>
      <c r="HXX30" s="232"/>
      <c r="HXY30" s="95"/>
      <c r="HXZ30" s="96"/>
      <c r="HYF30" s="232"/>
      <c r="HYG30" s="95"/>
      <c r="HYH30" s="96"/>
      <c r="HYN30" s="232"/>
      <c r="HYO30" s="95"/>
      <c r="HYP30" s="96"/>
      <c r="HYV30" s="232"/>
      <c r="HYW30" s="95"/>
      <c r="HYX30" s="96"/>
      <c r="HZD30" s="232"/>
      <c r="HZE30" s="95"/>
      <c r="HZF30" s="96"/>
      <c r="HZL30" s="232"/>
      <c r="HZM30" s="95"/>
      <c r="HZN30" s="96"/>
      <c r="HZT30" s="232"/>
      <c r="HZU30" s="95"/>
      <c r="HZV30" s="96"/>
      <c r="IAB30" s="232"/>
      <c r="IAC30" s="95"/>
      <c r="IAD30" s="96"/>
      <c r="IAJ30" s="232"/>
      <c r="IAK30" s="95"/>
      <c r="IAL30" s="96"/>
      <c r="IAR30" s="232"/>
      <c r="IAS30" s="95"/>
      <c r="IAT30" s="96"/>
      <c r="IAZ30" s="232"/>
      <c r="IBA30" s="95"/>
      <c r="IBB30" s="96"/>
      <c r="IBH30" s="232"/>
      <c r="IBI30" s="95"/>
      <c r="IBJ30" s="96"/>
      <c r="IBP30" s="232"/>
      <c r="IBQ30" s="95"/>
      <c r="IBR30" s="96"/>
      <c r="IBX30" s="232"/>
      <c r="IBY30" s="95"/>
      <c r="IBZ30" s="96"/>
      <c r="ICF30" s="232"/>
      <c r="ICG30" s="95"/>
      <c r="ICH30" s="96"/>
      <c r="ICN30" s="232"/>
      <c r="ICO30" s="95"/>
      <c r="ICP30" s="96"/>
      <c r="ICV30" s="232"/>
      <c r="ICW30" s="95"/>
      <c r="ICX30" s="96"/>
      <c r="IDD30" s="232"/>
      <c r="IDE30" s="95"/>
      <c r="IDF30" s="96"/>
      <c r="IDL30" s="232"/>
      <c r="IDM30" s="95"/>
      <c r="IDN30" s="96"/>
      <c r="IDT30" s="232"/>
      <c r="IDU30" s="95"/>
      <c r="IDV30" s="96"/>
      <c r="IEB30" s="232"/>
      <c r="IEC30" s="95"/>
      <c r="IED30" s="96"/>
      <c r="IEJ30" s="232"/>
      <c r="IEK30" s="95"/>
      <c r="IEL30" s="96"/>
      <c r="IER30" s="232"/>
      <c r="IES30" s="95"/>
      <c r="IET30" s="96"/>
      <c r="IEZ30" s="232"/>
      <c r="IFA30" s="95"/>
      <c r="IFB30" s="96"/>
      <c r="IFH30" s="232"/>
      <c r="IFI30" s="95"/>
      <c r="IFJ30" s="96"/>
      <c r="IFP30" s="232"/>
      <c r="IFQ30" s="95"/>
      <c r="IFR30" s="96"/>
      <c r="IFX30" s="232"/>
      <c r="IFY30" s="95"/>
      <c r="IFZ30" s="96"/>
      <c r="IGF30" s="232"/>
      <c r="IGG30" s="95"/>
      <c r="IGH30" s="96"/>
      <c r="IGN30" s="232"/>
      <c r="IGO30" s="95"/>
      <c r="IGP30" s="96"/>
      <c r="IGV30" s="232"/>
      <c r="IGW30" s="95"/>
      <c r="IGX30" s="96"/>
      <c r="IHD30" s="232"/>
      <c r="IHE30" s="95"/>
      <c r="IHF30" s="96"/>
      <c r="IHL30" s="232"/>
      <c r="IHM30" s="95"/>
      <c r="IHN30" s="96"/>
      <c r="IHT30" s="232"/>
      <c r="IHU30" s="95"/>
      <c r="IHV30" s="96"/>
      <c r="IIB30" s="232"/>
      <c r="IIC30" s="95"/>
      <c r="IID30" s="96"/>
      <c r="IIJ30" s="232"/>
      <c r="IIK30" s="95"/>
      <c r="IIL30" s="96"/>
      <c r="IIR30" s="232"/>
      <c r="IIS30" s="95"/>
      <c r="IIT30" s="96"/>
      <c r="IIZ30" s="232"/>
      <c r="IJA30" s="95"/>
      <c r="IJB30" s="96"/>
      <c r="IJH30" s="232"/>
      <c r="IJI30" s="95"/>
      <c r="IJJ30" s="96"/>
      <c r="IJP30" s="232"/>
      <c r="IJQ30" s="95"/>
      <c r="IJR30" s="96"/>
      <c r="IJX30" s="232"/>
      <c r="IJY30" s="95"/>
      <c r="IJZ30" s="96"/>
      <c r="IKF30" s="232"/>
      <c r="IKG30" s="95"/>
      <c r="IKH30" s="96"/>
      <c r="IKN30" s="232"/>
      <c r="IKO30" s="95"/>
      <c r="IKP30" s="96"/>
      <c r="IKV30" s="232"/>
      <c r="IKW30" s="95"/>
      <c r="IKX30" s="96"/>
      <c r="ILD30" s="232"/>
      <c r="ILE30" s="95"/>
      <c r="ILF30" s="96"/>
      <c r="ILL30" s="232"/>
      <c r="ILM30" s="95"/>
      <c r="ILN30" s="96"/>
      <c r="ILT30" s="232"/>
      <c r="ILU30" s="95"/>
      <c r="ILV30" s="96"/>
      <c r="IMB30" s="232"/>
      <c r="IMC30" s="95"/>
      <c r="IMD30" s="96"/>
      <c r="IMJ30" s="232"/>
      <c r="IMK30" s="95"/>
      <c r="IML30" s="96"/>
      <c r="IMR30" s="232"/>
      <c r="IMS30" s="95"/>
      <c r="IMT30" s="96"/>
      <c r="IMZ30" s="232"/>
      <c r="INA30" s="95"/>
      <c r="INB30" s="96"/>
      <c r="INH30" s="232"/>
      <c r="INI30" s="95"/>
      <c r="INJ30" s="96"/>
      <c r="INP30" s="232"/>
      <c r="INQ30" s="95"/>
      <c r="INR30" s="96"/>
      <c r="INX30" s="232"/>
      <c r="INY30" s="95"/>
      <c r="INZ30" s="96"/>
      <c r="IOF30" s="232"/>
      <c r="IOG30" s="95"/>
      <c r="IOH30" s="96"/>
      <c r="ION30" s="232"/>
      <c r="IOO30" s="95"/>
      <c r="IOP30" s="96"/>
      <c r="IOV30" s="232"/>
      <c r="IOW30" s="95"/>
      <c r="IOX30" s="96"/>
      <c r="IPD30" s="232"/>
      <c r="IPE30" s="95"/>
      <c r="IPF30" s="96"/>
      <c r="IPL30" s="232"/>
      <c r="IPM30" s="95"/>
      <c r="IPN30" s="96"/>
      <c r="IPT30" s="232"/>
      <c r="IPU30" s="95"/>
      <c r="IPV30" s="96"/>
      <c r="IQB30" s="232"/>
      <c r="IQC30" s="95"/>
      <c r="IQD30" s="96"/>
      <c r="IQJ30" s="232"/>
      <c r="IQK30" s="95"/>
      <c r="IQL30" s="96"/>
      <c r="IQR30" s="232"/>
      <c r="IQS30" s="95"/>
      <c r="IQT30" s="96"/>
      <c r="IQZ30" s="232"/>
      <c r="IRA30" s="95"/>
      <c r="IRB30" s="96"/>
      <c r="IRH30" s="232"/>
      <c r="IRI30" s="95"/>
      <c r="IRJ30" s="96"/>
      <c r="IRP30" s="232"/>
      <c r="IRQ30" s="95"/>
      <c r="IRR30" s="96"/>
      <c r="IRX30" s="232"/>
      <c r="IRY30" s="95"/>
      <c r="IRZ30" s="96"/>
      <c r="ISF30" s="232"/>
      <c r="ISG30" s="95"/>
      <c r="ISH30" s="96"/>
      <c r="ISN30" s="232"/>
      <c r="ISO30" s="95"/>
      <c r="ISP30" s="96"/>
      <c r="ISV30" s="232"/>
      <c r="ISW30" s="95"/>
      <c r="ISX30" s="96"/>
      <c r="ITD30" s="232"/>
      <c r="ITE30" s="95"/>
      <c r="ITF30" s="96"/>
      <c r="ITL30" s="232"/>
      <c r="ITM30" s="95"/>
      <c r="ITN30" s="96"/>
      <c r="ITT30" s="232"/>
      <c r="ITU30" s="95"/>
      <c r="ITV30" s="96"/>
      <c r="IUB30" s="232"/>
      <c r="IUC30" s="95"/>
      <c r="IUD30" s="96"/>
      <c r="IUJ30" s="232"/>
      <c r="IUK30" s="95"/>
      <c r="IUL30" s="96"/>
      <c r="IUR30" s="232"/>
      <c r="IUS30" s="95"/>
      <c r="IUT30" s="96"/>
      <c r="IUZ30" s="232"/>
      <c r="IVA30" s="95"/>
      <c r="IVB30" s="96"/>
      <c r="IVH30" s="232"/>
      <c r="IVI30" s="95"/>
      <c r="IVJ30" s="96"/>
      <c r="IVP30" s="232"/>
      <c r="IVQ30" s="95"/>
      <c r="IVR30" s="96"/>
      <c r="IVX30" s="232"/>
      <c r="IVY30" s="95"/>
      <c r="IVZ30" s="96"/>
      <c r="IWF30" s="232"/>
      <c r="IWG30" s="95"/>
      <c r="IWH30" s="96"/>
      <c r="IWN30" s="232"/>
      <c r="IWO30" s="95"/>
      <c r="IWP30" s="96"/>
      <c r="IWV30" s="232"/>
      <c r="IWW30" s="95"/>
      <c r="IWX30" s="96"/>
      <c r="IXD30" s="232"/>
      <c r="IXE30" s="95"/>
      <c r="IXF30" s="96"/>
      <c r="IXL30" s="232"/>
      <c r="IXM30" s="95"/>
      <c r="IXN30" s="96"/>
      <c r="IXT30" s="232"/>
      <c r="IXU30" s="95"/>
      <c r="IXV30" s="96"/>
      <c r="IYB30" s="232"/>
      <c r="IYC30" s="95"/>
      <c r="IYD30" s="96"/>
      <c r="IYJ30" s="232"/>
      <c r="IYK30" s="95"/>
      <c r="IYL30" s="96"/>
      <c r="IYR30" s="232"/>
      <c r="IYS30" s="95"/>
      <c r="IYT30" s="96"/>
      <c r="IYZ30" s="232"/>
      <c r="IZA30" s="95"/>
      <c r="IZB30" s="96"/>
      <c r="IZH30" s="232"/>
      <c r="IZI30" s="95"/>
      <c r="IZJ30" s="96"/>
      <c r="IZP30" s="232"/>
      <c r="IZQ30" s="95"/>
      <c r="IZR30" s="96"/>
      <c r="IZX30" s="232"/>
      <c r="IZY30" s="95"/>
      <c r="IZZ30" s="96"/>
      <c r="JAF30" s="232"/>
      <c r="JAG30" s="95"/>
      <c r="JAH30" s="96"/>
      <c r="JAN30" s="232"/>
      <c r="JAO30" s="95"/>
      <c r="JAP30" s="96"/>
      <c r="JAV30" s="232"/>
      <c r="JAW30" s="95"/>
      <c r="JAX30" s="96"/>
      <c r="JBD30" s="232"/>
      <c r="JBE30" s="95"/>
      <c r="JBF30" s="96"/>
      <c r="JBL30" s="232"/>
      <c r="JBM30" s="95"/>
      <c r="JBN30" s="96"/>
      <c r="JBT30" s="232"/>
      <c r="JBU30" s="95"/>
      <c r="JBV30" s="96"/>
      <c r="JCB30" s="232"/>
      <c r="JCC30" s="95"/>
      <c r="JCD30" s="96"/>
      <c r="JCJ30" s="232"/>
      <c r="JCK30" s="95"/>
      <c r="JCL30" s="96"/>
      <c r="JCR30" s="232"/>
      <c r="JCS30" s="95"/>
      <c r="JCT30" s="96"/>
      <c r="JCZ30" s="232"/>
      <c r="JDA30" s="95"/>
      <c r="JDB30" s="96"/>
      <c r="JDH30" s="232"/>
      <c r="JDI30" s="95"/>
      <c r="JDJ30" s="96"/>
      <c r="JDP30" s="232"/>
      <c r="JDQ30" s="95"/>
      <c r="JDR30" s="96"/>
      <c r="JDX30" s="232"/>
      <c r="JDY30" s="95"/>
      <c r="JDZ30" s="96"/>
      <c r="JEF30" s="232"/>
      <c r="JEG30" s="95"/>
      <c r="JEH30" s="96"/>
      <c r="JEN30" s="232"/>
      <c r="JEO30" s="95"/>
      <c r="JEP30" s="96"/>
      <c r="JEV30" s="232"/>
      <c r="JEW30" s="95"/>
      <c r="JEX30" s="96"/>
      <c r="JFD30" s="232"/>
      <c r="JFE30" s="95"/>
      <c r="JFF30" s="96"/>
      <c r="JFL30" s="232"/>
      <c r="JFM30" s="95"/>
      <c r="JFN30" s="96"/>
      <c r="JFT30" s="232"/>
      <c r="JFU30" s="95"/>
      <c r="JFV30" s="96"/>
      <c r="JGB30" s="232"/>
      <c r="JGC30" s="95"/>
      <c r="JGD30" s="96"/>
      <c r="JGJ30" s="232"/>
      <c r="JGK30" s="95"/>
      <c r="JGL30" s="96"/>
      <c r="JGR30" s="232"/>
      <c r="JGS30" s="95"/>
      <c r="JGT30" s="96"/>
      <c r="JGZ30" s="232"/>
      <c r="JHA30" s="95"/>
      <c r="JHB30" s="96"/>
      <c r="JHH30" s="232"/>
      <c r="JHI30" s="95"/>
      <c r="JHJ30" s="96"/>
      <c r="JHP30" s="232"/>
      <c r="JHQ30" s="95"/>
      <c r="JHR30" s="96"/>
      <c r="JHX30" s="232"/>
      <c r="JHY30" s="95"/>
      <c r="JHZ30" s="96"/>
      <c r="JIF30" s="232"/>
      <c r="JIG30" s="95"/>
      <c r="JIH30" s="96"/>
      <c r="JIN30" s="232"/>
      <c r="JIO30" s="95"/>
      <c r="JIP30" s="96"/>
      <c r="JIV30" s="232"/>
      <c r="JIW30" s="95"/>
      <c r="JIX30" s="96"/>
      <c r="JJD30" s="232"/>
      <c r="JJE30" s="95"/>
      <c r="JJF30" s="96"/>
      <c r="JJL30" s="232"/>
      <c r="JJM30" s="95"/>
      <c r="JJN30" s="96"/>
      <c r="JJT30" s="232"/>
      <c r="JJU30" s="95"/>
      <c r="JJV30" s="96"/>
      <c r="JKB30" s="232"/>
      <c r="JKC30" s="95"/>
      <c r="JKD30" s="96"/>
      <c r="JKJ30" s="232"/>
      <c r="JKK30" s="95"/>
      <c r="JKL30" s="96"/>
      <c r="JKR30" s="232"/>
      <c r="JKS30" s="95"/>
      <c r="JKT30" s="96"/>
      <c r="JKZ30" s="232"/>
      <c r="JLA30" s="95"/>
      <c r="JLB30" s="96"/>
      <c r="JLH30" s="232"/>
      <c r="JLI30" s="95"/>
      <c r="JLJ30" s="96"/>
      <c r="JLP30" s="232"/>
      <c r="JLQ30" s="95"/>
      <c r="JLR30" s="96"/>
      <c r="JLX30" s="232"/>
      <c r="JLY30" s="95"/>
      <c r="JLZ30" s="96"/>
      <c r="JMF30" s="232"/>
      <c r="JMG30" s="95"/>
      <c r="JMH30" s="96"/>
      <c r="JMN30" s="232"/>
      <c r="JMO30" s="95"/>
      <c r="JMP30" s="96"/>
      <c r="JMV30" s="232"/>
      <c r="JMW30" s="95"/>
      <c r="JMX30" s="96"/>
      <c r="JND30" s="232"/>
      <c r="JNE30" s="95"/>
      <c r="JNF30" s="96"/>
      <c r="JNL30" s="232"/>
      <c r="JNM30" s="95"/>
      <c r="JNN30" s="96"/>
      <c r="JNT30" s="232"/>
      <c r="JNU30" s="95"/>
      <c r="JNV30" s="96"/>
      <c r="JOB30" s="232"/>
      <c r="JOC30" s="95"/>
      <c r="JOD30" s="96"/>
      <c r="JOJ30" s="232"/>
      <c r="JOK30" s="95"/>
      <c r="JOL30" s="96"/>
      <c r="JOR30" s="232"/>
      <c r="JOS30" s="95"/>
      <c r="JOT30" s="96"/>
      <c r="JOZ30" s="232"/>
      <c r="JPA30" s="95"/>
      <c r="JPB30" s="96"/>
      <c r="JPH30" s="232"/>
      <c r="JPI30" s="95"/>
      <c r="JPJ30" s="96"/>
      <c r="JPP30" s="232"/>
      <c r="JPQ30" s="95"/>
      <c r="JPR30" s="96"/>
      <c r="JPX30" s="232"/>
      <c r="JPY30" s="95"/>
      <c r="JPZ30" s="96"/>
      <c r="JQF30" s="232"/>
      <c r="JQG30" s="95"/>
      <c r="JQH30" s="96"/>
      <c r="JQN30" s="232"/>
      <c r="JQO30" s="95"/>
      <c r="JQP30" s="96"/>
      <c r="JQV30" s="232"/>
      <c r="JQW30" s="95"/>
      <c r="JQX30" s="96"/>
      <c r="JRD30" s="232"/>
      <c r="JRE30" s="95"/>
      <c r="JRF30" s="96"/>
      <c r="JRL30" s="232"/>
      <c r="JRM30" s="95"/>
      <c r="JRN30" s="96"/>
      <c r="JRT30" s="232"/>
      <c r="JRU30" s="95"/>
      <c r="JRV30" s="96"/>
      <c r="JSB30" s="232"/>
      <c r="JSC30" s="95"/>
      <c r="JSD30" s="96"/>
      <c r="JSJ30" s="232"/>
      <c r="JSK30" s="95"/>
      <c r="JSL30" s="96"/>
      <c r="JSR30" s="232"/>
      <c r="JSS30" s="95"/>
      <c r="JST30" s="96"/>
      <c r="JSZ30" s="232"/>
      <c r="JTA30" s="95"/>
      <c r="JTB30" s="96"/>
      <c r="JTH30" s="232"/>
      <c r="JTI30" s="95"/>
      <c r="JTJ30" s="96"/>
      <c r="JTP30" s="232"/>
      <c r="JTQ30" s="95"/>
      <c r="JTR30" s="96"/>
      <c r="JTX30" s="232"/>
      <c r="JTY30" s="95"/>
      <c r="JTZ30" s="96"/>
      <c r="JUF30" s="232"/>
      <c r="JUG30" s="95"/>
      <c r="JUH30" s="96"/>
      <c r="JUN30" s="232"/>
      <c r="JUO30" s="95"/>
      <c r="JUP30" s="96"/>
      <c r="JUV30" s="232"/>
      <c r="JUW30" s="95"/>
      <c r="JUX30" s="96"/>
      <c r="JVD30" s="232"/>
      <c r="JVE30" s="95"/>
      <c r="JVF30" s="96"/>
      <c r="JVL30" s="232"/>
      <c r="JVM30" s="95"/>
      <c r="JVN30" s="96"/>
      <c r="JVT30" s="232"/>
      <c r="JVU30" s="95"/>
      <c r="JVV30" s="96"/>
      <c r="JWB30" s="232"/>
      <c r="JWC30" s="95"/>
      <c r="JWD30" s="96"/>
      <c r="JWJ30" s="232"/>
      <c r="JWK30" s="95"/>
      <c r="JWL30" s="96"/>
      <c r="JWR30" s="232"/>
      <c r="JWS30" s="95"/>
      <c r="JWT30" s="96"/>
      <c r="JWZ30" s="232"/>
      <c r="JXA30" s="95"/>
      <c r="JXB30" s="96"/>
      <c r="JXH30" s="232"/>
      <c r="JXI30" s="95"/>
      <c r="JXJ30" s="96"/>
      <c r="JXP30" s="232"/>
      <c r="JXQ30" s="95"/>
      <c r="JXR30" s="96"/>
      <c r="JXX30" s="232"/>
      <c r="JXY30" s="95"/>
      <c r="JXZ30" s="96"/>
      <c r="JYF30" s="232"/>
      <c r="JYG30" s="95"/>
      <c r="JYH30" s="96"/>
      <c r="JYN30" s="232"/>
      <c r="JYO30" s="95"/>
      <c r="JYP30" s="96"/>
      <c r="JYV30" s="232"/>
      <c r="JYW30" s="95"/>
      <c r="JYX30" s="96"/>
      <c r="JZD30" s="232"/>
      <c r="JZE30" s="95"/>
      <c r="JZF30" s="96"/>
      <c r="JZL30" s="232"/>
      <c r="JZM30" s="95"/>
      <c r="JZN30" s="96"/>
      <c r="JZT30" s="232"/>
      <c r="JZU30" s="95"/>
      <c r="JZV30" s="96"/>
      <c r="KAB30" s="232"/>
      <c r="KAC30" s="95"/>
      <c r="KAD30" s="96"/>
      <c r="KAJ30" s="232"/>
      <c r="KAK30" s="95"/>
      <c r="KAL30" s="96"/>
      <c r="KAR30" s="232"/>
      <c r="KAS30" s="95"/>
      <c r="KAT30" s="96"/>
      <c r="KAZ30" s="232"/>
      <c r="KBA30" s="95"/>
      <c r="KBB30" s="96"/>
      <c r="KBH30" s="232"/>
      <c r="KBI30" s="95"/>
      <c r="KBJ30" s="96"/>
      <c r="KBP30" s="232"/>
      <c r="KBQ30" s="95"/>
      <c r="KBR30" s="96"/>
      <c r="KBX30" s="232"/>
      <c r="KBY30" s="95"/>
      <c r="KBZ30" s="96"/>
      <c r="KCF30" s="232"/>
      <c r="KCG30" s="95"/>
      <c r="KCH30" s="96"/>
      <c r="KCN30" s="232"/>
      <c r="KCO30" s="95"/>
      <c r="KCP30" s="96"/>
      <c r="KCV30" s="232"/>
      <c r="KCW30" s="95"/>
      <c r="KCX30" s="96"/>
      <c r="KDD30" s="232"/>
      <c r="KDE30" s="95"/>
      <c r="KDF30" s="96"/>
      <c r="KDL30" s="232"/>
      <c r="KDM30" s="95"/>
      <c r="KDN30" s="96"/>
      <c r="KDT30" s="232"/>
      <c r="KDU30" s="95"/>
      <c r="KDV30" s="96"/>
      <c r="KEB30" s="232"/>
      <c r="KEC30" s="95"/>
      <c r="KED30" s="96"/>
      <c r="KEJ30" s="232"/>
      <c r="KEK30" s="95"/>
      <c r="KEL30" s="96"/>
      <c r="KER30" s="232"/>
      <c r="KES30" s="95"/>
      <c r="KET30" s="96"/>
      <c r="KEZ30" s="232"/>
      <c r="KFA30" s="95"/>
      <c r="KFB30" s="96"/>
      <c r="KFH30" s="232"/>
      <c r="KFI30" s="95"/>
      <c r="KFJ30" s="96"/>
      <c r="KFP30" s="232"/>
      <c r="KFQ30" s="95"/>
      <c r="KFR30" s="96"/>
      <c r="KFX30" s="232"/>
      <c r="KFY30" s="95"/>
      <c r="KFZ30" s="96"/>
      <c r="KGF30" s="232"/>
      <c r="KGG30" s="95"/>
      <c r="KGH30" s="96"/>
      <c r="KGN30" s="232"/>
      <c r="KGO30" s="95"/>
      <c r="KGP30" s="96"/>
      <c r="KGV30" s="232"/>
      <c r="KGW30" s="95"/>
      <c r="KGX30" s="96"/>
      <c r="KHD30" s="232"/>
      <c r="KHE30" s="95"/>
      <c r="KHF30" s="96"/>
      <c r="KHL30" s="232"/>
      <c r="KHM30" s="95"/>
      <c r="KHN30" s="96"/>
      <c r="KHT30" s="232"/>
      <c r="KHU30" s="95"/>
      <c r="KHV30" s="96"/>
      <c r="KIB30" s="232"/>
      <c r="KIC30" s="95"/>
      <c r="KID30" s="96"/>
      <c r="KIJ30" s="232"/>
      <c r="KIK30" s="95"/>
      <c r="KIL30" s="96"/>
      <c r="KIR30" s="232"/>
      <c r="KIS30" s="95"/>
      <c r="KIT30" s="96"/>
      <c r="KIZ30" s="232"/>
      <c r="KJA30" s="95"/>
      <c r="KJB30" s="96"/>
      <c r="KJH30" s="232"/>
      <c r="KJI30" s="95"/>
      <c r="KJJ30" s="96"/>
      <c r="KJP30" s="232"/>
      <c r="KJQ30" s="95"/>
      <c r="KJR30" s="96"/>
      <c r="KJX30" s="232"/>
      <c r="KJY30" s="95"/>
      <c r="KJZ30" s="96"/>
      <c r="KKF30" s="232"/>
      <c r="KKG30" s="95"/>
      <c r="KKH30" s="96"/>
      <c r="KKN30" s="232"/>
      <c r="KKO30" s="95"/>
      <c r="KKP30" s="96"/>
      <c r="KKV30" s="232"/>
      <c r="KKW30" s="95"/>
      <c r="KKX30" s="96"/>
      <c r="KLD30" s="232"/>
      <c r="KLE30" s="95"/>
      <c r="KLF30" s="96"/>
      <c r="KLL30" s="232"/>
      <c r="KLM30" s="95"/>
      <c r="KLN30" s="96"/>
      <c r="KLT30" s="232"/>
      <c r="KLU30" s="95"/>
      <c r="KLV30" s="96"/>
      <c r="KMB30" s="232"/>
      <c r="KMC30" s="95"/>
      <c r="KMD30" s="96"/>
      <c r="KMJ30" s="232"/>
      <c r="KMK30" s="95"/>
      <c r="KML30" s="96"/>
      <c r="KMR30" s="232"/>
      <c r="KMS30" s="95"/>
      <c r="KMT30" s="96"/>
      <c r="KMZ30" s="232"/>
      <c r="KNA30" s="95"/>
      <c r="KNB30" s="96"/>
      <c r="KNH30" s="232"/>
      <c r="KNI30" s="95"/>
      <c r="KNJ30" s="96"/>
      <c r="KNP30" s="232"/>
      <c r="KNQ30" s="95"/>
      <c r="KNR30" s="96"/>
      <c r="KNX30" s="232"/>
      <c r="KNY30" s="95"/>
      <c r="KNZ30" s="96"/>
      <c r="KOF30" s="232"/>
      <c r="KOG30" s="95"/>
      <c r="KOH30" s="96"/>
      <c r="KON30" s="232"/>
      <c r="KOO30" s="95"/>
      <c r="KOP30" s="96"/>
      <c r="KOV30" s="232"/>
      <c r="KOW30" s="95"/>
      <c r="KOX30" s="96"/>
      <c r="KPD30" s="232"/>
      <c r="KPE30" s="95"/>
      <c r="KPF30" s="96"/>
      <c r="KPL30" s="232"/>
      <c r="KPM30" s="95"/>
      <c r="KPN30" s="96"/>
      <c r="KPT30" s="232"/>
      <c r="KPU30" s="95"/>
      <c r="KPV30" s="96"/>
      <c r="KQB30" s="232"/>
      <c r="KQC30" s="95"/>
      <c r="KQD30" s="96"/>
      <c r="KQJ30" s="232"/>
      <c r="KQK30" s="95"/>
      <c r="KQL30" s="96"/>
      <c r="KQR30" s="232"/>
      <c r="KQS30" s="95"/>
      <c r="KQT30" s="96"/>
      <c r="KQZ30" s="232"/>
      <c r="KRA30" s="95"/>
      <c r="KRB30" s="96"/>
      <c r="KRH30" s="232"/>
      <c r="KRI30" s="95"/>
      <c r="KRJ30" s="96"/>
      <c r="KRP30" s="232"/>
      <c r="KRQ30" s="95"/>
      <c r="KRR30" s="96"/>
      <c r="KRX30" s="232"/>
      <c r="KRY30" s="95"/>
      <c r="KRZ30" s="96"/>
      <c r="KSF30" s="232"/>
      <c r="KSG30" s="95"/>
      <c r="KSH30" s="96"/>
      <c r="KSN30" s="232"/>
      <c r="KSO30" s="95"/>
      <c r="KSP30" s="96"/>
      <c r="KSV30" s="232"/>
      <c r="KSW30" s="95"/>
      <c r="KSX30" s="96"/>
      <c r="KTD30" s="232"/>
      <c r="KTE30" s="95"/>
      <c r="KTF30" s="96"/>
      <c r="KTL30" s="232"/>
      <c r="KTM30" s="95"/>
      <c r="KTN30" s="96"/>
      <c r="KTT30" s="232"/>
      <c r="KTU30" s="95"/>
      <c r="KTV30" s="96"/>
      <c r="KUB30" s="232"/>
      <c r="KUC30" s="95"/>
      <c r="KUD30" s="96"/>
      <c r="KUJ30" s="232"/>
      <c r="KUK30" s="95"/>
      <c r="KUL30" s="96"/>
      <c r="KUR30" s="232"/>
      <c r="KUS30" s="95"/>
      <c r="KUT30" s="96"/>
      <c r="KUZ30" s="232"/>
      <c r="KVA30" s="95"/>
      <c r="KVB30" s="96"/>
      <c r="KVH30" s="232"/>
      <c r="KVI30" s="95"/>
      <c r="KVJ30" s="96"/>
      <c r="KVP30" s="232"/>
      <c r="KVQ30" s="95"/>
      <c r="KVR30" s="96"/>
      <c r="KVX30" s="232"/>
      <c r="KVY30" s="95"/>
      <c r="KVZ30" s="96"/>
      <c r="KWF30" s="232"/>
      <c r="KWG30" s="95"/>
      <c r="KWH30" s="96"/>
      <c r="KWN30" s="232"/>
      <c r="KWO30" s="95"/>
      <c r="KWP30" s="96"/>
      <c r="KWV30" s="232"/>
      <c r="KWW30" s="95"/>
      <c r="KWX30" s="96"/>
      <c r="KXD30" s="232"/>
      <c r="KXE30" s="95"/>
      <c r="KXF30" s="96"/>
      <c r="KXL30" s="232"/>
      <c r="KXM30" s="95"/>
      <c r="KXN30" s="96"/>
      <c r="KXT30" s="232"/>
      <c r="KXU30" s="95"/>
      <c r="KXV30" s="96"/>
      <c r="KYB30" s="232"/>
      <c r="KYC30" s="95"/>
      <c r="KYD30" s="96"/>
      <c r="KYJ30" s="232"/>
      <c r="KYK30" s="95"/>
      <c r="KYL30" s="96"/>
      <c r="KYR30" s="232"/>
      <c r="KYS30" s="95"/>
      <c r="KYT30" s="96"/>
      <c r="KYZ30" s="232"/>
      <c r="KZA30" s="95"/>
      <c r="KZB30" s="96"/>
      <c r="KZH30" s="232"/>
      <c r="KZI30" s="95"/>
      <c r="KZJ30" s="96"/>
      <c r="KZP30" s="232"/>
      <c r="KZQ30" s="95"/>
      <c r="KZR30" s="96"/>
      <c r="KZX30" s="232"/>
      <c r="KZY30" s="95"/>
      <c r="KZZ30" s="96"/>
      <c r="LAF30" s="232"/>
      <c r="LAG30" s="95"/>
      <c r="LAH30" s="96"/>
      <c r="LAN30" s="232"/>
      <c r="LAO30" s="95"/>
      <c r="LAP30" s="96"/>
      <c r="LAV30" s="232"/>
      <c r="LAW30" s="95"/>
      <c r="LAX30" s="96"/>
      <c r="LBD30" s="232"/>
      <c r="LBE30" s="95"/>
      <c r="LBF30" s="96"/>
      <c r="LBL30" s="232"/>
      <c r="LBM30" s="95"/>
      <c r="LBN30" s="96"/>
      <c r="LBT30" s="232"/>
      <c r="LBU30" s="95"/>
      <c r="LBV30" s="96"/>
      <c r="LCB30" s="232"/>
      <c r="LCC30" s="95"/>
      <c r="LCD30" s="96"/>
      <c r="LCJ30" s="232"/>
      <c r="LCK30" s="95"/>
      <c r="LCL30" s="96"/>
      <c r="LCR30" s="232"/>
      <c r="LCS30" s="95"/>
      <c r="LCT30" s="96"/>
      <c r="LCZ30" s="232"/>
      <c r="LDA30" s="95"/>
      <c r="LDB30" s="96"/>
      <c r="LDH30" s="232"/>
      <c r="LDI30" s="95"/>
      <c r="LDJ30" s="96"/>
      <c r="LDP30" s="232"/>
      <c r="LDQ30" s="95"/>
      <c r="LDR30" s="96"/>
      <c r="LDX30" s="232"/>
      <c r="LDY30" s="95"/>
      <c r="LDZ30" s="96"/>
      <c r="LEF30" s="232"/>
      <c r="LEG30" s="95"/>
      <c r="LEH30" s="96"/>
      <c r="LEN30" s="232"/>
      <c r="LEO30" s="95"/>
      <c r="LEP30" s="96"/>
      <c r="LEV30" s="232"/>
      <c r="LEW30" s="95"/>
      <c r="LEX30" s="96"/>
      <c r="LFD30" s="232"/>
      <c r="LFE30" s="95"/>
      <c r="LFF30" s="96"/>
      <c r="LFL30" s="232"/>
      <c r="LFM30" s="95"/>
      <c r="LFN30" s="96"/>
      <c r="LFT30" s="232"/>
      <c r="LFU30" s="95"/>
      <c r="LFV30" s="96"/>
      <c r="LGB30" s="232"/>
      <c r="LGC30" s="95"/>
      <c r="LGD30" s="96"/>
      <c r="LGJ30" s="232"/>
      <c r="LGK30" s="95"/>
      <c r="LGL30" s="96"/>
      <c r="LGR30" s="232"/>
      <c r="LGS30" s="95"/>
      <c r="LGT30" s="96"/>
      <c r="LGZ30" s="232"/>
      <c r="LHA30" s="95"/>
      <c r="LHB30" s="96"/>
      <c r="LHH30" s="232"/>
      <c r="LHI30" s="95"/>
      <c r="LHJ30" s="96"/>
      <c r="LHP30" s="232"/>
      <c r="LHQ30" s="95"/>
      <c r="LHR30" s="96"/>
      <c r="LHX30" s="232"/>
      <c r="LHY30" s="95"/>
      <c r="LHZ30" s="96"/>
      <c r="LIF30" s="232"/>
      <c r="LIG30" s="95"/>
      <c r="LIH30" s="96"/>
      <c r="LIN30" s="232"/>
      <c r="LIO30" s="95"/>
      <c r="LIP30" s="96"/>
      <c r="LIV30" s="232"/>
      <c r="LIW30" s="95"/>
      <c r="LIX30" s="96"/>
      <c r="LJD30" s="232"/>
      <c r="LJE30" s="95"/>
      <c r="LJF30" s="96"/>
      <c r="LJL30" s="232"/>
      <c r="LJM30" s="95"/>
      <c r="LJN30" s="96"/>
      <c r="LJT30" s="232"/>
      <c r="LJU30" s="95"/>
      <c r="LJV30" s="96"/>
      <c r="LKB30" s="232"/>
      <c r="LKC30" s="95"/>
      <c r="LKD30" s="96"/>
      <c r="LKJ30" s="232"/>
      <c r="LKK30" s="95"/>
      <c r="LKL30" s="96"/>
      <c r="LKR30" s="232"/>
      <c r="LKS30" s="95"/>
      <c r="LKT30" s="96"/>
      <c r="LKZ30" s="232"/>
      <c r="LLA30" s="95"/>
      <c r="LLB30" s="96"/>
      <c r="LLH30" s="232"/>
      <c r="LLI30" s="95"/>
      <c r="LLJ30" s="96"/>
      <c r="LLP30" s="232"/>
      <c r="LLQ30" s="95"/>
      <c r="LLR30" s="96"/>
      <c r="LLX30" s="232"/>
      <c r="LLY30" s="95"/>
      <c r="LLZ30" s="96"/>
      <c r="LMF30" s="232"/>
      <c r="LMG30" s="95"/>
      <c r="LMH30" s="96"/>
      <c r="LMN30" s="232"/>
      <c r="LMO30" s="95"/>
      <c r="LMP30" s="96"/>
      <c r="LMV30" s="232"/>
      <c r="LMW30" s="95"/>
      <c r="LMX30" s="96"/>
      <c r="LND30" s="232"/>
      <c r="LNE30" s="95"/>
      <c r="LNF30" s="96"/>
      <c r="LNL30" s="232"/>
      <c r="LNM30" s="95"/>
      <c r="LNN30" s="96"/>
      <c r="LNT30" s="232"/>
      <c r="LNU30" s="95"/>
      <c r="LNV30" s="96"/>
      <c r="LOB30" s="232"/>
      <c r="LOC30" s="95"/>
      <c r="LOD30" s="96"/>
      <c r="LOJ30" s="232"/>
      <c r="LOK30" s="95"/>
      <c r="LOL30" s="96"/>
      <c r="LOR30" s="232"/>
      <c r="LOS30" s="95"/>
      <c r="LOT30" s="96"/>
      <c r="LOZ30" s="232"/>
      <c r="LPA30" s="95"/>
      <c r="LPB30" s="96"/>
      <c r="LPH30" s="232"/>
      <c r="LPI30" s="95"/>
      <c r="LPJ30" s="96"/>
      <c r="LPP30" s="232"/>
      <c r="LPQ30" s="95"/>
      <c r="LPR30" s="96"/>
      <c r="LPX30" s="232"/>
      <c r="LPY30" s="95"/>
      <c r="LPZ30" s="96"/>
      <c r="LQF30" s="232"/>
      <c r="LQG30" s="95"/>
      <c r="LQH30" s="96"/>
      <c r="LQN30" s="232"/>
      <c r="LQO30" s="95"/>
      <c r="LQP30" s="96"/>
      <c r="LQV30" s="232"/>
      <c r="LQW30" s="95"/>
      <c r="LQX30" s="96"/>
      <c r="LRD30" s="232"/>
      <c r="LRE30" s="95"/>
      <c r="LRF30" s="96"/>
      <c r="LRL30" s="232"/>
      <c r="LRM30" s="95"/>
      <c r="LRN30" s="96"/>
      <c r="LRT30" s="232"/>
      <c r="LRU30" s="95"/>
      <c r="LRV30" s="96"/>
      <c r="LSB30" s="232"/>
      <c r="LSC30" s="95"/>
      <c r="LSD30" s="96"/>
      <c r="LSJ30" s="232"/>
      <c r="LSK30" s="95"/>
      <c r="LSL30" s="96"/>
      <c r="LSR30" s="232"/>
      <c r="LSS30" s="95"/>
      <c r="LST30" s="96"/>
      <c r="LSZ30" s="232"/>
      <c r="LTA30" s="95"/>
      <c r="LTB30" s="96"/>
      <c r="LTH30" s="232"/>
      <c r="LTI30" s="95"/>
      <c r="LTJ30" s="96"/>
      <c r="LTP30" s="232"/>
      <c r="LTQ30" s="95"/>
      <c r="LTR30" s="96"/>
      <c r="LTX30" s="232"/>
      <c r="LTY30" s="95"/>
      <c r="LTZ30" s="96"/>
      <c r="LUF30" s="232"/>
      <c r="LUG30" s="95"/>
      <c r="LUH30" s="96"/>
      <c r="LUN30" s="232"/>
      <c r="LUO30" s="95"/>
      <c r="LUP30" s="96"/>
      <c r="LUV30" s="232"/>
      <c r="LUW30" s="95"/>
      <c r="LUX30" s="96"/>
      <c r="LVD30" s="232"/>
      <c r="LVE30" s="95"/>
      <c r="LVF30" s="96"/>
      <c r="LVL30" s="232"/>
      <c r="LVM30" s="95"/>
      <c r="LVN30" s="96"/>
      <c r="LVT30" s="232"/>
      <c r="LVU30" s="95"/>
      <c r="LVV30" s="96"/>
      <c r="LWB30" s="232"/>
      <c r="LWC30" s="95"/>
      <c r="LWD30" s="96"/>
      <c r="LWJ30" s="232"/>
      <c r="LWK30" s="95"/>
      <c r="LWL30" s="96"/>
      <c r="LWR30" s="232"/>
      <c r="LWS30" s="95"/>
      <c r="LWT30" s="96"/>
      <c r="LWZ30" s="232"/>
      <c r="LXA30" s="95"/>
      <c r="LXB30" s="96"/>
      <c r="LXH30" s="232"/>
      <c r="LXI30" s="95"/>
      <c r="LXJ30" s="96"/>
      <c r="LXP30" s="232"/>
      <c r="LXQ30" s="95"/>
      <c r="LXR30" s="96"/>
      <c r="LXX30" s="232"/>
      <c r="LXY30" s="95"/>
      <c r="LXZ30" s="96"/>
      <c r="LYF30" s="232"/>
      <c r="LYG30" s="95"/>
      <c r="LYH30" s="96"/>
      <c r="LYN30" s="232"/>
      <c r="LYO30" s="95"/>
      <c r="LYP30" s="96"/>
      <c r="LYV30" s="232"/>
      <c r="LYW30" s="95"/>
      <c r="LYX30" s="96"/>
      <c r="LZD30" s="232"/>
      <c r="LZE30" s="95"/>
      <c r="LZF30" s="96"/>
      <c r="LZL30" s="232"/>
      <c r="LZM30" s="95"/>
      <c r="LZN30" s="96"/>
      <c r="LZT30" s="232"/>
      <c r="LZU30" s="95"/>
      <c r="LZV30" s="96"/>
      <c r="MAB30" s="232"/>
      <c r="MAC30" s="95"/>
      <c r="MAD30" s="96"/>
      <c r="MAJ30" s="232"/>
      <c r="MAK30" s="95"/>
      <c r="MAL30" s="96"/>
      <c r="MAR30" s="232"/>
      <c r="MAS30" s="95"/>
      <c r="MAT30" s="96"/>
      <c r="MAZ30" s="232"/>
      <c r="MBA30" s="95"/>
      <c r="MBB30" s="96"/>
      <c r="MBH30" s="232"/>
      <c r="MBI30" s="95"/>
      <c r="MBJ30" s="96"/>
      <c r="MBP30" s="232"/>
      <c r="MBQ30" s="95"/>
      <c r="MBR30" s="96"/>
      <c r="MBX30" s="232"/>
      <c r="MBY30" s="95"/>
      <c r="MBZ30" s="96"/>
      <c r="MCF30" s="232"/>
      <c r="MCG30" s="95"/>
      <c r="MCH30" s="96"/>
      <c r="MCN30" s="232"/>
      <c r="MCO30" s="95"/>
      <c r="MCP30" s="96"/>
      <c r="MCV30" s="232"/>
      <c r="MCW30" s="95"/>
      <c r="MCX30" s="96"/>
      <c r="MDD30" s="232"/>
      <c r="MDE30" s="95"/>
      <c r="MDF30" s="96"/>
      <c r="MDL30" s="232"/>
      <c r="MDM30" s="95"/>
      <c r="MDN30" s="96"/>
      <c r="MDT30" s="232"/>
      <c r="MDU30" s="95"/>
      <c r="MDV30" s="96"/>
      <c r="MEB30" s="232"/>
      <c r="MEC30" s="95"/>
      <c r="MED30" s="96"/>
      <c r="MEJ30" s="232"/>
      <c r="MEK30" s="95"/>
      <c r="MEL30" s="96"/>
      <c r="MER30" s="232"/>
      <c r="MES30" s="95"/>
      <c r="MET30" s="96"/>
      <c r="MEZ30" s="232"/>
      <c r="MFA30" s="95"/>
      <c r="MFB30" s="96"/>
      <c r="MFH30" s="232"/>
      <c r="MFI30" s="95"/>
      <c r="MFJ30" s="96"/>
      <c r="MFP30" s="232"/>
      <c r="MFQ30" s="95"/>
      <c r="MFR30" s="96"/>
      <c r="MFX30" s="232"/>
      <c r="MFY30" s="95"/>
      <c r="MFZ30" s="96"/>
      <c r="MGF30" s="232"/>
      <c r="MGG30" s="95"/>
      <c r="MGH30" s="96"/>
      <c r="MGN30" s="232"/>
      <c r="MGO30" s="95"/>
      <c r="MGP30" s="96"/>
      <c r="MGV30" s="232"/>
      <c r="MGW30" s="95"/>
      <c r="MGX30" s="96"/>
      <c r="MHD30" s="232"/>
      <c r="MHE30" s="95"/>
      <c r="MHF30" s="96"/>
      <c r="MHL30" s="232"/>
      <c r="MHM30" s="95"/>
      <c r="MHN30" s="96"/>
      <c r="MHT30" s="232"/>
      <c r="MHU30" s="95"/>
      <c r="MHV30" s="96"/>
      <c r="MIB30" s="232"/>
      <c r="MIC30" s="95"/>
      <c r="MID30" s="96"/>
      <c r="MIJ30" s="232"/>
      <c r="MIK30" s="95"/>
      <c r="MIL30" s="96"/>
      <c r="MIR30" s="232"/>
      <c r="MIS30" s="95"/>
      <c r="MIT30" s="96"/>
      <c r="MIZ30" s="232"/>
      <c r="MJA30" s="95"/>
      <c r="MJB30" s="96"/>
      <c r="MJH30" s="232"/>
      <c r="MJI30" s="95"/>
      <c r="MJJ30" s="96"/>
      <c r="MJP30" s="232"/>
      <c r="MJQ30" s="95"/>
      <c r="MJR30" s="96"/>
      <c r="MJX30" s="232"/>
      <c r="MJY30" s="95"/>
      <c r="MJZ30" s="96"/>
      <c r="MKF30" s="232"/>
      <c r="MKG30" s="95"/>
      <c r="MKH30" s="96"/>
      <c r="MKN30" s="232"/>
      <c r="MKO30" s="95"/>
      <c r="MKP30" s="96"/>
      <c r="MKV30" s="232"/>
      <c r="MKW30" s="95"/>
      <c r="MKX30" s="96"/>
      <c r="MLD30" s="232"/>
      <c r="MLE30" s="95"/>
      <c r="MLF30" s="96"/>
      <c r="MLL30" s="232"/>
      <c r="MLM30" s="95"/>
      <c r="MLN30" s="96"/>
      <c r="MLT30" s="232"/>
      <c r="MLU30" s="95"/>
      <c r="MLV30" s="96"/>
      <c r="MMB30" s="232"/>
      <c r="MMC30" s="95"/>
      <c r="MMD30" s="96"/>
      <c r="MMJ30" s="232"/>
      <c r="MMK30" s="95"/>
      <c r="MML30" s="96"/>
      <c r="MMR30" s="232"/>
      <c r="MMS30" s="95"/>
      <c r="MMT30" s="96"/>
      <c r="MMZ30" s="232"/>
      <c r="MNA30" s="95"/>
      <c r="MNB30" s="96"/>
      <c r="MNH30" s="232"/>
      <c r="MNI30" s="95"/>
      <c r="MNJ30" s="96"/>
      <c r="MNP30" s="232"/>
      <c r="MNQ30" s="95"/>
      <c r="MNR30" s="96"/>
      <c r="MNX30" s="232"/>
      <c r="MNY30" s="95"/>
      <c r="MNZ30" s="96"/>
      <c r="MOF30" s="232"/>
      <c r="MOG30" s="95"/>
      <c r="MOH30" s="96"/>
      <c r="MON30" s="232"/>
      <c r="MOO30" s="95"/>
      <c r="MOP30" s="96"/>
      <c r="MOV30" s="232"/>
      <c r="MOW30" s="95"/>
      <c r="MOX30" s="96"/>
      <c r="MPD30" s="232"/>
      <c r="MPE30" s="95"/>
      <c r="MPF30" s="96"/>
      <c r="MPL30" s="232"/>
      <c r="MPM30" s="95"/>
      <c r="MPN30" s="96"/>
      <c r="MPT30" s="232"/>
      <c r="MPU30" s="95"/>
      <c r="MPV30" s="96"/>
      <c r="MQB30" s="232"/>
      <c r="MQC30" s="95"/>
      <c r="MQD30" s="96"/>
      <c r="MQJ30" s="232"/>
      <c r="MQK30" s="95"/>
      <c r="MQL30" s="96"/>
      <c r="MQR30" s="232"/>
      <c r="MQS30" s="95"/>
      <c r="MQT30" s="96"/>
      <c r="MQZ30" s="232"/>
      <c r="MRA30" s="95"/>
      <c r="MRB30" s="96"/>
      <c r="MRH30" s="232"/>
      <c r="MRI30" s="95"/>
      <c r="MRJ30" s="96"/>
      <c r="MRP30" s="232"/>
      <c r="MRQ30" s="95"/>
      <c r="MRR30" s="96"/>
      <c r="MRX30" s="232"/>
      <c r="MRY30" s="95"/>
      <c r="MRZ30" s="96"/>
      <c r="MSF30" s="232"/>
      <c r="MSG30" s="95"/>
      <c r="MSH30" s="96"/>
      <c r="MSN30" s="232"/>
      <c r="MSO30" s="95"/>
      <c r="MSP30" s="96"/>
      <c r="MSV30" s="232"/>
      <c r="MSW30" s="95"/>
      <c r="MSX30" s="96"/>
      <c r="MTD30" s="232"/>
      <c r="MTE30" s="95"/>
      <c r="MTF30" s="96"/>
      <c r="MTL30" s="232"/>
      <c r="MTM30" s="95"/>
      <c r="MTN30" s="96"/>
      <c r="MTT30" s="232"/>
      <c r="MTU30" s="95"/>
      <c r="MTV30" s="96"/>
      <c r="MUB30" s="232"/>
      <c r="MUC30" s="95"/>
      <c r="MUD30" s="96"/>
      <c r="MUJ30" s="232"/>
      <c r="MUK30" s="95"/>
      <c r="MUL30" s="96"/>
      <c r="MUR30" s="232"/>
      <c r="MUS30" s="95"/>
      <c r="MUT30" s="96"/>
      <c r="MUZ30" s="232"/>
      <c r="MVA30" s="95"/>
      <c r="MVB30" s="96"/>
      <c r="MVH30" s="232"/>
      <c r="MVI30" s="95"/>
      <c r="MVJ30" s="96"/>
      <c r="MVP30" s="232"/>
      <c r="MVQ30" s="95"/>
      <c r="MVR30" s="96"/>
      <c r="MVX30" s="232"/>
      <c r="MVY30" s="95"/>
      <c r="MVZ30" s="96"/>
      <c r="MWF30" s="232"/>
      <c r="MWG30" s="95"/>
      <c r="MWH30" s="96"/>
      <c r="MWN30" s="232"/>
      <c r="MWO30" s="95"/>
      <c r="MWP30" s="96"/>
      <c r="MWV30" s="232"/>
      <c r="MWW30" s="95"/>
      <c r="MWX30" s="96"/>
      <c r="MXD30" s="232"/>
      <c r="MXE30" s="95"/>
      <c r="MXF30" s="96"/>
      <c r="MXL30" s="232"/>
      <c r="MXM30" s="95"/>
      <c r="MXN30" s="96"/>
      <c r="MXT30" s="232"/>
      <c r="MXU30" s="95"/>
      <c r="MXV30" s="96"/>
      <c r="MYB30" s="232"/>
      <c r="MYC30" s="95"/>
      <c r="MYD30" s="96"/>
      <c r="MYJ30" s="232"/>
      <c r="MYK30" s="95"/>
      <c r="MYL30" s="96"/>
      <c r="MYR30" s="232"/>
      <c r="MYS30" s="95"/>
      <c r="MYT30" s="96"/>
      <c r="MYZ30" s="232"/>
      <c r="MZA30" s="95"/>
      <c r="MZB30" s="96"/>
      <c r="MZH30" s="232"/>
      <c r="MZI30" s="95"/>
      <c r="MZJ30" s="96"/>
      <c r="MZP30" s="232"/>
      <c r="MZQ30" s="95"/>
      <c r="MZR30" s="96"/>
      <c r="MZX30" s="232"/>
      <c r="MZY30" s="95"/>
      <c r="MZZ30" s="96"/>
      <c r="NAF30" s="232"/>
      <c r="NAG30" s="95"/>
      <c r="NAH30" s="96"/>
      <c r="NAN30" s="232"/>
      <c r="NAO30" s="95"/>
      <c r="NAP30" s="96"/>
      <c r="NAV30" s="232"/>
      <c r="NAW30" s="95"/>
      <c r="NAX30" s="96"/>
      <c r="NBD30" s="232"/>
      <c r="NBE30" s="95"/>
      <c r="NBF30" s="96"/>
      <c r="NBL30" s="232"/>
      <c r="NBM30" s="95"/>
      <c r="NBN30" s="96"/>
      <c r="NBT30" s="232"/>
      <c r="NBU30" s="95"/>
      <c r="NBV30" s="96"/>
      <c r="NCB30" s="232"/>
      <c r="NCC30" s="95"/>
      <c r="NCD30" s="96"/>
      <c r="NCJ30" s="232"/>
      <c r="NCK30" s="95"/>
      <c r="NCL30" s="96"/>
      <c r="NCR30" s="232"/>
      <c r="NCS30" s="95"/>
      <c r="NCT30" s="96"/>
      <c r="NCZ30" s="232"/>
      <c r="NDA30" s="95"/>
      <c r="NDB30" s="96"/>
      <c r="NDH30" s="232"/>
      <c r="NDI30" s="95"/>
      <c r="NDJ30" s="96"/>
      <c r="NDP30" s="232"/>
      <c r="NDQ30" s="95"/>
      <c r="NDR30" s="96"/>
      <c r="NDX30" s="232"/>
      <c r="NDY30" s="95"/>
      <c r="NDZ30" s="96"/>
      <c r="NEF30" s="232"/>
      <c r="NEG30" s="95"/>
      <c r="NEH30" s="96"/>
      <c r="NEN30" s="232"/>
      <c r="NEO30" s="95"/>
      <c r="NEP30" s="96"/>
      <c r="NEV30" s="232"/>
      <c r="NEW30" s="95"/>
      <c r="NEX30" s="96"/>
      <c r="NFD30" s="232"/>
      <c r="NFE30" s="95"/>
      <c r="NFF30" s="96"/>
      <c r="NFL30" s="232"/>
      <c r="NFM30" s="95"/>
      <c r="NFN30" s="96"/>
      <c r="NFT30" s="232"/>
      <c r="NFU30" s="95"/>
      <c r="NFV30" s="96"/>
      <c r="NGB30" s="232"/>
      <c r="NGC30" s="95"/>
      <c r="NGD30" s="96"/>
      <c r="NGJ30" s="232"/>
      <c r="NGK30" s="95"/>
      <c r="NGL30" s="96"/>
      <c r="NGR30" s="232"/>
      <c r="NGS30" s="95"/>
      <c r="NGT30" s="96"/>
      <c r="NGZ30" s="232"/>
      <c r="NHA30" s="95"/>
      <c r="NHB30" s="96"/>
      <c r="NHH30" s="232"/>
      <c r="NHI30" s="95"/>
      <c r="NHJ30" s="96"/>
      <c r="NHP30" s="232"/>
      <c r="NHQ30" s="95"/>
      <c r="NHR30" s="96"/>
      <c r="NHX30" s="232"/>
      <c r="NHY30" s="95"/>
      <c r="NHZ30" s="96"/>
      <c r="NIF30" s="232"/>
      <c r="NIG30" s="95"/>
      <c r="NIH30" s="96"/>
      <c r="NIN30" s="232"/>
      <c r="NIO30" s="95"/>
      <c r="NIP30" s="96"/>
      <c r="NIV30" s="232"/>
      <c r="NIW30" s="95"/>
      <c r="NIX30" s="96"/>
      <c r="NJD30" s="232"/>
      <c r="NJE30" s="95"/>
      <c r="NJF30" s="96"/>
      <c r="NJL30" s="232"/>
      <c r="NJM30" s="95"/>
      <c r="NJN30" s="96"/>
      <c r="NJT30" s="232"/>
      <c r="NJU30" s="95"/>
      <c r="NJV30" s="96"/>
      <c r="NKB30" s="232"/>
      <c r="NKC30" s="95"/>
      <c r="NKD30" s="96"/>
      <c r="NKJ30" s="232"/>
      <c r="NKK30" s="95"/>
      <c r="NKL30" s="96"/>
      <c r="NKR30" s="232"/>
      <c r="NKS30" s="95"/>
      <c r="NKT30" s="96"/>
      <c r="NKZ30" s="232"/>
      <c r="NLA30" s="95"/>
      <c r="NLB30" s="96"/>
      <c r="NLH30" s="232"/>
      <c r="NLI30" s="95"/>
      <c r="NLJ30" s="96"/>
      <c r="NLP30" s="232"/>
      <c r="NLQ30" s="95"/>
      <c r="NLR30" s="96"/>
      <c r="NLX30" s="232"/>
      <c r="NLY30" s="95"/>
      <c r="NLZ30" s="96"/>
      <c r="NMF30" s="232"/>
      <c r="NMG30" s="95"/>
      <c r="NMH30" s="96"/>
      <c r="NMN30" s="232"/>
      <c r="NMO30" s="95"/>
      <c r="NMP30" s="96"/>
      <c r="NMV30" s="232"/>
      <c r="NMW30" s="95"/>
      <c r="NMX30" s="96"/>
      <c r="NND30" s="232"/>
      <c r="NNE30" s="95"/>
      <c r="NNF30" s="96"/>
      <c r="NNL30" s="232"/>
      <c r="NNM30" s="95"/>
      <c r="NNN30" s="96"/>
      <c r="NNT30" s="232"/>
      <c r="NNU30" s="95"/>
      <c r="NNV30" s="96"/>
      <c r="NOB30" s="232"/>
      <c r="NOC30" s="95"/>
      <c r="NOD30" s="96"/>
      <c r="NOJ30" s="232"/>
      <c r="NOK30" s="95"/>
      <c r="NOL30" s="96"/>
      <c r="NOR30" s="232"/>
      <c r="NOS30" s="95"/>
      <c r="NOT30" s="96"/>
      <c r="NOZ30" s="232"/>
      <c r="NPA30" s="95"/>
      <c r="NPB30" s="96"/>
      <c r="NPH30" s="232"/>
      <c r="NPI30" s="95"/>
      <c r="NPJ30" s="96"/>
      <c r="NPP30" s="232"/>
      <c r="NPQ30" s="95"/>
      <c r="NPR30" s="96"/>
      <c r="NPX30" s="232"/>
      <c r="NPY30" s="95"/>
      <c r="NPZ30" s="96"/>
      <c r="NQF30" s="232"/>
      <c r="NQG30" s="95"/>
      <c r="NQH30" s="96"/>
      <c r="NQN30" s="232"/>
      <c r="NQO30" s="95"/>
      <c r="NQP30" s="96"/>
      <c r="NQV30" s="232"/>
      <c r="NQW30" s="95"/>
      <c r="NQX30" s="96"/>
      <c r="NRD30" s="232"/>
      <c r="NRE30" s="95"/>
      <c r="NRF30" s="96"/>
      <c r="NRL30" s="232"/>
      <c r="NRM30" s="95"/>
      <c r="NRN30" s="96"/>
      <c r="NRT30" s="232"/>
      <c r="NRU30" s="95"/>
      <c r="NRV30" s="96"/>
      <c r="NSB30" s="232"/>
      <c r="NSC30" s="95"/>
      <c r="NSD30" s="96"/>
      <c r="NSJ30" s="232"/>
      <c r="NSK30" s="95"/>
      <c r="NSL30" s="96"/>
      <c r="NSR30" s="232"/>
      <c r="NSS30" s="95"/>
      <c r="NST30" s="96"/>
      <c r="NSZ30" s="232"/>
      <c r="NTA30" s="95"/>
      <c r="NTB30" s="96"/>
      <c r="NTH30" s="232"/>
      <c r="NTI30" s="95"/>
      <c r="NTJ30" s="96"/>
      <c r="NTP30" s="232"/>
      <c r="NTQ30" s="95"/>
      <c r="NTR30" s="96"/>
      <c r="NTX30" s="232"/>
      <c r="NTY30" s="95"/>
      <c r="NTZ30" s="96"/>
      <c r="NUF30" s="232"/>
      <c r="NUG30" s="95"/>
      <c r="NUH30" s="96"/>
      <c r="NUN30" s="232"/>
      <c r="NUO30" s="95"/>
      <c r="NUP30" s="96"/>
      <c r="NUV30" s="232"/>
      <c r="NUW30" s="95"/>
      <c r="NUX30" s="96"/>
      <c r="NVD30" s="232"/>
      <c r="NVE30" s="95"/>
      <c r="NVF30" s="96"/>
      <c r="NVL30" s="232"/>
      <c r="NVM30" s="95"/>
      <c r="NVN30" s="96"/>
      <c r="NVT30" s="232"/>
      <c r="NVU30" s="95"/>
      <c r="NVV30" s="96"/>
      <c r="NWB30" s="232"/>
      <c r="NWC30" s="95"/>
      <c r="NWD30" s="96"/>
      <c r="NWJ30" s="232"/>
      <c r="NWK30" s="95"/>
      <c r="NWL30" s="96"/>
      <c r="NWR30" s="232"/>
      <c r="NWS30" s="95"/>
      <c r="NWT30" s="96"/>
      <c r="NWZ30" s="232"/>
      <c r="NXA30" s="95"/>
      <c r="NXB30" s="96"/>
      <c r="NXH30" s="232"/>
      <c r="NXI30" s="95"/>
      <c r="NXJ30" s="96"/>
      <c r="NXP30" s="232"/>
      <c r="NXQ30" s="95"/>
      <c r="NXR30" s="96"/>
      <c r="NXX30" s="232"/>
      <c r="NXY30" s="95"/>
      <c r="NXZ30" s="96"/>
      <c r="NYF30" s="232"/>
      <c r="NYG30" s="95"/>
      <c r="NYH30" s="96"/>
      <c r="NYN30" s="232"/>
      <c r="NYO30" s="95"/>
      <c r="NYP30" s="96"/>
      <c r="NYV30" s="232"/>
      <c r="NYW30" s="95"/>
      <c r="NYX30" s="96"/>
      <c r="NZD30" s="232"/>
      <c r="NZE30" s="95"/>
      <c r="NZF30" s="96"/>
      <c r="NZL30" s="232"/>
      <c r="NZM30" s="95"/>
      <c r="NZN30" s="96"/>
      <c r="NZT30" s="232"/>
      <c r="NZU30" s="95"/>
      <c r="NZV30" s="96"/>
      <c r="OAB30" s="232"/>
      <c r="OAC30" s="95"/>
      <c r="OAD30" s="96"/>
      <c r="OAJ30" s="232"/>
      <c r="OAK30" s="95"/>
      <c r="OAL30" s="96"/>
      <c r="OAR30" s="232"/>
      <c r="OAS30" s="95"/>
      <c r="OAT30" s="96"/>
      <c r="OAZ30" s="232"/>
      <c r="OBA30" s="95"/>
      <c r="OBB30" s="96"/>
      <c r="OBH30" s="232"/>
      <c r="OBI30" s="95"/>
      <c r="OBJ30" s="96"/>
      <c r="OBP30" s="232"/>
      <c r="OBQ30" s="95"/>
      <c r="OBR30" s="96"/>
      <c r="OBX30" s="232"/>
      <c r="OBY30" s="95"/>
      <c r="OBZ30" s="96"/>
      <c r="OCF30" s="232"/>
      <c r="OCG30" s="95"/>
      <c r="OCH30" s="96"/>
      <c r="OCN30" s="232"/>
      <c r="OCO30" s="95"/>
      <c r="OCP30" s="96"/>
      <c r="OCV30" s="232"/>
      <c r="OCW30" s="95"/>
      <c r="OCX30" s="96"/>
      <c r="ODD30" s="232"/>
      <c r="ODE30" s="95"/>
      <c r="ODF30" s="96"/>
      <c r="ODL30" s="232"/>
      <c r="ODM30" s="95"/>
      <c r="ODN30" s="96"/>
      <c r="ODT30" s="232"/>
      <c r="ODU30" s="95"/>
      <c r="ODV30" s="96"/>
      <c r="OEB30" s="232"/>
      <c r="OEC30" s="95"/>
      <c r="OED30" s="96"/>
      <c r="OEJ30" s="232"/>
      <c r="OEK30" s="95"/>
      <c r="OEL30" s="96"/>
      <c r="OER30" s="232"/>
      <c r="OES30" s="95"/>
      <c r="OET30" s="96"/>
      <c r="OEZ30" s="232"/>
      <c r="OFA30" s="95"/>
      <c r="OFB30" s="96"/>
      <c r="OFH30" s="232"/>
      <c r="OFI30" s="95"/>
      <c r="OFJ30" s="96"/>
      <c r="OFP30" s="232"/>
      <c r="OFQ30" s="95"/>
      <c r="OFR30" s="96"/>
      <c r="OFX30" s="232"/>
      <c r="OFY30" s="95"/>
      <c r="OFZ30" s="96"/>
      <c r="OGF30" s="232"/>
      <c r="OGG30" s="95"/>
      <c r="OGH30" s="96"/>
      <c r="OGN30" s="232"/>
      <c r="OGO30" s="95"/>
      <c r="OGP30" s="96"/>
      <c r="OGV30" s="232"/>
      <c r="OGW30" s="95"/>
      <c r="OGX30" s="96"/>
      <c r="OHD30" s="232"/>
      <c r="OHE30" s="95"/>
      <c r="OHF30" s="96"/>
      <c r="OHL30" s="232"/>
      <c r="OHM30" s="95"/>
      <c r="OHN30" s="96"/>
      <c r="OHT30" s="232"/>
      <c r="OHU30" s="95"/>
      <c r="OHV30" s="96"/>
      <c r="OIB30" s="232"/>
      <c r="OIC30" s="95"/>
      <c r="OID30" s="96"/>
      <c r="OIJ30" s="232"/>
      <c r="OIK30" s="95"/>
      <c r="OIL30" s="96"/>
      <c r="OIR30" s="232"/>
      <c r="OIS30" s="95"/>
      <c r="OIT30" s="96"/>
      <c r="OIZ30" s="232"/>
      <c r="OJA30" s="95"/>
      <c r="OJB30" s="96"/>
      <c r="OJH30" s="232"/>
      <c r="OJI30" s="95"/>
      <c r="OJJ30" s="96"/>
      <c r="OJP30" s="232"/>
      <c r="OJQ30" s="95"/>
      <c r="OJR30" s="96"/>
      <c r="OJX30" s="232"/>
      <c r="OJY30" s="95"/>
      <c r="OJZ30" s="96"/>
      <c r="OKF30" s="232"/>
      <c r="OKG30" s="95"/>
      <c r="OKH30" s="96"/>
      <c r="OKN30" s="232"/>
      <c r="OKO30" s="95"/>
      <c r="OKP30" s="96"/>
      <c r="OKV30" s="232"/>
      <c r="OKW30" s="95"/>
      <c r="OKX30" s="96"/>
      <c r="OLD30" s="232"/>
      <c r="OLE30" s="95"/>
      <c r="OLF30" s="96"/>
      <c r="OLL30" s="232"/>
      <c r="OLM30" s="95"/>
      <c r="OLN30" s="96"/>
      <c r="OLT30" s="232"/>
      <c r="OLU30" s="95"/>
      <c r="OLV30" s="96"/>
      <c r="OMB30" s="232"/>
      <c r="OMC30" s="95"/>
      <c r="OMD30" s="96"/>
      <c r="OMJ30" s="232"/>
      <c r="OMK30" s="95"/>
      <c r="OML30" s="96"/>
      <c r="OMR30" s="232"/>
      <c r="OMS30" s="95"/>
      <c r="OMT30" s="96"/>
      <c r="OMZ30" s="232"/>
      <c r="ONA30" s="95"/>
      <c r="ONB30" s="96"/>
      <c r="ONH30" s="232"/>
      <c r="ONI30" s="95"/>
      <c r="ONJ30" s="96"/>
      <c r="ONP30" s="232"/>
      <c r="ONQ30" s="95"/>
      <c r="ONR30" s="96"/>
      <c r="ONX30" s="232"/>
      <c r="ONY30" s="95"/>
      <c r="ONZ30" s="96"/>
      <c r="OOF30" s="232"/>
      <c r="OOG30" s="95"/>
      <c r="OOH30" s="96"/>
      <c r="OON30" s="232"/>
      <c r="OOO30" s="95"/>
      <c r="OOP30" s="96"/>
      <c r="OOV30" s="232"/>
      <c r="OOW30" s="95"/>
      <c r="OOX30" s="96"/>
      <c r="OPD30" s="232"/>
      <c r="OPE30" s="95"/>
      <c r="OPF30" s="96"/>
      <c r="OPL30" s="232"/>
      <c r="OPM30" s="95"/>
      <c r="OPN30" s="96"/>
      <c r="OPT30" s="232"/>
      <c r="OPU30" s="95"/>
      <c r="OPV30" s="96"/>
      <c r="OQB30" s="232"/>
      <c r="OQC30" s="95"/>
      <c r="OQD30" s="96"/>
      <c r="OQJ30" s="232"/>
      <c r="OQK30" s="95"/>
      <c r="OQL30" s="96"/>
      <c r="OQR30" s="232"/>
      <c r="OQS30" s="95"/>
      <c r="OQT30" s="96"/>
      <c r="OQZ30" s="232"/>
      <c r="ORA30" s="95"/>
      <c r="ORB30" s="96"/>
      <c r="ORH30" s="232"/>
      <c r="ORI30" s="95"/>
      <c r="ORJ30" s="96"/>
      <c r="ORP30" s="232"/>
      <c r="ORQ30" s="95"/>
      <c r="ORR30" s="96"/>
      <c r="ORX30" s="232"/>
      <c r="ORY30" s="95"/>
      <c r="ORZ30" s="96"/>
      <c r="OSF30" s="232"/>
      <c r="OSG30" s="95"/>
      <c r="OSH30" s="96"/>
      <c r="OSN30" s="232"/>
      <c r="OSO30" s="95"/>
      <c r="OSP30" s="96"/>
      <c r="OSV30" s="232"/>
      <c r="OSW30" s="95"/>
      <c r="OSX30" s="96"/>
      <c r="OTD30" s="232"/>
      <c r="OTE30" s="95"/>
      <c r="OTF30" s="96"/>
      <c r="OTL30" s="232"/>
      <c r="OTM30" s="95"/>
      <c r="OTN30" s="96"/>
      <c r="OTT30" s="232"/>
      <c r="OTU30" s="95"/>
      <c r="OTV30" s="96"/>
      <c r="OUB30" s="232"/>
      <c r="OUC30" s="95"/>
      <c r="OUD30" s="96"/>
      <c r="OUJ30" s="232"/>
      <c r="OUK30" s="95"/>
      <c r="OUL30" s="96"/>
      <c r="OUR30" s="232"/>
      <c r="OUS30" s="95"/>
      <c r="OUT30" s="96"/>
      <c r="OUZ30" s="232"/>
      <c r="OVA30" s="95"/>
      <c r="OVB30" s="96"/>
      <c r="OVH30" s="232"/>
      <c r="OVI30" s="95"/>
      <c r="OVJ30" s="96"/>
      <c r="OVP30" s="232"/>
      <c r="OVQ30" s="95"/>
      <c r="OVR30" s="96"/>
      <c r="OVX30" s="232"/>
      <c r="OVY30" s="95"/>
      <c r="OVZ30" s="96"/>
      <c r="OWF30" s="232"/>
      <c r="OWG30" s="95"/>
      <c r="OWH30" s="96"/>
      <c r="OWN30" s="232"/>
      <c r="OWO30" s="95"/>
      <c r="OWP30" s="96"/>
      <c r="OWV30" s="232"/>
      <c r="OWW30" s="95"/>
      <c r="OWX30" s="96"/>
      <c r="OXD30" s="232"/>
      <c r="OXE30" s="95"/>
      <c r="OXF30" s="96"/>
      <c r="OXL30" s="232"/>
      <c r="OXM30" s="95"/>
      <c r="OXN30" s="96"/>
      <c r="OXT30" s="232"/>
      <c r="OXU30" s="95"/>
      <c r="OXV30" s="96"/>
      <c r="OYB30" s="232"/>
      <c r="OYC30" s="95"/>
      <c r="OYD30" s="96"/>
      <c r="OYJ30" s="232"/>
      <c r="OYK30" s="95"/>
      <c r="OYL30" s="96"/>
      <c r="OYR30" s="232"/>
      <c r="OYS30" s="95"/>
      <c r="OYT30" s="96"/>
      <c r="OYZ30" s="232"/>
      <c r="OZA30" s="95"/>
      <c r="OZB30" s="96"/>
      <c r="OZH30" s="232"/>
      <c r="OZI30" s="95"/>
      <c r="OZJ30" s="96"/>
      <c r="OZP30" s="232"/>
      <c r="OZQ30" s="95"/>
      <c r="OZR30" s="96"/>
      <c r="OZX30" s="232"/>
      <c r="OZY30" s="95"/>
      <c r="OZZ30" s="96"/>
      <c r="PAF30" s="232"/>
      <c r="PAG30" s="95"/>
      <c r="PAH30" s="96"/>
      <c r="PAN30" s="232"/>
      <c r="PAO30" s="95"/>
      <c r="PAP30" s="96"/>
      <c r="PAV30" s="232"/>
      <c r="PAW30" s="95"/>
      <c r="PAX30" s="96"/>
      <c r="PBD30" s="232"/>
      <c r="PBE30" s="95"/>
      <c r="PBF30" s="96"/>
      <c r="PBL30" s="232"/>
      <c r="PBM30" s="95"/>
      <c r="PBN30" s="96"/>
      <c r="PBT30" s="232"/>
      <c r="PBU30" s="95"/>
      <c r="PBV30" s="96"/>
      <c r="PCB30" s="232"/>
      <c r="PCC30" s="95"/>
      <c r="PCD30" s="96"/>
      <c r="PCJ30" s="232"/>
      <c r="PCK30" s="95"/>
      <c r="PCL30" s="96"/>
      <c r="PCR30" s="232"/>
      <c r="PCS30" s="95"/>
      <c r="PCT30" s="96"/>
      <c r="PCZ30" s="232"/>
      <c r="PDA30" s="95"/>
      <c r="PDB30" s="96"/>
      <c r="PDH30" s="232"/>
      <c r="PDI30" s="95"/>
      <c r="PDJ30" s="96"/>
      <c r="PDP30" s="232"/>
      <c r="PDQ30" s="95"/>
      <c r="PDR30" s="96"/>
      <c r="PDX30" s="232"/>
      <c r="PDY30" s="95"/>
      <c r="PDZ30" s="96"/>
      <c r="PEF30" s="232"/>
      <c r="PEG30" s="95"/>
      <c r="PEH30" s="96"/>
      <c r="PEN30" s="232"/>
      <c r="PEO30" s="95"/>
      <c r="PEP30" s="96"/>
      <c r="PEV30" s="232"/>
      <c r="PEW30" s="95"/>
      <c r="PEX30" s="96"/>
      <c r="PFD30" s="232"/>
      <c r="PFE30" s="95"/>
      <c r="PFF30" s="96"/>
      <c r="PFL30" s="232"/>
      <c r="PFM30" s="95"/>
      <c r="PFN30" s="96"/>
      <c r="PFT30" s="232"/>
      <c r="PFU30" s="95"/>
      <c r="PFV30" s="96"/>
      <c r="PGB30" s="232"/>
      <c r="PGC30" s="95"/>
      <c r="PGD30" s="96"/>
      <c r="PGJ30" s="232"/>
      <c r="PGK30" s="95"/>
      <c r="PGL30" s="96"/>
      <c r="PGR30" s="232"/>
      <c r="PGS30" s="95"/>
      <c r="PGT30" s="96"/>
      <c r="PGZ30" s="232"/>
      <c r="PHA30" s="95"/>
      <c r="PHB30" s="96"/>
      <c r="PHH30" s="232"/>
      <c r="PHI30" s="95"/>
      <c r="PHJ30" s="96"/>
      <c r="PHP30" s="232"/>
      <c r="PHQ30" s="95"/>
      <c r="PHR30" s="96"/>
      <c r="PHX30" s="232"/>
      <c r="PHY30" s="95"/>
      <c r="PHZ30" s="96"/>
      <c r="PIF30" s="232"/>
      <c r="PIG30" s="95"/>
      <c r="PIH30" s="96"/>
      <c r="PIN30" s="232"/>
      <c r="PIO30" s="95"/>
      <c r="PIP30" s="96"/>
      <c r="PIV30" s="232"/>
      <c r="PIW30" s="95"/>
      <c r="PIX30" s="96"/>
      <c r="PJD30" s="232"/>
      <c r="PJE30" s="95"/>
      <c r="PJF30" s="96"/>
      <c r="PJL30" s="232"/>
      <c r="PJM30" s="95"/>
      <c r="PJN30" s="96"/>
      <c r="PJT30" s="232"/>
      <c r="PJU30" s="95"/>
      <c r="PJV30" s="96"/>
      <c r="PKB30" s="232"/>
      <c r="PKC30" s="95"/>
      <c r="PKD30" s="96"/>
      <c r="PKJ30" s="232"/>
      <c r="PKK30" s="95"/>
      <c r="PKL30" s="96"/>
      <c r="PKR30" s="232"/>
      <c r="PKS30" s="95"/>
      <c r="PKT30" s="96"/>
      <c r="PKZ30" s="232"/>
      <c r="PLA30" s="95"/>
      <c r="PLB30" s="96"/>
      <c r="PLH30" s="232"/>
      <c r="PLI30" s="95"/>
      <c r="PLJ30" s="96"/>
      <c r="PLP30" s="232"/>
      <c r="PLQ30" s="95"/>
      <c r="PLR30" s="96"/>
      <c r="PLX30" s="232"/>
      <c r="PLY30" s="95"/>
      <c r="PLZ30" s="96"/>
      <c r="PMF30" s="232"/>
      <c r="PMG30" s="95"/>
      <c r="PMH30" s="96"/>
      <c r="PMN30" s="232"/>
      <c r="PMO30" s="95"/>
      <c r="PMP30" s="96"/>
      <c r="PMV30" s="232"/>
      <c r="PMW30" s="95"/>
      <c r="PMX30" s="96"/>
      <c r="PND30" s="232"/>
      <c r="PNE30" s="95"/>
      <c r="PNF30" s="96"/>
      <c r="PNL30" s="232"/>
      <c r="PNM30" s="95"/>
      <c r="PNN30" s="96"/>
      <c r="PNT30" s="232"/>
      <c r="PNU30" s="95"/>
      <c r="PNV30" s="96"/>
      <c r="POB30" s="232"/>
      <c r="POC30" s="95"/>
      <c r="POD30" s="96"/>
      <c r="POJ30" s="232"/>
      <c r="POK30" s="95"/>
      <c r="POL30" s="96"/>
      <c r="POR30" s="232"/>
      <c r="POS30" s="95"/>
      <c r="POT30" s="96"/>
      <c r="POZ30" s="232"/>
      <c r="PPA30" s="95"/>
      <c r="PPB30" s="96"/>
      <c r="PPH30" s="232"/>
      <c r="PPI30" s="95"/>
      <c r="PPJ30" s="96"/>
      <c r="PPP30" s="232"/>
      <c r="PPQ30" s="95"/>
      <c r="PPR30" s="96"/>
      <c r="PPX30" s="232"/>
      <c r="PPY30" s="95"/>
      <c r="PPZ30" s="96"/>
      <c r="PQF30" s="232"/>
      <c r="PQG30" s="95"/>
      <c r="PQH30" s="96"/>
      <c r="PQN30" s="232"/>
      <c r="PQO30" s="95"/>
      <c r="PQP30" s="96"/>
      <c r="PQV30" s="232"/>
      <c r="PQW30" s="95"/>
      <c r="PQX30" s="96"/>
      <c r="PRD30" s="232"/>
      <c r="PRE30" s="95"/>
      <c r="PRF30" s="96"/>
      <c r="PRL30" s="232"/>
      <c r="PRM30" s="95"/>
      <c r="PRN30" s="96"/>
      <c r="PRT30" s="232"/>
      <c r="PRU30" s="95"/>
      <c r="PRV30" s="96"/>
      <c r="PSB30" s="232"/>
      <c r="PSC30" s="95"/>
      <c r="PSD30" s="96"/>
      <c r="PSJ30" s="232"/>
      <c r="PSK30" s="95"/>
      <c r="PSL30" s="96"/>
      <c r="PSR30" s="232"/>
      <c r="PSS30" s="95"/>
      <c r="PST30" s="96"/>
      <c r="PSZ30" s="232"/>
      <c r="PTA30" s="95"/>
      <c r="PTB30" s="96"/>
      <c r="PTH30" s="232"/>
      <c r="PTI30" s="95"/>
      <c r="PTJ30" s="96"/>
      <c r="PTP30" s="232"/>
      <c r="PTQ30" s="95"/>
      <c r="PTR30" s="96"/>
      <c r="PTX30" s="232"/>
      <c r="PTY30" s="95"/>
      <c r="PTZ30" s="96"/>
      <c r="PUF30" s="232"/>
      <c r="PUG30" s="95"/>
      <c r="PUH30" s="96"/>
      <c r="PUN30" s="232"/>
      <c r="PUO30" s="95"/>
      <c r="PUP30" s="96"/>
      <c r="PUV30" s="232"/>
      <c r="PUW30" s="95"/>
      <c r="PUX30" s="96"/>
      <c r="PVD30" s="232"/>
      <c r="PVE30" s="95"/>
      <c r="PVF30" s="96"/>
      <c r="PVL30" s="232"/>
      <c r="PVM30" s="95"/>
      <c r="PVN30" s="96"/>
      <c r="PVT30" s="232"/>
      <c r="PVU30" s="95"/>
      <c r="PVV30" s="96"/>
      <c r="PWB30" s="232"/>
      <c r="PWC30" s="95"/>
      <c r="PWD30" s="96"/>
      <c r="PWJ30" s="232"/>
      <c r="PWK30" s="95"/>
      <c r="PWL30" s="96"/>
      <c r="PWR30" s="232"/>
      <c r="PWS30" s="95"/>
      <c r="PWT30" s="96"/>
      <c r="PWZ30" s="232"/>
      <c r="PXA30" s="95"/>
      <c r="PXB30" s="96"/>
      <c r="PXH30" s="232"/>
      <c r="PXI30" s="95"/>
      <c r="PXJ30" s="96"/>
      <c r="PXP30" s="232"/>
      <c r="PXQ30" s="95"/>
      <c r="PXR30" s="96"/>
      <c r="PXX30" s="232"/>
      <c r="PXY30" s="95"/>
      <c r="PXZ30" s="96"/>
      <c r="PYF30" s="232"/>
      <c r="PYG30" s="95"/>
      <c r="PYH30" s="96"/>
      <c r="PYN30" s="232"/>
      <c r="PYO30" s="95"/>
      <c r="PYP30" s="96"/>
      <c r="PYV30" s="232"/>
      <c r="PYW30" s="95"/>
      <c r="PYX30" s="96"/>
      <c r="PZD30" s="232"/>
      <c r="PZE30" s="95"/>
      <c r="PZF30" s="96"/>
      <c r="PZL30" s="232"/>
      <c r="PZM30" s="95"/>
      <c r="PZN30" s="96"/>
      <c r="PZT30" s="232"/>
      <c r="PZU30" s="95"/>
      <c r="PZV30" s="96"/>
      <c r="QAB30" s="232"/>
      <c r="QAC30" s="95"/>
      <c r="QAD30" s="96"/>
      <c r="QAJ30" s="232"/>
      <c r="QAK30" s="95"/>
      <c r="QAL30" s="96"/>
      <c r="QAR30" s="232"/>
      <c r="QAS30" s="95"/>
      <c r="QAT30" s="96"/>
      <c r="QAZ30" s="232"/>
      <c r="QBA30" s="95"/>
      <c r="QBB30" s="96"/>
      <c r="QBH30" s="232"/>
      <c r="QBI30" s="95"/>
      <c r="QBJ30" s="96"/>
      <c r="QBP30" s="232"/>
      <c r="QBQ30" s="95"/>
      <c r="QBR30" s="96"/>
      <c r="QBX30" s="232"/>
      <c r="QBY30" s="95"/>
      <c r="QBZ30" s="96"/>
      <c r="QCF30" s="232"/>
      <c r="QCG30" s="95"/>
      <c r="QCH30" s="96"/>
      <c r="QCN30" s="232"/>
      <c r="QCO30" s="95"/>
      <c r="QCP30" s="96"/>
      <c r="QCV30" s="232"/>
      <c r="QCW30" s="95"/>
      <c r="QCX30" s="96"/>
      <c r="QDD30" s="232"/>
      <c r="QDE30" s="95"/>
      <c r="QDF30" s="96"/>
      <c r="QDL30" s="232"/>
      <c r="QDM30" s="95"/>
      <c r="QDN30" s="96"/>
      <c r="QDT30" s="232"/>
      <c r="QDU30" s="95"/>
      <c r="QDV30" s="96"/>
      <c r="QEB30" s="232"/>
      <c r="QEC30" s="95"/>
      <c r="QED30" s="96"/>
      <c r="QEJ30" s="232"/>
      <c r="QEK30" s="95"/>
      <c r="QEL30" s="96"/>
      <c r="QER30" s="232"/>
      <c r="QES30" s="95"/>
      <c r="QET30" s="96"/>
      <c r="QEZ30" s="232"/>
      <c r="QFA30" s="95"/>
      <c r="QFB30" s="96"/>
      <c r="QFH30" s="232"/>
      <c r="QFI30" s="95"/>
      <c r="QFJ30" s="96"/>
      <c r="QFP30" s="232"/>
      <c r="QFQ30" s="95"/>
      <c r="QFR30" s="96"/>
      <c r="QFX30" s="232"/>
      <c r="QFY30" s="95"/>
      <c r="QFZ30" s="96"/>
      <c r="QGF30" s="232"/>
      <c r="QGG30" s="95"/>
      <c r="QGH30" s="96"/>
      <c r="QGN30" s="232"/>
      <c r="QGO30" s="95"/>
      <c r="QGP30" s="96"/>
      <c r="QGV30" s="232"/>
      <c r="QGW30" s="95"/>
      <c r="QGX30" s="96"/>
      <c r="QHD30" s="232"/>
      <c r="QHE30" s="95"/>
      <c r="QHF30" s="96"/>
      <c r="QHL30" s="232"/>
      <c r="QHM30" s="95"/>
      <c r="QHN30" s="96"/>
      <c r="QHT30" s="232"/>
      <c r="QHU30" s="95"/>
      <c r="QHV30" s="96"/>
      <c r="QIB30" s="232"/>
      <c r="QIC30" s="95"/>
      <c r="QID30" s="96"/>
      <c r="QIJ30" s="232"/>
      <c r="QIK30" s="95"/>
      <c r="QIL30" s="96"/>
      <c r="QIR30" s="232"/>
      <c r="QIS30" s="95"/>
      <c r="QIT30" s="96"/>
      <c r="QIZ30" s="232"/>
      <c r="QJA30" s="95"/>
      <c r="QJB30" s="96"/>
      <c r="QJH30" s="232"/>
      <c r="QJI30" s="95"/>
      <c r="QJJ30" s="96"/>
      <c r="QJP30" s="232"/>
      <c r="QJQ30" s="95"/>
      <c r="QJR30" s="96"/>
      <c r="QJX30" s="232"/>
      <c r="QJY30" s="95"/>
      <c r="QJZ30" s="96"/>
      <c r="QKF30" s="232"/>
      <c r="QKG30" s="95"/>
      <c r="QKH30" s="96"/>
      <c r="QKN30" s="232"/>
      <c r="QKO30" s="95"/>
      <c r="QKP30" s="96"/>
      <c r="QKV30" s="232"/>
      <c r="QKW30" s="95"/>
      <c r="QKX30" s="96"/>
      <c r="QLD30" s="232"/>
      <c r="QLE30" s="95"/>
      <c r="QLF30" s="96"/>
      <c r="QLL30" s="232"/>
      <c r="QLM30" s="95"/>
      <c r="QLN30" s="96"/>
      <c r="QLT30" s="232"/>
      <c r="QLU30" s="95"/>
      <c r="QLV30" s="96"/>
      <c r="QMB30" s="232"/>
      <c r="QMC30" s="95"/>
      <c r="QMD30" s="96"/>
      <c r="QMJ30" s="232"/>
      <c r="QMK30" s="95"/>
      <c r="QML30" s="96"/>
      <c r="QMR30" s="232"/>
      <c r="QMS30" s="95"/>
      <c r="QMT30" s="96"/>
      <c r="QMZ30" s="232"/>
      <c r="QNA30" s="95"/>
      <c r="QNB30" s="96"/>
      <c r="QNH30" s="232"/>
      <c r="QNI30" s="95"/>
      <c r="QNJ30" s="96"/>
      <c r="QNP30" s="232"/>
      <c r="QNQ30" s="95"/>
      <c r="QNR30" s="96"/>
      <c r="QNX30" s="232"/>
      <c r="QNY30" s="95"/>
      <c r="QNZ30" s="96"/>
      <c r="QOF30" s="232"/>
      <c r="QOG30" s="95"/>
      <c r="QOH30" s="96"/>
      <c r="QON30" s="232"/>
      <c r="QOO30" s="95"/>
      <c r="QOP30" s="96"/>
      <c r="QOV30" s="232"/>
      <c r="QOW30" s="95"/>
      <c r="QOX30" s="96"/>
      <c r="QPD30" s="232"/>
      <c r="QPE30" s="95"/>
      <c r="QPF30" s="96"/>
      <c r="QPL30" s="232"/>
      <c r="QPM30" s="95"/>
      <c r="QPN30" s="96"/>
      <c r="QPT30" s="232"/>
      <c r="QPU30" s="95"/>
      <c r="QPV30" s="96"/>
      <c r="QQB30" s="232"/>
      <c r="QQC30" s="95"/>
      <c r="QQD30" s="96"/>
      <c r="QQJ30" s="232"/>
      <c r="QQK30" s="95"/>
      <c r="QQL30" s="96"/>
      <c r="QQR30" s="232"/>
      <c r="QQS30" s="95"/>
      <c r="QQT30" s="96"/>
      <c r="QQZ30" s="232"/>
      <c r="QRA30" s="95"/>
      <c r="QRB30" s="96"/>
      <c r="QRH30" s="232"/>
      <c r="QRI30" s="95"/>
      <c r="QRJ30" s="96"/>
      <c r="QRP30" s="232"/>
      <c r="QRQ30" s="95"/>
      <c r="QRR30" s="96"/>
      <c r="QRX30" s="232"/>
      <c r="QRY30" s="95"/>
      <c r="QRZ30" s="96"/>
      <c r="QSF30" s="232"/>
      <c r="QSG30" s="95"/>
      <c r="QSH30" s="96"/>
      <c r="QSN30" s="232"/>
      <c r="QSO30" s="95"/>
      <c r="QSP30" s="96"/>
      <c r="QSV30" s="232"/>
      <c r="QSW30" s="95"/>
      <c r="QSX30" s="96"/>
      <c r="QTD30" s="232"/>
      <c r="QTE30" s="95"/>
      <c r="QTF30" s="96"/>
      <c r="QTL30" s="232"/>
      <c r="QTM30" s="95"/>
      <c r="QTN30" s="96"/>
      <c r="QTT30" s="232"/>
      <c r="QTU30" s="95"/>
      <c r="QTV30" s="96"/>
      <c r="QUB30" s="232"/>
      <c r="QUC30" s="95"/>
      <c r="QUD30" s="96"/>
      <c r="QUJ30" s="232"/>
      <c r="QUK30" s="95"/>
      <c r="QUL30" s="96"/>
      <c r="QUR30" s="232"/>
      <c r="QUS30" s="95"/>
      <c r="QUT30" s="96"/>
      <c r="QUZ30" s="232"/>
      <c r="QVA30" s="95"/>
      <c r="QVB30" s="96"/>
      <c r="QVH30" s="232"/>
      <c r="QVI30" s="95"/>
      <c r="QVJ30" s="96"/>
      <c r="QVP30" s="232"/>
      <c r="QVQ30" s="95"/>
      <c r="QVR30" s="96"/>
      <c r="QVX30" s="232"/>
      <c r="QVY30" s="95"/>
      <c r="QVZ30" s="96"/>
      <c r="QWF30" s="232"/>
      <c r="QWG30" s="95"/>
      <c r="QWH30" s="96"/>
      <c r="QWN30" s="232"/>
      <c r="QWO30" s="95"/>
      <c r="QWP30" s="96"/>
      <c r="QWV30" s="232"/>
      <c r="QWW30" s="95"/>
      <c r="QWX30" s="96"/>
      <c r="QXD30" s="232"/>
      <c r="QXE30" s="95"/>
      <c r="QXF30" s="96"/>
      <c r="QXL30" s="232"/>
      <c r="QXM30" s="95"/>
      <c r="QXN30" s="96"/>
      <c r="QXT30" s="232"/>
      <c r="QXU30" s="95"/>
      <c r="QXV30" s="96"/>
      <c r="QYB30" s="232"/>
      <c r="QYC30" s="95"/>
      <c r="QYD30" s="96"/>
      <c r="QYJ30" s="232"/>
      <c r="QYK30" s="95"/>
      <c r="QYL30" s="96"/>
      <c r="QYR30" s="232"/>
      <c r="QYS30" s="95"/>
      <c r="QYT30" s="96"/>
      <c r="QYZ30" s="232"/>
      <c r="QZA30" s="95"/>
      <c r="QZB30" s="96"/>
      <c r="QZH30" s="232"/>
      <c r="QZI30" s="95"/>
      <c r="QZJ30" s="96"/>
      <c r="QZP30" s="232"/>
      <c r="QZQ30" s="95"/>
      <c r="QZR30" s="96"/>
      <c r="QZX30" s="232"/>
      <c r="QZY30" s="95"/>
      <c r="QZZ30" s="96"/>
      <c r="RAF30" s="232"/>
      <c r="RAG30" s="95"/>
      <c r="RAH30" s="96"/>
      <c r="RAN30" s="232"/>
      <c r="RAO30" s="95"/>
      <c r="RAP30" s="96"/>
      <c r="RAV30" s="232"/>
      <c r="RAW30" s="95"/>
      <c r="RAX30" s="96"/>
      <c r="RBD30" s="232"/>
      <c r="RBE30" s="95"/>
      <c r="RBF30" s="96"/>
      <c r="RBL30" s="232"/>
      <c r="RBM30" s="95"/>
      <c r="RBN30" s="96"/>
      <c r="RBT30" s="232"/>
      <c r="RBU30" s="95"/>
      <c r="RBV30" s="96"/>
      <c r="RCB30" s="232"/>
      <c r="RCC30" s="95"/>
      <c r="RCD30" s="96"/>
      <c r="RCJ30" s="232"/>
      <c r="RCK30" s="95"/>
      <c r="RCL30" s="96"/>
      <c r="RCR30" s="232"/>
      <c r="RCS30" s="95"/>
      <c r="RCT30" s="96"/>
      <c r="RCZ30" s="232"/>
      <c r="RDA30" s="95"/>
      <c r="RDB30" s="96"/>
      <c r="RDH30" s="232"/>
      <c r="RDI30" s="95"/>
      <c r="RDJ30" s="96"/>
      <c r="RDP30" s="232"/>
      <c r="RDQ30" s="95"/>
      <c r="RDR30" s="96"/>
      <c r="RDX30" s="232"/>
      <c r="RDY30" s="95"/>
      <c r="RDZ30" s="96"/>
      <c r="REF30" s="232"/>
      <c r="REG30" s="95"/>
      <c r="REH30" s="96"/>
      <c r="REN30" s="232"/>
      <c r="REO30" s="95"/>
      <c r="REP30" s="96"/>
      <c r="REV30" s="232"/>
      <c r="REW30" s="95"/>
      <c r="REX30" s="96"/>
      <c r="RFD30" s="232"/>
      <c r="RFE30" s="95"/>
      <c r="RFF30" s="96"/>
      <c r="RFL30" s="232"/>
      <c r="RFM30" s="95"/>
      <c r="RFN30" s="96"/>
      <c r="RFT30" s="232"/>
      <c r="RFU30" s="95"/>
      <c r="RFV30" s="96"/>
      <c r="RGB30" s="232"/>
      <c r="RGC30" s="95"/>
      <c r="RGD30" s="96"/>
      <c r="RGJ30" s="232"/>
      <c r="RGK30" s="95"/>
      <c r="RGL30" s="96"/>
      <c r="RGR30" s="232"/>
      <c r="RGS30" s="95"/>
      <c r="RGT30" s="96"/>
      <c r="RGZ30" s="232"/>
      <c r="RHA30" s="95"/>
      <c r="RHB30" s="96"/>
      <c r="RHH30" s="232"/>
      <c r="RHI30" s="95"/>
      <c r="RHJ30" s="96"/>
      <c r="RHP30" s="232"/>
      <c r="RHQ30" s="95"/>
      <c r="RHR30" s="96"/>
      <c r="RHX30" s="232"/>
      <c r="RHY30" s="95"/>
      <c r="RHZ30" s="96"/>
      <c r="RIF30" s="232"/>
      <c r="RIG30" s="95"/>
      <c r="RIH30" s="96"/>
      <c r="RIN30" s="232"/>
      <c r="RIO30" s="95"/>
      <c r="RIP30" s="96"/>
      <c r="RIV30" s="232"/>
      <c r="RIW30" s="95"/>
      <c r="RIX30" s="96"/>
      <c r="RJD30" s="232"/>
      <c r="RJE30" s="95"/>
      <c r="RJF30" s="96"/>
      <c r="RJL30" s="232"/>
      <c r="RJM30" s="95"/>
      <c r="RJN30" s="96"/>
      <c r="RJT30" s="232"/>
      <c r="RJU30" s="95"/>
      <c r="RJV30" s="96"/>
      <c r="RKB30" s="232"/>
      <c r="RKC30" s="95"/>
      <c r="RKD30" s="96"/>
      <c r="RKJ30" s="232"/>
      <c r="RKK30" s="95"/>
      <c r="RKL30" s="96"/>
      <c r="RKR30" s="232"/>
      <c r="RKS30" s="95"/>
      <c r="RKT30" s="96"/>
      <c r="RKZ30" s="232"/>
      <c r="RLA30" s="95"/>
      <c r="RLB30" s="96"/>
      <c r="RLH30" s="232"/>
      <c r="RLI30" s="95"/>
      <c r="RLJ30" s="96"/>
      <c r="RLP30" s="232"/>
      <c r="RLQ30" s="95"/>
      <c r="RLR30" s="96"/>
      <c r="RLX30" s="232"/>
      <c r="RLY30" s="95"/>
      <c r="RLZ30" s="96"/>
      <c r="RMF30" s="232"/>
      <c r="RMG30" s="95"/>
      <c r="RMH30" s="96"/>
      <c r="RMN30" s="232"/>
      <c r="RMO30" s="95"/>
      <c r="RMP30" s="96"/>
      <c r="RMV30" s="232"/>
      <c r="RMW30" s="95"/>
      <c r="RMX30" s="96"/>
      <c r="RND30" s="232"/>
      <c r="RNE30" s="95"/>
      <c r="RNF30" s="96"/>
      <c r="RNL30" s="232"/>
      <c r="RNM30" s="95"/>
      <c r="RNN30" s="96"/>
      <c r="RNT30" s="232"/>
      <c r="RNU30" s="95"/>
      <c r="RNV30" s="96"/>
      <c r="ROB30" s="232"/>
      <c r="ROC30" s="95"/>
      <c r="ROD30" s="96"/>
      <c r="ROJ30" s="232"/>
      <c r="ROK30" s="95"/>
      <c r="ROL30" s="96"/>
      <c r="ROR30" s="232"/>
      <c r="ROS30" s="95"/>
      <c r="ROT30" s="96"/>
      <c r="ROZ30" s="232"/>
      <c r="RPA30" s="95"/>
      <c r="RPB30" s="96"/>
      <c r="RPH30" s="232"/>
      <c r="RPI30" s="95"/>
      <c r="RPJ30" s="96"/>
      <c r="RPP30" s="232"/>
      <c r="RPQ30" s="95"/>
      <c r="RPR30" s="96"/>
      <c r="RPX30" s="232"/>
      <c r="RPY30" s="95"/>
      <c r="RPZ30" s="96"/>
      <c r="RQF30" s="232"/>
      <c r="RQG30" s="95"/>
      <c r="RQH30" s="96"/>
      <c r="RQN30" s="232"/>
      <c r="RQO30" s="95"/>
      <c r="RQP30" s="96"/>
      <c r="RQV30" s="232"/>
      <c r="RQW30" s="95"/>
      <c r="RQX30" s="96"/>
      <c r="RRD30" s="232"/>
      <c r="RRE30" s="95"/>
      <c r="RRF30" s="96"/>
      <c r="RRL30" s="232"/>
      <c r="RRM30" s="95"/>
      <c r="RRN30" s="96"/>
      <c r="RRT30" s="232"/>
      <c r="RRU30" s="95"/>
      <c r="RRV30" s="96"/>
      <c r="RSB30" s="232"/>
      <c r="RSC30" s="95"/>
      <c r="RSD30" s="96"/>
      <c r="RSJ30" s="232"/>
      <c r="RSK30" s="95"/>
      <c r="RSL30" s="96"/>
      <c r="RSR30" s="232"/>
      <c r="RSS30" s="95"/>
      <c r="RST30" s="96"/>
      <c r="RSZ30" s="232"/>
      <c r="RTA30" s="95"/>
      <c r="RTB30" s="96"/>
      <c r="RTH30" s="232"/>
      <c r="RTI30" s="95"/>
      <c r="RTJ30" s="96"/>
      <c r="RTP30" s="232"/>
      <c r="RTQ30" s="95"/>
      <c r="RTR30" s="96"/>
      <c r="RTX30" s="232"/>
      <c r="RTY30" s="95"/>
      <c r="RTZ30" s="96"/>
      <c r="RUF30" s="232"/>
      <c r="RUG30" s="95"/>
      <c r="RUH30" s="96"/>
      <c r="RUN30" s="232"/>
      <c r="RUO30" s="95"/>
      <c r="RUP30" s="96"/>
      <c r="RUV30" s="232"/>
      <c r="RUW30" s="95"/>
      <c r="RUX30" s="96"/>
      <c r="RVD30" s="232"/>
      <c r="RVE30" s="95"/>
      <c r="RVF30" s="96"/>
      <c r="RVL30" s="232"/>
      <c r="RVM30" s="95"/>
      <c r="RVN30" s="96"/>
      <c r="RVT30" s="232"/>
      <c r="RVU30" s="95"/>
      <c r="RVV30" s="96"/>
      <c r="RWB30" s="232"/>
      <c r="RWC30" s="95"/>
      <c r="RWD30" s="96"/>
      <c r="RWJ30" s="232"/>
      <c r="RWK30" s="95"/>
      <c r="RWL30" s="96"/>
      <c r="RWR30" s="232"/>
      <c r="RWS30" s="95"/>
      <c r="RWT30" s="96"/>
      <c r="RWZ30" s="232"/>
      <c r="RXA30" s="95"/>
      <c r="RXB30" s="96"/>
      <c r="RXH30" s="232"/>
      <c r="RXI30" s="95"/>
      <c r="RXJ30" s="96"/>
      <c r="RXP30" s="232"/>
      <c r="RXQ30" s="95"/>
      <c r="RXR30" s="96"/>
      <c r="RXX30" s="232"/>
      <c r="RXY30" s="95"/>
      <c r="RXZ30" s="96"/>
      <c r="RYF30" s="232"/>
      <c r="RYG30" s="95"/>
      <c r="RYH30" s="96"/>
      <c r="RYN30" s="232"/>
      <c r="RYO30" s="95"/>
      <c r="RYP30" s="96"/>
      <c r="RYV30" s="232"/>
      <c r="RYW30" s="95"/>
      <c r="RYX30" s="96"/>
      <c r="RZD30" s="232"/>
      <c r="RZE30" s="95"/>
      <c r="RZF30" s="96"/>
      <c r="RZL30" s="232"/>
      <c r="RZM30" s="95"/>
      <c r="RZN30" s="96"/>
      <c r="RZT30" s="232"/>
      <c r="RZU30" s="95"/>
      <c r="RZV30" s="96"/>
      <c r="SAB30" s="232"/>
      <c r="SAC30" s="95"/>
      <c r="SAD30" s="96"/>
      <c r="SAJ30" s="232"/>
      <c r="SAK30" s="95"/>
      <c r="SAL30" s="96"/>
      <c r="SAR30" s="232"/>
      <c r="SAS30" s="95"/>
      <c r="SAT30" s="96"/>
      <c r="SAZ30" s="232"/>
      <c r="SBA30" s="95"/>
      <c r="SBB30" s="96"/>
      <c r="SBH30" s="232"/>
      <c r="SBI30" s="95"/>
      <c r="SBJ30" s="96"/>
      <c r="SBP30" s="232"/>
      <c r="SBQ30" s="95"/>
      <c r="SBR30" s="96"/>
      <c r="SBX30" s="232"/>
      <c r="SBY30" s="95"/>
      <c r="SBZ30" s="96"/>
      <c r="SCF30" s="232"/>
      <c r="SCG30" s="95"/>
      <c r="SCH30" s="96"/>
      <c r="SCN30" s="232"/>
      <c r="SCO30" s="95"/>
      <c r="SCP30" s="96"/>
      <c r="SCV30" s="232"/>
      <c r="SCW30" s="95"/>
      <c r="SCX30" s="96"/>
      <c r="SDD30" s="232"/>
      <c r="SDE30" s="95"/>
      <c r="SDF30" s="96"/>
      <c r="SDL30" s="232"/>
      <c r="SDM30" s="95"/>
      <c r="SDN30" s="96"/>
      <c r="SDT30" s="232"/>
      <c r="SDU30" s="95"/>
      <c r="SDV30" s="96"/>
      <c r="SEB30" s="232"/>
      <c r="SEC30" s="95"/>
      <c r="SED30" s="96"/>
      <c r="SEJ30" s="232"/>
      <c r="SEK30" s="95"/>
      <c r="SEL30" s="96"/>
      <c r="SER30" s="232"/>
      <c r="SES30" s="95"/>
      <c r="SET30" s="96"/>
      <c r="SEZ30" s="232"/>
      <c r="SFA30" s="95"/>
      <c r="SFB30" s="96"/>
      <c r="SFH30" s="232"/>
      <c r="SFI30" s="95"/>
      <c r="SFJ30" s="96"/>
      <c r="SFP30" s="232"/>
      <c r="SFQ30" s="95"/>
      <c r="SFR30" s="96"/>
      <c r="SFX30" s="232"/>
      <c r="SFY30" s="95"/>
      <c r="SFZ30" s="96"/>
      <c r="SGF30" s="232"/>
      <c r="SGG30" s="95"/>
      <c r="SGH30" s="96"/>
      <c r="SGN30" s="232"/>
      <c r="SGO30" s="95"/>
      <c r="SGP30" s="96"/>
      <c r="SGV30" s="232"/>
      <c r="SGW30" s="95"/>
      <c r="SGX30" s="96"/>
      <c r="SHD30" s="232"/>
      <c r="SHE30" s="95"/>
      <c r="SHF30" s="96"/>
      <c r="SHL30" s="232"/>
      <c r="SHM30" s="95"/>
      <c r="SHN30" s="96"/>
      <c r="SHT30" s="232"/>
      <c r="SHU30" s="95"/>
      <c r="SHV30" s="96"/>
      <c r="SIB30" s="232"/>
      <c r="SIC30" s="95"/>
      <c r="SID30" s="96"/>
      <c r="SIJ30" s="232"/>
      <c r="SIK30" s="95"/>
      <c r="SIL30" s="96"/>
      <c r="SIR30" s="232"/>
      <c r="SIS30" s="95"/>
      <c r="SIT30" s="96"/>
      <c r="SIZ30" s="232"/>
      <c r="SJA30" s="95"/>
      <c r="SJB30" s="96"/>
      <c r="SJH30" s="232"/>
      <c r="SJI30" s="95"/>
      <c r="SJJ30" s="96"/>
      <c r="SJP30" s="232"/>
      <c r="SJQ30" s="95"/>
      <c r="SJR30" s="96"/>
      <c r="SJX30" s="232"/>
      <c r="SJY30" s="95"/>
      <c r="SJZ30" s="96"/>
      <c r="SKF30" s="232"/>
      <c r="SKG30" s="95"/>
      <c r="SKH30" s="96"/>
      <c r="SKN30" s="232"/>
      <c r="SKO30" s="95"/>
      <c r="SKP30" s="96"/>
      <c r="SKV30" s="232"/>
      <c r="SKW30" s="95"/>
      <c r="SKX30" s="96"/>
      <c r="SLD30" s="232"/>
      <c r="SLE30" s="95"/>
      <c r="SLF30" s="96"/>
      <c r="SLL30" s="232"/>
      <c r="SLM30" s="95"/>
      <c r="SLN30" s="96"/>
      <c r="SLT30" s="232"/>
      <c r="SLU30" s="95"/>
      <c r="SLV30" s="96"/>
      <c r="SMB30" s="232"/>
      <c r="SMC30" s="95"/>
      <c r="SMD30" s="96"/>
      <c r="SMJ30" s="232"/>
      <c r="SMK30" s="95"/>
      <c r="SML30" s="96"/>
      <c r="SMR30" s="232"/>
      <c r="SMS30" s="95"/>
      <c r="SMT30" s="96"/>
      <c r="SMZ30" s="232"/>
      <c r="SNA30" s="95"/>
      <c r="SNB30" s="96"/>
      <c r="SNH30" s="232"/>
      <c r="SNI30" s="95"/>
      <c r="SNJ30" s="96"/>
      <c r="SNP30" s="232"/>
      <c r="SNQ30" s="95"/>
      <c r="SNR30" s="96"/>
      <c r="SNX30" s="232"/>
      <c r="SNY30" s="95"/>
      <c r="SNZ30" s="96"/>
      <c r="SOF30" s="232"/>
      <c r="SOG30" s="95"/>
      <c r="SOH30" s="96"/>
      <c r="SON30" s="232"/>
      <c r="SOO30" s="95"/>
      <c r="SOP30" s="96"/>
      <c r="SOV30" s="232"/>
      <c r="SOW30" s="95"/>
      <c r="SOX30" s="96"/>
      <c r="SPD30" s="232"/>
      <c r="SPE30" s="95"/>
      <c r="SPF30" s="96"/>
      <c r="SPL30" s="232"/>
      <c r="SPM30" s="95"/>
      <c r="SPN30" s="96"/>
      <c r="SPT30" s="232"/>
      <c r="SPU30" s="95"/>
      <c r="SPV30" s="96"/>
      <c r="SQB30" s="232"/>
      <c r="SQC30" s="95"/>
      <c r="SQD30" s="96"/>
      <c r="SQJ30" s="232"/>
      <c r="SQK30" s="95"/>
      <c r="SQL30" s="96"/>
      <c r="SQR30" s="232"/>
      <c r="SQS30" s="95"/>
      <c r="SQT30" s="96"/>
      <c r="SQZ30" s="232"/>
      <c r="SRA30" s="95"/>
      <c r="SRB30" s="96"/>
      <c r="SRH30" s="232"/>
      <c r="SRI30" s="95"/>
      <c r="SRJ30" s="96"/>
      <c r="SRP30" s="232"/>
      <c r="SRQ30" s="95"/>
      <c r="SRR30" s="96"/>
      <c r="SRX30" s="232"/>
      <c r="SRY30" s="95"/>
      <c r="SRZ30" s="96"/>
      <c r="SSF30" s="232"/>
      <c r="SSG30" s="95"/>
      <c r="SSH30" s="96"/>
      <c r="SSN30" s="232"/>
      <c r="SSO30" s="95"/>
      <c r="SSP30" s="96"/>
      <c r="SSV30" s="232"/>
      <c r="SSW30" s="95"/>
      <c r="SSX30" s="96"/>
      <c r="STD30" s="232"/>
      <c r="STE30" s="95"/>
      <c r="STF30" s="96"/>
      <c r="STL30" s="232"/>
      <c r="STM30" s="95"/>
      <c r="STN30" s="96"/>
      <c r="STT30" s="232"/>
      <c r="STU30" s="95"/>
      <c r="STV30" s="96"/>
      <c r="SUB30" s="232"/>
      <c r="SUC30" s="95"/>
      <c r="SUD30" s="96"/>
      <c r="SUJ30" s="232"/>
      <c r="SUK30" s="95"/>
      <c r="SUL30" s="96"/>
      <c r="SUR30" s="232"/>
      <c r="SUS30" s="95"/>
      <c r="SUT30" s="96"/>
      <c r="SUZ30" s="232"/>
      <c r="SVA30" s="95"/>
      <c r="SVB30" s="96"/>
      <c r="SVH30" s="232"/>
      <c r="SVI30" s="95"/>
      <c r="SVJ30" s="96"/>
      <c r="SVP30" s="232"/>
      <c r="SVQ30" s="95"/>
      <c r="SVR30" s="96"/>
      <c r="SVX30" s="232"/>
      <c r="SVY30" s="95"/>
      <c r="SVZ30" s="96"/>
      <c r="SWF30" s="232"/>
      <c r="SWG30" s="95"/>
      <c r="SWH30" s="96"/>
      <c r="SWN30" s="232"/>
      <c r="SWO30" s="95"/>
      <c r="SWP30" s="96"/>
      <c r="SWV30" s="232"/>
      <c r="SWW30" s="95"/>
      <c r="SWX30" s="96"/>
      <c r="SXD30" s="232"/>
      <c r="SXE30" s="95"/>
      <c r="SXF30" s="96"/>
      <c r="SXL30" s="232"/>
      <c r="SXM30" s="95"/>
      <c r="SXN30" s="96"/>
      <c r="SXT30" s="232"/>
      <c r="SXU30" s="95"/>
      <c r="SXV30" s="96"/>
      <c r="SYB30" s="232"/>
      <c r="SYC30" s="95"/>
      <c r="SYD30" s="96"/>
      <c r="SYJ30" s="232"/>
      <c r="SYK30" s="95"/>
      <c r="SYL30" s="96"/>
      <c r="SYR30" s="232"/>
      <c r="SYS30" s="95"/>
      <c r="SYT30" s="96"/>
      <c r="SYZ30" s="232"/>
      <c r="SZA30" s="95"/>
      <c r="SZB30" s="96"/>
      <c r="SZH30" s="232"/>
      <c r="SZI30" s="95"/>
      <c r="SZJ30" s="96"/>
      <c r="SZP30" s="232"/>
      <c r="SZQ30" s="95"/>
      <c r="SZR30" s="96"/>
      <c r="SZX30" s="232"/>
      <c r="SZY30" s="95"/>
      <c r="SZZ30" s="96"/>
      <c r="TAF30" s="232"/>
      <c r="TAG30" s="95"/>
      <c r="TAH30" s="96"/>
      <c r="TAN30" s="232"/>
      <c r="TAO30" s="95"/>
      <c r="TAP30" s="96"/>
      <c r="TAV30" s="232"/>
      <c r="TAW30" s="95"/>
      <c r="TAX30" s="96"/>
      <c r="TBD30" s="232"/>
      <c r="TBE30" s="95"/>
      <c r="TBF30" s="96"/>
      <c r="TBL30" s="232"/>
      <c r="TBM30" s="95"/>
      <c r="TBN30" s="96"/>
      <c r="TBT30" s="232"/>
      <c r="TBU30" s="95"/>
      <c r="TBV30" s="96"/>
      <c r="TCB30" s="232"/>
      <c r="TCC30" s="95"/>
      <c r="TCD30" s="96"/>
      <c r="TCJ30" s="232"/>
      <c r="TCK30" s="95"/>
      <c r="TCL30" s="96"/>
      <c r="TCR30" s="232"/>
      <c r="TCS30" s="95"/>
      <c r="TCT30" s="96"/>
      <c r="TCZ30" s="232"/>
      <c r="TDA30" s="95"/>
      <c r="TDB30" s="96"/>
      <c r="TDH30" s="232"/>
      <c r="TDI30" s="95"/>
      <c r="TDJ30" s="96"/>
      <c r="TDP30" s="232"/>
      <c r="TDQ30" s="95"/>
      <c r="TDR30" s="96"/>
      <c r="TDX30" s="232"/>
      <c r="TDY30" s="95"/>
      <c r="TDZ30" s="96"/>
      <c r="TEF30" s="232"/>
      <c r="TEG30" s="95"/>
      <c r="TEH30" s="96"/>
      <c r="TEN30" s="232"/>
      <c r="TEO30" s="95"/>
      <c r="TEP30" s="96"/>
      <c r="TEV30" s="232"/>
      <c r="TEW30" s="95"/>
      <c r="TEX30" s="96"/>
      <c r="TFD30" s="232"/>
      <c r="TFE30" s="95"/>
      <c r="TFF30" s="96"/>
      <c r="TFL30" s="232"/>
      <c r="TFM30" s="95"/>
      <c r="TFN30" s="96"/>
      <c r="TFT30" s="232"/>
      <c r="TFU30" s="95"/>
      <c r="TFV30" s="96"/>
      <c r="TGB30" s="232"/>
      <c r="TGC30" s="95"/>
      <c r="TGD30" s="96"/>
      <c r="TGJ30" s="232"/>
      <c r="TGK30" s="95"/>
      <c r="TGL30" s="96"/>
      <c r="TGR30" s="232"/>
      <c r="TGS30" s="95"/>
      <c r="TGT30" s="96"/>
      <c r="TGZ30" s="232"/>
      <c r="THA30" s="95"/>
      <c r="THB30" s="96"/>
      <c r="THH30" s="232"/>
      <c r="THI30" s="95"/>
      <c r="THJ30" s="96"/>
      <c r="THP30" s="232"/>
      <c r="THQ30" s="95"/>
      <c r="THR30" s="96"/>
      <c r="THX30" s="232"/>
      <c r="THY30" s="95"/>
      <c r="THZ30" s="96"/>
      <c r="TIF30" s="232"/>
      <c r="TIG30" s="95"/>
      <c r="TIH30" s="96"/>
      <c r="TIN30" s="232"/>
      <c r="TIO30" s="95"/>
      <c r="TIP30" s="96"/>
      <c r="TIV30" s="232"/>
      <c r="TIW30" s="95"/>
      <c r="TIX30" s="96"/>
      <c r="TJD30" s="232"/>
      <c r="TJE30" s="95"/>
      <c r="TJF30" s="96"/>
      <c r="TJL30" s="232"/>
      <c r="TJM30" s="95"/>
      <c r="TJN30" s="96"/>
      <c r="TJT30" s="232"/>
      <c r="TJU30" s="95"/>
      <c r="TJV30" s="96"/>
      <c r="TKB30" s="232"/>
      <c r="TKC30" s="95"/>
      <c r="TKD30" s="96"/>
      <c r="TKJ30" s="232"/>
      <c r="TKK30" s="95"/>
      <c r="TKL30" s="96"/>
      <c r="TKR30" s="232"/>
      <c r="TKS30" s="95"/>
      <c r="TKT30" s="96"/>
      <c r="TKZ30" s="232"/>
      <c r="TLA30" s="95"/>
      <c r="TLB30" s="96"/>
      <c r="TLH30" s="232"/>
      <c r="TLI30" s="95"/>
      <c r="TLJ30" s="96"/>
      <c r="TLP30" s="232"/>
      <c r="TLQ30" s="95"/>
      <c r="TLR30" s="96"/>
      <c r="TLX30" s="232"/>
      <c r="TLY30" s="95"/>
      <c r="TLZ30" s="96"/>
      <c r="TMF30" s="232"/>
      <c r="TMG30" s="95"/>
      <c r="TMH30" s="96"/>
      <c r="TMN30" s="232"/>
      <c r="TMO30" s="95"/>
      <c r="TMP30" s="96"/>
      <c r="TMV30" s="232"/>
      <c r="TMW30" s="95"/>
      <c r="TMX30" s="96"/>
      <c r="TND30" s="232"/>
      <c r="TNE30" s="95"/>
      <c r="TNF30" s="96"/>
      <c r="TNL30" s="232"/>
      <c r="TNM30" s="95"/>
      <c r="TNN30" s="96"/>
      <c r="TNT30" s="232"/>
      <c r="TNU30" s="95"/>
      <c r="TNV30" s="96"/>
      <c r="TOB30" s="232"/>
      <c r="TOC30" s="95"/>
      <c r="TOD30" s="96"/>
      <c r="TOJ30" s="232"/>
      <c r="TOK30" s="95"/>
      <c r="TOL30" s="96"/>
      <c r="TOR30" s="232"/>
      <c r="TOS30" s="95"/>
      <c r="TOT30" s="96"/>
      <c r="TOZ30" s="232"/>
      <c r="TPA30" s="95"/>
      <c r="TPB30" s="96"/>
      <c r="TPH30" s="232"/>
      <c r="TPI30" s="95"/>
      <c r="TPJ30" s="96"/>
      <c r="TPP30" s="232"/>
      <c r="TPQ30" s="95"/>
      <c r="TPR30" s="96"/>
      <c r="TPX30" s="232"/>
      <c r="TPY30" s="95"/>
      <c r="TPZ30" s="96"/>
      <c r="TQF30" s="232"/>
      <c r="TQG30" s="95"/>
      <c r="TQH30" s="96"/>
      <c r="TQN30" s="232"/>
      <c r="TQO30" s="95"/>
      <c r="TQP30" s="96"/>
      <c r="TQV30" s="232"/>
      <c r="TQW30" s="95"/>
      <c r="TQX30" s="96"/>
      <c r="TRD30" s="232"/>
      <c r="TRE30" s="95"/>
      <c r="TRF30" s="96"/>
      <c r="TRL30" s="232"/>
      <c r="TRM30" s="95"/>
      <c r="TRN30" s="96"/>
      <c r="TRT30" s="232"/>
      <c r="TRU30" s="95"/>
      <c r="TRV30" s="96"/>
      <c r="TSB30" s="232"/>
      <c r="TSC30" s="95"/>
      <c r="TSD30" s="96"/>
      <c r="TSJ30" s="232"/>
      <c r="TSK30" s="95"/>
      <c r="TSL30" s="96"/>
      <c r="TSR30" s="232"/>
      <c r="TSS30" s="95"/>
      <c r="TST30" s="96"/>
      <c r="TSZ30" s="232"/>
      <c r="TTA30" s="95"/>
      <c r="TTB30" s="96"/>
      <c r="TTH30" s="232"/>
      <c r="TTI30" s="95"/>
      <c r="TTJ30" s="96"/>
      <c r="TTP30" s="232"/>
      <c r="TTQ30" s="95"/>
      <c r="TTR30" s="96"/>
      <c r="TTX30" s="232"/>
      <c r="TTY30" s="95"/>
      <c r="TTZ30" s="96"/>
      <c r="TUF30" s="232"/>
      <c r="TUG30" s="95"/>
      <c r="TUH30" s="96"/>
      <c r="TUN30" s="232"/>
      <c r="TUO30" s="95"/>
      <c r="TUP30" s="96"/>
      <c r="TUV30" s="232"/>
      <c r="TUW30" s="95"/>
      <c r="TUX30" s="96"/>
      <c r="TVD30" s="232"/>
      <c r="TVE30" s="95"/>
      <c r="TVF30" s="96"/>
      <c r="TVL30" s="232"/>
      <c r="TVM30" s="95"/>
      <c r="TVN30" s="96"/>
      <c r="TVT30" s="232"/>
      <c r="TVU30" s="95"/>
      <c r="TVV30" s="96"/>
      <c r="TWB30" s="232"/>
      <c r="TWC30" s="95"/>
      <c r="TWD30" s="96"/>
      <c r="TWJ30" s="232"/>
      <c r="TWK30" s="95"/>
      <c r="TWL30" s="96"/>
      <c r="TWR30" s="232"/>
      <c r="TWS30" s="95"/>
      <c r="TWT30" s="96"/>
      <c r="TWZ30" s="232"/>
      <c r="TXA30" s="95"/>
      <c r="TXB30" s="96"/>
      <c r="TXH30" s="232"/>
      <c r="TXI30" s="95"/>
      <c r="TXJ30" s="96"/>
      <c r="TXP30" s="232"/>
      <c r="TXQ30" s="95"/>
      <c r="TXR30" s="96"/>
      <c r="TXX30" s="232"/>
      <c r="TXY30" s="95"/>
      <c r="TXZ30" s="96"/>
      <c r="TYF30" s="232"/>
      <c r="TYG30" s="95"/>
      <c r="TYH30" s="96"/>
      <c r="TYN30" s="232"/>
      <c r="TYO30" s="95"/>
      <c r="TYP30" s="96"/>
      <c r="TYV30" s="232"/>
      <c r="TYW30" s="95"/>
      <c r="TYX30" s="96"/>
      <c r="TZD30" s="232"/>
      <c r="TZE30" s="95"/>
      <c r="TZF30" s="96"/>
      <c r="TZL30" s="232"/>
      <c r="TZM30" s="95"/>
      <c r="TZN30" s="96"/>
      <c r="TZT30" s="232"/>
      <c r="TZU30" s="95"/>
      <c r="TZV30" s="96"/>
      <c r="UAB30" s="232"/>
      <c r="UAC30" s="95"/>
      <c r="UAD30" s="96"/>
      <c r="UAJ30" s="232"/>
      <c r="UAK30" s="95"/>
      <c r="UAL30" s="96"/>
      <c r="UAR30" s="232"/>
      <c r="UAS30" s="95"/>
      <c r="UAT30" s="96"/>
      <c r="UAZ30" s="232"/>
      <c r="UBA30" s="95"/>
      <c r="UBB30" s="96"/>
      <c r="UBH30" s="232"/>
      <c r="UBI30" s="95"/>
      <c r="UBJ30" s="96"/>
      <c r="UBP30" s="232"/>
      <c r="UBQ30" s="95"/>
      <c r="UBR30" s="96"/>
      <c r="UBX30" s="232"/>
      <c r="UBY30" s="95"/>
      <c r="UBZ30" s="96"/>
      <c r="UCF30" s="232"/>
      <c r="UCG30" s="95"/>
      <c r="UCH30" s="96"/>
      <c r="UCN30" s="232"/>
      <c r="UCO30" s="95"/>
      <c r="UCP30" s="96"/>
      <c r="UCV30" s="232"/>
      <c r="UCW30" s="95"/>
      <c r="UCX30" s="96"/>
      <c r="UDD30" s="232"/>
      <c r="UDE30" s="95"/>
      <c r="UDF30" s="96"/>
      <c r="UDL30" s="232"/>
      <c r="UDM30" s="95"/>
      <c r="UDN30" s="96"/>
      <c r="UDT30" s="232"/>
      <c r="UDU30" s="95"/>
      <c r="UDV30" s="96"/>
      <c r="UEB30" s="232"/>
      <c r="UEC30" s="95"/>
      <c r="UED30" s="96"/>
      <c r="UEJ30" s="232"/>
      <c r="UEK30" s="95"/>
      <c r="UEL30" s="96"/>
      <c r="UER30" s="232"/>
      <c r="UES30" s="95"/>
      <c r="UET30" s="96"/>
      <c r="UEZ30" s="232"/>
      <c r="UFA30" s="95"/>
      <c r="UFB30" s="96"/>
      <c r="UFH30" s="232"/>
      <c r="UFI30" s="95"/>
      <c r="UFJ30" s="96"/>
      <c r="UFP30" s="232"/>
      <c r="UFQ30" s="95"/>
      <c r="UFR30" s="96"/>
      <c r="UFX30" s="232"/>
      <c r="UFY30" s="95"/>
      <c r="UFZ30" s="96"/>
      <c r="UGF30" s="232"/>
      <c r="UGG30" s="95"/>
      <c r="UGH30" s="96"/>
      <c r="UGN30" s="232"/>
      <c r="UGO30" s="95"/>
      <c r="UGP30" s="96"/>
      <c r="UGV30" s="232"/>
      <c r="UGW30" s="95"/>
      <c r="UGX30" s="96"/>
      <c r="UHD30" s="232"/>
      <c r="UHE30" s="95"/>
      <c r="UHF30" s="96"/>
      <c r="UHL30" s="232"/>
      <c r="UHM30" s="95"/>
      <c r="UHN30" s="96"/>
      <c r="UHT30" s="232"/>
      <c r="UHU30" s="95"/>
      <c r="UHV30" s="96"/>
      <c r="UIB30" s="232"/>
      <c r="UIC30" s="95"/>
      <c r="UID30" s="96"/>
      <c r="UIJ30" s="232"/>
      <c r="UIK30" s="95"/>
      <c r="UIL30" s="96"/>
      <c r="UIR30" s="232"/>
      <c r="UIS30" s="95"/>
      <c r="UIT30" s="96"/>
      <c r="UIZ30" s="232"/>
      <c r="UJA30" s="95"/>
      <c r="UJB30" s="96"/>
      <c r="UJH30" s="232"/>
      <c r="UJI30" s="95"/>
      <c r="UJJ30" s="96"/>
      <c r="UJP30" s="232"/>
      <c r="UJQ30" s="95"/>
      <c r="UJR30" s="96"/>
      <c r="UJX30" s="232"/>
      <c r="UJY30" s="95"/>
      <c r="UJZ30" s="96"/>
      <c r="UKF30" s="232"/>
      <c r="UKG30" s="95"/>
      <c r="UKH30" s="96"/>
      <c r="UKN30" s="232"/>
      <c r="UKO30" s="95"/>
      <c r="UKP30" s="96"/>
      <c r="UKV30" s="232"/>
      <c r="UKW30" s="95"/>
      <c r="UKX30" s="96"/>
      <c r="ULD30" s="232"/>
      <c r="ULE30" s="95"/>
      <c r="ULF30" s="96"/>
      <c r="ULL30" s="232"/>
      <c r="ULM30" s="95"/>
      <c r="ULN30" s="96"/>
      <c r="ULT30" s="232"/>
      <c r="ULU30" s="95"/>
      <c r="ULV30" s="96"/>
      <c r="UMB30" s="232"/>
      <c r="UMC30" s="95"/>
      <c r="UMD30" s="96"/>
      <c r="UMJ30" s="232"/>
      <c r="UMK30" s="95"/>
      <c r="UML30" s="96"/>
      <c r="UMR30" s="232"/>
      <c r="UMS30" s="95"/>
      <c r="UMT30" s="96"/>
      <c r="UMZ30" s="232"/>
      <c r="UNA30" s="95"/>
      <c r="UNB30" s="96"/>
      <c r="UNH30" s="232"/>
      <c r="UNI30" s="95"/>
      <c r="UNJ30" s="96"/>
      <c r="UNP30" s="232"/>
      <c r="UNQ30" s="95"/>
      <c r="UNR30" s="96"/>
      <c r="UNX30" s="232"/>
      <c r="UNY30" s="95"/>
      <c r="UNZ30" s="96"/>
      <c r="UOF30" s="232"/>
      <c r="UOG30" s="95"/>
      <c r="UOH30" s="96"/>
      <c r="UON30" s="232"/>
      <c r="UOO30" s="95"/>
      <c r="UOP30" s="96"/>
      <c r="UOV30" s="232"/>
      <c r="UOW30" s="95"/>
      <c r="UOX30" s="96"/>
      <c r="UPD30" s="232"/>
      <c r="UPE30" s="95"/>
      <c r="UPF30" s="96"/>
      <c r="UPL30" s="232"/>
      <c r="UPM30" s="95"/>
      <c r="UPN30" s="96"/>
      <c r="UPT30" s="232"/>
      <c r="UPU30" s="95"/>
      <c r="UPV30" s="96"/>
      <c r="UQB30" s="232"/>
      <c r="UQC30" s="95"/>
      <c r="UQD30" s="96"/>
      <c r="UQJ30" s="232"/>
      <c r="UQK30" s="95"/>
      <c r="UQL30" s="96"/>
      <c r="UQR30" s="232"/>
      <c r="UQS30" s="95"/>
      <c r="UQT30" s="96"/>
      <c r="UQZ30" s="232"/>
      <c r="URA30" s="95"/>
      <c r="URB30" s="96"/>
      <c r="URH30" s="232"/>
      <c r="URI30" s="95"/>
      <c r="URJ30" s="96"/>
      <c r="URP30" s="232"/>
      <c r="URQ30" s="95"/>
      <c r="URR30" s="96"/>
      <c r="URX30" s="232"/>
      <c r="URY30" s="95"/>
      <c r="URZ30" s="96"/>
      <c r="USF30" s="232"/>
      <c r="USG30" s="95"/>
      <c r="USH30" s="96"/>
      <c r="USN30" s="232"/>
      <c r="USO30" s="95"/>
      <c r="USP30" s="96"/>
      <c r="USV30" s="232"/>
      <c r="USW30" s="95"/>
      <c r="USX30" s="96"/>
      <c r="UTD30" s="232"/>
      <c r="UTE30" s="95"/>
      <c r="UTF30" s="96"/>
      <c r="UTL30" s="232"/>
      <c r="UTM30" s="95"/>
      <c r="UTN30" s="96"/>
      <c r="UTT30" s="232"/>
      <c r="UTU30" s="95"/>
      <c r="UTV30" s="96"/>
      <c r="UUB30" s="232"/>
      <c r="UUC30" s="95"/>
      <c r="UUD30" s="96"/>
      <c r="UUJ30" s="232"/>
      <c r="UUK30" s="95"/>
      <c r="UUL30" s="96"/>
      <c r="UUR30" s="232"/>
      <c r="UUS30" s="95"/>
      <c r="UUT30" s="96"/>
      <c r="UUZ30" s="232"/>
      <c r="UVA30" s="95"/>
      <c r="UVB30" s="96"/>
      <c r="UVH30" s="232"/>
      <c r="UVI30" s="95"/>
      <c r="UVJ30" s="96"/>
      <c r="UVP30" s="232"/>
      <c r="UVQ30" s="95"/>
      <c r="UVR30" s="96"/>
      <c r="UVX30" s="232"/>
      <c r="UVY30" s="95"/>
      <c r="UVZ30" s="96"/>
      <c r="UWF30" s="232"/>
      <c r="UWG30" s="95"/>
      <c r="UWH30" s="96"/>
      <c r="UWN30" s="232"/>
      <c r="UWO30" s="95"/>
      <c r="UWP30" s="96"/>
      <c r="UWV30" s="232"/>
      <c r="UWW30" s="95"/>
      <c r="UWX30" s="96"/>
      <c r="UXD30" s="232"/>
      <c r="UXE30" s="95"/>
      <c r="UXF30" s="96"/>
      <c r="UXL30" s="232"/>
      <c r="UXM30" s="95"/>
      <c r="UXN30" s="96"/>
      <c r="UXT30" s="232"/>
      <c r="UXU30" s="95"/>
      <c r="UXV30" s="96"/>
      <c r="UYB30" s="232"/>
      <c r="UYC30" s="95"/>
      <c r="UYD30" s="96"/>
      <c r="UYJ30" s="232"/>
      <c r="UYK30" s="95"/>
      <c r="UYL30" s="96"/>
      <c r="UYR30" s="232"/>
      <c r="UYS30" s="95"/>
      <c r="UYT30" s="96"/>
      <c r="UYZ30" s="232"/>
      <c r="UZA30" s="95"/>
      <c r="UZB30" s="96"/>
      <c r="UZH30" s="232"/>
      <c r="UZI30" s="95"/>
      <c r="UZJ30" s="96"/>
      <c r="UZP30" s="232"/>
      <c r="UZQ30" s="95"/>
      <c r="UZR30" s="96"/>
      <c r="UZX30" s="232"/>
      <c r="UZY30" s="95"/>
      <c r="UZZ30" s="96"/>
      <c r="VAF30" s="232"/>
      <c r="VAG30" s="95"/>
      <c r="VAH30" s="96"/>
      <c r="VAN30" s="232"/>
      <c r="VAO30" s="95"/>
      <c r="VAP30" s="96"/>
      <c r="VAV30" s="232"/>
      <c r="VAW30" s="95"/>
      <c r="VAX30" s="96"/>
      <c r="VBD30" s="232"/>
      <c r="VBE30" s="95"/>
      <c r="VBF30" s="96"/>
      <c r="VBL30" s="232"/>
      <c r="VBM30" s="95"/>
      <c r="VBN30" s="96"/>
      <c r="VBT30" s="232"/>
      <c r="VBU30" s="95"/>
      <c r="VBV30" s="96"/>
      <c r="VCB30" s="232"/>
      <c r="VCC30" s="95"/>
      <c r="VCD30" s="96"/>
      <c r="VCJ30" s="232"/>
      <c r="VCK30" s="95"/>
      <c r="VCL30" s="96"/>
      <c r="VCR30" s="232"/>
      <c r="VCS30" s="95"/>
      <c r="VCT30" s="96"/>
      <c r="VCZ30" s="232"/>
      <c r="VDA30" s="95"/>
      <c r="VDB30" s="96"/>
      <c r="VDH30" s="232"/>
      <c r="VDI30" s="95"/>
      <c r="VDJ30" s="96"/>
      <c r="VDP30" s="232"/>
      <c r="VDQ30" s="95"/>
      <c r="VDR30" s="96"/>
      <c r="VDX30" s="232"/>
      <c r="VDY30" s="95"/>
      <c r="VDZ30" s="96"/>
      <c r="VEF30" s="232"/>
      <c r="VEG30" s="95"/>
      <c r="VEH30" s="96"/>
      <c r="VEN30" s="232"/>
      <c r="VEO30" s="95"/>
      <c r="VEP30" s="96"/>
      <c r="VEV30" s="232"/>
      <c r="VEW30" s="95"/>
      <c r="VEX30" s="96"/>
      <c r="VFD30" s="232"/>
      <c r="VFE30" s="95"/>
      <c r="VFF30" s="96"/>
      <c r="VFL30" s="232"/>
      <c r="VFM30" s="95"/>
      <c r="VFN30" s="96"/>
      <c r="VFT30" s="232"/>
      <c r="VFU30" s="95"/>
      <c r="VFV30" s="96"/>
      <c r="VGB30" s="232"/>
      <c r="VGC30" s="95"/>
      <c r="VGD30" s="96"/>
      <c r="VGJ30" s="232"/>
      <c r="VGK30" s="95"/>
      <c r="VGL30" s="96"/>
      <c r="VGR30" s="232"/>
      <c r="VGS30" s="95"/>
      <c r="VGT30" s="96"/>
      <c r="VGZ30" s="232"/>
      <c r="VHA30" s="95"/>
      <c r="VHB30" s="96"/>
      <c r="VHH30" s="232"/>
      <c r="VHI30" s="95"/>
      <c r="VHJ30" s="96"/>
      <c r="VHP30" s="232"/>
      <c r="VHQ30" s="95"/>
      <c r="VHR30" s="96"/>
      <c r="VHX30" s="232"/>
      <c r="VHY30" s="95"/>
      <c r="VHZ30" s="96"/>
      <c r="VIF30" s="232"/>
      <c r="VIG30" s="95"/>
      <c r="VIH30" s="96"/>
      <c r="VIN30" s="232"/>
      <c r="VIO30" s="95"/>
      <c r="VIP30" s="96"/>
      <c r="VIV30" s="232"/>
      <c r="VIW30" s="95"/>
      <c r="VIX30" s="96"/>
      <c r="VJD30" s="232"/>
      <c r="VJE30" s="95"/>
      <c r="VJF30" s="96"/>
      <c r="VJL30" s="232"/>
      <c r="VJM30" s="95"/>
      <c r="VJN30" s="96"/>
      <c r="VJT30" s="232"/>
      <c r="VJU30" s="95"/>
      <c r="VJV30" s="96"/>
      <c r="VKB30" s="232"/>
      <c r="VKC30" s="95"/>
      <c r="VKD30" s="96"/>
      <c r="VKJ30" s="232"/>
      <c r="VKK30" s="95"/>
      <c r="VKL30" s="96"/>
      <c r="VKR30" s="232"/>
      <c r="VKS30" s="95"/>
      <c r="VKT30" s="96"/>
      <c r="VKZ30" s="232"/>
      <c r="VLA30" s="95"/>
      <c r="VLB30" s="96"/>
      <c r="VLH30" s="232"/>
      <c r="VLI30" s="95"/>
      <c r="VLJ30" s="96"/>
      <c r="VLP30" s="232"/>
      <c r="VLQ30" s="95"/>
      <c r="VLR30" s="96"/>
      <c r="VLX30" s="232"/>
      <c r="VLY30" s="95"/>
      <c r="VLZ30" s="96"/>
      <c r="VMF30" s="232"/>
      <c r="VMG30" s="95"/>
      <c r="VMH30" s="96"/>
      <c r="VMN30" s="232"/>
      <c r="VMO30" s="95"/>
      <c r="VMP30" s="96"/>
      <c r="VMV30" s="232"/>
      <c r="VMW30" s="95"/>
      <c r="VMX30" s="96"/>
      <c r="VND30" s="232"/>
      <c r="VNE30" s="95"/>
      <c r="VNF30" s="96"/>
      <c r="VNL30" s="232"/>
      <c r="VNM30" s="95"/>
      <c r="VNN30" s="96"/>
      <c r="VNT30" s="232"/>
      <c r="VNU30" s="95"/>
      <c r="VNV30" s="96"/>
      <c r="VOB30" s="232"/>
      <c r="VOC30" s="95"/>
      <c r="VOD30" s="96"/>
      <c r="VOJ30" s="232"/>
      <c r="VOK30" s="95"/>
      <c r="VOL30" s="96"/>
      <c r="VOR30" s="232"/>
      <c r="VOS30" s="95"/>
      <c r="VOT30" s="96"/>
      <c r="VOZ30" s="232"/>
      <c r="VPA30" s="95"/>
      <c r="VPB30" s="96"/>
      <c r="VPH30" s="232"/>
      <c r="VPI30" s="95"/>
      <c r="VPJ30" s="96"/>
      <c r="VPP30" s="232"/>
      <c r="VPQ30" s="95"/>
      <c r="VPR30" s="96"/>
      <c r="VPX30" s="232"/>
      <c r="VPY30" s="95"/>
      <c r="VPZ30" s="96"/>
      <c r="VQF30" s="232"/>
      <c r="VQG30" s="95"/>
      <c r="VQH30" s="96"/>
      <c r="VQN30" s="232"/>
      <c r="VQO30" s="95"/>
      <c r="VQP30" s="96"/>
      <c r="VQV30" s="232"/>
      <c r="VQW30" s="95"/>
      <c r="VQX30" s="96"/>
      <c r="VRD30" s="232"/>
      <c r="VRE30" s="95"/>
      <c r="VRF30" s="96"/>
      <c r="VRL30" s="232"/>
      <c r="VRM30" s="95"/>
      <c r="VRN30" s="96"/>
      <c r="VRT30" s="232"/>
      <c r="VRU30" s="95"/>
      <c r="VRV30" s="96"/>
      <c r="VSB30" s="232"/>
      <c r="VSC30" s="95"/>
      <c r="VSD30" s="96"/>
      <c r="VSJ30" s="232"/>
      <c r="VSK30" s="95"/>
      <c r="VSL30" s="96"/>
      <c r="VSR30" s="232"/>
      <c r="VSS30" s="95"/>
      <c r="VST30" s="96"/>
      <c r="VSZ30" s="232"/>
      <c r="VTA30" s="95"/>
      <c r="VTB30" s="96"/>
      <c r="VTH30" s="232"/>
      <c r="VTI30" s="95"/>
      <c r="VTJ30" s="96"/>
      <c r="VTP30" s="232"/>
      <c r="VTQ30" s="95"/>
      <c r="VTR30" s="96"/>
      <c r="VTX30" s="232"/>
      <c r="VTY30" s="95"/>
      <c r="VTZ30" s="96"/>
      <c r="VUF30" s="232"/>
      <c r="VUG30" s="95"/>
      <c r="VUH30" s="96"/>
      <c r="VUN30" s="232"/>
      <c r="VUO30" s="95"/>
      <c r="VUP30" s="96"/>
      <c r="VUV30" s="232"/>
      <c r="VUW30" s="95"/>
      <c r="VUX30" s="96"/>
      <c r="VVD30" s="232"/>
      <c r="VVE30" s="95"/>
      <c r="VVF30" s="96"/>
      <c r="VVL30" s="232"/>
      <c r="VVM30" s="95"/>
      <c r="VVN30" s="96"/>
      <c r="VVT30" s="232"/>
      <c r="VVU30" s="95"/>
      <c r="VVV30" s="96"/>
      <c r="VWB30" s="232"/>
      <c r="VWC30" s="95"/>
      <c r="VWD30" s="96"/>
      <c r="VWJ30" s="232"/>
      <c r="VWK30" s="95"/>
      <c r="VWL30" s="96"/>
      <c r="VWR30" s="232"/>
      <c r="VWS30" s="95"/>
      <c r="VWT30" s="96"/>
      <c r="VWZ30" s="232"/>
      <c r="VXA30" s="95"/>
      <c r="VXB30" s="96"/>
      <c r="VXH30" s="232"/>
      <c r="VXI30" s="95"/>
      <c r="VXJ30" s="96"/>
      <c r="VXP30" s="232"/>
      <c r="VXQ30" s="95"/>
      <c r="VXR30" s="96"/>
      <c r="VXX30" s="232"/>
      <c r="VXY30" s="95"/>
      <c r="VXZ30" s="96"/>
      <c r="VYF30" s="232"/>
      <c r="VYG30" s="95"/>
      <c r="VYH30" s="96"/>
      <c r="VYN30" s="232"/>
      <c r="VYO30" s="95"/>
      <c r="VYP30" s="96"/>
      <c r="VYV30" s="232"/>
      <c r="VYW30" s="95"/>
      <c r="VYX30" s="96"/>
      <c r="VZD30" s="232"/>
      <c r="VZE30" s="95"/>
      <c r="VZF30" s="96"/>
      <c r="VZL30" s="232"/>
      <c r="VZM30" s="95"/>
      <c r="VZN30" s="96"/>
      <c r="VZT30" s="232"/>
      <c r="VZU30" s="95"/>
      <c r="VZV30" s="96"/>
      <c r="WAB30" s="232"/>
      <c r="WAC30" s="95"/>
      <c r="WAD30" s="96"/>
      <c r="WAJ30" s="232"/>
      <c r="WAK30" s="95"/>
      <c r="WAL30" s="96"/>
      <c r="WAR30" s="232"/>
      <c r="WAS30" s="95"/>
      <c r="WAT30" s="96"/>
      <c r="WAZ30" s="232"/>
      <c r="WBA30" s="95"/>
      <c r="WBB30" s="96"/>
      <c r="WBH30" s="232"/>
      <c r="WBI30" s="95"/>
      <c r="WBJ30" s="96"/>
      <c r="WBP30" s="232"/>
      <c r="WBQ30" s="95"/>
      <c r="WBR30" s="96"/>
      <c r="WBX30" s="232"/>
      <c r="WBY30" s="95"/>
      <c r="WBZ30" s="96"/>
      <c r="WCF30" s="232"/>
      <c r="WCG30" s="95"/>
      <c r="WCH30" s="96"/>
      <c r="WCN30" s="232"/>
      <c r="WCO30" s="95"/>
      <c r="WCP30" s="96"/>
      <c r="WCV30" s="232"/>
      <c r="WCW30" s="95"/>
      <c r="WCX30" s="96"/>
      <c r="WDD30" s="232"/>
      <c r="WDE30" s="95"/>
      <c r="WDF30" s="96"/>
      <c r="WDL30" s="232"/>
      <c r="WDM30" s="95"/>
      <c r="WDN30" s="96"/>
      <c r="WDT30" s="232"/>
      <c r="WDU30" s="95"/>
      <c r="WDV30" s="96"/>
      <c r="WEB30" s="232"/>
      <c r="WEC30" s="95"/>
      <c r="WED30" s="96"/>
      <c r="WEJ30" s="232"/>
      <c r="WEK30" s="95"/>
      <c r="WEL30" s="96"/>
      <c r="WER30" s="232"/>
      <c r="WES30" s="95"/>
      <c r="WET30" s="96"/>
      <c r="WEZ30" s="232"/>
      <c r="WFA30" s="95"/>
      <c r="WFB30" s="96"/>
      <c r="WFH30" s="232"/>
      <c r="WFI30" s="95"/>
      <c r="WFJ30" s="96"/>
      <c r="WFP30" s="232"/>
      <c r="WFQ30" s="95"/>
      <c r="WFR30" s="96"/>
      <c r="WFX30" s="232"/>
      <c r="WFY30" s="95"/>
      <c r="WFZ30" s="96"/>
      <c r="WGF30" s="232"/>
      <c r="WGG30" s="95"/>
      <c r="WGH30" s="96"/>
      <c r="WGN30" s="232"/>
      <c r="WGO30" s="95"/>
      <c r="WGP30" s="96"/>
      <c r="WGV30" s="232"/>
      <c r="WGW30" s="95"/>
      <c r="WGX30" s="96"/>
      <c r="WHD30" s="232"/>
      <c r="WHE30" s="95"/>
      <c r="WHF30" s="96"/>
      <c r="WHL30" s="232"/>
      <c r="WHM30" s="95"/>
      <c r="WHN30" s="96"/>
      <c r="WHT30" s="232"/>
      <c r="WHU30" s="95"/>
      <c r="WHV30" s="96"/>
      <c r="WIB30" s="232"/>
      <c r="WIC30" s="95"/>
      <c r="WID30" s="96"/>
      <c r="WIJ30" s="232"/>
      <c r="WIK30" s="95"/>
      <c r="WIL30" s="96"/>
      <c r="WIR30" s="232"/>
      <c r="WIS30" s="95"/>
      <c r="WIT30" s="96"/>
      <c r="WIZ30" s="232"/>
      <c r="WJA30" s="95"/>
      <c r="WJB30" s="96"/>
      <c r="WJH30" s="232"/>
      <c r="WJI30" s="95"/>
      <c r="WJJ30" s="96"/>
      <c r="WJP30" s="232"/>
      <c r="WJQ30" s="95"/>
      <c r="WJR30" s="96"/>
      <c r="WJX30" s="232"/>
      <c r="WJY30" s="95"/>
      <c r="WJZ30" s="96"/>
      <c r="WKF30" s="232"/>
      <c r="WKG30" s="95"/>
      <c r="WKH30" s="96"/>
      <c r="WKN30" s="232"/>
      <c r="WKO30" s="95"/>
      <c r="WKP30" s="96"/>
      <c r="WKV30" s="232"/>
      <c r="WKW30" s="95"/>
      <c r="WKX30" s="96"/>
      <c r="WLD30" s="232"/>
      <c r="WLE30" s="95"/>
      <c r="WLF30" s="96"/>
      <c r="WLL30" s="232"/>
      <c r="WLM30" s="95"/>
      <c r="WLN30" s="96"/>
      <c r="WLT30" s="232"/>
      <c r="WLU30" s="95"/>
      <c r="WLV30" s="96"/>
      <c r="WMB30" s="232"/>
      <c r="WMC30" s="95"/>
      <c r="WMD30" s="96"/>
      <c r="WMJ30" s="232"/>
      <c r="WMK30" s="95"/>
      <c r="WML30" s="96"/>
      <c r="WMR30" s="232"/>
      <c r="WMS30" s="95"/>
      <c r="WMT30" s="96"/>
      <c r="WMZ30" s="232"/>
      <c r="WNA30" s="95"/>
      <c r="WNB30" s="96"/>
      <c r="WNH30" s="232"/>
      <c r="WNI30" s="95"/>
      <c r="WNJ30" s="96"/>
      <c r="WNP30" s="232"/>
      <c r="WNQ30" s="95"/>
      <c r="WNR30" s="96"/>
      <c r="WNX30" s="232"/>
      <c r="WNY30" s="95"/>
      <c r="WNZ30" s="96"/>
      <c r="WOF30" s="232"/>
      <c r="WOG30" s="95"/>
      <c r="WOH30" s="96"/>
      <c r="WON30" s="232"/>
      <c r="WOO30" s="95"/>
      <c r="WOP30" s="96"/>
      <c r="WOV30" s="232"/>
      <c r="WOW30" s="95"/>
      <c r="WOX30" s="96"/>
      <c r="WPD30" s="232"/>
      <c r="WPE30" s="95"/>
      <c r="WPF30" s="96"/>
      <c r="WPL30" s="232"/>
      <c r="WPM30" s="95"/>
      <c r="WPN30" s="96"/>
      <c r="WPT30" s="232"/>
      <c r="WPU30" s="95"/>
      <c r="WPV30" s="96"/>
      <c r="WQB30" s="232"/>
      <c r="WQC30" s="95"/>
      <c r="WQD30" s="96"/>
      <c r="WQJ30" s="232"/>
      <c r="WQK30" s="95"/>
      <c r="WQL30" s="96"/>
      <c r="WQR30" s="232"/>
      <c r="WQS30" s="95"/>
      <c r="WQT30" s="96"/>
      <c r="WQZ30" s="232"/>
      <c r="WRA30" s="95"/>
      <c r="WRB30" s="96"/>
      <c r="WRH30" s="232"/>
      <c r="WRI30" s="95"/>
      <c r="WRJ30" s="96"/>
      <c r="WRP30" s="232"/>
      <c r="WRQ30" s="95"/>
      <c r="WRR30" s="96"/>
      <c r="WRX30" s="232"/>
      <c r="WRY30" s="95"/>
      <c r="WRZ30" s="96"/>
      <c r="WSF30" s="232"/>
      <c r="WSG30" s="95"/>
      <c r="WSH30" s="96"/>
      <c r="WSN30" s="232"/>
      <c r="WSO30" s="95"/>
      <c r="WSP30" s="96"/>
      <c r="WSV30" s="232"/>
      <c r="WSW30" s="95"/>
      <c r="WSX30" s="96"/>
      <c r="WTD30" s="232"/>
      <c r="WTE30" s="95"/>
      <c r="WTF30" s="96"/>
      <c r="WTL30" s="232"/>
      <c r="WTM30" s="95"/>
      <c r="WTN30" s="96"/>
      <c r="WTT30" s="232"/>
      <c r="WTU30" s="95"/>
      <c r="WTV30" s="96"/>
      <c r="WUB30" s="232"/>
      <c r="WUC30" s="95"/>
      <c r="WUD30" s="96"/>
      <c r="WUJ30" s="232"/>
      <c r="WUK30" s="95"/>
      <c r="WUL30" s="96"/>
      <c r="WUR30" s="232"/>
      <c r="WUS30" s="95"/>
      <c r="WUT30" s="96"/>
      <c r="WUZ30" s="232"/>
      <c r="WVA30" s="95"/>
      <c r="WVB30" s="96"/>
      <c r="WVH30" s="232"/>
      <c r="WVI30" s="95"/>
      <c r="WVJ30" s="96"/>
      <c r="WVP30" s="232"/>
      <c r="WVQ30" s="95"/>
      <c r="WVR30" s="96"/>
      <c r="WVX30" s="232"/>
      <c r="WVY30" s="95"/>
      <c r="WVZ30" s="96"/>
      <c r="WWF30" s="232"/>
      <c r="WWG30" s="95"/>
      <c r="WWH30" s="96"/>
      <c r="WWN30" s="232"/>
      <c r="WWO30" s="95"/>
      <c r="WWP30" s="96"/>
      <c r="WWV30" s="232"/>
      <c r="WWW30" s="95"/>
      <c r="WWX30" s="96"/>
      <c r="WXD30" s="232"/>
      <c r="WXE30" s="95"/>
      <c r="WXF30" s="96"/>
      <c r="WXL30" s="232"/>
      <c r="WXM30" s="95"/>
      <c r="WXN30" s="96"/>
      <c r="WXT30" s="232"/>
      <c r="WXU30" s="95"/>
      <c r="WXV30" s="96"/>
      <c r="WYB30" s="232"/>
      <c r="WYC30" s="95"/>
      <c r="WYD30" s="96"/>
      <c r="WYJ30" s="232"/>
      <c r="WYK30" s="95"/>
      <c r="WYL30" s="96"/>
      <c r="WYR30" s="232"/>
      <c r="WYS30" s="95"/>
      <c r="WYT30" s="96"/>
      <c r="WYZ30" s="232"/>
      <c r="WZA30" s="95"/>
      <c r="WZB30" s="96"/>
      <c r="WZH30" s="232"/>
      <c r="WZI30" s="95"/>
      <c r="WZJ30" s="96"/>
      <c r="WZP30" s="232"/>
      <c r="WZQ30" s="95"/>
      <c r="WZR30" s="96"/>
      <c r="WZX30" s="232"/>
      <c r="WZY30" s="95"/>
      <c r="WZZ30" s="96"/>
      <c r="XAF30" s="232"/>
      <c r="XAG30" s="95"/>
      <c r="XAH30" s="96"/>
      <c r="XAN30" s="232"/>
      <c r="XAO30" s="95"/>
      <c r="XAP30" s="96"/>
      <c r="XAV30" s="232"/>
      <c r="XAW30" s="95"/>
      <c r="XAX30" s="96"/>
      <c r="XBD30" s="232"/>
      <c r="XBE30" s="95"/>
      <c r="XBF30" s="96"/>
      <c r="XBL30" s="232"/>
      <c r="XBM30" s="95"/>
      <c r="XBN30" s="96"/>
      <c r="XBT30" s="232"/>
      <c r="XBU30" s="95"/>
      <c r="XBV30" s="96"/>
      <c r="XCB30" s="232"/>
      <c r="XCC30" s="95"/>
      <c r="XCD30" s="96"/>
      <c r="XCJ30" s="232"/>
      <c r="XCK30" s="95"/>
      <c r="XCL30" s="96"/>
      <c r="XCR30" s="232"/>
      <c r="XCS30" s="95"/>
      <c r="XCT30" s="96"/>
      <c r="XCZ30" s="232"/>
      <c r="XDA30" s="95"/>
      <c r="XDB30" s="96"/>
      <c r="XDH30" s="232"/>
      <c r="XDI30" s="95"/>
      <c r="XDJ30" s="96"/>
      <c r="XDP30" s="232"/>
      <c r="XDQ30" s="95"/>
      <c r="XDR30" s="96"/>
      <c r="XDX30" s="232"/>
      <c r="XDY30" s="95"/>
      <c r="XDZ30" s="96"/>
      <c r="XEF30" s="232"/>
      <c r="XEG30" s="95"/>
      <c r="XEH30" s="96"/>
      <c r="XEN30" s="232"/>
      <c r="XEO30" s="95"/>
      <c r="XEP30" s="96"/>
      <c r="XEV30" s="232"/>
      <c r="XEW30" s="95"/>
      <c r="XEX30" s="96"/>
    </row>
    <row r="31" spans="1:16378" x14ac:dyDescent="0.25">
      <c r="A31" s="97"/>
      <c r="B31" s="90"/>
      <c r="C31" s="96"/>
      <c r="D31" s="91"/>
      <c r="E31" s="91"/>
      <c r="F31" s="91"/>
      <c r="G31" s="91"/>
    </row>
    <row r="32" spans="1:16378" ht="33.75" customHeight="1" x14ac:dyDescent="0.3">
      <c r="A32" s="428" t="s">
        <v>1355</v>
      </c>
      <c r="B32" s="428"/>
      <c r="C32" s="428"/>
      <c r="D32" s="428"/>
      <c r="E32" s="428"/>
      <c r="F32" s="428"/>
      <c r="G32" s="428"/>
    </row>
    <row r="33" spans="1:8" ht="12.75" customHeight="1" x14ac:dyDescent="0.25">
      <c r="A33" s="429" t="s">
        <v>1337</v>
      </c>
      <c r="B33" s="429"/>
      <c r="C33" s="429"/>
      <c r="D33" s="429"/>
      <c r="E33" s="429"/>
      <c r="F33" s="429"/>
      <c r="G33" s="429"/>
    </row>
    <row r="34" spans="1:8" x14ac:dyDescent="0.25">
      <c r="A34" s="77"/>
      <c r="B34" s="238"/>
      <c r="C34" s="77"/>
      <c r="D34" s="77"/>
      <c r="E34" s="77"/>
      <c r="F34" s="77"/>
      <c r="G34" s="77"/>
    </row>
    <row r="35" spans="1:8" ht="15" customHeight="1" x14ac:dyDescent="0.25">
      <c r="A35" s="430" t="s">
        <v>1038</v>
      </c>
      <c r="B35" s="430" t="s">
        <v>1037</v>
      </c>
      <c r="C35" s="419" t="s">
        <v>91</v>
      </c>
      <c r="D35" s="419" t="s">
        <v>90</v>
      </c>
      <c r="E35" s="419" t="s">
        <v>89</v>
      </c>
      <c r="F35" s="419" t="s">
        <v>1186</v>
      </c>
      <c r="G35" s="419"/>
    </row>
    <row r="36" spans="1:8" ht="50.15" customHeight="1" x14ac:dyDescent="0.25">
      <c r="A36" s="430"/>
      <c r="B36" s="430"/>
      <c r="C36" s="419"/>
      <c r="D36" s="419"/>
      <c r="E36" s="419"/>
      <c r="F36" s="5" t="s">
        <v>88</v>
      </c>
      <c r="G36" s="5" t="s">
        <v>87</v>
      </c>
    </row>
    <row r="37" spans="1:8" x14ac:dyDescent="0.25">
      <c r="A37" s="78"/>
      <c r="B37" s="79"/>
      <c r="C37" s="79"/>
      <c r="D37" s="80"/>
      <c r="E37" s="80"/>
      <c r="F37" s="80"/>
      <c r="G37" s="246"/>
    </row>
    <row r="38" spans="1:8" ht="25.5" x14ac:dyDescent="0.3">
      <c r="A38" s="85" t="s">
        <v>574</v>
      </c>
      <c r="B38" s="90" t="s">
        <v>1003</v>
      </c>
      <c r="C38" s="254">
        <v>19315.84</v>
      </c>
      <c r="D38" s="254">
        <v>1409.0429999999999</v>
      </c>
      <c r="E38" s="255">
        <f t="shared" ref="E38:E51" si="1">IF(C38&lt;&gt;"",D38/C38*100,"")</f>
        <v>7.2947539428779686</v>
      </c>
      <c r="F38" s="254">
        <v>16997.990000000002</v>
      </c>
      <c r="G38" s="256">
        <v>21633.69</v>
      </c>
      <c r="H38" s="82"/>
    </row>
    <row r="39" spans="1:8" ht="14" x14ac:dyDescent="0.3">
      <c r="A39" s="85" t="s">
        <v>375</v>
      </c>
      <c r="B39" s="90" t="s">
        <v>876</v>
      </c>
      <c r="C39" s="254">
        <v>15490.51</v>
      </c>
      <c r="D39" s="254">
        <v>248.23820000000001</v>
      </c>
      <c r="E39" s="255">
        <f t="shared" si="1"/>
        <v>1.6025179287189384</v>
      </c>
      <c r="F39" s="254">
        <v>15082.17</v>
      </c>
      <c r="G39" s="256">
        <v>15898.86</v>
      </c>
      <c r="H39" s="82"/>
    </row>
    <row r="40" spans="1:8" ht="14" x14ac:dyDescent="0.3">
      <c r="A40" s="85" t="s">
        <v>650</v>
      </c>
      <c r="B40" s="90" t="s">
        <v>867</v>
      </c>
      <c r="C40" s="254">
        <v>19244.8</v>
      </c>
      <c r="D40" s="254">
        <v>1740.441</v>
      </c>
      <c r="E40" s="255">
        <f t="shared" si="1"/>
        <v>9.0436949201862316</v>
      </c>
      <c r="F40" s="254">
        <v>16381.8</v>
      </c>
      <c r="G40" s="256">
        <v>22107.79</v>
      </c>
      <c r="H40" s="82"/>
    </row>
    <row r="41" spans="1:8" ht="14.25" customHeight="1" x14ac:dyDescent="0.3">
      <c r="A41" s="85" t="s">
        <v>474</v>
      </c>
      <c r="B41" s="90" t="s">
        <v>1057</v>
      </c>
      <c r="C41" s="254">
        <v>20083.12</v>
      </c>
      <c r="D41" s="254">
        <v>968.56979999999999</v>
      </c>
      <c r="E41" s="255">
        <f t="shared" si="1"/>
        <v>4.8228054206716884</v>
      </c>
      <c r="F41" s="254">
        <v>18489.84</v>
      </c>
      <c r="G41" s="256">
        <v>21676.400000000001</v>
      </c>
      <c r="H41" s="82"/>
    </row>
    <row r="42" spans="1:8" ht="14" x14ac:dyDescent="0.3">
      <c r="A42" s="85" t="s">
        <v>441</v>
      </c>
      <c r="B42" s="90" t="s">
        <v>846</v>
      </c>
      <c r="C42" s="254">
        <v>19442.8</v>
      </c>
      <c r="D42" s="254">
        <v>577.30240000000003</v>
      </c>
      <c r="E42" s="255">
        <f t="shared" si="1"/>
        <v>2.9692348838644644</v>
      </c>
      <c r="F42" s="254">
        <v>18493.150000000001</v>
      </c>
      <c r="G42" s="256">
        <v>20392.45</v>
      </c>
      <c r="H42" s="82"/>
    </row>
    <row r="43" spans="1:8" ht="25.5" x14ac:dyDescent="0.3">
      <c r="A43" s="85" t="s">
        <v>581</v>
      </c>
      <c r="B43" s="90" t="s">
        <v>1075</v>
      </c>
      <c r="C43" s="254">
        <v>20052.189999999999</v>
      </c>
      <c r="D43" s="254">
        <v>1534.576</v>
      </c>
      <c r="E43" s="255">
        <f t="shared" si="1"/>
        <v>7.6529097320542059</v>
      </c>
      <c r="F43" s="254">
        <v>17527.84</v>
      </c>
      <c r="G43" s="256">
        <v>22576.54</v>
      </c>
      <c r="H43" s="82"/>
    </row>
    <row r="44" spans="1:8" ht="12" customHeight="1" x14ac:dyDescent="0.3">
      <c r="A44" s="85" t="s">
        <v>554</v>
      </c>
      <c r="B44" s="90" t="s">
        <v>817</v>
      </c>
      <c r="C44" s="254">
        <v>17147.29</v>
      </c>
      <c r="D44" s="254">
        <v>1097.4939999999999</v>
      </c>
      <c r="E44" s="255">
        <f t="shared" si="1"/>
        <v>6.4003932982996146</v>
      </c>
      <c r="F44" s="254">
        <v>15341.93</v>
      </c>
      <c r="G44" s="256">
        <v>18952.650000000001</v>
      </c>
      <c r="H44" s="82"/>
    </row>
    <row r="45" spans="1:8" ht="12.75" customHeight="1" x14ac:dyDescent="0.3">
      <c r="A45" s="85" t="s">
        <v>598</v>
      </c>
      <c r="B45" s="90" t="s">
        <v>800</v>
      </c>
      <c r="C45" s="254">
        <v>18958.72</v>
      </c>
      <c r="D45" s="254">
        <v>877.07910000000004</v>
      </c>
      <c r="E45" s="255">
        <f t="shared" si="1"/>
        <v>4.6262569413968873</v>
      </c>
      <c r="F45" s="254">
        <v>17515.939999999999</v>
      </c>
      <c r="G45" s="256">
        <v>20401.5</v>
      </c>
      <c r="H45" s="82"/>
    </row>
    <row r="46" spans="1:8" ht="12.75" customHeight="1" x14ac:dyDescent="0.3">
      <c r="A46" s="85" t="s">
        <v>396</v>
      </c>
      <c r="B46" s="90" t="s">
        <v>786</v>
      </c>
      <c r="C46" s="254">
        <v>17166.490000000002</v>
      </c>
      <c r="D46" s="254">
        <v>1481.9469999999999</v>
      </c>
      <c r="E46" s="255">
        <f t="shared" si="1"/>
        <v>8.632789813176716</v>
      </c>
      <c r="F46" s="254">
        <v>14728.71</v>
      </c>
      <c r="G46" s="256">
        <v>19604.27</v>
      </c>
      <c r="H46" s="82"/>
    </row>
    <row r="47" spans="1:8" ht="14.25" customHeight="1" x14ac:dyDescent="0.3">
      <c r="A47" s="85" t="s">
        <v>334</v>
      </c>
      <c r="B47" s="90" t="s">
        <v>1056</v>
      </c>
      <c r="C47" s="254">
        <v>22098.42</v>
      </c>
      <c r="D47" s="254">
        <v>1148.7840000000001</v>
      </c>
      <c r="E47" s="255">
        <f t="shared" si="1"/>
        <v>5.1984893037601791</v>
      </c>
      <c r="F47" s="254">
        <v>20208.689999999999</v>
      </c>
      <c r="G47" s="256">
        <v>23988.15</v>
      </c>
      <c r="H47" s="82"/>
    </row>
    <row r="48" spans="1:8" ht="25.5" customHeight="1" x14ac:dyDescent="0.3">
      <c r="A48" s="85" t="s">
        <v>1055</v>
      </c>
      <c r="B48" s="90" t="s">
        <v>1104</v>
      </c>
      <c r="C48" s="254">
        <v>19958.509999999998</v>
      </c>
      <c r="D48" s="254">
        <v>1558.3009999999999</v>
      </c>
      <c r="E48" s="255">
        <f t="shared" si="1"/>
        <v>7.8077020779607293</v>
      </c>
      <c r="F48" s="254">
        <v>17395.13</v>
      </c>
      <c r="G48" s="256">
        <v>22521.88</v>
      </c>
      <c r="H48" s="82"/>
    </row>
    <row r="49" spans="1:16378" ht="13.5" customHeight="1" x14ac:dyDescent="0.3">
      <c r="A49" s="85" t="s">
        <v>385</v>
      </c>
      <c r="B49" s="90" t="s">
        <v>751</v>
      </c>
      <c r="C49" s="254">
        <v>17228.490000000002</v>
      </c>
      <c r="D49" s="254">
        <v>424.77749999999997</v>
      </c>
      <c r="E49" s="255">
        <f t="shared" si="1"/>
        <v>2.4655526978858853</v>
      </c>
      <c r="F49" s="254">
        <v>16529.740000000002</v>
      </c>
      <c r="G49" s="256">
        <v>17927.240000000002</v>
      </c>
      <c r="H49" s="82"/>
    </row>
    <row r="50" spans="1:16378" ht="14" x14ac:dyDescent="0.3">
      <c r="A50" s="85" t="s">
        <v>487</v>
      </c>
      <c r="B50" s="90" t="s">
        <v>730</v>
      </c>
      <c r="C50" s="254">
        <v>18490.41</v>
      </c>
      <c r="D50" s="254">
        <v>1103.386</v>
      </c>
      <c r="E50" s="255">
        <f t="shared" si="1"/>
        <v>5.9673419897125051</v>
      </c>
      <c r="F50" s="254">
        <v>16675.36</v>
      </c>
      <c r="G50" s="256">
        <v>20305.46</v>
      </c>
      <c r="H50" s="82"/>
    </row>
    <row r="51" spans="1:16378" ht="25.5" x14ac:dyDescent="0.3">
      <c r="A51" s="85" t="s">
        <v>1053</v>
      </c>
      <c r="B51" s="90" t="s">
        <v>1109</v>
      </c>
      <c r="C51" s="254">
        <v>17129.25</v>
      </c>
      <c r="D51" s="254">
        <v>525.75879999999995</v>
      </c>
      <c r="E51" s="255">
        <f t="shared" si="1"/>
        <v>3.0693626399287766</v>
      </c>
      <c r="F51" s="254">
        <v>16264.38</v>
      </c>
      <c r="G51" s="256">
        <v>17994.11</v>
      </c>
      <c r="H51" s="82"/>
    </row>
    <row r="52" spans="1:16378" x14ac:dyDescent="0.25">
      <c r="A52" s="89"/>
      <c r="B52" s="90"/>
      <c r="C52" s="90"/>
      <c r="D52" s="91"/>
      <c r="E52" s="91"/>
      <c r="F52" s="91"/>
      <c r="G52" s="253"/>
    </row>
    <row r="53" spans="1:16378" s="83" customFormat="1" ht="26" x14ac:dyDescent="0.3">
      <c r="A53" s="88" t="s">
        <v>391</v>
      </c>
      <c r="B53" s="111" t="s">
        <v>1103</v>
      </c>
      <c r="C53" s="248">
        <v>31061.69</v>
      </c>
      <c r="D53" s="248">
        <v>1278.3530000000001</v>
      </c>
      <c r="E53" s="249">
        <f>IF(C53&lt;&gt;"",D53/C53*100,"")</f>
        <v>4.1155294512307607</v>
      </c>
      <c r="F53" s="248">
        <v>28958.82</v>
      </c>
      <c r="G53" s="250">
        <v>33164.559999999998</v>
      </c>
      <c r="H53" s="82"/>
    </row>
    <row r="54" spans="1:16378" x14ac:dyDescent="0.25">
      <c r="A54" s="89"/>
      <c r="B54" s="90"/>
      <c r="C54" s="90"/>
      <c r="D54" s="258"/>
      <c r="E54" s="106"/>
      <c r="F54" s="106"/>
      <c r="G54" s="259"/>
    </row>
    <row r="55" spans="1:16378" s="83" customFormat="1" ht="26.25" customHeight="1" x14ac:dyDescent="0.3">
      <c r="A55" s="88" t="s">
        <v>1049</v>
      </c>
      <c r="B55" s="108" t="s">
        <v>1050</v>
      </c>
      <c r="C55" s="248">
        <v>20305.07</v>
      </c>
      <c r="D55" s="248">
        <v>469.1789</v>
      </c>
      <c r="E55" s="249">
        <f>IF(C55&lt;&gt;"",D55/C55*100,"")</f>
        <v>2.310649015245946</v>
      </c>
      <c r="F55" s="248">
        <v>19533.28</v>
      </c>
      <c r="G55" s="250">
        <v>21076.86</v>
      </c>
      <c r="H55" s="82"/>
    </row>
    <row r="56" spans="1:16378" ht="14" x14ac:dyDescent="0.3">
      <c r="A56" s="85" t="s">
        <v>402</v>
      </c>
      <c r="B56" s="90" t="s">
        <v>677</v>
      </c>
      <c r="C56" s="254">
        <v>20896.23</v>
      </c>
      <c r="D56" s="254">
        <v>534.20420000000001</v>
      </c>
      <c r="E56" s="255">
        <f>IF(C56&lt;&gt;"",D56/C56*100,"")</f>
        <v>2.5564620986656448</v>
      </c>
      <c r="F56" s="254">
        <v>20017.47</v>
      </c>
      <c r="G56" s="256">
        <v>21774.99</v>
      </c>
      <c r="H56" s="82"/>
    </row>
    <row r="57" spans="1:16378" ht="37.5" x14ac:dyDescent="0.3">
      <c r="A57" s="85" t="s">
        <v>1110</v>
      </c>
      <c r="B57" s="98" t="s">
        <v>1047</v>
      </c>
      <c r="C57" s="254">
        <v>17604.740000000002</v>
      </c>
      <c r="D57" s="254">
        <v>555.54229999999995</v>
      </c>
      <c r="E57" s="255">
        <f>IF(C57&lt;&gt;"",D57/C57*100,"")</f>
        <v>3.1556404695553577</v>
      </c>
      <c r="F57" s="254">
        <v>16690.88</v>
      </c>
      <c r="G57" s="256">
        <v>18518.59</v>
      </c>
      <c r="H57" s="82"/>
    </row>
    <row r="58" spans="1:16378" s="91" customFormat="1" ht="5.5" customHeight="1" x14ac:dyDescent="0.25">
      <c r="A58" s="92"/>
      <c r="B58" s="231"/>
      <c r="C58" s="93"/>
      <c r="D58" s="94"/>
      <c r="E58" s="94"/>
      <c r="F58" s="94"/>
      <c r="G58" s="257"/>
      <c r="H58" s="232"/>
      <c r="I58" s="95"/>
      <c r="J58" s="96"/>
      <c r="P58" s="232"/>
      <c r="Q58" s="95"/>
      <c r="R58" s="96"/>
      <c r="X58" s="232"/>
      <c r="Y58" s="95"/>
      <c r="Z58" s="96"/>
      <c r="AF58" s="232"/>
      <c r="AG58" s="95"/>
      <c r="AH58" s="96"/>
      <c r="AN58" s="232"/>
      <c r="AO58" s="95"/>
      <c r="AP58" s="96"/>
      <c r="AV58" s="232"/>
      <c r="AW58" s="95"/>
      <c r="AX58" s="96"/>
      <c r="BD58" s="232"/>
      <c r="BE58" s="95"/>
      <c r="BF58" s="96"/>
      <c r="BL58" s="232"/>
      <c r="BM58" s="95"/>
      <c r="BN58" s="96"/>
      <c r="BT58" s="232"/>
      <c r="BU58" s="95"/>
      <c r="BV58" s="96"/>
      <c r="CB58" s="232"/>
      <c r="CC58" s="95"/>
      <c r="CD58" s="96"/>
      <c r="CJ58" s="232"/>
      <c r="CK58" s="95"/>
      <c r="CL58" s="96"/>
      <c r="CR58" s="232"/>
      <c r="CS58" s="95"/>
      <c r="CT58" s="96"/>
      <c r="CZ58" s="232"/>
      <c r="DA58" s="95"/>
      <c r="DB58" s="96"/>
      <c r="DH58" s="232"/>
      <c r="DI58" s="95"/>
      <c r="DJ58" s="96"/>
      <c r="DP58" s="232"/>
      <c r="DQ58" s="95"/>
      <c r="DR58" s="96"/>
      <c r="DX58" s="232"/>
      <c r="DY58" s="95"/>
      <c r="DZ58" s="96"/>
      <c r="EF58" s="232"/>
      <c r="EG58" s="95"/>
      <c r="EH58" s="96"/>
      <c r="EN58" s="232"/>
      <c r="EO58" s="95"/>
      <c r="EP58" s="96"/>
      <c r="EV58" s="232"/>
      <c r="EW58" s="95"/>
      <c r="EX58" s="96"/>
      <c r="FD58" s="232"/>
      <c r="FE58" s="95"/>
      <c r="FF58" s="96"/>
      <c r="FL58" s="232"/>
      <c r="FM58" s="95"/>
      <c r="FN58" s="96"/>
      <c r="FT58" s="232"/>
      <c r="FU58" s="95"/>
      <c r="FV58" s="96"/>
      <c r="GB58" s="232"/>
      <c r="GC58" s="95"/>
      <c r="GD58" s="96"/>
      <c r="GJ58" s="232"/>
      <c r="GK58" s="95"/>
      <c r="GL58" s="96"/>
      <c r="GR58" s="232"/>
      <c r="GS58" s="95"/>
      <c r="GT58" s="96"/>
      <c r="GZ58" s="232"/>
      <c r="HA58" s="95"/>
      <c r="HB58" s="96"/>
      <c r="HH58" s="232"/>
      <c r="HI58" s="95"/>
      <c r="HJ58" s="96"/>
      <c r="HP58" s="232"/>
      <c r="HQ58" s="95"/>
      <c r="HR58" s="96"/>
      <c r="HX58" s="232"/>
      <c r="HY58" s="95"/>
      <c r="HZ58" s="96"/>
      <c r="IF58" s="232"/>
      <c r="IG58" s="95"/>
      <c r="IH58" s="96"/>
      <c r="IN58" s="232"/>
      <c r="IO58" s="95"/>
      <c r="IP58" s="96"/>
      <c r="IV58" s="232"/>
      <c r="IW58" s="95"/>
      <c r="IX58" s="96"/>
      <c r="JD58" s="232"/>
      <c r="JE58" s="95"/>
      <c r="JF58" s="96"/>
      <c r="JL58" s="232"/>
      <c r="JM58" s="95"/>
      <c r="JN58" s="96"/>
      <c r="JT58" s="232"/>
      <c r="JU58" s="95"/>
      <c r="JV58" s="96"/>
      <c r="KB58" s="232"/>
      <c r="KC58" s="95"/>
      <c r="KD58" s="96"/>
      <c r="KJ58" s="232"/>
      <c r="KK58" s="95"/>
      <c r="KL58" s="96"/>
      <c r="KR58" s="232"/>
      <c r="KS58" s="95"/>
      <c r="KT58" s="96"/>
      <c r="KZ58" s="232"/>
      <c r="LA58" s="95"/>
      <c r="LB58" s="96"/>
      <c r="LH58" s="232"/>
      <c r="LI58" s="95"/>
      <c r="LJ58" s="96"/>
      <c r="LP58" s="232"/>
      <c r="LQ58" s="95"/>
      <c r="LR58" s="96"/>
      <c r="LX58" s="232"/>
      <c r="LY58" s="95"/>
      <c r="LZ58" s="96"/>
      <c r="MF58" s="232"/>
      <c r="MG58" s="95"/>
      <c r="MH58" s="96"/>
      <c r="MN58" s="232"/>
      <c r="MO58" s="95"/>
      <c r="MP58" s="96"/>
      <c r="MV58" s="232"/>
      <c r="MW58" s="95"/>
      <c r="MX58" s="96"/>
      <c r="ND58" s="232"/>
      <c r="NE58" s="95"/>
      <c r="NF58" s="96"/>
      <c r="NL58" s="232"/>
      <c r="NM58" s="95"/>
      <c r="NN58" s="96"/>
      <c r="NT58" s="232"/>
      <c r="NU58" s="95"/>
      <c r="NV58" s="96"/>
      <c r="OB58" s="232"/>
      <c r="OC58" s="95"/>
      <c r="OD58" s="96"/>
      <c r="OJ58" s="232"/>
      <c r="OK58" s="95"/>
      <c r="OL58" s="96"/>
      <c r="OR58" s="232"/>
      <c r="OS58" s="95"/>
      <c r="OT58" s="96"/>
      <c r="OZ58" s="232"/>
      <c r="PA58" s="95"/>
      <c r="PB58" s="96"/>
      <c r="PH58" s="232"/>
      <c r="PI58" s="95"/>
      <c r="PJ58" s="96"/>
      <c r="PP58" s="232"/>
      <c r="PQ58" s="95"/>
      <c r="PR58" s="96"/>
      <c r="PX58" s="232"/>
      <c r="PY58" s="95"/>
      <c r="PZ58" s="96"/>
      <c r="QF58" s="232"/>
      <c r="QG58" s="95"/>
      <c r="QH58" s="96"/>
      <c r="QN58" s="232"/>
      <c r="QO58" s="95"/>
      <c r="QP58" s="96"/>
      <c r="QV58" s="232"/>
      <c r="QW58" s="95"/>
      <c r="QX58" s="96"/>
      <c r="RD58" s="232"/>
      <c r="RE58" s="95"/>
      <c r="RF58" s="96"/>
      <c r="RL58" s="232"/>
      <c r="RM58" s="95"/>
      <c r="RN58" s="96"/>
      <c r="RT58" s="232"/>
      <c r="RU58" s="95"/>
      <c r="RV58" s="96"/>
      <c r="SB58" s="232"/>
      <c r="SC58" s="95"/>
      <c r="SD58" s="96"/>
      <c r="SJ58" s="232"/>
      <c r="SK58" s="95"/>
      <c r="SL58" s="96"/>
      <c r="SR58" s="232"/>
      <c r="SS58" s="95"/>
      <c r="ST58" s="96"/>
      <c r="SZ58" s="232"/>
      <c r="TA58" s="95"/>
      <c r="TB58" s="96"/>
      <c r="TH58" s="232"/>
      <c r="TI58" s="95"/>
      <c r="TJ58" s="96"/>
      <c r="TP58" s="232"/>
      <c r="TQ58" s="95"/>
      <c r="TR58" s="96"/>
      <c r="TX58" s="232"/>
      <c r="TY58" s="95"/>
      <c r="TZ58" s="96"/>
      <c r="UF58" s="232"/>
      <c r="UG58" s="95"/>
      <c r="UH58" s="96"/>
      <c r="UN58" s="232"/>
      <c r="UO58" s="95"/>
      <c r="UP58" s="96"/>
      <c r="UV58" s="232"/>
      <c r="UW58" s="95"/>
      <c r="UX58" s="96"/>
      <c r="VD58" s="232"/>
      <c r="VE58" s="95"/>
      <c r="VF58" s="96"/>
      <c r="VL58" s="232"/>
      <c r="VM58" s="95"/>
      <c r="VN58" s="96"/>
      <c r="VT58" s="232"/>
      <c r="VU58" s="95"/>
      <c r="VV58" s="96"/>
      <c r="WB58" s="232"/>
      <c r="WC58" s="95"/>
      <c r="WD58" s="96"/>
      <c r="WJ58" s="232"/>
      <c r="WK58" s="95"/>
      <c r="WL58" s="96"/>
      <c r="WR58" s="232"/>
      <c r="WS58" s="95"/>
      <c r="WT58" s="96"/>
      <c r="WZ58" s="232"/>
      <c r="XA58" s="95"/>
      <c r="XB58" s="96"/>
      <c r="XH58" s="232"/>
      <c r="XI58" s="95"/>
      <c r="XJ58" s="96"/>
      <c r="XP58" s="232"/>
      <c r="XQ58" s="95"/>
      <c r="XR58" s="96"/>
      <c r="XX58" s="232"/>
      <c r="XY58" s="95"/>
      <c r="XZ58" s="96"/>
      <c r="YF58" s="232"/>
      <c r="YG58" s="95"/>
      <c r="YH58" s="96"/>
      <c r="YN58" s="232"/>
      <c r="YO58" s="95"/>
      <c r="YP58" s="96"/>
      <c r="YV58" s="232"/>
      <c r="YW58" s="95"/>
      <c r="YX58" s="96"/>
      <c r="ZD58" s="232"/>
      <c r="ZE58" s="95"/>
      <c r="ZF58" s="96"/>
      <c r="ZL58" s="232"/>
      <c r="ZM58" s="95"/>
      <c r="ZN58" s="96"/>
      <c r="ZT58" s="232"/>
      <c r="ZU58" s="95"/>
      <c r="ZV58" s="96"/>
      <c r="AAB58" s="232"/>
      <c r="AAC58" s="95"/>
      <c r="AAD58" s="96"/>
      <c r="AAJ58" s="232"/>
      <c r="AAK58" s="95"/>
      <c r="AAL58" s="96"/>
      <c r="AAR58" s="232"/>
      <c r="AAS58" s="95"/>
      <c r="AAT58" s="96"/>
      <c r="AAZ58" s="232"/>
      <c r="ABA58" s="95"/>
      <c r="ABB58" s="96"/>
      <c r="ABH58" s="232"/>
      <c r="ABI58" s="95"/>
      <c r="ABJ58" s="96"/>
      <c r="ABP58" s="232"/>
      <c r="ABQ58" s="95"/>
      <c r="ABR58" s="96"/>
      <c r="ABX58" s="232"/>
      <c r="ABY58" s="95"/>
      <c r="ABZ58" s="96"/>
      <c r="ACF58" s="232"/>
      <c r="ACG58" s="95"/>
      <c r="ACH58" s="96"/>
      <c r="ACN58" s="232"/>
      <c r="ACO58" s="95"/>
      <c r="ACP58" s="96"/>
      <c r="ACV58" s="232"/>
      <c r="ACW58" s="95"/>
      <c r="ACX58" s="96"/>
      <c r="ADD58" s="232"/>
      <c r="ADE58" s="95"/>
      <c r="ADF58" s="96"/>
      <c r="ADL58" s="232"/>
      <c r="ADM58" s="95"/>
      <c r="ADN58" s="96"/>
      <c r="ADT58" s="232"/>
      <c r="ADU58" s="95"/>
      <c r="ADV58" s="96"/>
      <c r="AEB58" s="232"/>
      <c r="AEC58" s="95"/>
      <c r="AED58" s="96"/>
      <c r="AEJ58" s="232"/>
      <c r="AEK58" s="95"/>
      <c r="AEL58" s="96"/>
      <c r="AER58" s="232"/>
      <c r="AES58" s="95"/>
      <c r="AET58" s="96"/>
      <c r="AEZ58" s="232"/>
      <c r="AFA58" s="95"/>
      <c r="AFB58" s="96"/>
      <c r="AFH58" s="232"/>
      <c r="AFI58" s="95"/>
      <c r="AFJ58" s="96"/>
      <c r="AFP58" s="232"/>
      <c r="AFQ58" s="95"/>
      <c r="AFR58" s="96"/>
      <c r="AFX58" s="232"/>
      <c r="AFY58" s="95"/>
      <c r="AFZ58" s="96"/>
      <c r="AGF58" s="232"/>
      <c r="AGG58" s="95"/>
      <c r="AGH58" s="96"/>
      <c r="AGN58" s="232"/>
      <c r="AGO58" s="95"/>
      <c r="AGP58" s="96"/>
      <c r="AGV58" s="232"/>
      <c r="AGW58" s="95"/>
      <c r="AGX58" s="96"/>
      <c r="AHD58" s="232"/>
      <c r="AHE58" s="95"/>
      <c r="AHF58" s="96"/>
      <c r="AHL58" s="232"/>
      <c r="AHM58" s="95"/>
      <c r="AHN58" s="96"/>
      <c r="AHT58" s="232"/>
      <c r="AHU58" s="95"/>
      <c r="AHV58" s="96"/>
      <c r="AIB58" s="232"/>
      <c r="AIC58" s="95"/>
      <c r="AID58" s="96"/>
      <c r="AIJ58" s="232"/>
      <c r="AIK58" s="95"/>
      <c r="AIL58" s="96"/>
      <c r="AIR58" s="232"/>
      <c r="AIS58" s="95"/>
      <c r="AIT58" s="96"/>
      <c r="AIZ58" s="232"/>
      <c r="AJA58" s="95"/>
      <c r="AJB58" s="96"/>
      <c r="AJH58" s="232"/>
      <c r="AJI58" s="95"/>
      <c r="AJJ58" s="96"/>
      <c r="AJP58" s="232"/>
      <c r="AJQ58" s="95"/>
      <c r="AJR58" s="96"/>
      <c r="AJX58" s="232"/>
      <c r="AJY58" s="95"/>
      <c r="AJZ58" s="96"/>
      <c r="AKF58" s="232"/>
      <c r="AKG58" s="95"/>
      <c r="AKH58" s="96"/>
      <c r="AKN58" s="232"/>
      <c r="AKO58" s="95"/>
      <c r="AKP58" s="96"/>
      <c r="AKV58" s="232"/>
      <c r="AKW58" s="95"/>
      <c r="AKX58" s="96"/>
      <c r="ALD58" s="232"/>
      <c r="ALE58" s="95"/>
      <c r="ALF58" s="96"/>
      <c r="ALL58" s="232"/>
      <c r="ALM58" s="95"/>
      <c r="ALN58" s="96"/>
      <c r="ALT58" s="232"/>
      <c r="ALU58" s="95"/>
      <c r="ALV58" s="96"/>
      <c r="AMB58" s="232"/>
      <c r="AMC58" s="95"/>
      <c r="AMD58" s="96"/>
      <c r="AMJ58" s="232"/>
      <c r="AMK58" s="95"/>
      <c r="AML58" s="96"/>
      <c r="AMR58" s="232"/>
      <c r="AMS58" s="95"/>
      <c r="AMT58" s="96"/>
      <c r="AMZ58" s="232"/>
      <c r="ANA58" s="95"/>
      <c r="ANB58" s="96"/>
      <c r="ANH58" s="232"/>
      <c r="ANI58" s="95"/>
      <c r="ANJ58" s="96"/>
      <c r="ANP58" s="232"/>
      <c r="ANQ58" s="95"/>
      <c r="ANR58" s="96"/>
      <c r="ANX58" s="232"/>
      <c r="ANY58" s="95"/>
      <c r="ANZ58" s="96"/>
      <c r="AOF58" s="232"/>
      <c r="AOG58" s="95"/>
      <c r="AOH58" s="96"/>
      <c r="AON58" s="232"/>
      <c r="AOO58" s="95"/>
      <c r="AOP58" s="96"/>
      <c r="AOV58" s="232"/>
      <c r="AOW58" s="95"/>
      <c r="AOX58" s="96"/>
      <c r="APD58" s="232"/>
      <c r="APE58" s="95"/>
      <c r="APF58" s="96"/>
      <c r="APL58" s="232"/>
      <c r="APM58" s="95"/>
      <c r="APN58" s="96"/>
      <c r="APT58" s="232"/>
      <c r="APU58" s="95"/>
      <c r="APV58" s="96"/>
      <c r="AQB58" s="232"/>
      <c r="AQC58" s="95"/>
      <c r="AQD58" s="96"/>
      <c r="AQJ58" s="232"/>
      <c r="AQK58" s="95"/>
      <c r="AQL58" s="96"/>
      <c r="AQR58" s="232"/>
      <c r="AQS58" s="95"/>
      <c r="AQT58" s="96"/>
      <c r="AQZ58" s="232"/>
      <c r="ARA58" s="95"/>
      <c r="ARB58" s="96"/>
      <c r="ARH58" s="232"/>
      <c r="ARI58" s="95"/>
      <c r="ARJ58" s="96"/>
      <c r="ARP58" s="232"/>
      <c r="ARQ58" s="95"/>
      <c r="ARR58" s="96"/>
      <c r="ARX58" s="232"/>
      <c r="ARY58" s="95"/>
      <c r="ARZ58" s="96"/>
      <c r="ASF58" s="232"/>
      <c r="ASG58" s="95"/>
      <c r="ASH58" s="96"/>
      <c r="ASN58" s="232"/>
      <c r="ASO58" s="95"/>
      <c r="ASP58" s="96"/>
      <c r="ASV58" s="232"/>
      <c r="ASW58" s="95"/>
      <c r="ASX58" s="96"/>
      <c r="ATD58" s="232"/>
      <c r="ATE58" s="95"/>
      <c r="ATF58" s="96"/>
      <c r="ATL58" s="232"/>
      <c r="ATM58" s="95"/>
      <c r="ATN58" s="96"/>
      <c r="ATT58" s="232"/>
      <c r="ATU58" s="95"/>
      <c r="ATV58" s="96"/>
      <c r="AUB58" s="232"/>
      <c r="AUC58" s="95"/>
      <c r="AUD58" s="96"/>
      <c r="AUJ58" s="232"/>
      <c r="AUK58" s="95"/>
      <c r="AUL58" s="96"/>
      <c r="AUR58" s="232"/>
      <c r="AUS58" s="95"/>
      <c r="AUT58" s="96"/>
      <c r="AUZ58" s="232"/>
      <c r="AVA58" s="95"/>
      <c r="AVB58" s="96"/>
      <c r="AVH58" s="232"/>
      <c r="AVI58" s="95"/>
      <c r="AVJ58" s="96"/>
      <c r="AVP58" s="232"/>
      <c r="AVQ58" s="95"/>
      <c r="AVR58" s="96"/>
      <c r="AVX58" s="232"/>
      <c r="AVY58" s="95"/>
      <c r="AVZ58" s="96"/>
      <c r="AWF58" s="232"/>
      <c r="AWG58" s="95"/>
      <c r="AWH58" s="96"/>
      <c r="AWN58" s="232"/>
      <c r="AWO58" s="95"/>
      <c r="AWP58" s="96"/>
      <c r="AWV58" s="232"/>
      <c r="AWW58" s="95"/>
      <c r="AWX58" s="96"/>
      <c r="AXD58" s="232"/>
      <c r="AXE58" s="95"/>
      <c r="AXF58" s="96"/>
      <c r="AXL58" s="232"/>
      <c r="AXM58" s="95"/>
      <c r="AXN58" s="96"/>
      <c r="AXT58" s="232"/>
      <c r="AXU58" s="95"/>
      <c r="AXV58" s="96"/>
      <c r="AYB58" s="232"/>
      <c r="AYC58" s="95"/>
      <c r="AYD58" s="96"/>
      <c r="AYJ58" s="232"/>
      <c r="AYK58" s="95"/>
      <c r="AYL58" s="96"/>
      <c r="AYR58" s="232"/>
      <c r="AYS58" s="95"/>
      <c r="AYT58" s="96"/>
      <c r="AYZ58" s="232"/>
      <c r="AZA58" s="95"/>
      <c r="AZB58" s="96"/>
      <c r="AZH58" s="232"/>
      <c r="AZI58" s="95"/>
      <c r="AZJ58" s="96"/>
      <c r="AZP58" s="232"/>
      <c r="AZQ58" s="95"/>
      <c r="AZR58" s="96"/>
      <c r="AZX58" s="232"/>
      <c r="AZY58" s="95"/>
      <c r="AZZ58" s="96"/>
      <c r="BAF58" s="232"/>
      <c r="BAG58" s="95"/>
      <c r="BAH58" s="96"/>
      <c r="BAN58" s="232"/>
      <c r="BAO58" s="95"/>
      <c r="BAP58" s="96"/>
      <c r="BAV58" s="232"/>
      <c r="BAW58" s="95"/>
      <c r="BAX58" s="96"/>
      <c r="BBD58" s="232"/>
      <c r="BBE58" s="95"/>
      <c r="BBF58" s="96"/>
      <c r="BBL58" s="232"/>
      <c r="BBM58" s="95"/>
      <c r="BBN58" s="96"/>
      <c r="BBT58" s="232"/>
      <c r="BBU58" s="95"/>
      <c r="BBV58" s="96"/>
      <c r="BCB58" s="232"/>
      <c r="BCC58" s="95"/>
      <c r="BCD58" s="96"/>
      <c r="BCJ58" s="232"/>
      <c r="BCK58" s="95"/>
      <c r="BCL58" s="96"/>
      <c r="BCR58" s="232"/>
      <c r="BCS58" s="95"/>
      <c r="BCT58" s="96"/>
      <c r="BCZ58" s="232"/>
      <c r="BDA58" s="95"/>
      <c r="BDB58" s="96"/>
      <c r="BDH58" s="232"/>
      <c r="BDI58" s="95"/>
      <c r="BDJ58" s="96"/>
      <c r="BDP58" s="232"/>
      <c r="BDQ58" s="95"/>
      <c r="BDR58" s="96"/>
      <c r="BDX58" s="232"/>
      <c r="BDY58" s="95"/>
      <c r="BDZ58" s="96"/>
      <c r="BEF58" s="232"/>
      <c r="BEG58" s="95"/>
      <c r="BEH58" s="96"/>
      <c r="BEN58" s="232"/>
      <c r="BEO58" s="95"/>
      <c r="BEP58" s="96"/>
      <c r="BEV58" s="232"/>
      <c r="BEW58" s="95"/>
      <c r="BEX58" s="96"/>
      <c r="BFD58" s="232"/>
      <c r="BFE58" s="95"/>
      <c r="BFF58" s="96"/>
      <c r="BFL58" s="232"/>
      <c r="BFM58" s="95"/>
      <c r="BFN58" s="96"/>
      <c r="BFT58" s="232"/>
      <c r="BFU58" s="95"/>
      <c r="BFV58" s="96"/>
      <c r="BGB58" s="232"/>
      <c r="BGC58" s="95"/>
      <c r="BGD58" s="96"/>
      <c r="BGJ58" s="232"/>
      <c r="BGK58" s="95"/>
      <c r="BGL58" s="96"/>
      <c r="BGR58" s="232"/>
      <c r="BGS58" s="95"/>
      <c r="BGT58" s="96"/>
      <c r="BGZ58" s="232"/>
      <c r="BHA58" s="95"/>
      <c r="BHB58" s="96"/>
      <c r="BHH58" s="232"/>
      <c r="BHI58" s="95"/>
      <c r="BHJ58" s="96"/>
      <c r="BHP58" s="232"/>
      <c r="BHQ58" s="95"/>
      <c r="BHR58" s="96"/>
      <c r="BHX58" s="232"/>
      <c r="BHY58" s="95"/>
      <c r="BHZ58" s="96"/>
      <c r="BIF58" s="232"/>
      <c r="BIG58" s="95"/>
      <c r="BIH58" s="96"/>
      <c r="BIN58" s="232"/>
      <c r="BIO58" s="95"/>
      <c r="BIP58" s="96"/>
      <c r="BIV58" s="232"/>
      <c r="BIW58" s="95"/>
      <c r="BIX58" s="96"/>
      <c r="BJD58" s="232"/>
      <c r="BJE58" s="95"/>
      <c r="BJF58" s="96"/>
      <c r="BJL58" s="232"/>
      <c r="BJM58" s="95"/>
      <c r="BJN58" s="96"/>
      <c r="BJT58" s="232"/>
      <c r="BJU58" s="95"/>
      <c r="BJV58" s="96"/>
      <c r="BKB58" s="232"/>
      <c r="BKC58" s="95"/>
      <c r="BKD58" s="96"/>
      <c r="BKJ58" s="232"/>
      <c r="BKK58" s="95"/>
      <c r="BKL58" s="96"/>
      <c r="BKR58" s="232"/>
      <c r="BKS58" s="95"/>
      <c r="BKT58" s="96"/>
      <c r="BKZ58" s="232"/>
      <c r="BLA58" s="95"/>
      <c r="BLB58" s="96"/>
      <c r="BLH58" s="232"/>
      <c r="BLI58" s="95"/>
      <c r="BLJ58" s="96"/>
      <c r="BLP58" s="232"/>
      <c r="BLQ58" s="95"/>
      <c r="BLR58" s="96"/>
      <c r="BLX58" s="232"/>
      <c r="BLY58" s="95"/>
      <c r="BLZ58" s="96"/>
      <c r="BMF58" s="232"/>
      <c r="BMG58" s="95"/>
      <c r="BMH58" s="96"/>
      <c r="BMN58" s="232"/>
      <c r="BMO58" s="95"/>
      <c r="BMP58" s="96"/>
      <c r="BMV58" s="232"/>
      <c r="BMW58" s="95"/>
      <c r="BMX58" s="96"/>
      <c r="BND58" s="232"/>
      <c r="BNE58" s="95"/>
      <c r="BNF58" s="96"/>
      <c r="BNL58" s="232"/>
      <c r="BNM58" s="95"/>
      <c r="BNN58" s="96"/>
      <c r="BNT58" s="232"/>
      <c r="BNU58" s="95"/>
      <c r="BNV58" s="96"/>
      <c r="BOB58" s="232"/>
      <c r="BOC58" s="95"/>
      <c r="BOD58" s="96"/>
      <c r="BOJ58" s="232"/>
      <c r="BOK58" s="95"/>
      <c r="BOL58" s="96"/>
      <c r="BOR58" s="232"/>
      <c r="BOS58" s="95"/>
      <c r="BOT58" s="96"/>
      <c r="BOZ58" s="232"/>
      <c r="BPA58" s="95"/>
      <c r="BPB58" s="96"/>
      <c r="BPH58" s="232"/>
      <c r="BPI58" s="95"/>
      <c r="BPJ58" s="96"/>
      <c r="BPP58" s="232"/>
      <c r="BPQ58" s="95"/>
      <c r="BPR58" s="96"/>
      <c r="BPX58" s="232"/>
      <c r="BPY58" s="95"/>
      <c r="BPZ58" s="96"/>
      <c r="BQF58" s="232"/>
      <c r="BQG58" s="95"/>
      <c r="BQH58" s="96"/>
      <c r="BQN58" s="232"/>
      <c r="BQO58" s="95"/>
      <c r="BQP58" s="96"/>
      <c r="BQV58" s="232"/>
      <c r="BQW58" s="95"/>
      <c r="BQX58" s="96"/>
      <c r="BRD58" s="232"/>
      <c r="BRE58" s="95"/>
      <c r="BRF58" s="96"/>
      <c r="BRL58" s="232"/>
      <c r="BRM58" s="95"/>
      <c r="BRN58" s="96"/>
      <c r="BRT58" s="232"/>
      <c r="BRU58" s="95"/>
      <c r="BRV58" s="96"/>
      <c r="BSB58" s="232"/>
      <c r="BSC58" s="95"/>
      <c r="BSD58" s="96"/>
      <c r="BSJ58" s="232"/>
      <c r="BSK58" s="95"/>
      <c r="BSL58" s="96"/>
      <c r="BSR58" s="232"/>
      <c r="BSS58" s="95"/>
      <c r="BST58" s="96"/>
      <c r="BSZ58" s="232"/>
      <c r="BTA58" s="95"/>
      <c r="BTB58" s="96"/>
      <c r="BTH58" s="232"/>
      <c r="BTI58" s="95"/>
      <c r="BTJ58" s="96"/>
      <c r="BTP58" s="232"/>
      <c r="BTQ58" s="95"/>
      <c r="BTR58" s="96"/>
      <c r="BTX58" s="232"/>
      <c r="BTY58" s="95"/>
      <c r="BTZ58" s="96"/>
      <c r="BUF58" s="232"/>
      <c r="BUG58" s="95"/>
      <c r="BUH58" s="96"/>
      <c r="BUN58" s="232"/>
      <c r="BUO58" s="95"/>
      <c r="BUP58" s="96"/>
      <c r="BUV58" s="232"/>
      <c r="BUW58" s="95"/>
      <c r="BUX58" s="96"/>
      <c r="BVD58" s="232"/>
      <c r="BVE58" s="95"/>
      <c r="BVF58" s="96"/>
      <c r="BVL58" s="232"/>
      <c r="BVM58" s="95"/>
      <c r="BVN58" s="96"/>
      <c r="BVT58" s="232"/>
      <c r="BVU58" s="95"/>
      <c r="BVV58" s="96"/>
      <c r="BWB58" s="232"/>
      <c r="BWC58" s="95"/>
      <c r="BWD58" s="96"/>
      <c r="BWJ58" s="232"/>
      <c r="BWK58" s="95"/>
      <c r="BWL58" s="96"/>
      <c r="BWR58" s="232"/>
      <c r="BWS58" s="95"/>
      <c r="BWT58" s="96"/>
      <c r="BWZ58" s="232"/>
      <c r="BXA58" s="95"/>
      <c r="BXB58" s="96"/>
      <c r="BXH58" s="232"/>
      <c r="BXI58" s="95"/>
      <c r="BXJ58" s="96"/>
      <c r="BXP58" s="232"/>
      <c r="BXQ58" s="95"/>
      <c r="BXR58" s="96"/>
      <c r="BXX58" s="232"/>
      <c r="BXY58" s="95"/>
      <c r="BXZ58" s="96"/>
      <c r="BYF58" s="232"/>
      <c r="BYG58" s="95"/>
      <c r="BYH58" s="96"/>
      <c r="BYN58" s="232"/>
      <c r="BYO58" s="95"/>
      <c r="BYP58" s="96"/>
      <c r="BYV58" s="232"/>
      <c r="BYW58" s="95"/>
      <c r="BYX58" s="96"/>
      <c r="BZD58" s="232"/>
      <c r="BZE58" s="95"/>
      <c r="BZF58" s="96"/>
      <c r="BZL58" s="232"/>
      <c r="BZM58" s="95"/>
      <c r="BZN58" s="96"/>
      <c r="BZT58" s="232"/>
      <c r="BZU58" s="95"/>
      <c r="BZV58" s="96"/>
      <c r="CAB58" s="232"/>
      <c r="CAC58" s="95"/>
      <c r="CAD58" s="96"/>
      <c r="CAJ58" s="232"/>
      <c r="CAK58" s="95"/>
      <c r="CAL58" s="96"/>
      <c r="CAR58" s="232"/>
      <c r="CAS58" s="95"/>
      <c r="CAT58" s="96"/>
      <c r="CAZ58" s="232"/>
      <c r="CBA58" s="95"/>
      <c r="CBB58" s="96"/>
      <c r="CBH58" s="232"/>
      <c r="CBI58" s="95"/>
      <c r="CBJ58" s="96"/>
      <c r="CBP58" s="232"/>
      <c r="CBQ58" s="95"/>
      <c r="CBR58" s="96"/>
      <c r="CBX58" s="232"/>
      <c r="CBY58" s="95"/>
      <c r="CBZ58" s="96"/>
      <c r="CCF58" s="232"/>
      <c r="CCG58" s="95"/>
      <c r="CCH58" s="96"/>
      <c r="CCN58" s="232"/>
      <c r="CCO58" s="95"/>
      <c r="CCP58" s="96"/>
      <c r="CCV58" s="232"/>
      <c r="CCW58" s="95"/>
      <c r="CCX58" s="96"/>
      <c r="CDD58" s="232"/>
      <c r="CDE58" s="95"/>
      <c r="CDF58" s="96"/>
      <c r="CDL58" s="232"/>
      <c r="CDM58" s="95"/>
      <c r="CDN58" s="96"/>
      <c r="CDT58" s="232"/>
      <c r="CDU58" s="95"/>
      <c r="CDV58" s="96"/>
      <c r="CEB58" s="232"/>
      <c r="CEC58" s="95"/>
      <c r="CED58" s="96"/>
      <c r="CEJ58" s="232"/>
      <c r="CEK58" s="95"/>
      <c r="CEL58" s="96"/>
      <c r="CER58" s="232"/>
      <c r="CES58" s="95"/>
      <c r="CET58" s="96"/>
      <c r="CEZ58" s="232"/>
      <c r="CFA58" s="95"/>
      <c r="CFB58" s="96"/>
      <c r="CFH58" s="232"/>
      <c r="CFI58" s="95"/>
      <c r="CFJ58" s="96"/>
      <c r="CFP58" s="232"/>
      <c r="CFQ58" s="95"/>
      <c r="CFR58" s="96"/>
      <c r="CFX58" s="232"/>
      <c r="CFY58" s="95"/>
      <c r="CFZ58" s="96"/>
      <c r="CGF58" s="232"/>
      <c r="CGG58" s="95"/>
      <c r="CGH58" s="96"/>
      <c r="CGN58" s="232"/>
      <c r="CGO58" s="95"/>
      <c r="CGP58" s="96"/>
      <c r="CGV58" s="232"/>
      <c r="CGW58" s="95"/>
      <c r="CGX58" s="96"/>
      <c r="CHD58" s="232"/>
      <c r="CHE58" s="95"/>
      <c r="CHF58" s="96"/>
      <c r="CHL58" s="232"/>
      <c r="CHM58" s="95"/>
      <c r="CHN58" s="96"/>
      <c r="CHT58" s="232"/>
      <c r="CHU58" s="95"/>
      <c r="CHV58" s="96"/>
      <c r="CIB58" s="232"/>
      <c r="CIC58" s="95"/>
      <c r="CID58" s="96"/>
      <c r="CIJ58" s="232"/>
      <c r="CIK58" s="95"/>
      <c r="CIL58" s="96"/>
      <c r="CIR58" s="232"/>
      <c r="CIS58" s="95"/>
      <c r="CIT58" s="96"/>
      <c r="CIZ58" s="232"/>
      <c r="CJA58" s="95"/>
      <c r="CJB58" s="96"/>
      <c r="CJH58" s="232"/>
      <c r="CJI58" s="95"/>
      <c r="CJJ58" s="96"/>
      <c r="CJP58" s="232"/>
      <c r="CJQ58" s="95"/>
      <c r="CJR58" s="96"/>
      <c r="CJX58" s="232"/>
      <c r="CJY58" s="95"/>
      <c r="CJZ58" s="96"/>
      <c r="CKF58" s="232"/>
      <c r="CKG58" s="95"/>
      <c r="CKH58" s="96"/>
      <c r="CKN58" s="232"/>
      <c r="CKO58" s="95"/>
      <c r="CKP58" s="96"/>
      <c r="CKV58" s="232"/>
      <c r="CKW58" s="95"/>
      <c r="CKX58" s="96"/>
      <c r="CLD58" s="232"/>
      <c r="CLE58" s="95"/>
      <c r="CLF58" s="96"/>
      <c r="CLL58" s="232"/>
      <c r="CLM58" s="95"/>
      <c r="CLN58" s="96"/>
      <c r="CLT58" s="232"/>
      <c r="CLU58" s="95"/>
      <c r="CLV58" s="96"/>
      <c r="CMB58" s="232"/>
      <c r="CMC58" s="95"/>
      <c r="CMD58" s="96"/>
      <c r="CMJ58" s="232"/>
      <c r="CMK58" s="95"/>
      <c r="CML58" s="96"/>
      <c r="CMR58" s="232"/>
      <c r="CMS58" s="95"/>
      <c r="CMT58" s="96"/>
      <c r="CMZ58" s="232"/>
      <c r="CNA58" s="95"/>
      <c r="CNB58" s="96"/>
      <c r="CNH58" s="232"/>
      <c r="CNI58" s="95"/>
      <c r="CNJ58" s="96"/>
      <c r="CNP58" s="232"/>
      <c r="CNQ58" s="95"/>
      <c r="CNR58" s="96"/>
      <c r="CNX58" s="232"/>
      <c r="CNY58" s="95"/>
      <c r="CNZ58" s="96"/>
      <c r="COF58" s="232"/>
      <c r="COG58" s="95"/>
      <c r="COH58" s="96"/>
      <c r="CON58" s="232"/>
      <c r="COO58" s="95"/>
      <c r="COP58" s="96"/>
      <c r="COV58" s="232"/>
      <c r="COW58" s="95"/>
      <c r="COX58" s="96"/>
      <c r="CPD58" s="232"/>
      <c r="CPE58" s="95"/>
      <c r="CPF58" s="96"/>
      <c r="CPL58" s="232"/>
      <c r="CPM58" s="95"/>
      <c r="CPN58" s="96"/>
      <c r="CPT58" s="232"/>
      <c r="CPU58" s="95"/>
      <c r="CPV58" s="96"/>
      <c r="CQB58" s="232"/>
      <c r="CQC58" s="95"/>
      <c r="CQD58" s="96"/>
      <c r="CQJ58" s="232"/>
      <c r="CQK58" s="95"/>
      <c r="CQL58" s="96"/>
      <c r="CQR58" s="232"/>
      <c r="CQS58" s="95"/>
      <c r="CQT58" s="96"/>
      <c r="CQZ58" s="232"/>
      <c r="CRA58" s="95"/>
      <c r="CRB58" s="96"/>
      <c r="CRH58" s="232"/>
      <c r="CRI58" s="95"/>
      <c r="CRJ58" s="96"/>
      <c r="CRP58" s="232"/>
      <c r="CRQ58" s="95"/>
      <c r="CRR58" s="96"/>
      <c r="CRX58" s="232"/>
      <c r="CRY58" s="95"/>
      <c r="CRZ58" s="96"/>
      <c r="CSF58" s="232"/>
      <c r="CSG58" s="95"/>
      <c r="CSH58" s="96"/>
      <c r="CSN58" s="232"/>
      <c r="CSO58" s="95"/>
      <c r="CSP58" s="96"/>
      <c r="CSV58" s="232"/>
      <c r="CSW58" s="95"/>
      <c r="CSX58" s="96"/>
      <c r="CTD58" s="232"/>
      <c r="CTE58" s="95"/>
      <c r="CTF58" s="96"/>
      <c r="CTL58" s="232"/>
      <c r="CTM58" s="95"/>
      <c r="CTN58" s="96"/>
      <c r="CTT58" s="232"/>
      <c r="CTU58" s="95"/>
      <c r="CTV58" s="96"/>
      <c r="CUB58" s="232"/>
      <c r="CUC58" s="95"/>
      <c r="CUD58" s="96"/>
      <c r="CUJ58" s="232"/>
      <c r="CUK58" s="95"/>
      <c r="CUL58" s="96"/>
      <c r="CUR58" s="232"/>
      <c r="CUS58" s="95"/>
      <c r="CUT58" s="96"/>
      <c r="CUZ58" s="232"/>
      <c r="CVA58" s="95"/>
      <c r="CVB58" s="96"/>
      <c r="CVH58" s="232"/>
      <c r="CVI58" s="95"/>
      <c r="CVJ58" s="96"/>
      <c r="CVP58" s="232"/>
      <c r="CVQ58" s="95"/>
      <c r="CVR58" s="96"/>
      <c r="CVX58" s="232"/>
      <c r="CVY58" s="95"/>
      <c r="CVZ58" s="96"/>
      <c r="CWF58" s="232"/>
      <c r="CWG58" s="95"/>
      <c r="CWH58" s="96"/>
      <c r="CWN58" s="232"/>
      <c r="CWO58" s="95"/>
      <c r="CWP58" s="96"/>
      <c r="CWV58" s="232"/>
      <c r="CWW58" s="95"/>
      <c r="CWX58" s="96"/>
      <c r="CXD58" s="232"/>
      <c r="CXE58" s="95"/>
      <c r="CXF58" s="96"/>
      <c r="CXL58" s="232"/>
      <c r="CXM58" s="95"/>
      <c r="CXN58" s="96"/>
      <c r="CXT58" s="232"/>
      <c r="CXU58" s="95"/>
      <c r="CXV58" s="96"/>
      <c r="CYB58" s="232"/>
      <c r="CYC58" s="95"/>
      <c r="CYD58" s="96"/>
      <c r="CYJ58" s="232"/>
      <c r="CYK58" s="95"/>
      <c r="CYL58" s="96"/>
      <c r="CYR58" s="232"/>
      <c r="CYS58" s="95"/>
      <c r="CYT58" s="96"/>
      <c r="CYZ58" s="232"/>
      <c r="CZA58" s="95"/>
      <c r="CZB58" s="96"/>
      <c r="CZH58" s="232"/>
      <c r="CZI58" s="95"/>
      <c r="CZJ58" s="96"/>
      <c r="CZP58" s="232"/>
      <c r="CZQ58" s="95"/>
      <c r="CZR58" s="96"/>
      <c r="CZX58" s="232"/>
      <c r="CZY58" s="95"/>
      <c r="CZZ58" s="96"/>
      <c r="DAF58" s="232"/>
      <c r="DAG58" s="95"/>
      <c r="DAH58" s="96"/>
      <c r="DAN58" s="232"/>
      <c r="DAO58" s="95"/>
      <c r="DAP58" s="96"/>
      <c r="DAV58" s="232"/>
      <c r="DAW58" s="95"/>
      <c r="DAX58" s="96"/>
      <c r="DBD58" s="232"/>
      <c r="DBE58" s="95"/>
      <c r="DBF58" s="96"/>
      <c r="DBL58" s="232"/>
      <c r="DBM58" s="95"/>
      <c r="DBN58" s="96"/>
      <c r="DBT58" s="232"/>
      <c r="DBU58" s="95"/>
      <c r="DBV58" s="96"/>
      <c r="DCB58" s="232"/>
      <c r="DCC58" s="95"/>
      <c r="DCD58" s="96"/>
      <c r="DCJ58" s="232"/>
      <c r="DCK58" s="95"/>
      <c r="DCL58" s="96"/>
      <c r="DCR58" s="232"/>
      <c r="DCS58" s="95"/>
      <c r="DCT58" s="96"/>
      <c r="DCZ58" s="232"/>
      <c r="DDA58" s="95"/>
      <c r="DDB58" s="96"/>
      <c r="DDH58" s="232"/>
      <c r="DDI58" s="95"/>
      <c r="DDJ58" s="96"/>
      <c r="DDP58" s="232"/>
      <c r="DDQ58" s="95"/>
      <c r="DDR58" s="96"/>
      <c r="DDX58" s="232"/>
      <c r="DDY58" s="95"/>
      <c r="DDZ58" s="96"/>
      <c r="DEF58" s="232"/>
      <c r="DEG58" s="95"/>
      <c r="DEH58" s="96"/>
      <c r="DEN58" s="232"/>
      <c r="DEO58" s="95"/>
      <c r="DEP58" s="96"/>
      <c r="DEV58" s="232"/>
      <c r="DEW58" s="95"/>
      <c r="DEX58" s="96"/>
      <c r="DFD58" s="232"/>
      <c r="DFE58" s="95"/>
      <c r="DFF58" s="96"/>
      <c r="DFL58" s="232"/>
      <c r="DFM58" s="95"/>
      <c r="DFN58" s="96"/>
      <c r="DFT58" s="232"/>
      <c r="DFU58" s="95"/>
      <c r="DFV58" s="96"/>
      <c r="DGB58" s="232"/>
      <c r="DGC58" s="95"/>
      <c r="DGD58" s="96"/>
      <c r="DGJ58" s="232"/>
      <c r="DGK58" s="95"/>
      <c r="DGL58" s="96"/>
      <c r="DGR58" s="232"/>
      <c r="DGS58" s="95"/>
      <c r="DGT58" s="96"/>
      <c r="DGZ58" s="232"/>
      <c r="DHA58" s="95"/>
      <c r="DHB58" s="96"/>
      <c r="DHH58" s="232"/>
      <c r="DHI58" s="95"/>
      <c r="DHJ58" s="96"/>
      <c r="DHP58" s="232"/>
      <c r="DHQ58" s="95"/>
      <c r="DHR58" s="96"/>
      <c r="DHX58" s="232"/>
      <c r="DHY58" s="95"/>
      <c r="DHZ58" s="96"/>
      <c r="DIF58" s="232"/>
      <c r="DIG58" s="95"/>
      <c r="DIH58" s="96"/>
      <c r="DIN58" s="232"/>
      <c r="DIO58" s="95"/>
      <c r="DIP58" s="96"/>
      <c r="DIV58" s="232"/>
      <c r="DIW58" s="95"/>
      <c r="DIX58" s="96"/>
      <c r="DJD58" s="232"/>
      <c r="DJE58" s="95"/>
      <c r="DJF58" s="96"/>
      <c r="DJL58" s="232"/>
      <c r="DJM58" s="95"/>
      <c r="DJN58" s="96"/>
      <c r="DJT58" s="232"/>
      <c r="DJU58" s="95"/>
      <c r="DJV58" s="96"/>
      <c r="DKB58" s="232"/>
      <c r="DKC58" s="95"/>
      <c r="DKD58" s="96"/>
      <c r="DKJ58" s="232"/>
      <c r="DKK58" s="95"/>
      <c r="DKL58" s="96"/>
      <c r="DKR58" s="232"/>
      <c r="DKS58" s="95"/>
      <c r="DKT58" s="96"/>
      <c r="DKZ58" s="232"/>
      <c r="DLA58" s="95"/>
      <c r="DLB58" s="96"/>
      <c r="DLH58" s="232"/>
      <c r="DLI58" s="95"/>
      <c r="DLJ58" s="96"/>
      <c r="DLP58" s="232"/>
      <c r="DLQ58" s="95"/>
      <c r="DLR58" s="96"/>
      <c r="DLX58" s="232"/>
      <c r="DLY58" s="95"/>
      <c r="DLZ58" s="96"/>
      <c r="DMF58" s="232"/>
      <c r="DMG58" s="95"/>
      <c r="DMH58" s="96"/>
      <c r="DMN58" s="232"/>
      <c r="DMO58" s="95"/>
      <c r="DMP58" s="96"/>
      <c r="DMV58" s="232"/>
      <c r="DMW58" s="95"/>
      <c r="DMX58" s="96"/>
      <c r="DND58" s="232"/>
      <c r="DNE58" s="95"/>
      <c r="DNF58" s="96"/>
      <c r="DNL58" s="232"/>
      <c r="DNM58" s="95"/>
      <c r="DNN58" s="96"/>
      <c r="DNT58" s="232"/>
      <c r="DNU58" s="95"/>
      <c r="DNV58" s="96"/>
      <c r="DOB58" s="232"/>
      <c r="DOC58" s="95"/>
      <c r="DOD58" s="96"/>
      <c r="DOJ58" s="232"/>
      <c r="DOK58" s="95"/>
      <c r="DOL58" s="96"/>
      <c r="DOR58" s="232"/>
      <c r="DOS58" s="95"/>
      <c r="DOT58" s="96"/>
      <c r="DOZ58" s="232"/>
      <c r="DPA58" s="95"/>
      <c r="DPB58" s="96"/>
      <c r="DPH58" s="232"/>
      <c r="DPI58" s="95"/>
      <c r="DPJ58" s="96"/>
      <c r="DPP58" s="232"/>
      <c r="DPQ58" s="95"/>
      <c r="DPR58" s="96"/>
      <c r="DPX58" s="232"/>
      <c r="DPY58" s="95"/>
      <c r="DPZ58" s="96"/>
      <c r="DQF58" s="232"/>
      <c r="DQG58" s="95"/>
      <c r="DQH58" s="96"/>
      <c r="DQN58" s="232"/>
      <c r="DQO58" s="95"/>
      <c r="DQP58" s="96"/>
      <c r="DQV58" s="232"/>
      <c r="DQW58" s="95"/>
      <c r="DQX58" s="96"/>
      <c r="DRD58" s="232"/>
      <c r="DRE58" s="95"/>
      <c r="DRF58" s="96"/>
      <c r="DRL58" s="232"/>
      <c r="DRM58" s="95"/>
      <c r="DRN58" s="96"/>
      <c r="DRT58" s="232"/>
      <c r="DRU58" s="95"/>
      <c r="DRV58" s="96"/>
      <c r="DSB58" s="232"/>
      <c r="DSC58" s="95"/>
      <c r="DSD58" s="96"/>
      <c r="DSJ58" s="232"/>
      <c r="DSK58" s="95"/>
      <c r="DSL58" s="96"/>
      <c r="DSR58" s="232"/>
      <c r="DSS58" s="95"/>
      <c r="DST58" s="96"/>
      <c r="DSZ58" s="232"/>
      <c r="DTA58" s="95"/>
      <c r="DTB58" s="96"/>
      <c r="DTH58" s="232"/>
      <c r="DTI58" s="95"/>
      <c r="DTJ58" s="96"/>
      <c r="DTP58" s="232"/>
      <c r="DTQ58" s="95"/>
      <c r="DTR58" s="96"/>
      <c r="DTX58" s="232"/>
      <c r="DTY58" s="95"/>
      <c r="DTZ58" s="96"/>
      <c r="DUF58" s="232"/>
      <c r="DUG58" s="95"/>
      <c r="DUH58" s="96"/>
      <c r="DUN58" s="232"/>
      <c r="DUO58" s="95"/>
      <c r="DUP58" s="96"/>
      <c r="DUV58" s="232"/>
      <c r="DUW58" s="95"/>
      <c r="DUX58" s="96"/>
      <c r="DVD58" s="232"/>
      <c r="DVE58" s="95"/>
      <c r="DVF58" s="96"/>
      <c r="DVL58" s="232"/>
      <c r="DVM58" s="95"/>
      <c r="DVN58" s="96"/>
      <c r="DVT58" s="232"/>
      <c r="DVU58" s="95"/>
      <c r="DVV58" s="96"/>
      <c r="DWB58" s="232"/>
      <c r="DWC58" s="95"/>
      <c r="DWD58" s="96"/>
      <c r="DWJ58" s="232"/>
      <c r="DWK58" s="95"/>
      <c r="DWL58" s="96"/>
      <c r="DWR58" s="232"/>
      <c r="DWS58" s="95"/>
      <c r="DWT58" s="96"/>
      <c r="DWZ58" s="232"/>
      <c r="DXA58" s="95"/>
      <c r="DXB58" s="96"/>
      <c r="DXH58" s="232"/>
      <c r="DXI58" s="95"/>
      <c r="DXJ58" s="96"/>
      <c r="DXP58" s="232"/>
      <c r="DXQ58" s="95"/>
      <c r="DXR58" s="96"/>
      <c r="DXX58" s="232"/>
      <c r="DXY58" s="95"/>
      <c r="DXZ58" s="96"/>
      <c r="DYF58" s="232"/>
      <c r="DYG58" s="95"/>
      <c r="DYH58" s="96"/>
      <c r="DYN58" s="232"/>
      <c r="DYO58" s="95"/>
      <c r="DYP58" s="96"/>
      <c r="DYV58" s="232"/>
      <c r="DYW58" s="95"/>
      <c r="DYX58" s="96"/>
      <c r="DZD58" s="232"/>
      <c r="DZE58" s="95"/>
      <c r="DZF58" s="96"/>
      <c r="DZL58" s="232"/>
      <c r="DZM58" s="95"/>
      <c r="DZN58" s="96"/>
      <c r="DZT58" s="232"/>
      <c r="DZU58" s="95"/>
      <c r="DZV58" s="96"/>
      <c r="EAB58" s="232"/>
      <c r="EAC58" s="95"/>
      <c r="EAD58" s="96"/>
      <c r="EAJ58" s="232"/>
      <c r="EAK58" s="95"/>
      <c r="EAL58" s="96"/>
      <c r="EAR58" s="232"/>
      <c r="EAS58" s="95"/>
      <c r="EAT58" s="96"/>
      <c r="EAZ58" s="232"/>
      <c r="EBA58" s="95"/>
      <c r="EBB58" s="96"/>
      <c r="EBH58" s="232"/>
      <c r="EBI58" s="95"/>
      <c r="EBJ58" s="96"/>
      <c r="EBP58" s="232"/>
      <c r="EBQ58" s="95"/>
      <c r="EBR58" s="96"/>
      <c r="EBX58" s="232"/>
      <c r="EBY58" s="95"/>
      <c r="EBZ58" s="96"/>
      <c r="ECF58" s="232"/>
      <c r="ECG58" s="95"/>
      <c r="ECH58" s="96"/>
      <c r="ECN58" s="232"/>
      <c r="ECO58" s="95"/>
      <c r="ECP58" s="96"/>
      <c r="ECV58" s="232"/>
      <c r="ECW58" s="95"/>
      <c r="ECX58" s="96"/>
      <c r="EDD58" s="232"/>
      <c r="EDE58" s="95"/>
      <c r="EDF58" s="96"/>
      <c r="EDL58" s="232"/>
      <c r="EDM58" s="95"/>
      <c r="EDN58" s="96"/>
      <c r="EDT58" s="232"/>
      <c r="EDU58" s="95"/>
      <c r="EDV58" s="96"/>
      <c r="EEB58" s="232"/>
      <c r="EEC58" s="95"/>
      <c r="EED58" s="96"/>
      <c r="EEJ58" s="232"/>
      <c r="EEK58" s="95"/>
      <c r="EEL58" s="96"/>
      <c r="EER58" s="232"/>
      <c r="EES58" s="95"/>
      <c r="EET58" s="96"/>
      <c r="EEZ58" s="232"/>
      <c r="EFA58" s="95"/>
      <c r="EFB58" s="96"/>
      <c r="EFH58" s="232"/>
      <c r="EFI58" s="95"/>
      <c r="EFJ58" s="96"/>
      <c r="EFP58" s="232"/>
      <c r="EFQ58" s="95"/>
      <c r="EFR58" s="96"/>
      <c r="EFX58" s="232"/>
      <c r="EFY58" s="95"/>
      <c r="EFZ58" s="96"/>
      <c r="EGF58" s="232"/>
      <c r="EGG58" s="95"/>
      <c r="EGH58" s="96"/>
      <c r="EGN58" s="232"/>
      <c r="EGO58" s="95"/>
      <c r="EGP58" s="96"/>
      <c r="EGV58" s="232"/>
      <c r="EGW58" s="95"/>
      <c r="EGX58" s="96"/>
      <c r="EHD58" s="232"/>
      <c r="EHE58" s="95"/>
      <c r="EHF58" s="96"/>
      <c r="EHL58" s="232"/>
      <c r="EHM58" s="95"/>
      <c r="EHN58" s="96"/>
      <c r="EHT58" s="232"/>
      <c r="EHU58" s="95"/>
      <c r="EHV58" s="96"/>
      <c r="EIB58" s="232"/>
      <c r="EIC58" s="95"/>
      <c r="EID58" s="96"/>
      <c r="EIJ58" s="232"/>
      <c r="EIK58" s="95"/>
      <c r="EIL58" s="96"/>
      <c r="EIR58" s="232"/>
      <c r="EIS58" s="95"/>
      <c r="EIT58" s="96"/>
      <c r="EIZ58" s="232"/>
      <c r="EJA58" s="95"/>
      <c r="EJB58" s="96"/>
      <c r="EJH58" s="232"/>
      <c r="EJI58" s="95"/>
      <c r="EJJ58" s="96"/>
      <c r="EJP58" s="232"/>
      <c r="EJQ58" s="95"/>
      <c r="EJR58" s="96"/>
      <c r="EJX58" s="232"/>
      <c r="EJY58" s="95"/>
      <c r="EJZ58" s="96"/>
      <c r="EKF58" s="232"/>
      <c r="EKG58" s="95"/>
      <c r="EKH58" s="96"/>
      <c r="EKN58" s="232"/>
      <c r="EKO58" s="95"/>
      <c r="EKP58" s="96"/>
      <c r="EKV58" s="232"/>
      <c r="EKW58" s="95"/>
      <c r="EKX58" s="96"/>
      <c r="ELD58" s="232"/>
      <c r="ELE58" s="95"/>
      <c r="ELF58" s="96"/>
      <c r="ELL58" s="232"/>
      <c r="ELM58" s="95"/>
      <c r="ELN58" s="96"/>
      <c r="ELT58" s="232"/>
      <c r="ELU58" s="95"/>
      <c r="ELV58" s="96"/>
      <c r="EMB58" s="232"/>
      <c r="EMC58" s="95"/>
      <c r="EMD58" s="96"/>
      <c r="EMJ58" s="232"/>
      <c r="EMK58" s="95"/>
      <c r="EML58" s="96"/>
      <c r="EMR58" s="232"/>
      <c r="EMS58" s="95"/>
      <c r="EMT58" s="96"/>
      <c r="EMZ58" s="232"/>
      <c r="ENA58" s="95"/>
      <c r="ENB58" s="96"/>
      <c r="ENH58" s="232"/>
      <c r="ENI58" s="95"/>
      <c r="ENJ58" s="96"/>
      <c r="ENP58" s="232"/>
      <c r="ENQ58" s="95"/>
      <c r="ENR58" s="96"/>
      <c r="ENX58" s="232"/>
      <c r="ENY58" s="95"/>
      <c r="ENZ58" s="96"/>
      <c r="EOF58" s="232"/>
      <c r="EOG58" s="95"/>
      <c r="EOH58" s="96"/>
      <c r="EON58" s="232"/>
      <c r="EOO58" s="95"/>
      <c r="EOP58" s="96"/>
      <c r="EOV58" s="232"/>
      <c r="EOW58" s="95"/>
      <c r="EOX58" s="96"/>
      <c r="EPD58" s="232"/>
      <c r="EPE58" s="95"/>
      <c r="EPF58" s="96"/>
      <c r="EPL58" s="232"/>
      <c r="EPM58" s="95"/>
      <c r="EPN58" s="96"/>
      <c r="EPT58" s="232"/>
      <c r="EPU58" s="95"/>
      <c r="EPV58" s="96"/>
      <c r="EQB58" s="232"/>
      <c r="EQC58" s="95"/>
      <c r="EQD58" s="96"/>
      <c r="EQJ58" s="232"/>
      <c r="EQK58" s="95"/>
      <c r="EQL58" s="96"/>
      <c r="EQR58" s="232"/>
      <c r="EQS58" s="95"/>
      <c r="EQT58" s="96"/>
      <c r="EQZ58" s="232"/>
      <c r="ERA58" s="95"/>
      <c r="ERB58" s="96"/>
      <c r="ERH58" s="232"/>
      <c r="ERI58" s="95"/>
      <c r="ERJ58" s="96"/>
      <c r="ERP58" s="232"/>
      <c r="ERQ58" s="95"/>
      <c r="ERR58" s="96"/>
      <c r="ERX58" s="232"/>
      <c r="ERY58" s="95"/>
      <c r="ERZ58" s="96"/>
      <c r="ESF58" s="232"/>
      <c r="ESG58" s="95"/>
      <c r="ESH58" s="96"/>
      <c r="ESN58" s="232"/>
      <c r="ESO58" s="95"/>
      <c r="ESP58" s="96"/>
      <c r="ESV58" s="232"/>
      <c r="ESW58" s="95"/>
      <c r="ESX58" s="96"/>
      <c r="ETD58" s="232"/>
      <c r="ETE58" s="95"/>
      <c r="ETF58" s="96"/>
      <c r="ETL58" s="232"/>
      <c r="ETM58" s="95"/>
      <c r="ETN58" s="96"/>
      <c r="ETT58" s="232"/>
      <c r="ETU58" s="95"/>
      <c r="ETV58" s="96"/>
      <c r="EUB58" s="232"/>
      <c r="EUC58" s="95"/>
      <c r="EUD58" s="96"/>
      <c r="EUJ58" s="232"/>
      <c r="EUK58" s="95"/>
      <c r="EUL58" s="96"/>
      <c r="EUR58" s="232"/>
      <c r="EUS58" s="95"/>
      <c r="EUT58" s="96"/>
      <c r="EUZ58" s="232"/>
      <c r="EVA58" s="95"/>
      <c r="EVB58" s="96"/>
      <c r="EVH58" s="232"/>
      <c r="EVI58" s="95"/>
      <c r="EVJ58" s="96"/>
      <c r="EVP58" s="232"/>
      <c r="EVQ58" s="95"/>
      <c r="EVR58" s="96"/>
      <c r="EVX58" s="232"/>
      <c r="EVY58" s="95"/>
      <c r="EVZ58" s="96"/>
      <c r="EWF58" s="232"/>
      <c r="EWG58" s="95"/>
      <c r="EWH58" s="96"/>
      <c r="EWN58" s="232"/>
      <c r="EWO58" s="95"/>
      <c r="EWP58" s="96"/>
      <c r="EWV58" s="232"/>
      <c r="EWW58" s="95"/>
      <c r="EWX58" s="96"/>
      <c r="EXD58" s="232"/>
      <c r="EXE58" s="95"/>
      <c r="EXF58" s="96"/>
      <c r="EXL58" s="232"/>
      <c r="EXM58" s="95"/>
      <c r="EXN58" s="96"/>
      <c r="EXT58" s="232"/>
      <c r="EXU58" s="95"/>
      <c r="EXV58" s="96"/>
      <c r="EYB58" s="232"/>
      <c r="EYC58" s="95"/>
      <c r="EYD58" s="96"/>
      <c r="EYJ58" s="232"/>
      <c r="EYK58" s="95"/>
      <c r="EYL58" s="96"/>
      <c r="EYR58" s="232"/>
      <c r="EYS58" s="95"/>
      <c r="EYT58" s="96"/>
      <c r="EYZ58" s="232"/>
      <c r="EZA58" s="95"/>
      <c r="EZB58" s="96"/>
      <c r="EZH58" s="232"/>
      <c r="EZI58" s="95"/>
      <c r="EZJ58" s="96"/>
      <c r="EZP58" s="232"/>
      <c r="EZQ58" s="95"/>
      <c r="EZR58" s="96"/>
      <c r="EZX58" s="232"/>
      <c r="EZY58" s="95"/>
      <c r="EZZ58" s="96"/>
      <c r="FAF58" s="232"/>
      <c r="FAG58" s="95"/>
      <c r="FAH58" s="96"/>
      <c r="FAN58" s="232"/>
      <c r="FAO58" s="95"/>
      <c r="FAP58" s="96"/>
      <c r="FAV58" s="232"/>
      <c r="FAW58" s="95"/>
      <c r="FAX58" s="96"/>
      <c r="FBD58" s="232"/>
      <c r="FBE58" s="95"/>
      <c r="FBF58" s="96"/>
      <c r="FBL58" s="232"/>
      <c r="FBM58" s="95"/>
      <c r="FBN58" s="96"/>
      <c r="FBT58" s="232"/>
      <c r="FBU58" s="95"/>
      <c r="FBV58" s="96"/>
      <c r="FCB58" s="232"/>
      <c r="FCC58" s="95"/>
      <c r="FCD58" s="96"/>
      <c r="FCJ58" s="232"/>
      <c r="FCK58" s="95"/>
      <c r="FCL58" s="96"/>
      <c r="FCR58" s="232"/>
      <c r="FCS58" s="95"/>
      <c r="FCT58" s="96"/>
      <c r="FCZ58" s="232"/>
      <c r="FDA58" s="95"/>
      <c r="FDB58" s="96"/>
      <c r="FDH58" s="232"/>
      <c r="FDI58" s="95"/>
      <c r="FDJ58" s="96"/>
      <c r="FDP58" s="232"/>
      <c r="FDQ58" s="95"/>
      <c r="FDR58" s="96"/>
      <c r="FDX58" s="232"/>
      <c r="FDY58" s="95"/>
      <c r="FDZ58" s="96"/>
      <c r="FEF58" s="232"/>
      <c r="FEG58" s="95"/>
      <c r="FEH58" s="96"/>
      <c r="FEN58" s="232"/>
      <c r="FEO58" s="95"/>
      <c r="FEP58" s="96"/>
      <c r="FEV58" s="232"/>
      <c r="FEW58" s="95"/>
      <c r="FEX58" s="96"/>
      <c r="FFD58" s="232"/>
      <c r="FFE58" s="95"/>
      <c r="FFF58" s="96"/>
      <c r="FFL58" s="232"/>
      <c r="FFM58" s="95"/>
      <c r="FFN58" s="96"/>
      <c r="FFT58" s="232"/>
      <c r="FFU58" s="95"/>
      <c r="FFV58" s="96"/>
      <c r="FGB58" s="232"/>
      <c r="FGC58" s="95"/>
      <c r="FGD58" s="96"/>
      <c r="FGJ58" s="232"/>
      <c r="FGK58" s="95"/>
      <c r="FGL58" s="96"/>
      <c r="FGR58" s="232"/>
      <c r="FGS58" s="95"/>
      <c r="FGT58" s="96"/>
      <c r="FGZ58" s="232"/>
      <c r="FHA58" s="95"/>
      <c r="FHB58" s="96"/>
      <c r="FHH58" s="232"/>
      <c r="FHI58" s="95"/>
      <c r="FHJ58" s="96"/>
      <c r="FHP58" s="232"/>
      <c r="FHQ58" s="95"/>
      <c r="FHR58" s="96"/>
      <c r="FHX58" s="232"/>
      <c r="FHY58" s="95"/>
      <c r="FHZ58" s="96"/>
      <c r="FIF58" s="232"/>
      <c r="FIG58" s="95"/>
      <c r="FIH58" s="96"/>
      <c r="FIN58" s="232"/>
      <c r="FIO58" s="95"/>
      <c r="FIP58" s="96"/>
      <c r="FIV58" s="232"/>
      <c r="FIW58" s="95"/>
      <c r="FIX58" s="96"/>
      <c r="FJD58" s="232"/>
      <c r="FJE58" s="95"/>
      <c r="FJF58" s="96"/>
      <c r="FJL58" s="232"/>
      <c r="FJM58" s="95"/>
      <c r="FJN58" s="96"/>
      <c r="FJT58" s="232"/>
      <c r="FJU58" s="95"/>
      <c r="FJV58" s="96"/>
      <c r="FKB58" s="232"/>
      <c r="FKC58" s="95"/>
      <c r="FKD58" s="96"/>
      <c r="FKJ58" s="232"/>
      <c r="FKK58" s="95"/>
      <c r="FKL58" s="96"/>
      <c r="FKR58" s="232"/>
      <c r="FKS58" s="95"/>
      <c r="FKT58" s="96"/>
      <c r="FKZ58" s="232"/>
      <c r="FLA58" s="95"/>
      <c r="FLB58" s="96"/>
      <c r="FLH58" s="232"/>
      <c r="FLI58" s="95"/>
      <c r="FLJ58" s="96"/>
      <c r="FLP58" s="232"/>
      <c r="FLQ58" s="95"/>
      <c r="FLR58" s="96"/>
      <c r="FLX58" s="232"/>
      <c r="FLY58" s="95"/>
      <c r="FLZ58" s="96"/>
      <c r="FMF58" s="232"/>
      <c r="FMG58" s="95"/>
      <c r="FMH58" s="96"/>
      <c r="FMN58" s="232"/>
      <c r="FMO58" s="95"/>
      <c r="FMP58" s="96"/>
      <c r="FMV58" s="232"/>
      <c r="FMW58" s="95"/>
      <c r="FMX58" s="96"/>
      <c r="FND58" s="232"/>
      <c r="FNE58" s="95"/>
      <c r="FNF58" s="96"/>
      <c r="FNL58" s="232"/>
      <c r="FNM58" s="95"/>
      <c r="FNN58" s="96"/>
      <c r="FNT58" s="232"/>
      <c r="FNU58" s="95"/>
      <c r="FNV58" s="96"/>
      <c r="FOB58" s="232"/>
      <c r="FOC58" s="95"/>
      <c r="FOD58" s="96"/>
      <c r="FOJ58" s="232"/>
      <c r="FOK58" s="95"/>
      <c r="FOL58" s="96"/>
      <c r="FOR58" s="232"/>
      <c r="FOS58" s="95"/>
      <c r="FOT58" s="96"/>
      <c r="FOZ58" s="232"/>
      <c r="FPA58" s="95"/>
      <c r="FPB58" s="96"/>
      <c r="FPH58" s="232"/>
      <c r="FPI58" s="95"/>
      <c r="FPJ58" s="96"/>
      <c r="FPP58" s="232"/>
      <c r="FPQ58" s="95"/>
      <c r="FPR58" s="96"/>
      <c r="FPX58" s="232"/>
      <c r="FPY58" s="95"/>
      <c r="FPZ58" s="96"/>
      <c r="FQF58" s="232"/>
      <c r="FQG58" s="95"/>
      <c r="FQH58" s="96"/>
      <c r="FQN58" s="232"/>
      <c r="FQO58" s="95"/>
      <c r="FQP58" s="96"/>
      <c r="FQV58" s="232"/>
      <c r="FQW58" s="95"/>
      <c r="FQX58" s="96"/>
      <c r="FRD58" s="232"/>
      <c r="FRE58" s="95"/>
      <c r="FRF58" s="96"/>
      <c r="FRL58" s="232"/>
      <c r="FRM58" s="95"/>
      <c r="FRN58" s="96"/>
      <c r="FRT58" s="232"/>
      <c r="FRU58" s="95"/>
      <c r="FRV58" s="96"/>
      <c r="FSB58" s="232"/>
      <c r="FSC58" s="95"/>
      <c r="FSD58" s="96"/>
      <c r="FSJ58" s="232"/>
      <c r="FSK58" s="95"/>
      <c r="FSL58" s="96"/>
      <c r="FSR58" s="232"/>
      <c r="FSS58" s="95"/>
      <c r="FST58" s="96"/>
      <c r="FSZ58" s="232"/>
      <c r="FTA58" s="95"/>
      <c r="FTB58" s="96"/>
      <c r="FTH58" s="232"/>
      <c r="FTI58" s="95"/>
      <c r="FTJ58" s="96"/>
      <c r="FTP58" s="232"/>
      <c r="FTQ58" s="95"/>
      <c r="FTR58" s="96"/>
      <c r="FTX58" s="232"/>
      <c r="FTY58" s="95"/>
      <c r="FTZ58" s="96"/>
      <c r="FUF58" s="232"/>
      <c r="FUG58" s="95"/>
      <c r="FUH58" s="96"/>
      <c r="FUN58" s="232"/>
      <c r="FUO58" s="95"/>
      <c r="FUP58" s="96"/>
      <c r="FUV58" s="232"/>
      <c r="FUW58" s="95"/>
      <c r="FUX58" s="96"/>
      <c r="FVD58" s="232"/>
      <c r="FVE58" s="95"/>
      <c r="FVF58" s="96"/>
      <c r="FVL58" s="232"/>
      <c r="FVM58" s="95"/>
      <c r="FVN58" s="96"/>
      <c r="FVT58" s="232"/>
      <c r="FVU58" s="95"/>
      <c r="FVV58" s="96"/>
      <c r="FWB58" s="232"/>
      <c r="FWC58" s="95"/>
      <c r="FWD58" s="96"/>
      <c r="FWJ58" s="232"/>
      <c r="FWK58" s="95"/>
      <c r="FWL58" s="96"/>
      <c r="FWR58" s="232"/>
      <c r="FWS58" s="95"/>
      <c r="FWT58" s="96"/>
      <c r="FWZ58" s="232"/>
      <c r="FXA58" s="95"/>
      <c r="FXB58" s="96"/>
      <c r="FXH58" s="232"/>
      <c r="FXI58" s="95"/>
      <c r="FXJ58" s="96"/>
      <c r="FXP58" s="232"/>
      <c r="FXQ58" s="95"/>
      <c r="FXR58" s="96"/>
      <c r="FXX58" s="232"/>
      <c r="FXY58" s="95"/>
      <c r="FXZ58" s="96"/>
      <c r="FYF58" s="232"/>
      <c r="FYG58" s="95"/>
      <c r="FYH58" s="96"/>
      <c r="FYN58" s="232"/>
      <c r="FYO58" s="95"/>
      <c r="FYP58" s="96"/>
      <c r="FYV58" s="232"/>
      <c r="FYW58" s="95"/>
      <c r="FYX58" s="96"/>
      <c r="FZD58" s="232"/>
      <c r="FZE58" s="95"/>
      <c r="FZF58" s="96"/>
      <c r="FZL58" s="232"/>
      <c r="FZM58" s="95"/>
      <c r="FZN58" s="96"/>
      <c r="FZT58" s="232"/>
      <c r="FZU58" s="95"/>
      <c r="FZV58" s="96"/>
      <c r="GAB58" s="232"/>
      <c r="GAC58" s="95"/>
      <c r="GAD58" s="96"/>
      <c r="GAJ58" s="232"/>
      <c r="GAK58" s="95"/>
      <c r="GAL58" s="96"/>
      <c r="GAR58" s="232"/>
      <c r="GAS58" s="95"/>
      <c r="GAT58" s="96"/>
      <c r="GAZ58" s="232"/>
      <c r="GBA58" s="95"/>
      <c r="GBB58" s="96"/>
      <c r="GBH58" s="232"/>
      <c r="GBI58" s="95"/>
      <c r="GBJ58" s="96"/>
      <c r="GBP58" s="232"/>
      <c r="GBQ58" s="95"/>
      <c r="GBR58" s="96"/>
      <c r="GBX58" s="232"/>
      <c r="GBY58" s="95"/>
      <c r="GBZ58" s="96"/>
      <c r="GCF58" s="232"/>
      <c r="GCG58" s="95"/>
      <c r="GCH58" s="96"/>
      <c r="GCN58" s="232"/>
      <c r="GCO58" s="95"/>
      <c r="GCP58" s="96"/>
      <c r="GCV58" s="232"/>
      <c r="GCW58" s="95"/>
      <c r="GCX58" s="96"/>
      <c r="GDD58" s="232"/>
      <c r="GDE58" s="95"/>
      <c r="GDF58" s="96"/>
      <c r="GDL58" s="232"/>
      <c r="GDM58" s="95"/>
      <c r="GDN58" s="96"/>
      <c r="GDT58" s="232"/>
      <c r="GDU58" s="95"/>
      <c r="GDV58" s="96"/>
      <c r="GEB58" s="232"/>
      <c r="GEC58" s="95"/>
      <c r="GED58" s="96"/>
      <c r="GEJ58" s="232"/>
      <c r="GEK58" s="95"/>
      <c r="GEL58" s="96"/>
      <c r="GER58" s="232"/>
      <c r="GES58" s="95"/>
      <c r="GET58" s="96"/>
      <c r="GEZ58" s="232"/>
      <c r="GFA58" s="95"/>
      <c r="GFB58" s="96"/>
      <c r="GFH58" s="232"/>
      <c r="GFI58" s="95"/>
      <c r="GFJ58" s="96"/>
      <c r="GFP58" s="232"/>
      <c r="GFQ58" s="95"/>
      <c r="GFR58" s="96"/>
      <c r="GFX58" s="232"/>
      <c r="GFY58" s="95"/>
      <c r="GFZ58" s="96"/>
      <c r="GGF58" s="232"/>
      <c r="GGG58" s="95"/>
      <c r="GGH58" s="96"/>
      <c r="GGN58" s="232"/>
      <c r="GGO58" s="95"/>
      <c r="GGP58" s="96"/>
      <c r="GGV58" s="232"/>
      <c r="GGW58" s="95"/>
      <c r="GGX58" s="96"/>
      <c r="GHD58" s="232"/>
      <c r="GHE58" s="95"/>
      <c r="GHF58" s="96"/>
      <c r="GHL58" s="232"/>
      <c r="GHM58" s="95"/>
      <c r="GHN58" s="96"/>
      <c r="GHT58" s="232"/>
      <c r="GHU58" s="95"/>
      <c r="GHV58" s="96"/>
      <c r="GIB58" s="232"/>
      <c r="GIC58" s="95"/>
      <c r="GID58" s="96"/>
      <c r="GIJ58" s="232"/>
      <c r="GIK58" s="95"/>
      <c r="GIL58" s="96"/>
      <c r="GIR58" s="232"/>
      <c r="GIS58" s="95"/>
      <c r="GIT58" s="96"/>
      <c r="GIZ58" s="232"/>
      <c r="GJA58" s="95"/>
      <c r="GJB58" s="96"/>
      <c r="GJH58" s="232"/>
      <c r="GJI58" s="95"/>
      <c r="GJJ58" s="96"/>
      <c r="GJP58" s="232"/>
      <c r="GJQ58" s="95"/>
      <c r="GJR58" s="96"/>
      <c r="GJX58" s="232"/>
      <c r="GJY58" s="95"/>
      <c r="GJZ58" s="96"/>
      <c r="GKF58" s="232"/>
      <c r="GKG58" s="95"/>
      <c r="GKH58" s="96"/>
      <c r="GKN58" s="232"/>
      <c r="GKO58" s="95"/>
      <c r="GKP58" s="96"/>
      <c r="GKV58" s="232"/>
      <c r="GKW58" s="95"/>
      <c r="GKX58" s="96"/>
      <c r="GLD58" s="232"/>
      <c r="GLE58" s="95"/>
      <c r="GLF58" s="96"/>
      <c r="GLL58" s="232"/>
      <c r="GLM58" s="95"/>
      <c r="GLN58" s="96"/>
      <c r="GLT58" s="232"/>
      <c r="GLU58" s="95"/>
      <c r="GLV58" s="96"/>
      <c r="GMB58" s="232"/>
      <c r="GMC58" s="95"/>
      <c r="GMD58" s="96"/>
      <c r="GMJ58" s="232"/>
      <c r="GMK58" s="95"/>
      <c r="GML58" s="96"/>
      <c r="GMR58" s="232"/>
      <c r="GMS58" s="95"/>
      <c r="GMT58" s="96"/>
      <c r="GMZ58" s="232"/>
      <c r="GNA58" s="95"/>
      <c r="GNB58" s="96"/>
      <c r="GNH58" s="232"/>
      <c r="GNI58" s="95"/>
      <c r="GNJ58" s="96"/>
      <c r="GNP58" s="232"/>
      <c r="GNQ58" s="95"/>
      <c r="GNR58" s="96"/>
      <c r="GNX58" s="232"/>
      <c r="GNY58" s="95"/>
      <c r="GNZ58" s="96"/>
      <c r="GOF58" s="232"/>
      <c r="GOG58" s="95"/>
      <c r="GOH58" s="96"/>
      <c r="GON58" s="232"/>
      <c r="GOO58" s="95"/>
      <c r="GOP58" s="96"/>
      <c r="GOV58" s="232"/>
      <c r="GOW58" s="95"/>
      <c r="GOX58" s="96"/>
      <c r="GPD58" s="232"/>
      <c r="GPE58" s="95"/>
      <c r="GPF58" s="96"/>
      <c r="GPL58" s="232"/>
      <c r="GPM58" s="95"/>
      <c r="GPN58" s="96"/>
      <c r="GPT58" s="232"/>
      <c r="GPU58" s="95"/>
      <c r="GPV58" s="96"/>
      <c r="GQB58" s="232"/>
      <c r="GQC58" s="95"/>
      <c r="GQD58" s="96"/>
      <c r="GQJ58" s="232"/>
      <c r="GQK58" s="95"/>
      <c r="GQL58" s="96"/>
      <c r="GQR58" s="232"/>
      <c r="GQS58" s="95"/>
      <c r="GQT58" s="96"/>
      <c r="GQZ58" s="232"/>
      <c r="GRA58" s="95"/>
      <c r="GRB58" s="96"/>
      <c r="GRH58" s="232"/>
      <c r="GRI58" s="95"/>
      <c r="GRJ58" s="96"/>
      <c r="GRP58" s="232"/>
      <c r="GRQ58" s="95"/>
      <c r="GRR58" s="96"/>
      <c r="GRX58" s="232"/>
      <c r="GRY58" s="95"/>
      <c r="GRZ58" s="96"/>
      <c r="GSF58" s="232"/>
      <c r="GSG58" s="95"/>
      <c r="GSH58" s="96"/>
      <c r="GSN58" s="232"/>
      <c r="GSO58" s="95"/>
      <c r="GSP58" s="96"/>
      <c r="GSV58" s="232"/>
      <c r="GSW58" s="95"/>
      <c r="GSX58" s="96"/>
      <c r="GTD58" s="232"/>
      <c r="GTE58" s="95"/>
      <c r="GTF58" s="96"/>
      <c r="GTL58" s="232"/>
      <c r="GTM58" s="95"/>
      <c r="GTN58" s="96"/>
      <c r="GTT58" s="232"/>
      <c r="GTU58" s="95"/>
      <c r="GTV58" s="96"/>
      <c r="GUB58" s="232"/>
      <c r="GUC58" s="95"/>
      <c r="GUD58" s="96"/>
      <c r="GUJ58" s="232"/>
      <c r="GUK58" s="95"/>
      <c r="GUL58" s="96"/>
      <c r="GUR58" s="232"/>
      <c r="GUS58" s="95"/>
      <c r="GUT58" s="96"/>
      <c r="GUZ58" s="232"/>
      <c r="GVA58" s="95"/>
      <c r="GVB58" s="96"/>
      <c r="GVH58" s="232"/>
      <c r="GVI58" s="95"/>
      <c r="GVJ58" s="96"/>
      <c r="GVP58" s="232"/>
      <c r="GVQ58" s="95"/>
      <c r="GVR58" s="96"/>
      <c r="GVX58" s="232"/>
      <c r="GVY58" s="95"/>
      <c r="GVZ58" s="96"/>
      <c r="GWF58" s="232"/>
      <c r="GWG58" s="95"/>
      <c r="GWH58" s="96"/>
      <c r="GWN58" s="232"/>
      <c r="GWO58" s="95"/>
      <c r="GWP58" s="96"/>
      <c r="GWV58" s="232"/>
      <c r="GWW58" s="95"/>
      <c r="GWX58" s="96"/>
      <c r="GXD58" s="232"/>
      <c r="GXE58" s="95"/>
      <c r="GXF58" s="96"/>
      <c r="GXL58" s="232"/>
      <c r="GXM58" s="95"/>
      <c r="GXN58" s="96"/>
      <c r="GXT58" s="232"/>
      <c r="GXU58" s="95"/>
      <c r="GXV58" s="96"/>
      <c r="GYB58" s="232"/>
      <c r="GYC58" s="95"/>
      <c r="GYD58" s="96"/>
      <c r="GYJ58" s="232"/>
      <c r="GYK58" s="95"/>
      <c r="GYL58" s="96"/>
      <c r="GYR58" s="232"/>
      <c r="GYS58" s="95"/>
      <c r="GYT58" s="96"/>
      <c r="GYZ58" s="232"/>
      <c r="GZA58" s="95"/>
      <c r="GZB58" s="96"/>
      <c r="GZH58" s="232"/>
      <c r="GZI58" s="95"/>
      <c r="GZJ58" s="96"/>
      <c r="GZP58" s="232"/>
      <c r="GZQ58" s="95"/>
      <c r="GZR58" s="96"/>
      <c r="GZX58" s="232"/>
      <c r="GZY58" s="95"/>
      <c r="GZZ58" s="96"/>
      <c r="HAF58" s="232"/>
      <c r="HAG58" s="95"/>
      <c r="HAH58" s="96"/>
      <c r="HAN58" s="232"/>
      <c r="HAO58" s="95"/>
      <c r="HAP58" s="96"/>
      <c r="HAV58" s="232"/>
      <c r="HAW58" s="95"/>
      <c r="HAX58" s="96"/>
      <c r="HBD58" s="232"/>
      <c r="HBE58" s="95"/>
      <c r="HBF58" s="96"/>
      <c r="HBL58" s="232"/>
      <c r="HBM58" s="95"/>
      <c r="HBN58" s="96"/>
      <c r="HBT58" s="232"/>
      <c r="HBU58" s="95"/>
      <c r="HBV58" s="96"/>
      <c r="HCB58" s="232"/>
      <c r="HCC58" s="95"/>
      <c r="HCD58" s="96"/>
      <c r="HCJ58" s="232"/>
      <c r="HCK58" s="95"/>
      <c r="HCL58" s="96"/>
      <c r="HCR58" s="232"/>
      <c r="HCS58" s="95"/>
      <c r="HCT58" s="96"/>
      <c r="HCZ58" s="232"/>
      <c r="HDA58" s="95"/>
      <c r="HDB58" s="96"/>
      <c r="HDH58" s="232"/>
      <c r="HDI58" s="95"/>
      <c r="HDJ58" s="96"/>
      <c r="HDP58" s="232"/>
      <c r="HDQ58" s="95"/>
      <c r="HDR58" s="96"/>
      <c r="HDX58" s="232"/>
      <c r="HDY58" s="95"/>
      <c r="HDZ58" s="96"/>
      <c r="HEF58" s="232"/>
      <c r="HEG58" s="95"/>
      <c r="HEH58" s="96"/>
      <c r="HEN58" s="232"/>
      <c r="HEO58" s="95"/>
      <c r="HEP58" s="96"/>
      <c r="HEV58" s="232"/>
      <c r="HEW58" s="95"/>
      <c r="HEX58" s="96"/>
      <c r="HFD58" s="232"/>
      <c r="HFE58" s="95"/>
      <c r="HFF58" s="96"/>
      <c r="HFL58" s="232"/>
      <c r="HFM58" s="95"/>
      <c r="HFN58" s="96"/>
      <c r="HFT58" s="232"/>
      <c r="HFU58" s="95"/>
      <c r="HFV58" s="96"/>
      <c r="HGB58" s="232"/>
      <c r="HGC58" s="95"/>
      <c r="HGD58" s="96"/>
      <c r="HGJ58" s="232"/>
      <c r="HGK58" s="95"/>
      <c r="HGL58" s="96"/>
      <c r="HGR58" s="232"/>
      <c r="HGS58" s="95"/>
      <c r="HGT58" s="96"/>
      <c r="HGZ58" s="232"/>
      <c r="HHA58" s="95"/>
      <c r="HHB58" s="96"/>
      <c r="HHH58" s="232"/>
      <c r="HHI58" s="95"/>
      <c r="HHJ58" s="96"/>
      <c r="HHP58" s="232"/>
      <c r="HHQ58" s="95"/>
      <c r="HHR58" s="96"/>
      <c r="HHX58" s="232"/>
      <c r="HHY58" s="95"/>
      <c r="HHZ58" s="96"/>
      <c r="HIF58" s="232"/>
      <c r="HIG58" s="95"/>
      <c r="HIH58" s="96"/>
      <c r="HIN58" s="232"/>
      <c r="HIO58" s="95"/>
      <c r="HIP58" s="96"/>
      <c r="HIV58" s="232"/>
      <c r="HIW58" s="95"/>
      <c r="HIX58" s="96"/>
      <c r="HJD58" s="232"/>
      <c r="HJE58" s="95"/>
      <c r="HJF58" s="96"/>
      <c r="HJL58" s="232"/>
      <c r="HJM58" s="95"/>
      <c r="HJN58" s="96"/>
      <c r="HJT58" s="232"/>
      <c r="HJU58" s="95"/>
      <c r="HJV58" s="96"/>
      <c r="HKB58" s="232"/>
      <c r="HKC58" s="95"/>
      <c r="HKD58" s="96"/>
      <c r="HKJ58" s="232"/>
      <c r="HKK58" s="95"/>
      <c r="HKL58" s="96"/>
      <c r="HKR58" s="232"/>
      <c r="HKS58" s="95"/>
      <c r="HKT58" s="96"/>
      <c r="HKZ58" s="232"/>
      <c r="HLA58" s="95"/>
      <c r="HLB58" s="96"/>
      <c r="HLH58" s="232"/>
      <c r="HLI58" s="95"/>
      <c r="HLJ58" s="96"/>
      <c r="HLP58" s="232"/>
      <c r="HLQ58" s="95"/>
      <c r="HLR58" s="96"/>
      <c r="HLX58" s="232"/>
      <c r="HLY58" s="95"/>
      <c r="HLZ58" s="96"/>
      <c r="HMF58" s="232"/>
      <c r="HMG58" s="95"/>
      <c r="HMH58" s="96"/>
      <c r="HMN58" s="232"/>
      <c r="HMO58" s="95"/>
      <c r="HMP58" s="96"/>
      <c r="HMV58" s="232"/>
      <c r="HMW58" s="95"/>
      <c r="HMX58" s="96"/>
      <c r="HND58" s="232"/>
      <c r="HNE58" s="95"/>
      <c r="HNF58" s="96"/>
      <c r="HNL58" s="232"/>
      <c r="HNM58" s="95"/>
      <c r="HNN58" s="96"/>
      <c r="HNT58" s="232"/>
      <c r="HNU58" s="95"/>
      <c r="HNV58" s="96"/>
      <c r="HOB58" s="232"/>
      <c r="HOC58" s="95"/>
      <c r="HOD58" s="96"/>
      <c r="HOJ58" s="232"/>
      <c r="HOK58" s="95"/>
      <c r="HOL58" s="96"/>
      <c r="HOR58" s="232"/>
      <c r="HOS58" s="95"/>
      <c r="HOT58" s="96"/>
      <c r="HOZ58" s="232"/>
      <c r="HPA58" s="95"/>
      <c r="HPB58" s="96"/>
      <c r="HPH58" s="232"/>
      <c r="HPI58" s="95"/>
      <c r="HPJ58" s="96"/>
      <c r="HPP58" s="232"/>
      <c r="HPQ58" s="95"/>
      <c r="HPR58" s="96"/>
      <c r="HPX58" s="232"/>
      <c r="HPY58" s="95"/>
      <c r="HPZ58" s="96"/>
      <c r="HQF58" s="232"/>
      <c r="HQG58" s="95"/>
      <c r="HQH58" s="96"/>
      <c r="HQN58" s="232"/>
      <c r="HQO58" s="95"/>
      <c r="HQP58" s="96"/>
      <c r="HQV58" s="232"/>
      <c r="HQW58" s="95"/>
      <c r="HQX58" s="96"/>
      <c r="HRD58" s="232"/>
      <c r="HRE58" s="95"/>
      <c r="HRF58" s="96"/>
      <c r="HRL58" s="232"/>
      <c r="HRM58" s="95"/>
      <c r="HRN58" s="96"/>
      <c r="HRT58" s="232"/>
      <c r="HRU58" s="95"/>
      <c r="HRV58" s="96"/>
      <c r="HSB58" s="232"/>
      <c r="HSC58" s="95"/>
      <c r="HSD58" s="96"/>
      <c r="HSJ58" s="232"/>
      <c r="HSK58" s="95"/>
      <c r="HSL58" s="96"/>
      <c r="HSR58" s="232"/>
      <c r="HSS58" s="95"/>
      <c r="HST58" s="96"/>
      <c r="HSZ58" s="232"/>
      <c r="HTA58" s="95"/>
      <c r="HTB58" s="96"/>
      <c r="HTH58" s="232"/>
      <c r="HTI58" s="95"/>
      <c r="HTJ58" s="96"/>
      <c r="HTP58" s="232"/>
      <c r="HTQ58" s="95"/>
      <c r="HTR58" s="96"/>
      <c r="HTX58" s="232"/>
      <c r="HTY58" s="95"/>
      <c r="HTZ58" s="96"/>
      <c r="HUF58" s="232"/>
      <c r="HUG58" s="95"/>
      <c r="HUH58" s="96"/>
      <c r="HUN58" s="232"/>
      <c r="HUO58" s="95"/>
      <c r="HUP58" s="96"/>
      <c r="HUV58" s="232"/>
      <c r="HUW58" s="95"/>
      <c r="HUX58" s="96"/>
      <c r="HVD58" s="232"/>
      <c r="HVE58" s="95"/>
      <c r="HVF58" s="96"/>
      <c r="HVL58" s="232"/>
      <c r="HVM58" s="95"/>
      <c r="HVN58" s="96"/>
      <c r="HVT58" s="232"/>
      <c r="HVU58" s="95"/>
      <c r="HVV58" s="96"/>
      <c r="HWB58" s="232"/>
      <c r="HWC58" s="95"/>
      <c r="HWD58" s="96"/>
      <c r="HWJ58" s="232"/>
      <c r="HWK58" s="95"/>
      <c r="HWL58" s="96"/>
      <c r="HWR58" s="232"/>
      <c r="HWS58" s="95"/>
      <c r="HWT58" s="96"/>
      <c r="HWZ58" s="232"/>
      <c r="HXA58" s="95"/>
      <c r="HXB58" s="96"/>
      <c r="HXH58" s="232"/>
      <c r="HXI58" s="95"/>
      <c r="HXJ58" s="96"/>
      <c r="HXP58" s="232"/>
      <c r="HXQ58" s="95"/>
      <c r="HXR58" s="96"/>
      <c r="HXX58" s="232"/>
      <c r="HXY58" s="95"/>
      <c r="HXZ58" s="96"/>
      <c r="HYF58" s="232"/>
      <c r="HYG58" s="95"/>
      <c r="HYH58" s="96"/>
      <c r="HYN58" s="232"/>
      <c r="HYO58" s="95"/>
      <c r="HYP58" s="96"/>
      <c r="HYV58" s="232"/>
      <c r="HYW58" s="95"/>
      <c r="HYX58" s="96"/>
      <c r="HZD58" s="232"/>
      <c r="HZE58" s="95"/>
      <c r="HZF58" s="96"/>
      <c r="HZL58" s="232"/>
      <c r="HZM58" s="95"/>
      <c r="HZN58" s="96"/>
      <c r="HZT58" s="232"/>
      <c r="HZU58" s="95"/>
      <c r="HZV58" s="96"/>
      <c r="IAB58" s="232"/>
      <c r="IAC58" s="95"/>
      <c r="IAD58" s="96"/>
      <c r="IAJ58" s="232"/>
      <c r="IAK58" s="95"/>
      <c r="IAL58" s="96"/>
      <c r="IAR58" s="232"/>
      <c r="IAS58" s="95"/>
      <c r="IAT58" s="96"/>
      <c r="IAZ58" s="232"/>
      <c r="IBA58" s="95"/>
      <c r="IBB58" s="96"/>
      <c r="IBH58" s="232"/>
      <c r="IBI58" s="95"/>
      <c r="IBJ58" s="96"/>
      <c r="IBP58" s="232"/>
      <c r="IBQ58" s="95"/>
      <c r="IBR58" s="96"/>
      <c r="IBX58" s="232"/>
      <c r="IBY58" s="95"/>
      <c r="IBZ58" s="96"/>
      <c r="ICF58" s="232"/>
      <c r="ICG58" s="95"/>
      <c r="ICH58" s="96"/>
      <c r="ICN58" s="232"/>
      <c r="ICO58" s="95"/>
      <c r="ICP58" s="96"/>
      <c r="ICV58" s="232"/>
      <c r="ICW58" s="95"/>
      <c r="ICX58" s="96"/>
      <c r="IDD58" s="232"/>
      <c r="IDE58" s="95"/>
      <c r="IDF58" s="96"/>
      <c r="IDL58" s="232"/>
      <c r="IDM58" s="95"/>
      <c r="IDN58" s="96"/>
      <c r="IDT58" s="232"/>
      <c r="IDU58" s="95"/>
      <c r="IDV58" s="96"/>
      <c r="IEB58" s="232"/>
      <c r="IEC58" s="95"/>
      <c r="IED58" s="96"/>
      <c r="IEJ58" s="232"/>
      <c r="IEK58" s="95"/>
      <c r="IEL58" s="96"/>
      <c r="IER58" s="232"/>
      <c r="IES58" s="95"/>
      <c r="IET58" s="96"/>
      <c r="IEZ58" s="232"/>
      <c r="IFA58" s="95"/>
      <c r="IFB58" s="96"/>
      <c r="IFH58" s="232"/>
      <c r="IFI58" s="95"/>
      <c r="IFJ58" s="96"/>
      <c r="IFP58" s="232"/>
      <c r="IFQ58" s="95"/>
      <c r="IFR58" s="96"/>
      <c r="IFX58" s="232"/>
      <c r="IFY58" s="95"/>
      <c r="IFZ58" s="96"/>
      <c r="IGF58" s="232"/>
      <c r="IGG58" s="95"/>
      <c r="IGH58" s="96"/>
      <c r="IGN58" s="232"/>
      <c r="IGO58" s="95"/>
      <c r="IGP58" s="96"/>
      <c r="IGV58" s="232"/>
      <c r="IGW58" s="95"/>
      <c r="IGX58" s="96"/>
      <c r="IHD58" s="232"/>
      <c r="IHE58" s="95"/>
      <c r="IHF58" s="96"/>
      <c r="IHL58" s="232"/>
      <c r="IHM58" s="95"/>
      <c r="IHN58" s="96"/>
      <c r="IHT58" s="232"/>
      <c r="IHU58" s="95"/>
      <c r="IHV58" s="96"/>
      <c r="IIB58" s="232"/>
      <c r="IIC58" s="95"/>
      <c r="IID58" s="96"/>
      <c r="IIJ58" s="232"/>
      <c r="IIK58" s="95"/>
      <c r="IIL58" s="96"/>
      <c r="IIR58" s="232"/>
      <c r="IIS58" s="95"/>
      <c r="IIT58" s="96"/>
      <c r="IIZ58" s="232"/>
      <c r="IJA58" s="95"/>
      <c r="IJB58" s="96"/>
      <c r="IJH58" s="232"/>
      <c r="IJI58" s="95"/>
      <c r="IJJ58" s="96"/>
      <c r="IJP58" s="232"/>
      <c r="IJQ58" s="95"/>
      <c r="IJR58" s="96"/>
      <c r="IJX58" s="232"/>
      <c r="IJY58" s="95"/>
      <c r="IJZ58" s="96"/>
      <c r="IKF58" s="232"/>
      <c r="IKG58" s="95"/>
      <c r="IKH58" s="96"/>
      <c r="IKN58" s="232"/>
      <c r="IKO58" s="95"/>
      <c r="IKP58" s="96"/>
      <c r="IKV58" s="232"/>
      <c r="IKW58" s="95"/>
      <c r="IKX58" s="96"/>
      <c r="ILD58" s="232"/>
      <c r="ILE58" s="95"/>
      <c r="ILF58" s="96"/>
      <c r="ILL58" s="232"/>
      <c r="ILM58" s="95"/>
      <c r="ILN58" s="96"/>
      <c r="ILT58" s="232"/>
      <c r="ILU58" s="95"/>
      <c r="ILV58" s="96"/>
      <c r="IMB58" s="232"/>
      <c r="IMC58" s="95"/>
      <c r="IMD58" s="96"/>
      <c r="IMJ58" s="232"/>
      <c r="IMK58" s="95"/>
      <c r="IML58" s="96"/>
      <c r="IMR58" s="232"/>
      <c r="IMS58" s="95"/>
      <c r="IMT58" s="96"/>
      <c r="IMZ58" s="232"/>
      <c r="INA58" s="95"/>
      <c r="INB58" s="96"/>
      <c r="INH58" s="232"/>
      <c r="INI58" s="95"/>
      <c r="INJ58" s="96"/>
      <c r="INP58" s="232"/>
      <c r="INQ58" s="95"/>
      <c r="INR58" s="96"/>
      <c r="INX58" s="232"/>
      <c r="INY58" s="95"/>
      <c r="INZ58" s="96"/>
      <c r="IOF58" s="232"/>
      <c r="IOG58" s="95"/>
      <c r="IOH58" s="96"/>
      <c r="ION58" s="232"/>
      <c r="IOO58" s="95"/>
      <c r="IOP58" s="96"/>
      <c r="IOV58" s="232"/>
      <c r="IOW58" s="95"/>
      <c r="IOX58" s="96"/>
      <c r="IPD58" s="232"/>
      <c r="IPE58" s="95"/>
      <c r="IPF58" s="96"/>
      <c r="IPL58" s="232"/>
      <c r="IPM58" s="95"/>
      <c r="IPN58" s="96"/>
      <c r="IPT58" s="232"/>
      <c r="IPU58" s="95"/>
      <c r="IPV58" s="96"/>
      <c r="IQB58" s="232"/>
      <c r="IQC58" s="95"/>
      <c r="IQD58" s="96"/>
      <c r="IQJ58" s="232"/>
      <c r="IQK58" s="95"/>
      <c r="IQL58" s="96"/>
      <c r="IQR58" s="232"/>
      <c r="IQS58" s="95"/>
      <c r="IQT58" s="96"/>
      <c r="IQZ58" s="232"/>
      <c r="IRA58" s="95"/>
      <c r="IRB58" s="96"/>
      <c r="IRH58" s="232"/>
      <c r="IRI58" s="95"/>
      <c r="IRJ58" s="96"/>
      <c r="IRP58" s="232"/>
      <c r="IRQ58" s="95"/>
      <c r="IRR58" s="96"/>
      <c r="IRX58" s="232"/>
      <c r="IRY58" s="95"/>
      <c r="IRZ58" s="96"/>
      <c r="ISF58" s="232"/>
      <c r="ISG58" s="95"/>
      <c r="ISH58" s="96"/>
      <c r="ISN58" s="232"/>
      <c r="ISO58" s="95"/>
      <c r="ISP58" s="96"/>
      <c r="ISV58" s="232"/>
      <c r="ISW58" s="95"/>
      <c r="ISX58" s="96"/>
      <c r="ITD58" s="232"/>
      <c r="ITE58" s="95"/>
      <c r="ITF58" s="96"/>
      <c r="ITL58" s="232"/>
      <c r="ITM58" s="95"/>
      <c r="ITN58" s="96"/>
      <c r="ITT58" s="232"/>
      <c r="ITU58" s="95"/>
      <c r="ITV58" s="96"/>
      <c r="IUB58" s="232"/>
      <c r="IUC58" s="95"/>
      <c r="IUD58" s="96"/>
      <c r="IUJ58" s="232"/>
      <c r="IUK58" s="95"/>
      <c r="IUL58" s="96"/>
      <c r="IUR58" s="232"/>
      <c r="IUS58" s="95"/>
      <c r="IUT58" s="96"/>
      <c r="IUZ58" s="232"/>
      <c r="IVA58" s="95"/>
      <c r="IVB58" s="96"/>
      <c r="IVH58" s="232"/>
      <c r="IVI58" s="95"/>
      <c r="IVJ58" s="96"/>
      <c r="IVP58" s="232"/>
      <c r="IVQ58" s="95"/>
      <c r="IVR58" s="96"/>
      <c r="IVX58" s="232"/>
      <c r="IVY58" s="95"/>
      <c r="IVZ58" s="96"/>
      <c r="IWF58" s="232"/>
      <c r="IWG58" s="95"/>
      <c r="IWH58" s="96"/>
      <c r="IWN58" s="232"/>
      <c r="IWO58" s="95"/>
      <c r="IWP58" s="96"/>
      <c r="IWV58" s="232"/>
      <c r="IWW58" s="95"/>
      <c r="IWX58" s="96"/>
      <c r="IXD58" s="232"/>
      <c r="IXE58" s="95"/>
      <c r="IXF58" s="96"/>
      <c r="IXL58" s="232"/>
      <c r="IXM58" s="95"/>
      <c r="IXN58" s="96"/>
      <c r="IXT58" s="232"/>
      <c r="IXU58" s="95"/>
      <c r="IXV58" s="96"/>
      <c r="IYB58" s="232"/>
      <c r="IYC58" s="95"/>
      <c r="IYD58" s="96"/>
      <c r="IYJ58" s="232"/>
      <c r="IYK58" s="95"/>
      <c r="IYL58" s="96"/>
      <c r="IYR58" s="232"/>
      <c r="IYS58" s="95"/>
      <c r="IYT58" s="96"/>
      <c r="IYZ58" s="232"/>
      <c r="IZA58" s="95"/>
      <c r="IZB58" s="96"/>
      <c r="IZH58" s="232"/>
      <c r="IZI58" s="95"/>
      <c r="IZJ58" s="96"/>
      <c r="IZP58" s="232"/>
      <c r="IZQ58" s="95"/>
      <c r="IZR58" s="96"/>
      <c r="IZX58" s="232"/>
      <c r="IZY58" s="95"/>
      <c r="IZZ58" s="96"/>
      <c r="JAF58" s="232"/>
      <c r="JAG58" s="95"/>
      <c r="JAH58" s="96"/>
      <c r="JAN58" s="232"/>
      <c r="JAO58" s="95"/>
      <c r="JAP58" s="96"/>
      <c r="JAV58" s="232"/>
      <c r="JAW58" s="95"/>
      <c r="JAX58" s="96"/>
      <c r="JBD58" s="232"/>
      <c r="JBE58" s="95"/>
      <c r="JBF58" s="96"/>
      <c r="JBL58" s="232"/>
      <c r="JBM58" s="95"/>
      <c r="JBN58" s="96"/>
      <c r="JBT58" s="232"/>
      <c r="JBU58" s="95"/>
      <c r="JBV58" s="96"/>
      <c r="JCB58" s="232"/>
      <c r="JCC58" s="95"/>
      <c r="JCD58" s="96"/>
      <c r="JCJ58" s="232"/>
      <c r="JCK58" s="95"/>
      <c r="JCL58" s="96"/>
      <c r="JCR58" s="232"/>
      <c r="JCS58" s="95"/>
      <c r="JCT58" s="96"/>
      <c r="JCZ58" s="232"/>
      <c r="JDA58" s="95"/>
      <c r="JDB58" s="96"/>
      <c r="JDH58" s="232"/>
      <c r="JDI58" s="95"/>
      <c r="JDJ58" s="96"/>
      <c r="JDP58" s="232"/>
      <c r="JDQ58" s="95"/>
      <c r="JDR58" s="96"/>
      <c r="JDX58" s="232"/>
      <c r="JDY58" s="95"/>
      <c r="JDZ58" s="96"/>
      <c r="JEF58" s="232"/>
      <c r="JEG58" s="95"/>
      <c r="JEH58" s="96"/>
      <c r="JEN58" s="232"/>
      <c r="JEO58" s="95"/>
      <c r="JEP58" s="96"/>
      <c r="JEV58" s="232"/>
      <c r="JEW58" s="95"/>
      <c r="JEX58" s="96"/>
      <c r="JFD58" s="232"/>
      <c r="JFE58" s="95"/>
      <c r="JFF58" s="96"/>
      <c r="JFL58" s="232"/>
      <c r="JFM58" s="95"/>
      <c r="JFN58" s="96"/>
      <c r="JFT58" s="232"/>
      <c r="JFU58" s="95"/>
      <c r="JFV58" s="96"/>
      <c r="JGB58" s="232"/>
      <c r="JGC58" s="95"/>
      <c r="JGD58" s="96"/>
      <c r="JGJ58" s="232"/>
      <c r="JGK58" s="95"/>
      <c r="JGL58" s="96"/>
      <c r="JGR58" s="232"/>
      <c r="JGS58" s="95"/>
      <c r="JGT58" s="96"/>
      <c r="JGZ58" s="232"/>
      <c r="JHA58" s="95"/>
      <c r="JHB58" s="96"/>
      <c r="JHH58" s="232"/>
      <c r="JHI58" s="95"/>
      <c r="JHJ58" s="96"/>
      <c r="JHP58" s="232"/>
      <c r="JHQ58" s="95"/>
      <c r="JHR58" s="96"/>
      <c r="JHX58" s="232"/>
      <c r="JHY58" s="95"/>
      <c r="JHZ58" s="96"/>
      <c r="JIF58" s="232"/>
      <c r="JIG58" s="95"/>
      <c r="JIH58" s="96"/>
      <c r="JIN58" s="232"/>
      <c r="JIO58" s="95"/>
      <c r="JIP58" s="96"/>
      <c r="JIV58" s="232"/>
      <c r="JIW58" s="95"/>
      <c r="JIX58" s="96"/>
      <c r="JJD58" s="232"/>
      <c r="JJE58" s="95"/>
      <c r="JJF58" s="96"/>
      <c r="JJL58" s="232"/>
      <c r="JJM58" s="95"/>
      <c r="JJN58" s="96"/>
      <c r="JJT58" s="232"/>
      <c r="JJU58" s="95"/>
      <c r="JJV58" s="96"/>
      <c r="JKB58" s="232"/>
      <c r="JKC58" s="95"/>
      <c r="JKD58" s="96"/>
      <c r="JKJ58" s="232"/>
      <c r="JKK58" s="95"/>
      <c r="JKL58" s="96"/>
      <c r="JKR58" s="232"/>
      <c r="JKS58" s="95"/>
      <c r="JKT58" s="96"/>
      <c r="JKZ58" s="232"/>
      <c r="JLA58" s="95"/>
      <c r="JLB58" s="96"/>
      <c r="JLH58" s="232"/>
      <c r="JLI58" s="95"/>
      <c r="JLJ58" s="96"/>
      <c r="JLP58" s="232"/>
      <c r="JLQ58" s="95"/>
      <c r="JLR58" s="96"/>
      <c r="JLX58" s="232"/>
      <c r="JLY58" s="95"/>
      <c r="JLZ58" s="96"/>
      <c r="JMF58" s="232"/>
      <c r="JMG58" s="95"/>
      <c r="JMH58" s="96"/>
      <c r="JMN58" s="232"/>
      <c r="JMO58" s="95"/>
      <c r="JMP58" s="96"/>
      <c r="JMV58" s="232"/>
      <c r="JMW58" s="95"/>
      <c r="JMX58" s="96"/>
      <c r="JND58" s="232"/>
      <c r="JNE58" s="95"/>
      <c r="JNF58" s="96"/>
      <c r="JNL58" s="232"/>
      <c r="JNM58" s="95"/>
      <c r="JNN58" s="96"/>
      <c r="JNT58" s="232"/>
      <c r="JNU58" s="95"/>
      <c r="JNV58" s="96"/>
      <c r="JOB58" s="232"/>
      <c r="JOC58" s="95"/>
      <c r="JOD58" s="96"/>
      <c r="JOJ58" s="232"/>
      <c r="JOK58" s="95"/>
      <c r="JOL58" s="96"/>
      <c r="JOR58" s="232"/>
      <c r="JOS58" s="95"/>
      <c r="JOT58" s="96"/>
      <c r="JOZ58" s="232"/>
      <c r="JPA58" s="95"/>
      <c r="JPB58" s="96"/>
      <c r="JPH58" s="232"/>
      <c r="JPI58" s="95"/>
      <c r="JPJ58" s="96"/>
      <c r="JPP58" s="232"/>
      <c r="JPQ58" s="95"/>
      <c r="JPR58" s="96"/>
      <c r="JPX58" s="232"/>
      <c r="JPY58" s="95"/>
      <c r="JPZ58" s="96"/>
      <c r="JQF58" s="232"/>
      <c r="JQG58" s="95"/>
      <c r="JQH58" s="96"/>
      <c r="JQN58" s="232"/>
      <c r="JQO58" s="95"/>
      <c r="JQP58" s="96"/>
      <c r="JQV58" s="232"/>
      <c r="JQW58" s="95"/>
      <c r="JQX58" s="96"/>
      <c r="JRD58" s="232"/>
      <c r="JRE58" s="95"/>
      <c r="JRF58" s="96"/>
      <c r="JRL58" s="232"/>
      <c r="JRM58" s="95"/>
      <c r="JRN58" s="96"/>
      <c r="JRT58" s="232"/>
      <c r="JRU58" s="95"/>
      <c r="JRV58" s="96"/>
      <c r="JSB58" s="232"/>
      <c r="JSC58" s="95"/>
      <c r="JSD58" s="96"/>
      <c r="JSJ58" s="232"/>
      <c r="JSK58" s="95"/>
      <c r="JSL58" s="96"/>
      <c r="JSR58" s="232"/>
      <c r="JSS58" s="95"/>
      <c r="JST58" s="96"/>
      <c r="JSZ58" s="232"/>
      <c r="JTA58" s="95"/>
      <c r="JTB58" s="96"/>
      <c r="JTH58" s="232"/>
      <c r="JTI58" s="95"/>
      <c r="JTJ58" s="96"/>
      <c r="JTP58" s="232"/>
      <c r="JTQ58" s="95"/>
      <c r="JTR58" s="96"/>
      <c r="JTX58" s="232"/>
      <c r="JTY58" s="95"/>
      <c r="JTZ58" s="96"/>
      <c r="JUF58" s="232"/>
      <c r="JUG58" s="95"/>
      <c r="JUH58" s="96"/>
      <c r="JUN58" s="232"/>
      <c r="JUO58" s="95"/>
      <c r="JUP58" s="96"/>
      <c r="JUV58" s="232"/>
      <c r="JUW58" s="95"/>
      <c r="JUX58" s="96"/>
      <c r="JVD58" s="232"/>
      <c r="JVE58" s="95"/>
      <c r="JVF58" s="96"/>
      <c r="JVL58" s="232"/>
      <c r="JVM58" s="95"/>
      <c r="JVN58" s="96"/>
      <c r="JVT58" s="232"/>
      <c r="JVU58" s="95"/>
      <c r="JVV58" s="96"/>
      <c r="JWB58" s="232"/>
      <c r="JWC58" s="95"/>
      <c r="JWD58" s="96"/>
      <c r="JWJ58" s="232"/>
      <c r="JWK58" s="95"/>
      <c r="JWL58" s="96"/>
      <c r="JWR58" s="232"/>
      <c r="JWS58" s="95"/>
      <c r="JWT58" s="96"/>
      <c r="JWZ58" s="232"/>
      <c r="JXA58" s="95"/>
      <c r="JXB58" s="96"/>
      <c r="JXH58" s="232"/>
      <c r="JXI58" s="95"/>
      <c r="JXJ58" s="96"/>
      <c r="JXP58" s="232"/>
      <c r="JXQ58" s="95"/>
      <c r="JXR58" s="96"/>
      <c r="JXX58" s="232"/>
      <c r="JXY58" s="95"/>
      <c r="JXZ58" s="96"/>
      <c r="JYF58" s="232"/>
      <c r="JYG58" s="95"/>
      <c r="JYH58" s="96"/>
      <c r="JYN58" s="232"/>
      <c r="JYO58" s="95"/>
      <c r="JYP58" s="96"/>
      <c r="JYV58" s="232"/>
      <c r="JYW58" s="95"/>
      <c r="JYX58" s="96"/>
      <c r="JZD58" s="232"/>
      <c r="JZE58" s="95"/>
      <c r="JZF58" s="96"/>
      <c r="JZL58" s="232"/>
      <c r="JZM58" s="95"/>
      <c r="JZN58" s="96"/>
      <c r="JZT58" s="232"/>
      <c r="JZU58" s="95"/>
      <c r="JZV58" s="96"/>
      <c r="KAB58" s="232"/>
      <c r="KAC58" s="95"/>
      <c r="KAD58" s="96"/>
      <c r="KAJ58" s="232"/>
      <c r="KAK58" s="95"/>
      <c r="KAL58" s="96"/>
      <c r="KAR58" s="232"/>
      <c r="KAS58" s="95"/>
      <c r="KAT58" s="96"/>
      <c r="KAZ58" s="232"/>
      <c r="KBA58" s="95"/>
      <c r="KBB58" s="96"/>
      <c r="KBH58" s="232"/>
      <c r="KBI58" s="95"/>
      <c r="KBJ58" s="96"/>
      <c r="KBP58" s="232"/>
      <c r="KBQ58" s="95"/>
      <c r="KBR58" s="96"/>
      <c r="KBX58" s="232"/>
      <c r="KBY58" s="95"/>
      <c r="KBZ58" s="96"/>
      <c r="KCF58" s="232"/>
      <c r="KCG58" s="95"/>
      <c r="KCH58" s="96"/>
      <c r="KCN58" s="232"/>
      <c r="KCO58" s="95"/>
      <c r="KCP58" s="96"/>
      <c r="KCV58" s="232"/>
      <c r="KCW58" s="95"/>
      <c r="KCX58" s="96"/>
      <c r="KDD58" s="232"/>
      <c r="KDE58" s="95"/>
      <c r="KDF58" s="96"/>
      <c r="KDL58" s="232"/>
      <c r="KDM58" s="95"/>
      <c r="KDN58" s="96"/>
      <c r="KDT58" s="232"/>
      <c r="KDU58" s="95"/>
      <c r="KDV58" s="96"/>
      <c r="KEB58" s="232"/>
      <c r="KEC58" s="95"/>
      <c r="KED58" s="96"/>
      <c r="KEJ58" s="232"/>
      <c r="KEK58" s="95"/>
      <c r="KEL58" s="96"/>
      <c r="KER58" s="232"/>
      <c r="KES58" s="95"/>
      <c r="KET58" s="96"/>
      <c r="KEZ58" s="232"/>
      <c r="KFA58" s="95"/>
      <c r="KFB58" s="96"/>
      <c r="KFH58" s="232"/>
      <c r="KFI58" s="95"/>
      <c r="KFJ58" s="96"/>
      <c r="KFP58" s="232"/>
      <c r="KFQ58" s="95"/>
      <c r="KFR58" s="96"/>
      <c r="KFX58" s="232"/>
      <c r="KFY58" s="95"/>
      <c r="KFZ58" s="96"/>
      <c r="KGF58" s="232"/>
      <c r="KGG58" s="95"/>
      <c r="KGH58" s="96"/>
      <c r="KGN58" s="232"/>
      <c r="KGO58" s="95"/>
      <c r="KGP58" s="96"/>
      <c r="KGV58" s="232"/>
      <c r="KGW58" s="95"/>
      <c r="KGX58" s="96"/>
      <c r="KHD58" s="232"/>
      <c r="KHE58" s="95"/>
      <c r="KHF58" s="96"/>
      <c r="KHL58" s="232"/>
      <c r="KHM58" s="95"/>
      <c r="KHN58" s="96"/>
      <c r="KHT58" s="232"/>
      <c r="KHU58" s="95"/>
      <c r="KHV58" s="96"/>
      <c r="KIB58" s="232"/>
      <c r="KIC58" s="95"/>
      <c r="KID58" s="96"/>
      <c r="KIJ58" s="232"/>
      <c r="KIK58" s="95"/>
      <c r="KIL58" s="96"/>
      <c r="KIR58" s="232"/>
      <c r="KIS58" s="95"/>
      <c r="KIT58" s="96"/>
      <c r="KIZ58" s="232"/>
      <c r="KJA58" s="95"/>
      <c r="KJB58" s="96"/>
      <c r="KJH58" s="232"/>
      <c r="KJI58" s="95"/>
      <c r="KJJ58" s="96"/>
      <c r="KJP58" s="232"/>
      <c r="KJQ58" s="95"/>
      <c r="KJR58" s="96"/>
      <c r="KJX58" s="232"/>
      <c r="KJY58" s="95"/>
      <c r="KJZ58" s="96"/>
      <c r="KKF58" s="232"/>
      <c r="KKG58" s="95"/>
      <c r="KKH58" s="96"/>
      <c r="KKN58" s="232"/>
      <c r="KKO58" s="95"/>
      <c r="KKP58" s="96"/>
      <c r="KKV58" s="232"/>
      <c r="KKW58" s="95"/>
      <c r="KKX58" s="96"/>
      <c r="KLD58" s="232"/>
      <c r="KLE58" s="95"/>
      <c r="KLF58" s="96"/>
      <c r="KLL58" s="232"/>
      <c r="KLM58" s="95"/>
      <c r="KLN58" s="96"/>
      <c r="KLT58" s="232"/>
      <c r="KLU58" s="95"/>
      <c r="KLV58" s="96"/>
      <c r="KMB58" s="232"/>
      <c r="KMC58" s="95"/>
      <c r="KMD58" s="96"/>
      <c r="KMJ58" s="232"/>
      <c r="KMK58" s="95"/>
      <c r="KML58" s="96"/>
      <c r="KMR58" s="232"/>
      <c r="KMS58" s="95"/>
      <c r="KMT58" s="96"/>
      <c r="KMZ58" s="232"/>
      <c r="KNA58" s="95"/>
      <c r="KNB58" s="96"/>
      <c r="KNH58" s="232"/>
      <c r="KNI58" s="95"/>
      <c r="KNJ58" s="96"/>
      <c r="KNP58" s="232"/>
      <c r="KNQ58" s="95"/>
      <c r="KNR58" s="96"/>
      <c r="KNX58" s="232"/>
      <c r="KNY58" s="95"/>
      <c r="KNZ58" s="96"/>
      <c r="KOF58" s="232"/>
      <c r="KOG58" s="95"/>
      <c r="KOH58" s="96"/>
      <c r="KON58" s="232"/>
      <c r="KOO58" s="95"/>
      <c r="KOP58" s="96"/>
      <c r="KOV58" s="232"/>
      <c r="KOW58" s="95"/>
      <c r="KOX58" s="96"/>
      <c r="KPD58" s="232"/>
      <c r="KPE58" s="95"/>
      <c r="KPF58" s="96"/>
      <c r="KPL58" s="232"/>
      <c r="KPM58" s="95"/>
      <c r="KPN58" s="96"/>
      <c r="KPT58" s="232"/>
      <c r="KPU58" s="95"/>
      <c r="KPV58" s="96"/>
      <c r="KQB58" s="232"/>
      <c r="KQC58" s="95"/>
      <c r="KQD58" s="96"/>
      <c r="KQJ58" s="232"/>
      <c r="KQK58" s="95"/>
      <c r="KQL58" s="96"/>
      <c r="KQR58" s="232"/>
      <c r="KQS58" s="95"/>
      <c r="KQT58" s="96"/>
      <c r="KQZ58" s="232"/>
      <c r="KRA58" s="95"/>
      <c r="KRB58" s="96"/>
      <c r="KRH58" s="232"/>
      <c r="KRI58" s="95"/>
      <c r="KRJ58" s="96"/>
      <c r="KRP58" s="232"/>
      <c r="KRQ58" s="95"/>
      <c r="KRR58" s="96"/>
      <c r="KRX58" s="232"/>
      <c r="KRY58" s="95"/>
      <c r="KRZ58" s="96"/>
      <c r="KSF58" s="232"/>
      <c r="KSG58" s="95"/>
      <c r="KSH58" s="96"/>
      <c r="KSN58" s="232"/>
      <c r="KSO58" s="95"/>
      <c r="KSP58" s="96"/>
      <c r="KSV58" s="232"/>
      <c r="KSW58" s="95"/>
      <c r="KSX58" s="96"/>
      <c r="KTD58" s="232"/>
      <c r="KTE58" s="95"/>
      <c r="KTF58" s="96"/>
      <c r="KTL58" s="232"/>
      <c r="KTM58" s="95"/>
      <c r="KTN58" s="96"/>
      <c r="KTT58" s="232"/>
      <c r="KTU58" s="95"/>
      <c r="KTV58" s="96"/>
      <c r="KUB58" s="232"/>
      <c r="KUC58" s="95"/>
      <c r="KUD58" s="96"/>
      <c r="KUJ58" s="232"/>
      <c r="KUK58" s="95"/>
      <c r="KUL58" s="96"/>
      <c r="KUR58" s="232"/>
      <c r="KUS58" s="95"/>
      <c r="KUT58" s="96"/>
      <c r="KUZ58" s="232"/>
      <c r="KVA58" s="95"/>
      <c r="KVB58" s="96"/>
      <c r="KVH58" s="232"/>
      <c r="KVI58" s="95"/>
      <c r="KVJ58" s="96"/>
      <c r="KVP58" s="232"/>
      <c r="KVQ58" s="95"/>
      <c r="KVR58" s="96"/>
      <c r="KVX58" s="232"/>
      <c r="KVY58" s="95"/>
      <c r="KVZ58" s="96"/>
      <c r="KWF58" s="232"/>
      <c r="KWG58" s="95"/>
      <c r="KWH58" s="96"/>
      <c r="KWN58" s="232"/>
      <c r="KWO58" s="95"/>
      <c r="KWP58" s="96"/>
      <c r="KWV58" s="232"/>
      <c r="KWW58" s="95"/>
      <c r="KWX58" s="96"/>
      <c r="KXD58" s="232"/>
      <c r="KXE58" s="95"/>
      <c r="KXF58" s="96"/>
      <c r="KXL58" s="232"/>
      <c r="KXM58" s="95"/>
      <c r="KXN58" s="96"/>
      <c r="KXT58" s="232"/>
      <c r="KXU58" s="95"/>
      <c r="KXV58" s="96"/>
      <c r="KYB58" s="232"/>
      <c r="KYC58" s="95"/>
      <c r="KYD58" s="96"/>
      <c r="KYJ58" s="232"/>
      <c r="KYK58" s="95"/>
      <c r="KYL58" s="96"/>
      <c r="KYR58" s="232"/>
      <c r="KYS58" s="95"/>
      <c r="KYT58" s="96"/>
      <c r="KYZ58" s="232"/>
      <c r="KZA58" s="95"/>
      <c r="KZB58" s="96"/>
      <c r="KZH58" s="232"/>
      <c r="KZI58" s="95"/>
      <c r="KZJ58" s="96"/>
      <c r="KZP58" s="232"/>
      <c r="KZQ58" s="95"/>
      <c r="KZR58" s="96"/>
      <c r="KZX58" s="232"/>
      <c r="KZY58" s="95"/>
      <c r="KZZ58" s="96"/>
      <c r="LAF58" s="232"/>
      <c r="LAG58" s="95"/>
      <c r="LAH58" s="96"/>
      <c r="LAN58" s="232"/>
      <c r="LAO58" s="95"/>
      <c r="LAP58" s="96"/>
      <c r="LAV58" s="232"/>
      <c r="LAW58" s="95"/>
      <c r="LAX58" s="96"/>
      <c r="LBD58" s="232"/>
      <c r="LBE58" s="95"/>
      <c r="LBF58" s="96"/>
      <c r="LBL58" s="232"/>
      <c r="LBM58" s="95"/>
      <c r="LBN58" s="96"/>
      <c r="LBT58" s="232"/>
      <c r="LBU58" s="95"/>
      <c r="LBV58" s="96"/>
      <c r="LCB58" s="232"/>
      <c r="LCC58" s="95"/>
      <c r="LCD58" s="96"/>
      <c r="LCJ58" s="232"/>
      <c r="LCK58" s="95"/>
      <c r="LCL58" s="96"/>
      <c r="LCR58" s="232"/>
      <c r="LCS58" s="95"/>
      <c r="LCT58" s="96"/>
      <c r="LCZ58" s="232"/>
      <c r="LDA58" s="95"/>
      <c r="LDB58" s="96"/>
      <c r="LDH58" s="232"/>
      <c r="LDI58" s="95"/>
      <c r="LDJ58" s="96"/>
      <c r="LDP58" s="232"/>
      <c r="LDQ58" s="95"/>
      <c r="LDR58" s="96"/>
      <c r="LDX58" s="232"/>
      <c r="LDY58" s="95"/>
      <c r="LDZ58" s="96"/>
      <c r="LEF58" s="232"/>
      <c r="LEG58" s="95"/>
      <c r="LEH58" s="96"/>
      <c r="LEN58" s="232"/>
      <c r="LEO58" s="95"/>
      <c r="LEP58" s="96"/>
      <c r="LEV58" s="232"/>
      <c r="LEW58" s="95"/>
      <c r="LEX58" s="96"/>
      <c r="LFD58" s="232"/>
      <c r="LFE58" s="95"/>
      <c r="LFF58" s="96"/>
      <c r="LFL58" s="232"/>
      <c r="LFM58" s="95"/>
      <c r="LFN58" s="96"/>
      <c r="LFT58" s="232"/>
      <c r="LFU58" s="95"/>
      <c r="LFV58" s="96"/>
      <c r="LGB58" s="232"/>
      <c r="LGC58" s="95"/>
      <c r="LGD58" s="96"/>
      <c r="LGJ58" s="232"/>
      <c r="LGK58" s="95"/>
      <c r="LGL58" s="96"/>
      <c r="LGR58" s="232"/>
      <c r="LGS58" s="95"/>
      <c r="LGT58" s="96"/>
      <c r="LGZ58" s="232"/>
      <c r="LHA58" s="95"/>
      <c r="LHB58" s="96"/>
      <c r="LHH58" s="232"/>
      <c r="LHI58" s="95"/>
      <c r="LHJ58" s="96"/>
      <c r="LHP58" s="232"/>
      <c r="LHQ58" s="95"/>
      <c r="LHR58" s="96"/>
      <c r="LHX58" s="232"/>
      <c r="LHY58" s="95"/>
      <c r="LHZ58" s="96"/>
      <c r="LIF58" s="232"/>
      <c r="LIG58" s="95"/>
      <c r="LIH58" s="96"/>
      <c r="LIN58" s="232"/>
      <c r="LIO58" s="95"/>
      <c r="LIP58" s="96"/>
      <c r="LIV58" s="232"/>
      <c r="LIW58" s="95"/>
      <c r="LIX58" s="96"/>
      <c r="LJD58" s="232"/>
      <c r="LJE58" s="95"/>
      <c r="LJF58" s="96"/>
      <c r="LJL58" s="232"/>
      <c r="LJM58" s="95"/>
      <c r="LJN58" s="96"/>
      <c r="LJT58" s="232"/>
      <c r="LJU58" s="95"/>
      <c r="LJV58" s="96"/>
      <c r="LKB58" s="232"/>
      <c r="LKC58" s="95"/>
      <c r="LKD58" s="96"/>
      <c r="LKJ58" s="232"/>
      <c r="LKK58" s="95"/>
      <c r="LKL58" s="96"/>
      <c r="LKR58" s="232"/>
      <c r="LKS58" s="95"/>
      <c r="LKT58" s="96"/>
      <c r="LKZ58" s="232"/>
      <c r="LLA58" s="95"/>
      <c r="LLB58" s="96"/>
      <c r="LLH58" s="232"/>
      <c r="LLI58" s="95"/>
      <c r="LLJ58" s="96"/>
      <c r="LLP58" s="232"/>
      <c r="LLQ58" s="95"/>
      <c r="LLR58" s="96"/>
      <c r="LLX58" s="232"/>
      <c r="LLY58" s="95"/>
      <c r="LLZ58" s="96"/>
      <c r="LMF58" s="232"/>
      <c r="LMG58" s="95"/>
      <c r="LMH58" s="96"/>
      <c r="LMN58" s="232"/>
      <c r="LMO58" s="95"/>
      <c r="LMP58" s="96"/>
      <c r="LMV58" s="232"/>
      <c r="LMW58" s="95"/>
      <c r="LMX58" s="96"/>
      <c r="LND58" s="232"/>
      <c r="LNE58" s="95"/>
      <c r="LNF58" s="96"/>
      <c r="LNL58" s="232"/>
      <c r="LNM58" s="95"/>
      <c r="LNN58" s="96"/>
      <c r="LNT58" s="232"/>
      <c r="LNU58" s="95"/>
      <c r="LNV58" s="96"/>
      <c r="LOB58" s="232"/>
      <c r="LOC58" s="95"/>
      <c r="LOD58" s="96"/>
      <c r="LOJ58" s="232"/>
      <c r="LOK58" s="95"/>
      <c r="LOL58" s="96"/>
      <c r="LOR58" s="232"/>
      <c r="LOS58" s="95"/>
      <c r="LOT58" s="96"/>
      <c r="LOZ58" s="232"/>
      <c r="LPA58" s="95"/>
      <c r="LPB58" s="96"/>
      <c r="LPH58" s="232"/>
      <c r="LPI58" s="95"/>
      <c r="LPJ58" s="96"/>
      <c r="LPP58" s="232"/>
      <c r="LPQ58" s="95"/>
      <c r="LPR58" s="96"/>
      <c r="LPX58" s="232"/>
      <c r="LPY58" s="95"/>
      <c r="LPZ58" s="96"/>
      <c r="LQF58" s="232"/>
      <c r="LQG58" s="95"/>
      <c r="LQH58" s="96"/>
      <c r="LQN58" s="232"/>
      <c r="LQO58" s="95"/>
      <c r="LQP58" s="96"/>
      <c r="LQV58" s="232"/>
      <c r="LQW58" s="95"/>
      <c r="LQX58" s="96"/>
      <c r="LRD58" s="232"/>
      <c r="LRE58" s="95"/>
      <c r="LRF58" s="96"/>
      <c r="LRL58" s="232"/>
      <c r="LRM58" s="95"/>
      <c r="LRN58" s="96"/>
      <c r="LRT58" s="232"/>
      <c r="LRU58" s="95"/>
      <c r="LRV58" s="96"/>
      <c r="LSB58" s="232"/>
      <c r="LSC58" s="95"/>
      <c r="LSD58" s="96"/>
      <c r="LSJ58" s="232"/>
      <c r="LSK58" s="95"/>
      <c r="LSL58" s="96"/>
      <c r="LSR58" s="232"/>
      <c r="LSS58" s="95"/>
      <c r="LST58" s="96"/>
      <c r="LSZ58" s="232"/>
      <c r="LTA58" s="95"/>
      <c r="LTB58" s="96"/>
      <c r="LTH58" s="232"/>
      <c r="LTI58" s="95"/>
      <c r="LTJ58" s="96"/>
      <c r="LTP58" s="232"/>
      <c r="LTQ58" s="95"/>
      <c r="LTR58" s="96"/>
      <c r="LTX58" s="232"/>
      <c r="LTY58" s="95"/>
      <c r="LTZ58" s="96"/>
      <c r="LUF58" s="232"/>
      <c r="LUG58" s="95"/>
      <c r="LUH58" s="96"/>
      <c r="LUN58" s="232"/>
      <c r="LUO58" s="95"/>
      <c r="LUP58" s="96"/>
      <c r="LUV58" s="232"/>
      <c r="LUW58" s="95"/>
      <c r="LUX58" s="96"/>
      <c r="LVD58" s="232"/>
      <c r="LVE58" s="95"/>
      <c r="LVF58" s="96"/>
      <c r="LVL58" s="232"/>
      <c r="LVM58" s="95"/>
      <c r="LVN58" s="96"/>
      <c r="LVT58" s="232"/>
      <c r="LVU58" s="95"/>
      <c r="LVV58" s="96"/>
      <c r="LWB58" s="232"/>
      <c r="LWC58" s="95"/>
      <c r="LWD58" s="96"/>
      <c r="LWJ58" s="232"/>
      <c r="LWK58" s="95"/>
      <c r="LWL58" s="96"/>
      <c r="LWR58" s="232"/>
      <c r="LWS58" s="95"/>
      <c r="LWT58" s="96"/>
      <c r="LWZ58" s="232"/>
      <c r="LXA58" s="95"/>
      <c r="LXB58" s="96"/>
      <c r="LXH58" s="232"/>
      <c r="LXI58" s="95"/>
      <c r="LXJ58" s="96"/>
      <c r="LXP58" s="232"/>
      <c r="LXQ58" s="95"/>
      <c r="LXR58" s="96"/>
      <c r="LXX58" s="232"/>
      <c r="LXY58" s="95"/>
      <c r="LXZ58" s="96"/>
      <c r="LYF58" s="232"/>
      <c r="LYG58" s="95"/>
      <c r="LYH58" s="96"/>
      <c r="LYN58" s="232"/>
      <c r="LYO58" s="95"/>
      <c r="LYP58" s="96"/>
      <c r="LYV58" s="232"/>
      <c r="LYW58" s="95"/>
      <c r="LYX58" s="96"/>
      <c r="LZD58" s="232"/>
      <c r="LZE58" s="95"/>
      <c r="LZF58" s="96"/>
      <c r="LZL58" s="232"/>
      <c r="LZM58" s="95"/>
      <c r="LZN58" s="96"/>
      <c r="LZT58" s="232"/>
      <c r="LZU58" s="95"/>
      <c r="LZV58" s="96"/>
      <c r="MAB58" s="232"/>
      <c r="MAC58" s="95"/>
      <c r="MAD58" s="96"/>
      <c r="MAJ58" s="232"/>
      <c r="MAK58" s="95"/>
      <c r="MAL58" s="96"/>
      <c r="MAR58" s="232"/>
      <c r="MAS58" s="95"/>
      <c r="MAT58" s="96"/>
      <c r="MAZ58" s="232"/>
      <c r="MBA58" s="95"/>
      <c r="MBB58" s="96"/>
      <c r="MBH58" s="232"/>
      <c r="MBI58" s="95"/>
      <c r="MBJ58" s="96"/>
      <c r="MBP58" s="232"/>
      <c r="MBQ58" s="95"/>
      <c r="MBR58" s="96"/>
      <c r="MBX58" s="232"/>
      <c r="MBY58" s="95"/>
      <c r="MBZ58" s="96"/>
      <c r="MCF58" s="232"/>
      <c r="MCG58" s="95"/>
      <c r="MCH58" s="96"/>
      <c r="MCN58" s="232"/>
      <c r="MCO58" s="95"/>
      <c r="MCP58" s="96"/>
      <c r="MCV58" s="232"/>
      <c r="MCW58" s="95"/>
      <c r="MCX58" s="96"/>
      <c r="MDD58" s="232"/>
      <c r="MDE58" s="95"/>
      <c r="MDF58" s="96"/>
      <c r="MDL58" s="232"/>
      <c r="MDM58" s="95"/>
      <c r="MDN58" s="96"/>
      <c r="MDT58" s="232"/>
      <c r="MDU58" s="95"/>
      <c r="MDV58" s="96"/>
      <c r="MEB58" s="232"/>
      <c r="MEC58" s="95"/>
      <c r="MED58" s="96"/>
      <c r="MEJ58" s="232"/>
      <c r="MEK58" s="95"/>
      <c r="MEL58" s="96"/>
      <c r="MER58" s="232"/>
      <c r="MES58" s="95"/>
      <c r="MET58" s="96"/>
      <c r="MEZ58" s="232"/>
      <c r="MFA58" s="95"/>
      <c r="MFB58" s="96"/>
      <c r="MFH58" s="232"/>
      <c r="MFI58" s="95"/>
      <c r="MFJ58" s="96"/>
      <c r="MFP58" s="232"/>
      <c r="MFQ58" s="95"/>
      <c r="MFR58" s="96"/>
      <c r="MFX58" s="232"/>
      <c r="MFY58" s="95"/>
      <c r="MFZ58" s="96"/>
      <c r="MGF58" s="232"/>
      <c r="MGG58" s="95"/>
      <c r="MGH58" s="96"/>
      <c r="MGN58" s="232"/>
      <c r="MGO58" s="95"/>
      <c r="MGP58" s="96"/>
      <c r="MGV58" s="232"/>
      <c r="MGW58" s="95"/>
      <c r="MGX58" s="96"/>
      <c r="MHD58" s="232"/>
      <c r="MHE58" s="95"/>
      <c r="MHF58" s="96"/>
      <c r="MHL58" s="232"/>
      <c r="MHM58" s="95"/>
      <c r="MHN58" s="96"/>
      <c r="MHT58" s="232"/>
      <c r="MHU58" s="95"/>
      <c r="MHV58" s="96"/>
      <c r="MIB58" s="232"/>
      <c r="MIC58" s="95"/>
      <c r="MID58" s="96"/>
      <c r="MIJ58" s="232"/>
      <c r="MIK58" s="95"/>
      <c r="MIL58" s="96"/>
      <c r="MIR58" s="232"/>
      <c r="MIS58" s="95"/>
      <c r="MIT58" s="96"/>
      <c r="MIZ58" s="232"/>
      <c r="MJA58" s="95"/>
      <c r="MJB58" s="96"/>
      <c r="MJH58" s="232"/>
      <c r="MJI58" s="95"/>
      <c r="MJJ58" s="96"/>
      <c r="MJP58" s="232"/>
      <c r="MJQ58" s="95"/>
      <c r="MJR58" s="96"/>
      <c r="MJX58" s="232"/>
      <c r="MJY58" s="95"/>
      <c r="MJZ58" s="96"/>
      <c r="MKF58" s="232"/>
      <c r="MKG58" s="95"/>
      <c r="MKH58" s="96"/>
      <c r="MKN58" s="232"/>
      <c r="MKO58" s="95"/>
      <c r="MKP58" s="96"/>
      <c r="MKV58" s="232"/>
      <c r="MKW58" s="95"/>
      <c r="MKX58" s="96"/>
      <c r="MLD58" s="232"/>
      <c r="MLE58" s="95"/>
      <c r="MLF58" s="96"/>
      <c r="MLL58" s="232"/>
      <c r="MLM58" s="95"/>
      <c r="MLN58" s="96"/>
      <c r="MLT58" s="232"/>
      <c r="MLU58" s="95"/>
      <c r="MLV58" s="96"/>
      <c r="MMB58" s="232"/>
      <c r="MMC58" s="95"/>
      <c r="MMD58" s="96"/>
      <c r="MMJ58" s="232"/>
      <c r="MMK58" s="95"/>
      <c r="MML58" s="96"/>
      <c r="MMR58" s="232"/>
      <c r="MMS58" s="95"/>
      <c r="MMT58" s="96"/>
      <c r="MMZ58" s="232"/>
      <c r="MNA58" s="95"/>
      <c r="MNB58" s="96"/>
      <c r="MNH58" s="232"/>
      <c r="MNI58" s="95"/>
      <c r="MNJ58" s="96"/>
      <c r="MNP58" s="232"/>
      <c r="MNQ58" s="95"/>
      <c r="MNR58" s="96"/>
      <c r="MNX58" s="232"/>
      <c r="MNY58" s="95"/>
      <c r="MNZ58" s="96"/>
      <c r="MOF58" s="232"/>
      <c r="MOG58" s="95"/>
      <c r="MOH58" s="96"/>
      <c r="MON58" s="232"/>
      <c r="MOO58" s="95"/>
      <c r="MOP58" s="96"/>
      <c r="MOV58" s="232"/>
      <c r="MOW58" s="95"/>
      <c r="MOX58" s="96"/>
      <c r="MPD58" s="232"/>
      <c r="MPE58" s="95"/>
      <c r="MPF58" s="96"/>
      <c r="MPL58" s="232"/>
      <c r="MPM58" s="95"/>
      <c r="MPN58" s="96"/>
      <c r="MPT58" s="232"/>
      <c r="MPU58" s="95"/>
      <c r="MPV58" s="96"/>
      <c r="MQB58" s="232"/>
      <c r="MQC58" s="95"/>
      <c r="MQD58" s="96"/>
      <c r="MQJ58" s="232"/>
      <c r="MQK58" s="95"/>
      <c r="MQL58" s="96"/>
      <c r="MQR58" s="232"/>
      <c r="MQS58" s="95"/>
      <c r="MQT58" s="96"/>
      <c r="MQZ58" s="232"/>
      <c r="MRA58" s="95"/>
      <c r="MRB58" s="96"/>
      <c r="MRH58" s="232"/>
      <c r="MRI58" s="95"/>
      <c r="MRJ58" s="96"/>
      <c r="MRP58" s="232"/>
      <c r="MRQ58" s="95"/>
      <c r="MRR58" s="96"/>
      <c r="MRX58" s="232"/>
      <c r="MRY58" s="95"/>
      <c r="MRZ58" s="96"/>
      <c r="MSF58" s="232"/>
      <c r="MSG58" s="95"/>
      <c r="MSH58" s="96"/>
      <c r="MSN58" s="232"/>
      <c r="MSO58" s="95"/>
      <c r="MSP58" s="96"/>
      <c r="MSV58" s="232"/>
      <c r="MSW58" s="95"/>
      <c r="MSX58" s="96"/>
      <c r="MTD58" s="232"/>
      <c r="MTE58" s="95"/>
      <c r="MTF58" s="96"/>
      <c r="MTL58" s="232"/>
      <c r="MTM58" s="95"/>
      <c r="MTN58" s="96"/>
      <c r="MTT58" s="232"/>
      <c r="MTU58" s="95"/>
      <c r="MTV58" s="96"/>
      <c r="MUB58" s="232"/>
      <c r="MUC58" s="95"/>
      <c r="MUD58" s="96"/>
      <c r="MUJ58" s="232"/>
      <c r="MUK58" s="95"/>
      <c r="MUL58" s="96"/>
      <c r="MUR58" s="232"/>
      <c r="MUS58" s="95"/>
      <c r="MUT58" s="96"/>
      <c r="MUZ58" s="232"/>
      <c r="MVA58" s="95"/>
      <c r="MVB58" s="96"/>
      <c r="MVH58" s="232"/>
      <c r="MVI58" s="95"/>
      <c r="MVJ58" s="96"/>
      <c r="MVP58" s="232"/>
      <c r="MVQ58" s="95"/>
      <c r="MVR58" s="96"/>
      <c r="MVX58" s="232"/>
      <c r="MVY58" s="95"/>
      <c r="MVZ58" s="96"/>
      <c r="MWF58" s="232"/>
      <c r="MWG58" s="95"/>
      <c r="MWH58" s="96"/>
      <c r="MWN58" s="232"/>
      <c r="MWO58" s="95"/>
      <c r="MWP58" s="96"/>
      <c r="MWV58" s="232"/>
      <c r="MWW58" s="95"/>
      <c r="MWX58" s="96"/>
      <c r="MXD58" s="232"/>
      <c r="MXE58" s="95"/>
      <c r="MXF58" s="96"/>
      <c r="MXL58" s="232"/>
      <c r="MXM58" s="95"/>
      <c r="MXN58" s="96"/>
      <c r="MXT58" s="232"/>
      <c r="MXU58" s="95"/>
      <c r="MXV58" s="96"/>
      <c r="MYB58" s="232"/>
      <c r="MYC58" s="95"/>
      <c r="MYD58" s="96"/>
      <c r="MYJ58" s="232"/>
      <c r="MYK58" s="95"/>
      <c r="MYL58" s="96"/>
      <c r="MYR58" s="232"/>
      <c r="MYS58" s="95"/>
      <c r="MYT58" s="96"/>
      <c r="MYZ58" s="232"/>
      <c r="MZA58" s="95"/>
      <c r="MZB58" s="96"/>
      <c r="MZH58" s="232"/>
      <c r="MZI58" s="95"/>
      <c r="MZJ58" s="96"/>
      <c r="MZP58" s="232"/>
      <c r="MZQ58" s="95"/>
      <c r="MZR58" s="96"/>
      <c r="MZX58" s="232"/>
      <c r="MZY58" s="95"/>
      <c r="MZZ58" s="96"/>
      <c r="NAF58" s="232"/>
      <c r="NAG58" s="95"/>
      <c r="NAH58" s="96"/>
      <c r="NAN58" s="232"/>
      <c r="NAO58" s="95"/>
      <c r="NAP58" s="96"/>
      <c r="NAV58" s="232"/>
      <c r="NAW58" s="95"/>
      <c r="NAX58" s="96"/>
      <c r="NBD58" s="232"/>
      <c r="NBE58" s="95"/>
      <c r="NBF58" s="96"/>
      <c r="NBL58" s="232"/>
      <c r="NBM58" s="95"/>
      <c r="NBN58" s="96"/>
      <c r="NBT58" s="232"/>
      <c r="NBU58" s="95"/>
      <c r="NBV58" s="96"/>
      <c r="NCB58" s="232"/>
      <c r="NCC58" s="95"/>
      <c r="NCD58" s="96"/>
      <c r="NCJ58" s="232"/>
      <c r="NCK58" s="95"/>
      <c r="NCL58" s="96"/>
      <c r="NCR58" s="232"/>
      <c r="NCS58" s="95"/>
      <c r="NCT58" s="96"/>
      <c r="NCZ58" s="232"/>
      <c r="NDA58" s="95"/>
      <c r="NDB58" s="96"/>
      <c r="NDH58" s="232"/>
      <c r="NDI58" s="95"/>
      <c r="NDJ58" s="96"/>
      <c r="NDP58" s="232"/>
      <c r="NDQ58" s="95"/>
      <c r="NDR58" s="96"/>
      <c r="NDX58" s="232"/>
      <c r="NDY58" s="95"/>
      <c r="NDZ58" s="96"/>
      <c r="NEF58" s="232"/>
      <c r="NEG58" s="95"/>
      <c r="NEH58" s="96"/>
      <c r="NEN58" s="232"/>
      <c r="NEO58" s="95"/>
      <c r="NEP58" s="96"/>
      <c r="NEV58" s="232"/>
      <c r="NEW58" s="95"/>
      <c r="NEX58" s="96"/>
      <c r="NFD58" s="232"/>
      <c r="NFE58" s="95"/>
      <c r="NFF58" s="96"/>
      <c r="NFL58" s="232"/>
      <c r="NFM58" s="95"/>
      <c r="NFN58" s="96"/>
      <c r="NFT58" s="232"/>
      <c r="NFU58" s="95"/>
      <c r="NFV58" s="96"/>
      <c r="NGB58" s="232"/>
      <c r="NGC58" s="95"/>
      <c r="NGD58" s="96"/>
      <c r="NGJ58" s="232"/>
      <c r="NGK58" s="95"/>
      <c r="NGL58" s="96"/>
      <c r="NGR58" s="232"/>
      <c r="NGS58" s="95"/>
      <c r="NGT58" s="96"/>
      <c r="NGZ58" s="232"/>
      <c r="NHA58" s="95"/>
      <c r="NHB58" s="96"/>
      <c r="NHH58" s="232"/>
      <c r="NHI58" s="95"/>
      <c r="NHJ58" s="96"/>
      <c r="NHP58" s="232"/>
      <c r="NHQ58" s="95"/>
      <c r="NHR58" s="96"/>
      <c r="NHX58" s="232"/>
      <c r="NHY58" s="95"/>
      <c r="NHZ58" s="96"/>
      <c r="NIF58" s="232"/>
      <c r="NIG58" s="95"/>
      <c r="NIH58" s="96"/>
      <c r="NIN58" s="232"/>
      <c r="NIO58" s="95"/>
      <c r="NIP58" s="96"/>
      <c r="NIV58" s="232"/>
      <c r="NIW58" s="95"/>
      <c r="NIX58" s="96"/>
      <c r="NJD58" s="232"/>
      <c r="NJE58" s="95"/>
      <c r="NJF58" s="96"/>
      <c r="NJL58" s="232"/>
      <c r="NJM58" s="95"/>
      <c r="NJN58" s="96"/>
      <c r="NJT58" s="232"/>
      <c r="NJU58" s="95"/>
      <c r="NJV58" s="96"/>
      <c r="NKB58" s="232"/>
      <c r="NKC58" s="95"/>
      <c r="NKD58" s="96"/>
      <c r="NKJ58" s="232"/>
      <c r="NKK58" s="95"/>
      <c r="NKL58" s="96"/>
      <c r="NKR58" s="232"/>
      <c r="NKS58" s="95"/>
      <c r="NKT58" s="96"/>
      <c r="NKZ58" s="232"/>
      <c r="NLA58" s="95"/>
      <c r="NLB58" s="96"/>
      <c r="NLH58" s="232"/>
      <c r="NLI58" s="95"/>
      <c r="NLJ58" s="96"/>
      <c r="NLP58" s="232"/>
      <c r="NLQ58" s="95"/>
      <c r="NLR58" s="96"/>
      <c r="NLX58" s="232"/>
      <c r="NLY58" s="95"/>
      <c r="NLZ58" s="96"/>
      <c r="NMF58" s="232"/>
      <c r="NMG58" s="95"/>
      <c r="NMH58" s="96"/>
      <c r="NMN58" s="232"/>
      <c r="NMO58" s="95"/>
      <c r="NMP58" s="96"/>
      <c r="NMV58" s="232"/>
      <c r="NMW58" s="95"/>
      <c r="NMX58" s="96"/>
      <c r="NND58" s="232"/>
      <c r="NNE58" s="95"/>
      <c r="NNF58" s="96"/>
      <c r="NNL58" s="232"/>
      <c r="NNM58" s="95"/>
      <c r="NNN58" s="96"/>
      <c r="NNT58" s="232"/>
      <c r="NNU58" s="95"/>
      <c r="NNV58" s="96"/>
      <c r="NOB58" s="232"/>
      <c r="NOC58" s="95"/>
      <c r="NOD58" s="96"/>
      <c r="NOJ58" s="232"/>
      <c r="NOK58" s="95"/>
      <c r="NOL58" s="96"/>
      <c r="NOR58" s="232"/>
      <c r="NOS58" s="95"/>
      <c r="NOT58" s="96"/>
      <c r="NOZ58" s="232"/>
      <c r="NPA58" s="95"/>
      <c r="NPB58" s="96"/>
      <c r="NPH58" s="232"/>
      <c r="NPI58" s="95"/>
      <c r="NPJ58" s="96"/>
      <c r="NPP58" s="232"/>
      <c r="NPQ58" s="95"/>
      <c r="NPR58" s="96"/>
      <c r="NPX58" s="232"/>
      <c r="NPY58" s="95"/>
      <c r="NPZ58" s="96"/>
      <c r="NQF58" s="232"/>
      <c r="NQG58" s="95"/>
      <c r="NQH58" s="96"/>
      <c r="NQN58" s="232"/>
      <c r="NQO58" s="95"/>
      <c r="NQP58" s="96"/>
      <c r="NQV58" s="232"/>
      <c r="NQW58" s="95"/>
      <c r="NQX58" s="96"/>
      <c r="NRD58" s="232"/>
      <c r="NRE58" s="95"/>
      <c r="NRF58" s="96"/>
      <c r="NRL58" s="232"/>
      <c r="NRM58" s="95"/>
      <c r="NRN58" s="96"/>
      <c r="NRT58" s="232"/>
      <c r="NRU58" s="95"/>
      <c r="NRV58" s="96"/>
      <c r="NSB58" s="232"/>
      <c r="NSC58" s="95"/>
      <c r="NSD58" s="96"/>
      <c r="NSJ58" s="232"/>
      <c r="NSK58" s="95"/>
      <c r="NSL58" s="96"/>
      <c r="NSR58" s="232"/>
      <c r="NSS58" s="95"/>
      <c r="NST58" s="96"/>
      <c r="NSZ58" s="232"/>
      <c r="NTA58" s="95"/>
      <c r="NTB58" s="96"/>
      <c r="NTH58" s="232"/>
      <c r="NTI58" s="95"/>
      <c r="NTJ58" s="96"/>
      <c r="NTP58" s="232"/>
      <c r="NTQ58" s="95"/>
      <c r="NTR58" s="96"/>
      <c r="NTX58" s="232"/>
      <c r="NTY58" s="95"/>
      <c r="NTZ58" s="96"/>
      <c r="NUF58" s="232"/>
      <c r="NUG58" s="95"/>
      <c r="NUH58" s="96"/>
      <c r="NUN58" s="232"/>
      <c r="NUO58" s="95"/>
      <c r="NUP58" s="96"/>
      <c r="NUV58" s="232"/>
      <c r="NUW58" s="95"/>
      <c r="NUX58" s="96"/>
      <c r="NVD58" s="232"/>
      <c r="NVE58" s="95"/>
      <c r="NVF58" s="96"/>
      <c r="NVL58" s="232"/>
      <c r="NVM58" s="95"/>
      <c r="NVN58" s="96"/>
      <c r="NVT58" s="232"/>
      <c r="NVU58" s="95"/>
      <c r="NVV58" s="96"/>
      <c r="NWB58" s="232"/>
      <c r="NWC58" s="95"/>
      <c r="NWD58" s="96"/>
      <c r="NWJ58" s="232"/>
      <c r="NWK58" s="95"/>
      <c r="NWL58" s="96"/>
      <c r="NWR58" s="232"/>
      <c r="NWS58" s="95"/>
      <c r="NWT58" s="96"/>
      <c r="NWZ58" s="232"/>
      <c r="NXA58" s="95"/>
      <c r="NXB58" s="96"/>
      <c r="NXH58" s="232"/>
      <c r="NXI58" s="95"/>
      <c r="NXJ58" s="96"/>
      <c r="NXP58" s="232"/>
      <c r="NXQ58" s="95"/>
      <c r="NXR58" s="96"/>
      <c r="NXX58" s="232"/>
      <c r="NXY58" s="95"/>
      <c r="NXZ58" s="96"/>
      <c r="NYF58" s="232"/>
      <c r="NYG58" s="95"/>
      <c r="NYH58" s="96"/>
      <c r="NYN58" s="232"/>
      <c r="NYO58" s="95"/>
      <c r="NYP58" s="96"/>
      <c r="NYV58" s="232"/>
      <c r="NYW58" s="95"/>
      <c r="NYX58" s="96"/>
      <c r="NZD58" s="232"/>
      <c r="NZE58" s="95"/>
      <c r="NZF58" s="96"/>
      <c r="NZL58" s="232"/>
      <c r="NZM58" s="95"/>
      <c r="NZN58" s="96"/>
      <c r="NZT58" s="232"/>
      <c r="NZU58" s="95"/>
      <c r="NZV58" s="96"/>
      <c r="OAB58" s="232"/>
      <c r="OAC58" s="95"/>
      <c r="OAD58" s="96"/>
      <c r="OAJ58" s="232"/>
      <c r="OAK58" s="95"/>
      <c r="OAL58" s="96"/>
      <c r="OAR58" s="232"/>
      <c r="OAS58" s="95"/>
      <c r="OAT58" s="96"/>
      <c r="OAZ58" s="232"/>
      <c r="OBA58" s="95"/>
      <c r="OBB58" s="96"/>
      <c r="OBH58" s="232"/>
      <c r="OBI58" s="95"/>
      <c r="OBJ58" s="96"/>
      <c r="OBP58" s="232"/>
      <c r="OBQ58" s="95"/>
      <c r="OBR58" s="96"/>
      <c r="OBX58" s="232"/>
      <c r="OBY58" s="95"/>
      <c r="OBZ58" s="96"/>
      <c r="OCF58" s="232"/>
      <c r="OCG58" s="95"/>
      <c r="OCH58" s="96"/>
      <c r="OCN58" s="232"/>
      <c r="OCO58" s="95"/>
      <c r="OCP58" s="96"/>
      <c r="OCV58" s="232"/>
      <c r="OCW58" s="95"/>
      <c r="OCX58" s="96"/>
      <c r="ODD58" s="232"/>
      <c r="ODE58" s="95"/>
      <c r="ODF58" s="96"/>
      <c r="ODL58" s="232"/>
      <c r="ODM58" s="95"/>
      <c r="ODN58" s="96"/>
      <c r="ODT58" s="232"/>
      <c r="ODU58" s="95"/>
      <c r="ODV58" s="96"/>
      <c r="OEB58" s="232"/>
      <c r="OEC58" s="95"/>
      <c r="OED58" s="96"/>
      <c r="OEJ58" s="232"/>
      <c r="OEK58" s="95"/>
      <c r="OEL58" s="96"/>
      <c r="OER58" s="232"/>
      <c r="OES58" s="95"/>
      <c r="OET58" s="96"/>
      <c r="OEZ58" s="232"/>
      <c r="OFA58" s="95"/>
      <c r="OFB58" s="96"/>
      <c r="OFH58" s="232"/>
      <c r="OFI58" s="95"/>
      <c r="OFJ58" s="96"/>
      <c r="OFP58" s="232"/>
      <c r="OFQ58" s="95"/>
      <c r="OFR58" s="96"/>
      <c r="OFX58" s="232"/>
      <c r="OFY58" s="95"/>
      <c r="OFZ58" s="96"/>
      <c r="OGF58" s="232"/>
      <c r="OGG58" s="95"/>
      <c r="OGH58" s="96"/>
      <c r="OGN58" s="232"/>
      <c r="OGO58" s="95"/>
      <c r="OGP58" s="96"/>
      <c r="OGV58" s="232"/>
      <c r="OGW58" s="95"/>
      <c r="OGX58" s="96"/>
      <c r="OHD58" s="232"/>
      <c r="OHE58" s="95"/>
      <c r="OHF58" s="96"/>
      <c r="OHL58" s="232"/>
      <c r="OHM58" s="95"/>
      <c r="OHN58" s="96"/>
      <c r="OHT58" s="232"/>
      <c r="OHU58" s="95"/>
      <c r="OHV58" s="96"/>
      <c r="OIB58" s="232"/>
      <c r="OIC58" s="95"/>
      <c r="OID58" s="96"/>
      <c r="OIJ58" s="232"/>
      <c r="OIK58" s="95"/>
      <c r="OIL58" s="96"/>
      <c r="OIR58" s="232"/>
      <c r="OIS58" s="95"/>
      <c r="OIT58" s="96"/>
      <c r="OIZ58" s="232"/>
      <c r="OJA58" s="95"/>
      <c r="OJB58" s="96"/>
      <c r="OJH58" s="232"/>
      <c r="OJI58" s="95"/>
      <c r="OJJ58" s="96"/>
      <c r="OJP58" s="232"/>
      <c r="OJQ58" s="95"/>
      <c r="OJR58" s="96"/>
      <c r="OJX58" s="232"/>
      <c r="OJY58" s="95"/>
      <c r="OJZ58" s="96"/>
      <c r="OKF58" s="232"/>
      <c r="OKG58" s="95"/>
      <c r="OKH58" s="96"/>
      <c r="OKN58" s="232"/>
      <c r="OKO58" s="95"/>
      <c r="OKP58" s="96"/>
      <c r="OKV58" s="232"/>
      <c r="OKW58" s="95"/>
      <c r="OKX58" s="96"/>
      <c r="OLD58" s="232"/>
      <c r="OLE58" s="95"/>
      <c r="OLF58" s="96"/>
      <c r="OLL58" s="232"/>
      <c r="OLM58" s="95"/>
      <c r="OLN58" s="96"/>
      <c r="OLT58" s="232"/>
      <c r="OLU58" s="95"/>
      <c r="OLV58" s="96"/>
      <c r="OMB58" s="232"/>
      <c r="OMC58" s="95"/>
      <c r="OMD58" s="96"/>
      <c r="OMJ58" s="232"/>
      <c r="OMK58" s="95"/>
      <c r="OML58" s="96"/>
      <c r="OMR58" s="232"/>
      <c r="OMS58" s="95"/>
      <c r="OMT58" s="96"/>
      <c r="OMZ58" s="232"/>
      <c r="ONA58" s="95"/>
      <c r="ONB58" s="96"/>
      <c r="ONH58" s="232"/>
      <c r="ONI58" s="95"/>
      <c r="ONJ58" s="96"/>
      <c r="ONP58" s="232"/>
      <c r="ONQ58" s="95"/>
      <c r="ONR58" s="96"/>
      <c r="ONX58" s="232"/>
      <c r="ONY58" s="95"/>
      <c r="ONZ58" s="96"/>
      <c r="OOF58" s="232"/>
      <c r="OOG58" s="95"/>
      <c r="OOH58" s="96"/>
      <c r="OON58" s="232"/>
      <c r="OOO58" s="95"/>
      <c r="OOP58" s="96"/>
      <c r="OOV58" s="232"/>
      <c r="OOW58" s="95"/>
      <c r="OOX58" s="96"/>
      <c r="OPD58" s="232"/>
      <c r="OPE58" s="95"/>
      <c r="OPF58" s="96"/>
      <c r="OPL58" s="232"/>
      <c r="OPM58" s="95"/>
      <c r="OPN58" s="96"/>
      <c r="OPT58" s="232"/>
      <c r="OPU58" s="95"/>
      <c r="OPV58" s="96"/>
      <c r="OQB58" s="232"/>
      <c r="OQC58" s="95"/>
      <c r="OQD58" s="96"/>
      <c r="OQJ58" s="232"/>
      <c r="OQK58" s="95"/>
      <c r="OQL58" s="96"/>
      <c r="OQR58" s="232"/>
      <c r="OQS58" s="95"/>
      <c r="OQT58" s="96"/>
      <c r="OQZ58" s="232"/>
      <c r="ORA58" s="95"/>
      <c r="ORB58" s="96"/>
      <c r="ORH58" s="232"/>
      <c r="ORI58" s="95"/>
      <c r="ORJ58" s="96"/>
      <c r="ORP58" s="232"/>
      <c r="ORQ58" s="95"/>
      <c r="ORR58" s="96"/>
      <c r="ORX58" s="232"/>
      <c r="ORY58" s="95"/>
      <c r="ORZ58" s="96"/>
      <c r="OSF58" s="232"/>
      <c r="OSG58" s="95"/>
      <c r="OSH58" s="96"/>
      <c r="OSN58" s="232"/>
      <c r="OSO58" s="95"/>
      <c r="OSP58" s="96"/>
      <c r="OSV58" s="232"/>
      <c r="OSW58" s="95"/>
      <c r="OSX58" s="96"/>
      <c r="OTD58" s="232"/>
      <c r="OTE58" s="95"/>
      <c r="OTF58" s="96"/>
      <c r="OTL58" s="232"/>
      <c r="OTM58" s="95"/>
      <c r="OTN58" s="96"/>
      <c r="OTT58" s="232"/>
      <c r="OTU58" s="95"/>
      <c r="OTV58" s="96"/>
      <c r="OUB58" s="232"/>
      <c r="OUC58" s="95"/>
      <c r="OUD58" s="96"/>
      <c r="OUJ58" s="232"/>
      <c r="OUK58" s="95"/>
      <c r="OUL58" s="96"/>
      <c r="OUR58" s="232"/>
      <c r="OUS58" s="95"/>
      <c r="OUT58" s="96"/>
      <c r="OUZ58" s="232"/>
      <c r="OVA58" s="95"/>
      <c r="OVB58" s="96"/>
      <c r="OVH58" s="232"/>
      <c r="OVI58" s="95"/>
      <c r="OVJ58" s="96"/>
      <c r="OVP58" s="232"/>
      <c r="OVQ58" s="95"/>
      <c r="OVR58" s="96"/>
      <c r="OVX58" s="232"/>
      <c r="OVY58" s="95"/>
      <c r="OVZ58" s="96"/>
      <c r="OWF58" s="232"/>
      <c r="OWG58" s="95"/>
      <c r="OWH58" s="96"/>
      <c r="OWN58" s="232"/>
      <c r="OWO58" s="95"/>
      <c r="OWP58" s="96"/>
      <c r="OWV58" s="232"/>
      <c r="OWW58" s="95"/>
      <c r="OWX58" s="96"/>
      <c r="OXD58" s="232"/>
      <c r="OXE58" s="95"/>
      <c r="OXF58" s="96"/>
      <c r="OXL58" s="232"/>
      <c r="OXM58" s="95"/>
      <c r="OXN58" s="96"/>
      <c r="OXT58" s="232"/>
      <c r="OXU58" s="95"/>
      <c r="OXV58" s="96"/>
      <c r="OYB58" s="232"/>
      <c r="OYC58" s="95"/>
      <c r="OYD58" s="96"/>
      <c r="OYJ58" s="232"/>
      <c r="OYK58" s="95"/>
      <c r="OYL58" s="96"/>
      <c r="OYR58" s="232"/>
      <c r="OYS58" s="95"/>
      <c r="OYT58" s="96"/>
      <c r="OYZ58" s="232"/>
      <c r="OZA58" s="95"/>
      <c r="OZB58" s="96"/>
      <c r="OZH58" s="232"/>
      <c r="OZI58" s="95"/>
      <c r="OZJ58" s="96"/>
      <c r="OZP58" s="232"/>
      <c r="OZQ58" s="95"/>
      <c r="OZR58" s="96"/>
      <c r="OZX58" s="232"/>
      <c r="OZY58" s="95"/>
      <c r="OZZ58" s="96"/>
      <c r="PAF58" s="232"/>
      <c r="PAG58" s="95"/>
      <c r="PAH58" s="96"/>
      <c r="PAN58" s="232"/>
      <c r="PAO58" s="95"/>
      <c r="PAP58" s="96"/>
      <c r="PAV58" s="232"/>
      <c r="PAW58" s="95"/>
      <c r="PAX58" s="96"/>
      <c r="PBD58" s="232"/>
      <c r="PBE58" s="95"/>
      <c r="PBF58" s="96"/>
      <c r="PBL58" s="232"/>
      <c r="PBM58" s="95"/>
      <c r="PBN58" s="96"/>
      <c r="PBT58" s="232"/>
      <c r="PBU58" s="95"/>
      <c r="PBV58" s="96"/>
      <c r="PCB58" s="232"/>
      <c r="PCC58" s="95"/>
      <c r="PCD58" s="96"/>
      <c r="PCJ58" s="232"/>
      <c r="PCK58" s="95"/>
      <c r="PCL58" s="96"/>
      <c r="PCR58" s="232"/>
      <c r="PCS58" s="95"/>
      <c r="PCT58" s="96"/>
      <c r="PCZ58" s="232"/>
      <c r="PDA58" s="95"/>
      <c r="PDB58" s="96"/>
      <c r="PDH58" s="232"/>
      <c r="PDI58" s="95"/>
      <c r="PDJ58" s="96"/>
      <c r="PDP58" s="232"/>
      <c r="PDQ58" s="95"/>
      <c r="PDR58" s="96"/>
      <c r="PDX58" s="232"/>
      <c r="PDY58" s="95"/>
      <c r="PDZ58" s="96"/>
      <c r="PEF58" s="232"/>
      <c r="PEG58" s="95"/>
      <c r="PEH58" s="96"/>
      <c r="PEN58" s="232"/>
      <c r="PEO58" s="95"/>
      <c r="PEP58" s="96"/>
      <c r="PEV58" s="232"/>
      <c r="PEW58" s="95"/>
      <c r="PEX58" s="96"/>
      <c r="PFD58" s="232"/>
      <c r="PFE58" s="95"/>
      <c r="PFF58" s="96"/>
      <c r="PFL58" s="232"/>
      <c r="PFM58" s="95"/>
      <c r="PFN58" s="96"/>
      <c r="PFT58" s="232"/>
      <c r="PFU58" s="95"/>
      <c r="PFV58" s="96"/>
      <c r="PGB58" s="232"/>
      <c r="PGC58" s="95"/>
      <c r="PGD58" s="96"/>
      <c r="PGJ58" s="232"/>
      <c r="PGK58" s="95"/>
      <c r="PGL58" s="96"/>
      <c r="PGR58" s="232"/>
      <c r="PGS58" s="95"/>
      <c r="PGT58" s="96"/>
      <c r="PGZ58" s="232"/>
      <c r="PHA58" s="95"/>
      <c r="PHB58" s="96"/>
      <c r="PHH58" s="232"/>
      <c r="PHI58" s="95"/>
      <c r="PHJ58" s="96"/>
      <c r="PHP58" s="232"/>
      <c r="PHQ58" s="95"/>
      <c r="PHR58" s="96"/>
      <c r="PHX58" s="232"/>
      <c r="PHY58" s="95"/>
      <c r="PHZ58" s="96"/>
      <c r="PIF58" s="232"/>
      <c r="PIG58" s="95"/>
      <c r="PIH58" s="96"/>
      <c r="PIN58" s="232"/>
      <c r="PIO58" s="95"/>
      <c r="PIP58" s="96"/>
      <c r="PIV58" s="232"/>
      <c r="PIW58" s="95"/>
      <c r="PIX58" s="96"/>
      <c r="PJD58" s="232"/>
      <c r="PJE58" s="95"/>
      <c r="PJF58" s="96"/>
      <c r="PJL58" s="232"/>
      <c r="PJM58" s="95"/>
      <c r="PJN58" s="96"/>
      <c r="PJT58" s="232"/>
      <c r="PJU58" s="95"/>
      <c r="PJV58" s="96"/>
      <c r="PKB58" s="232"/>
      <c r="PKC58" s="95"/>
      <c r="PKD58" s="96"/>
      <c r="PKJ58" s="232"/>
      <c r="PKK58" s="95"/>
      <c r="PKL58" s="96"/>
      <c r="PKR58" s="232"/>
      <c r="PKS58" s="95"/>
      <c r="PKT58" s="96"/>
      <c r="PKZ58" s="232"/>
      <c r="PLA58" s="95"/>
      <c r="PLB58" s="96"/>
      <c r="PLH58" s="232"/>
      <c r="PLI58" s="95"/>
      <c r="PLJ58" s="96"/>
      <c r="PLP58" s="232"/>
      <c r="PLQ58" s="95"/>
      <c r="PLR58" s="96"/>
      <c r="PLX58" s="232"/>
      <c r="PLY58" s="95"/>
      <c r="PLZ58" s="96"/>
      <c r="PMF58" s="232"/>
      <c r="PMG58" s="95"/>
      <c r="PMH58" s="96"/>
      <c r="PMN58" s="232"/>
      <c r="PMO58" s="95"/>
      <c r="PMP58" s="96"/>
      <c r="PMV58" s="232"/>
      <c r="PMW58" s="95"/>
      <c r="PMX58" s="96"/>
      <c r="PND58" s="232"/>
      <c r="PNE58" s="95"/>
      <c r="PNF58" s="96"/>
      <c r="PNL58" s="232"/>
      <c r="PNM58" s="95"/>
      <c r="PNN58" s="96"/>
      <c r="PNT58" s="232"/>
      <c r="PNU58" s="95"/>
      <c r="PNV58" s="96"/>
      <c r="POB58" s="232"/>
      <c r="POC58" s="95"/>
      <c r="POD58" s="96"/>
      <c r="POJ58" s="232"/>
      <c r="POK58" s="95"/>
      <c r="POL58" s="96"/>
      <c r="POR58" s="232"/>
      <c r="POS58" s="95"/>
      <c r="POT58" s="96"/>
      <c r="POZ58" s="232"/>
      <c r="PPA58" s="95"/>
      <c r="PPB58" s="96"/>
      <c r="PPH58" s="232"/>
      <c r="PPI58" s="95"/>
      <c r="PPJ58" s="96"/>
      <c r="PPP58" s="232"/>
      <c r="PPQ58" s="95"/>
      <c r="PPR58" s="96"/>
      <c r="PPX58" s="232"/>
      <c r="PPY58" s="95"/>
      <c r="PPZ58" s="96"/>
      <c r="PQF58" s="232"/>
      <c r="PQG58" s="95"/>
      <c r="PQH58" s="96"/>
      <c r="PQN58" s="232"/>
      <c r="PQO58" s="95"/>
      <c r="PQP58" s="96"/>
      <c r="PQV58" s="232"/>
      <c r="PQW58" s="95"/>
      <c r="PQX58" s="96"/>
      <c r="PRD58" s="232"/>
      <c r="PRE58" s="95"/>
      <c r="PRF58" s="96"/>
      <c r="PRL58" s="232"/>
      <c r="PRM58" s="95"/>
      <c r="PRN58" s="96"/>
      <c r="PRT58" s="232"/>
      <c r="PRU58" s="95"/>
      <c r="PRV58" s="96"/>
      <c r="PSB58" s="232"/>
      <c r="PSC58" s="95"/>
      <c r="PSD58" s="96"/>
      <c r="PSJ58" s="232"/>
      <c r="PSK58" s="95"/>
      <c r="PSL58" s="96"/>
      <c r="PSR58" s="232"/>
      <c r="PSS58" s="95"/>
      <c r="PST58" s="96"/>
      <c r="PSZ58" s="232"/>
      <c r="PTA58" s="95"/>
      <c r="PTB58" s="96"/>
      <c r="PTH58" s="232"/>
      <c r="PTI58" s="95"/>
      <c r="PTJ58" s="96"/>
      <c r="PTP58" s="232"/>
      <c r="PTQ58" s="95"/>
      <c r="PTR58" s="96"/>
      <c r="PTX58" s="232"/>
      <c r="PTY58" s="95"/>
      <c r="PTZ58" s="96"/>
      <c r="PUF58" s="232"/>
      <c r="PUG58" s="95"/>
      <c r="PUH58" s="96"/>
      <c r="PUN58" s="232"/>
      <c r="PUO58" s="95"/>
      <c r="PUP58" s="96"/>
      <c r="PUV58" s="232"/>
      <c r="PUW58" s="95"/>
      <c r="PUX58" s="96"/>
      <c r="PVD58" s="232"/>
      <c r="PVE58" s="95"/>
      <c r="PVF58" s="96"/>
      <c r="PVL58" s="232"/>
      <c r="PVM58" s="95"/>
      <c r="PVN58" s="96"/>
      <c r="PVT58" s="232"/>
      <c r="PVU58" s="95"/>
      <c r="PVV58" s="96"/>
      <c r="PWB58" s="232"/>
      <c r="PWC58" s="95"/>
      <c r="PWD58" s="96"/>
      <c r="PWJ58" s="232"/>
      <c r="PWK58" s="95"/>
      <c r="PWL58" s="96"/>
      <c r="PWR58" s="232"/>
      <c r="PWS58" s="95"/>
      <c r="PWT58" s="96"/>
      <c r="PWZ58" s="232"/>
      <c r="PXA58" s="95"/>
      <c r="PXB58" s="96"/>
      <c r="PXH58" s="232"/>
      <c r="PXI58" s="95"/>
      <c r="PXJ58" s="96"/>
      <c r="PXP58" s="232"/>
      <c r="PXQ58" s="95"/>
      <c r="PXR58" s="96"/>
      <c r="PXX58" s="232"/>
      <c r="PXY58" s="95"/>
      <c r="PXZ58" s="96"/>
      <c r="PYF58" s="232"/>
      <c r="PYG58" s="95"/>
      <c r="PYH58" s="96"/>
      <c r="PYN58" s="232"/>
      <c r="PYO58" s="95"/>
      <c r="PYP58" s="96"/>
      <c r="PYV58" s="232"/>
      <c r="PYW58" s="95"/>
      <c r="PYX58" s="96"/>
      <c r="PZD58" s="232"/>
      <c r="PZE58" s="95"/>
      <c r="PZF58" s="96"/>
      <c r="PZL58" s="232"/>
      <c r="PZM58" s="95"/>
      <c r="PZN58" s="96"/>
      <c r="PZT58" s="232"/>
      <c r="PZU58" s="95"/>
      <c r="PZV58" s="96"/>
      <c r="QAB58" s="232"/>
      <c r="QAC58" s="95"/>
      <c r="QAD58" s="96"/>
      <c r="QAJ58" s="232"/>
      <c r="QAK58" s="95"/>
      <c r="QAL58" s="96"/>
      <c r="QAR58" s="232"/>
      <c r="QAS58" s="95"/>
      <c r="QAT58" s="96"/>
      <c r="QAZ58" s="232"/>
      <c r="QBA58" s="95"/>
      <c r="QBB58" s="96"/>
      <c r="QBH58" s="232"/>
      <c r="QBI58" s="95"/>
      <c r="QBJ58" s="96"/>
      <c r="QBP58" s="232"/>
      <c r="QBQ58" s="95"/>
      <c r="QBR58" s="96"/>
      <c r="QBX58" s="232"/>
      <c r="QBY58" s="95"/>
      <c r="QBZ58" s="96"/>
      <c r="QCF58" s="232"/>
      <c r="QCG58" s="95"/>
      <c r="QCH58" s="96"/>
      <c r="QCN58" s="232"/>
      <c r="QCO58" s="95"/>
      <c r="QCP58" s="96"/>
      <c r="QCV58" s="232"/>
      <c r="QCW58" s="95"/>
      <c r="QCX58" s="96"/>
      <c r="QDD58" s="232"/>
      <c r="QDE58" s="95"/>
      <c r="QDF58" s="96"/>
      <c r="QDL58" s="232"/>
      <c r="QDM58" s="95"/>
      <c r="QDN58" s="96"/>
      <c r="QDT58" s="232"/>
      <c r="QDU58" s="95"/>
      <c r="QDV58" s="96"/>
      <c r="QEB58" s="232"/>
      <c r="QEC58" s="95"/>
      <c r="QED58" s="96"/>
      <c r="QEJ58" s="232"/>
      <c r="QEK58" s="95"/>
      <c r="QEL58" s="96"/>
      <c r="QER58" s="232"/>
      <c r="QES58" s="95"/>
      <c r="QET58" s="96"/>
      <c r="QEZ58" s="232"/>
      <c r="QFA58" s="95"/>
      <c r="QFB58" s="96"/>
      <c r="QFH58" s="232"/>
      <c r="QFI58" s="95"/>
      <c r="QFJ58" s="96"/>
      <c r="QFP58" s="232"/>
      <c r="QFQ58" s="95"/>
      <c r="QFR58" s="96"/>
      <c r="QFX58" s="232"/>
      <c r="QFY58" s="95"/>
      <c r="QFZ58" s="96"/>
      <c r="QGF58" s="232"/>
      <c r="QGG58" s="95"/>
      <c r="QGH58" s="96"/>
      <c r="QGN58" s="232"/>
      <c r="QGO58" s="95"/>
      <c r="QGP58" s="96"/>
      <c r="QGV58" s="232"/>
      <c r="QGW58" s="95"/>
      <c r="QGX58" s="96"/>
      <c r="QHD58" s="232"/>
      <c r="QHE58" s="95"/>
      <c r="QHF58" s="96"/>
      <c r="QHL58" s="232"/>
      <c r="QHM58" s="95"/>
      <c r="QHN58" s="96"/>
      <c r="QHT58" s="232"/>
      <c r="QHU58" s="95"/>
      <c r="QHV58" s="96"/>
      <c r="QIB58" s="232"/>
      <c r="QIC58" s="95"/>
      <c r="QID58" s="96"/>
      <c r="QIJ58" s="232"/>
      <c r="QIK58" s="95"/>
      <c r="QIL58" s="96"/>
      <c r="QIR58" s="232"/>
      <c r="QIS58" s="95"/>
      <c r="QIT58" s="96"/>
      <c r="QIZ58" s="232"/>
      <c r="QJA58" s="95"/>
      <c r="QJB58" s="96"/>
      <c r="QJH58" s="232"/>
      <c r="QJI58" s="95"/>
      <c r="QJJ58" s="96"/>
      <c r="QJP58" s="232"/>
      <c r="QJQ58" s="95"/>
      <c r="QJR58" s="96"/>
      <c r="QJX58" s="232"/>
      <c r="QJY58" s="95"/>
      <c r="QJZ58" s="96"/>
      <c r="QKF58" s="232"/>
      <c r="QKG58" s="95"/>
      <c r="QKH58" s="96"/>
      <c r="QKN58" s="232"/>
      <c r="QKO58" s="95"/>
      <c r="QKP58" s="96"/>
      <c r="QKV58" s="232"/>
      <c r="QKW58" s="95"/>
      <c r="QKX58" s="96"/>
      <c r="QLD58" s="232"/>
      <c r="QLE58" s="95"/>
      <c r="QLF58" s="96"/>
      <c r="QLL58" s="232"/>
      <c r="QLM58" s="95"/>
      <c r="QLN58" s="96"/>
      <c r="QLT58" s="232"/>
      <c r="QLU58" s="95"/>
      <c r="QLV58" s="96"/>
      <c r="QMB58" s="232"/>
      <c r="QMC58" s="95"/>
      <c r="QMD58" s="96"/>
      <c r="QMJ58" s="232"/>
      <c r="QMK58" s="95"/>
      <c r="QML58" s="96"/>
      <c r="QMR58" s="232"/>
      <c r="QMS58" s="95"/>
      <c r="QMT58" s="96"/>
      <c r="QMZ58" s="232"/>
      <c r="QNA58" s="95"/>
      <c r="QNB58" s="96"/>
      <c r="QNH58" s="232"/>
      <c r="QNI58" s="95"/>
      <c r="QNJ58" s="96"/>
      <c r="QNP58" s="232"/>
      <c r="QNQ58" s="95"/>
      <c r="QNR58" s="96"/>
      <c r="QNX58" s="232"/>
      <c r="QNY58" s="95"/>
      <c r="QNZ58" s="96"/>
      <c r="QOF58" s="232"/>
      <c r="QOG58" s="95"/>
      <c r="QOH58" s="96"/>
      <c r="QON58" s="232"/>
      <c r="QOO58" s="95"/>
      <c r="QOP58" s="96"/>
      <c r="QOV58" s="232"/>
      <c r="QOW58" s="95"/>
      <c r="QOX58" s="96"/>
      <c r="QPD58" s="232"/>
      <c r="QPE58" s="95"/>
      <c r="QPF58" s="96"/>
      <c r="QPL58" s="232"/>
      <c r="QPM58" s="95"/>
      <c r="QPN58" s="96"/>
      <c r="QPT58" s="232"/>
      <c r="QPU58" s="95"/>
      <c r="QPV58" s="96"/>
      <c r="QQB58" s="232"/>
      <c r="QQC58" s="95"/>
      <c r="QQD58" s="96"/>
      <c r="QQJ58" s="232"/>
      <c r="QQK58" s="95"/>
      <c r="QQL58" s="96"/>
      <c r="QQR58" s="232"/>
      <c r="QQS58" s="95"/>
      <c r="QQT58" s="96"/>
      <c r="QQZ58" s="232"/>
      <c r="QRA58" s="95"/>
      <c r="QRB58" s="96"/>
      <c r="QRH58" s="232"/>
      <c r="QRI58" s="95"/>
      <c r="QRJ58" s="96"/>
      <c r="QRP58" s="232"/>
      <c r="QRQ58" s="95"/>
      <c r="QRR58" s="96"/>
      <c r="QRX58" s="232"/>
      <c r="QRY58" s="95"/>
      <c r="QRZ58" s="96"/>
      <c r="QSF58" s="232"/>
      <c r="QSG58" s="95"/>
      <c r="QSH58" s="96"/>
      <c r="QSN58" s="232"/>
      <c r="QSO58" s="95"/>
      <c r="QSP58" s="96"/>
      <c r="QSV58" s="232"/>
      <c r="QSW58" s="95"/>
      <c r="QSX58" s="96"/>
      <c r="QTD58" s="232"/>
      <c r="QTE58" s="95"/>
      <c r="QTF58" s="96"/>
      <c r="QTL58" s="232"/>
      <c r="QTM58" s="95"/>
      <c r="QTN58" s="96"/>
      <c r="QTT58" s="232"/>
      <c r="QTU58" s="95"/>
      <c r="QTV58" s="96"/>
      <c r="QUB58" s="232"/>
      <c r="QUC58" s="95"/>
      <c r="QUD58" s="96"/>
      <c r="QUJ58" s="232"/>
      <c r="QUK58" s="95"/>
      <c r="QUL58" s="96"/>
      <c r="QUR58" s="232"/>
      <c r="QUS58" s="95"/>
      <c r="QUT58" s="96"/>
      <c r="QUZ58" s="232"/>
      <c r="QVA58" s="95"/>
      <c r="QVB58" s="96"/>
      <c r="QVH58" s="232"/>
      <c r="QVI58" s="95"/>
      <c r="QVJ58" s="96"/>
      <c r="QVP58" s="232"/>
      <c r="QVQ58" s="95"/>
      <c r="QVR58" s="96"/>
      <c r="QVX58" s="232"/>
      <c r="QVY58" s="95"/>
      <c r="QVZ58" s="96"/>
      <c r="QWF58" s="232"/>
      <c r="QWG58" s="95"/>
      <c r="QWH58" s="96"/>
      <c r="QWN58" s="232"/>
      <c r="QWO58" s="95"/>
      <c r="QWP58" s="96"/>
      <c r="QWV58" s="232"/>
      <c r="QWW58" s="95"/>
      <c r="QWX58" s="96"/>
      <c r="QXD58" s="232"/>
      <c r="QXE58" s="95"/>
      <c r="QXF58" s="96"/>
      <c r="QXL58" s="232"/>
      <c r="QXM58" s="95"/>
      <c r="QXN58" s="96"/>
      <c r="QXT58" s="232"/>
      <c r="QXU58" s="95"/>
      <c r="QXV58" s="96"/>
      <c r="QYB58" s="232"/>
      <c r="QYC58" s="95"/>
      <c r="QYD58" s="96"/>
      <c r="QYJ58" s="232"/>
      <c r="QYK58" s="95"/>
      <c r="QYL58" s="96"/>
      <c r="QYR58" s="232"/>
      <c r="QYS58" s="95"/>
      <c r="QYT58" s="96"/>
      <c r="QYZ58" s="232"/>
      <c r="QZA58" s="95"/>
      <c r="QZB58" s="96"/>
      <c r="QZH58" s="232"/>
      <c r="QZI58" s="95"/>
      <c r="QZJ58" s="96"/>
      <c r="QZP58" s="232"/>
      <c r="QZQ58" s="95"/>
      <c r="QZR58" s="96"/>
      <c r="QZX58" s="232"/>
      <c r="QZY58" s="95"/>
      <c r="QZZ58" s="96"/>
      <c r="RAF58" s="232"/>
      <c r="RAG58" s="95"/>
      <c r="RAH58" s="96"/>
      <c r="RAN58" s="232"/>
      <c r="RAO58" s="95"/>
      <c r="RAP58" s="96"/>
      <c r="RAV58" s="232"/>
      <c r="RAW58" s="95"/>
      <c r="RAX58" s="96"/>
      <c r="RBD58" s="232"/>
      <c r="RBE58" s="95"/>
      <c r="RBF58" s="96"/>
      <c r="RBL58" s="232"/>
      <c r="RBM58" s="95"/>
      <c r="RBN58" s="96"/>
      <c r="RBT58" s="232"/>
      <c r="RBU58" s="95"/>
      <c r="RBV58" s="96"/>
      <c r="RCB58" s="232"/>
      <c r="RCC58" s="95"/>
      <c r="RCD58" s="96"/>
      <c r="RCJ58" s="232"/>
      <c r="RCK58" s="95"/>
      <c r="RCL58" s="96"/>
      <c r="RCR58" s="232"/>
      <c r="RCS58" s="95"/>
      <c r="RCT58" s="96"/>
      <c r="RCZ58" s="232"/>
      <c r="RDA58" s="95"/>
      <c r="RDB58" s="96"/>
      <c r="RDH58" s="232"/>
      <c r="RDI58" s="95"/>
      <c r="RDJ58" s="96"/>
      <c r="RDP58" s="232"/>
      <c r="RDQ58" s="95"/>
      <c r="RDR58" s="96"/>
      <c r="RDX58" s="232"/>
      <c r="RDY58" s="95"/>
      <c r="RDZ58" s="96"/>
      <c r="REF58" s="232"/>
      <c r="REG58" s="95"/>
      <c r="REH58" s="96"/>
      <c r="REN58" s="232"/>
      <c r="REO58" s="95"/>
      <c r="REP58" s="96"/>
      <c r="REV58" s="232"/>
      <c r="REW58" s="95"/>
      <c r="REX58" s="96"/>
      <c r="RFD58" s="232"/>
      <c r="RFE58" s="95"/>
      <c r="RFF58" s="96"/>
      <c r="RFL58" s="232"/>
      <c r="RFM58" s="95"/>
      <c r="RFN58" s="96"/>
      <c r="RFT58" s="232"/>
      <c r="RFU58" s="95"/>
      <c r="RFV58" s="96"/>
      <c r="RGB58" s="232"/>
      <c r="RGC58" s="95"/>
      <c r="RGD58" s="96"/>
      <c r="RGJ58" s="232"/>
      <c r="RGK58" s="95"/>
      <c r="RGL58" s="96"/>
      <c r="RGR58" s="232"/>
      <c r="RGS58" s="95"/>
      <c r="RGT58" s="96"/>
      <c r="RGZ58" s="232"/>
      <c r="RHA58" s="95"/>
      <c r="RHB58" s="96"/>
      <c r="RHH58" s="232"/>
      <c r="RHI58" s="95"/>
      <c r="RHJ58" s="96"/>
      <c r="RHP58" s="232"/>
      <c r="RHQ58" s="95"/>
      <c r="RHR58" s="96"/>
      <c r="RHX58" s="232"/>
      <c r="RHY58" s="95"/>
      <c r="RHZ58" s="96"/>
      <c r="RIF58" s="232"/>
      <c r="RIG58" s="95"/>
      <c r="RIH58" s="96"/>
      <c r="RIN58" s="232"/>
      <c r="RIO58" s="95"/>
      <c r="RIP58" s="96"/>
      <c r="RIV58" s="232"/>
      <c r="RIW58" s="95"/>
      <c r="RIX58" s="96"/>
      <c r="RJD58" s="232"/>
      <c r="RJE58" s="95"/>
      <c r="RJF58" s="96"/>
      <c r="RJL58" s="232"/>
      <c r="RJM58" s="95"/>
      <c r="RJN58" s="96"/>
      <c r="RJT58" s="232"/>
      <c r="RJU58" s="95"/>
      <c r="RJV58" s="96"/>
      <c r="RKB58" s="232"/>
      <c r="RKC58" s="95"/>
      <c r="RKD58" s="96"/>
      <c r="RKJ58" s="232"/>
      <c r="RKK58" s="95"/>
      <c r="RKL58" s="96"/>
      <c r="RKR58" s="232"/>
      <c r="RKS58" s="95"/>
      <c r="RKT58" s="96"/>
      <c r="RKZ58" s="232"/>
      <c r="RLA58" s="95"/>
      <c r="RLB58" s="96"/>
      <c r="RLH58" s="232"/>
      <c r="RLI58" s="95"/>
      <c r="RLJ58" s="96"/>
      <c r="RLP58" s="232"/>
      <c r="RLQ58" s="95"/>
      <c r="RLR58" s="96"/>
      <c r="RLX58" s="232"/>
      <c r="RLY58" s="95"/>
      <c r="RLZ58" s="96"/>
      <c r="RMF58" s="232"/>
      <c r="RMG58" s="95"/>
      <c r="RMH58" s="96"/>
      <c r="RMN58" s="232"/>
      <c r="RMO58" s="95"/>
      <c r="RMP58" s="96"/>
      <c r="RMV58" s="232"/>
      <c r="RMW58" s="95"/>
      <c r="RMX58" s="96"/>
      <c r="RND58" s="232"/>
      <c r="RNE58" s="95"/>
      <c r="RNF58" s="96"/>
      <c r="RNL58" s="232"/>
      <c r="RNM58" s="95"/>
      <c r="RNN58" s="96"/>
      <c r="RNT58" s="232"/>
      <c r="RNU58" s="95"/>
      <c r="RNV58" s="96"/>
      <c r="ROB58" s="232"/>
      <c r="ROC58" s="95"/>
      <c r="ROD58" s="96"/>
      <c r="ROJ58" s="232"/>
      <c r="ROK58" s="95"/>
      <c r="ROL58" s="96"/>
      <c r="ROR58" s="232"/>
      <c r="ROS58" s="95"/>
      <c r="ROT58" s="96"/>
      <c r="ROZ58" s="232"/>
      <c r="RPA58" s="95"/>
      <c r="RPB58" s="96"/>
      <c r="RPH58" s="232"/>
      <c r="RPI58" s="95"/>
      <c r="RPJ58" s="96"/>
      <c r="RPP58" s="232"/>
      <c r="RPQ58" s="95"/>
      <c r="RPR58" s="96"/>
      <c r="RPX58" s="232"/>
      <c r="RPY58" s="95"/>
      <c r="RPZ58" s="96"/>
      <c r="RQF58" s="232"/>
      <c r="RQG58" s="95"/>
      <c r="RQH58" s="96"/>
      <c r="RQN58" s="232"/>
      <c r="RQO58" s="95"/>
      <c r="RQP58" s="96"/>
      <c r="RQV58" s="232"/>
      <c r="RQW58" s="95"/>
      <c r="RQX58" s="96"/>
      <c r="RRD58" s="232"/>
      <c r="RRE58" s="95"/>
      <c r="RRF58" s="96"/>
      <c r="RRL58" s="232"/>
      <c r="RRM58" s="95"/>
      <c r="RRN58" s="96"/>
      <c r="RRT58" s="232"/>
      <c r="RRU58" s="95"/>
      <c r="RRV58" s="96"/>
      <c r="RSB58" s="232"/>
      <c r="RSC58" s="95"/>
      <c r="RSD58" s="96"/>
      <c r="RSJ58" s="232"/>
      <c r="RSK58" s="95"/>
      <c r="RSL58" s="96"/>
      <c r="RSR58" s="232"/>
      <c r="RSS58" s="95"/>
      <c r="RST58" s="96"/>
      <c r="RSZ58" s="232"/>
      <c r="RTA58" s="95"/>
      <c r="RTB58" s="96"/>
      <c r="RTH58" s="232"/>
      <c r="RTI58" s="95"/>
      <c r="RTJ58" s="96"/>
      <c r="RTP58" s="232"/>
      <c r="RTQ58" s="95"/>
      <c r="RTR58" s="96"/>
      <c r="RTX58" s="232"/>
      <c r="RTY58" s="95"/>
      <c r="RTZ58" s="96"/>
      <c r="RUF58" s="232"/>
      <c r="RUG58" s="95"/>
      <c r="RUH58" s="96"/>
      <c r="RUN58" s="232"/>
      <c r="RUO58" s="95"/>
      <c r="RUP58" s="96"/>
      <c r="RUV58" s="232"/>
      <c r="RUW58" s="95"/>
      <c r="RUX58" s="96"/>
      <c r="RVD58" s="232"/>
      <c r="RVE58" s="95"/>
      <c r="RVF58" s="96"/>
      <c r="RVL58" s="232"/>
      <c r="RVM58" s="95"/>
      <c r="RVN58" s="96"/>
      <c r="RVT58" s="232"/>
      <c r="RVU58" s="95"/>
      <c r="RVV58" s="96"/>
      <c r="RWB58" s="232"/>
      <c r="RWC58" s="95"/>
      <c r="RWD58" s="96"/>
      <c r="RWJ58" s="232"/>
      <c r="RWK58" s="95"/>
      <c r="RWL58" s="96"/>
      <c r="RWR58" s="232"/>
      <c r="RWS58" s="95"/>
      <c r="RWT58" s="96"/>
      <c r="RWZ58" s="232"/>
      <c r="RXA58" s="95"/>
      <c r="RXB58" s="96"/>
      <c r="RXH58" s="232"/>
      <c r="RXI58" s="95"/>
      <c r="RXJ58" s="96"/>
      <c r="RXP58" s="232"/>
      <c r="RXQ58" s="95"/>
      <c r="RXR58" s="96"/>
      <c r="RXX58" s="232"/>
      <c r="RXY58" s="95"/>
      <c r="RXZ58" s="96"/>
      <c r="RYF58" s="232"/>
      <c r="RYG58" s="95"/>
      <c r="RYH58" s="96"/>
      <c r="RYN58" s="232"/>
      <c r="RYO58" s="95"/>
      <c r="RYP58" s="96"/>
      <c r="RYV58" s="232"/>
      <c r="RYW58" s="95"/>
      <c r="RYX58" s="96"/>
      <c r="RZD58" s="232"/>
      <c r="RZE58" s="95"/>
      <c r="RZF58" s="96"/>
      <c r="RZL58" s="232"/>
      <c r="RZM58" s="95"/>
      <c r="RZN58" s="96"/>
      <c r="RZT58" s="232"/>
      <c r="RZU58" s="95"/>
      <c r="RZV58" s="96"/>
      <c r="SAB58" s="232"/>
      <c r="SAC58" s="95"/>
      <c r="SAD58" s="96"/>
      <c r="SAJ58" s="232"/>
      <c r="SAK58" s="95"/>
      <c r="SAL58" s="96"/>
      <c r="SAR58" s="232"/>
      <c r="SAS58" s="95"/>
      <c r="SAT58" s="96"/>
      <c r="SAZ58" s="232"/>
      <c r="SBA58" s="95"/>
      <c r="SBB58" s="96"/>
      <c r="SBH58" s="232"/>
      <c r="SBI58" s="95"/>
      <c r="SBJ58" s="96"/>
      <c r="SBP58" s="232"/>
      <c r="SBQ58" s="95"/>
      <c r="SBR58" s="96"/>
      <c r="SBX58" s="232"/>
      <c r="SBY58" s="95"/>
      <c r="SBZ58" s="96"/>
      <c r="SCF58" s="232"/>
      <c r="SCG58" s="95"/>
      <c r="SCH58" s="96"/>
      <c r="SCN58" s="232"/>
      <c r="SCO58" s="95"/>
      <c r="SCP58" s="96"/>
      <c r="SCV58" s="232"/>
      <c r="SCW58" s="95"/>
      <c r="SCX58" s="96"/>
      <c r="SDD58" s="232"/>
      <c r="SDE58" s="95"/>
      <c r="SDF58" s="96"/>
      <c r="SDL58" s="232"/>
      <c r="SDM58" s="95"/>
      <c r="SDN58" s="96"/>
      <c r="SDT58" s="232"/>
      <c r="SDU58" s="95"/>
      <c r="SDV58" s="96"/>
      <c r="SEB58" s="232"/>
      <c r="SEC58" s="95"/>
      <c r="SED58" s="96"/>
      <c r="SEJ58" s="232"/>
      <c r="SEK58" s="95"/>
      <c r="SEL58" s="96"/>
      <c r="SER58" s="232"/>
      <c r="SES58" s="95"/>
      <c r="SET58" s="96"/>
      <c r="SEZ58" s="232"/>
      <c r="SFA58" s="95"/>
      <c r="SFB58" s="96"/>
      <c r="SFH58" s="232"/>
      <c r="SFI58" s="95"/>
      <c r="SFJ58" s="96"/>
      <c r="SFP58" s="232"/>
      <c r="SFQ58" s="95"/>
      <c r="SFR58" s="96"/>
      <c r="SFX58" s="232"/>
      <c r="SFY58" s="95"/>
      <c r="SFZ58" s="96"/>
      <c r="SGF58" s="232"/>
      <c r="SGG58" s="95"/>
      <c r="SGH58" s="96"/>
      <c r="SGN58" s="232"/>
      <c r="SGO58" s="95"/>
      <c r="SGP58" s="96"/>
      <c r="SGV58" s="232"/>
      <c r="SGW58" s="95"/>
      <c r="SGX58" s="96"/>
      <c r="SHD58" s="232"/>
      <c r="SHE58" s="95"/>
      <c r="SHF58" s="96"/>
      <c r="SHL58" s="232"/>
      <c r="SHM58" s="95"/>
      <c r="SHN58" s="96"/>
      <c r="SHT58" s="232"/>
      <c r="SHU58" s="95"/>
      <c r="SHV58" s="96"/>
      <c r="SIB58" s="232"/>
      <c r="SIC58" s="95"/>
      <c r="SID58" s="96"/>
      <c r="SIJ58" s="232"/>
      <c r="SIK58" s="95"/>
      <c r="SIL58" s="96"/>
      <c r="SIR58" s="232"/>
      <c r="SIS58" s="95"/>
      <c r="SIT58" s="96"/>
      <c r="SIZ58" s="232"/>
      <c r="SJA58" s="95"/>
      <c r="SJB58" s="96"/>
      <c r="SJH58" s="232"/>
      <c r="SJI58" s="95"/>
      <c r="SJJ58" s="96"/>
      <c r="SJP58" s="232"/>
      <c r="SJQ58" s="95"/>
      <c r="SJR58" s="96"/>
      <c r="SJX58" s="232"/>
      <c r="SJY58" s="95"/>
      <c r="SJZ58" s="96"/>
      <c r="SKF58" s="232"/>
      <c r="SKG58" s="95"/>
      <c r="SKH58" s="96"/>
      <c r="SKN58" s="232"/>
      <c r="SKO58" s="95"/>
      <c r="SKP58" s="96"/>
      <c r="SKV58" s="232"/>
      <c r="SKW58" s="95"/>
      <c r="SKX58" s="96"/>
      <c r="SLD58" s="232"/>
      <c r="SLE58" s="95"/>
      <c r="SLF58" s="96"/>
      <c r="SLL58" s="232"/>
      <c r="SLM58" s="95"/>
      <c r="SLN58" s="96"/>
      <c r="SLT58" s="232"/>
      <c r="SLU58" s="95"/>
      <c r="SLV58" s="96"/>
      <c r="SMB58" s="232"/>
      <c r="SMC58" s="95"/>
      <c r="SMD58" s="96"/>
      <c r="SMJ58" s="232"/>
      <c r="SMK58" s="95"/>
      <c r="SML58" s="96"/>
      <c r="SMR58" s="232"/>
      <c r="SMS58" s="95"/>
      <c r="SMT58" s="96"/>
      <c r="SMZ58" s="232"/>
      <c r="SNA58" s="95"/>
      <c r="SNB58" s="96"/>
      <c r="SNH58" s="232"/>
      <c r="SNI58" s="95"/>
      <c r="SNJ58" s="96"/>
      <c r="SNP58" s="232"/>
      <c r="SNQ58" s="95"/>
      <c r="SNR58" s="96"/>
      <c r="SNX58" s="232"/>
      <c r="SNY58" s="95"/>
      <c r="SNZ58" s="96"/>
      <c r="SOF58" s="232"/>
      <c r="SOG58" s="95"/>
      <c r="SOH58" s="96"/>
      <c r="SON58" s="232"/>
      <c r="SOO58" s="95"/>
      <c r="SOP58" s="96"/>
      <c r="SOV58" s="232"/>
      <c r="SOW58" s="95"/>
      <c r="SOX58" s="96"/>
      <c r="SPD58" s="232"/>
      <c r="SPE58" s="95"/>
      <c r="SPF58" s="96"/>
      <c r="SPL58" s="232"/>
      <c r="SPM58" s="95"/>
      <c r="SPN58" s="96"/>
      <c r="SPT58" s="232"/>
      <c r="SPU58" s="95"/>
      <c r="SPV58" s="96"/>
      <c r="SQB58" s="232"/>
      <c r="SQC58" s="95"/>
      <c r="SQD58" s="96"/>
      <c r="SQJ58" s="232"/>
      <c r="SQK58" s="95"/>
      <c r="SQL58" s="96"/>
      <c r="SQR58" s="232"/>
      <c r="SQS58" s="95"/>
      <c r="SQT58" s="96"/>
      <c r="SQZ58" s="232"/>
      <c r="SRA58" s="95"/>
      <c r="SRB58" s="96"/>
      <c r="SRH58" s="232"/>
      <c r="SRI58" s="95"/>
      <c r="SRJ58" s="96"/>
      <c r="SRP58" s="232"/>
      <c r="SRQ58" s="95"/>
      <c r="SRR58" s="96"/>
      <c r="SRX58" s="232"/>
      <c r="SRY58" s="95"/>
      <c r="SRZ58" s="96"/>
      <c r="SSF58" s="232"/>
      <c r="SSG58" s="95"/>
      <c r="SSH58" s="96"/>
      <c r="SSN58" s="232"/>
      <c r="SSO58" s="95"/>
      <c r="SSP58" s="96"/>
      <c r="SSV58" s="232"/>
      <c r="SSW58" s="95"/>
      <c r="SSX58" s="96"/>
      <c r="STD58" s="232"/>
      <c r="STE58" s="95"/>
      <c r="STF58" s="96"/>
      <c r="STL58" s="232"/>
      <c r="STM58" s="95"/>
      <c r="STN58" s="96"/>
      <c r="STT58" s="232"/>
      <c r="STU58" s="95"/>
      <c r="STV58" s="96"/>
      <c r="SUB58" s="232"/>
      <c r="SUC58" s="95"/>
      <c r="SUD58" s="96"/>
      <c r="SUJ58" s="232"/>
      <c r="SUK58" s="95"/>
      <c r="SUL58" s="96"/>
      <c r="SUR58" s="232"/>
      <c r="SUS58" s="95"/>
      <c r="SUT58" s="96"/>
      <c r="SUZ58" s="232"/>
      <c r="SVA58" s="95"/>
      <c r="SVB58" s="96"/>
      <c r="SVH58" s="232"/>
      <c r="SVI58" s="95"/>
      <c r="SVJ58" s="96"/>
      <c r="SVP58" s="232"/>
      <c r="SVQ58" s="95"/>
      <c r="SVR58" s="96"/>
      <c r="SVX58" s="232"/>
      <c r="SVY58" s="95"/>
      <c r="SVZ58" s="96"/>
      <c r="SWF58" s="232"/>
      <c r="SWG58" s="95"/>
      <c r="SWH58" s="96"/>
      <c r="SWN58" s="232"/>
      <c r="SWO58" s="95"/>
      <c r="SWP58" s="96"/>
      <c r="SWV58" s="232"/>
      <c r="SWW58" s="95"/>
      <c r="SWX58" s="96"/>
      <c r="SXD58" s="232"/>
      <c r="SXE58" s="95"/>
      <c r="SXF58" s="96"/>
      <c r="SXL58" s="232"/>
      <c r="SXM58" s="95"/>
      <c r="SXN58" s="96"/>
      <c r="SXT58" s="232"/>
      <c r="SXU58" s="95"/>
      <c r="SXV58" s="96"/>
      <c r="SYB58" s="232"/>
      <c r="SYC58" s="95"/>
      <c r="SYD58" s="96"/>
      <c r="SYJ58" s="232"/>
      <c r="SYK58" s="95"/>
      <c r="SYL58" s="96"/>
      <c r="SYR58" s="232"/>
      <c r="SYS58" s="95"/>
      <c r="SYT58" s="96"/>
      <c r="SYZ58" s="232"/>
      <c r="SZA58" s="95"/>
      <c r="SZB58" s="96"/>
      <c r="SZH58" s="232"/>
      <c r="SZI58" s="95"/>
      <c r="SZJ58" s="96"/>
      <c r="SZP58" s="232"/>
      <c r="SZQ58" s="95"/>
      <c r="SZR58" s="96"/>
      <c r="SZX58" s="232"/>
      <c r="SZY58" s="95"/>
      <c r="SZZ58" s="96"/>
      <c r="TAF58" s="232"/>
      <c r="TAG58" s="95"/>
      <c r="TAH58" s="96"/>
      <c r="TAN58" s="232"/>
      <c r="TAO58" s="95"/>
      <c r="TAP58" s="96"/>
      <c r="TAV58" s="232"/>
      <c r="TAW58" s="95"/>
      <c r="TAX58" s="96"/>
      <c r="TBD58" s="232"/>
      <c r="TBE58" s="95"/>
      <c r="TBF58" s="96"/>
      <c r="TBL58" s="232"/>
      <c r="TBM58" s="95"/>
      <c r="TBN58" s="96"/>
      <c r="TBT58" s="232"/>
      <c r="TBU58" s="95"/>
      <c r="TBV58" s="96"/>
      <c r="TCB58" s="232"/>
      <c r="TCC58" s="95"/>
      <c r="TCD58" s="96"/>
      <c r="TCJ58" s="232"/>
      <c r="TCK58" s="95"/>
      <c r="TCL58" s="96"/>
      <c r="TCR58" s="232"/>
      <c r="TCS58" s="95"/>
      <c r="TCT58" s="96"/>
      <c r="TCZ58" s="232"/>
      <c r="TDA58" s="95"/>
      <c r="TDB58" s="96"/>
      <c r="TDH58" s="232"/>
      <c r="TDI58" s="95"/>
      <c r="TDJ58" s="96"/>
      <c r="TDP58" s="232"/>
      <c r="TDQ58" s="95"/>
      <c r="TDR58" s="96"/>
      <c r="TDX58" s="232"/>
      <c r="TDY58" s="95"/>
      <c r="TDZ58" s="96"/>
      <c r="TEF58" s="232"/>
      <c r="TEG58" s="95"/>
      <c r="TEH58" s="96"/>
      <c r="TEN58" s="232"/>
      <c r="TEO58" s="95"/>
      <c r="TEP58" s="96"/>
      <c r="TEV58" s="232"/>
      <c r="TEW58" s="95"/>
      <c r="TEX58" s="96"/>
      <c r="TFD58" s="232"/>
      <c r="TFE58" s="95"/>
      <c r="TFF58" s="96"/>
      <c r="TFL58" s="232"/>
      <c r="TFM58" s="95"/>
      <c r="TFN58" s="96"/>
      <c r="TFT58" s="232"/>
      <c r="TFU58" s="95"/>
      <c r="TFV58" s="96"/>
      <c r="TGB58" s="232"/>
      <c r="TGC58" s="95"/>
      <c r="TGD58" s="96"/>
      <c r="TGJ58" s="232"/>
      <c r="TGK58" s="95"/>
      <c r="TGL58" s="96"/>
      <c r="TGR58" s="232"/>
      <c r="TGS58" s="95"/>
      <c r="TGT58" s="96"/>
      <c r="TGZ58" s="232"/>
      <c r="THA58" s="95"/>
      <c r="THB58" s="96"/>
      <c r="THH58" s="232"/>
      <c r="THI58" s="95"/>
      <c r="THJ58" s="96"/>
      <c r="THP58" s="232"/>
      <c r="THQ58" s="95"/>
      <c r="THR58" s="96"/>
      <c r="THX58" s="232"/>
      <c r="THY58" s="95"/>
      <c r="THZ58" s="96"/>
      <c r="TIF58" s="232"/>
      <c r="TIG58" s="95"/>
      <c r="TIH58" s="96"/>
      <c r="TIN58" s="232"/>
      <c r="TIO58" s="95"/>
      <c r="TIP58" s="96"/>
      <c r="TIV58" s="232"/>
      <c r="TIW58" s="95"/>
      <c r="TIX58" s="96"/>
      <c r="TJD58" s="232"/>
      <c r="TJE58" s="95"/>
      <c r="TJF58" s="96"/>
      <c r="TJL58" s="232"/>
      <c r="TJM58" s="95"/>
      <c r="TJN58" s="96"/>
      <c r="TJT58" s="232"/>
      <c r="TJU58" s="95"/>
      <c r="TJV58" s="96"/>
      <c r="TKB58" s="232"/>
      <c r="TKC58" s="95"/>
      <c r="TKD58" s="96"/>
      <c r="TKJ58" s="232"/>
      <c r="TKK58" s="95"/>
      <c r="TKL58" s="96"/>
      <c r="TKR58" s="232"/>
      <c r="TKS58" s="95"/>
      <c r="TKT58" s="96"/>
      <c r="TKZ58" s="232"/>
      <c r="TLA58" s="95"/>
      <c r="TLB58" s="96"/>
      <c r="TLH58" s="232"/>
      <c r="TLI58" s="95"/>
      <c r="TLJ58" s="96"/>
      <c r="TLP58" s="232"/>
      <c r="TLQ58" s="95"/>
      <c r="TLR58" s="96"/>
      <c r="TLX58" s="232"/>
      <c r="TLY58" s="95"/>
      <c r="TLZ58" s="96"/>
      <c r="TMF58" s="232"/>
      <c r="TMG58" s="95"/>
      <c r="TMH58" s="96"/>
      <c r="TMN58" s="232"/>
      <c r="TMO58" s="95"/>
      <c r="TMP58" s="96"/>
      <c r="TMV58" s="232"/>
      <c r="TMW58" s="95"/>
      <c r="TMX58" s="96"/>
      <c r="TND58" s="232"/>
      <c r="TNE58" s="95"/>
      <c r="TNF58" s="96"/>
      <c r="TNL58" s="232"/>
      <c r="TNM58" s="95"/>
      <c r="TNN58" s="96"/>
      <c r="TNT58" s="232"/>
      <c r="TNU58" s="95"/>
      <c r="TNV58" s="96"/>
      <c r="TOB58" s="232"/>
      <c r="TOC58" s="95"/>
      <c r="TOD58" s="96"/>
      <c r="TOJ58" s="232"/>
      <c r="TOK58" s="95"/>
      <c r="TOL58" s="96"/>
      <c r="TOR58" s="232"/>
      <c r="TOS58" s="95"/>
      <c r="TOT58" s="96"/>
      <c r="TOZ58" s="232"/>
      <c r="TPA58" s="95"/>
      <c r="TPB58" s="96"/>
      <c r="TPH58" s="232"/>
      <c r="TPI58" s="95"/>
      <c r="TPJ58" s="96"/>
      <c r="TPP58" s="232"/>
      <c r="TPQ58" s="95"/>
      <c r="TPR58" s="96"/>
      <c r="TPX58" s="232"/>
      <c r="TPY58" s="95"/>
      <c r="TPZ58" s="96"/>
      <c r="TQF58" s="232"/>
      <c r="TQG58" s="95"/>
      <c r="TQH58" s="96"/>
      <c r="TQN58" s="232"/>
      <c r="TQO58" s="95"/>
      <c r="TQP58" s="96"/>
      <c r="TQV58" s="232"/>
      <c r="TQW58" s="95"/>
      <c r="TQX58" s="96"/>
      <c r="TRD58" s="232"/>
      <c r="TRE58" s="95"/>
      <c r="TRF58" s="96"/>
      <c r="TRL58" s="232"/>
      <c r="TRM58" s="95"/>
      <c r="TRN58" s="96"/>
      <c r="TRT58" s="232"/>
      <c r="TRU58" s="95"/>
      <c r="TRV58" s="96"/>
      <c r="TSB58" s="232"/>
      <c r="TSC58" s="95"/>
      <c r="TSD58" s="96"/>
      <c r="TSJ58" s="232"/>
      <c r="TSK58" s="95"/>
      <c r="TSL58" s="96"/>
      <c r="TSR58" s="232"/>
      <c r="TSS58" s="95"/>
      <c r="TST58" s="96"/>
      <c r="TSZ58" s="232"/>
      <c r="TTA58" s="95"/>
      <c r="TTB58" s="96"/>
      <c r="TTH58" s="232"/>
      <c r="TTI58" s="95"/>
      <c r="TTJ58" s="96"/>
      <c r="TTP58" s="232"/>
      <c r="TTQ58" s="95"/>
      <c r="TTR58" s="96"/>
      <c r="TTX58" s="232"/>
      <c r="TTY58" s="95"/>
      <c r="TTZ58" s="96"/>
      <c r="TUF58" s="232"/>
      <c r="TUG58" s="95"/>
      <c r="TUH58" s="96"/>
      <c r="TUN58" s="232"/>
      <c r="TUO58" s="95"/>
      <c r="TUP58" s="96"/>
      <c r="TUV58" s="232"/>
      <c r="TUW58" s="95"/>
      <c r="TUX58" s="96"/>
      <c r="TVD58" s="232"/>
      <c r="TVE58" s="95"/>
      <c r="TVF58" s="96"/>
      <c r="TVL58" s="232"/>
      <c r="TVM58" s="95"/>
      <c r="TVN58" s="96"/>
      <c r="TVT58" s="232"/>
      <c r="TVU58" s="95"/>
      <c r="TVV58" s="96"/>
      <c r="TWB58" s="232"/>
      <c r="TWC58" s="95"/>
      <c r="TWD58" s="96"/>
      <c r="TWJ58" s="232"/>
      <c r="TWK58" s="95"/>
      <c r="TWL58" s="96"/>
      <c r="TWR58" s="232"/>
      <c r="TWS58" s="95"/>
      <c r="TWT58" s="96"/>
      <c r="TWZ58" s="232"/>
      <c r="TXA58" s="95"/>
      <c r="TXB58" s="96"/>
      <c r="TXH58" s="232"/>
      <c r="TXI58" s="95"/>
      <c r="TXJ58" s="96"/>
      <c r="TXP58" s="232"/>
      <c r="TXQ58" s="95"/>
      <c r="TXR58" s="96"/>
      <c r="TXX58" s="232"/>
      <c r="TXY58" s="95"/>
      <c r="TXZ58" s="96"/>
      <c r="TYF58" s="232"/>
      <c r="TYG58" s="95"/>
      <c r="TYH58" s="96"/>
      <c r="TYN58" s="232"/>
      <c r="TYO58" s="95"/>
      <c r="TYP58" s="96"/>
      <c r="TYV58" s="232"/>
      <c r="TYW58" s="95"/>
      <c r="TYX58" s="96"/>
      <c r="TZD58" s="232"/>
      <c r="TZE58" s="95"/>
      <c r="TZF58" s="96"/>
      <c r="TZL58" s="232"/>
      <c r="TZM58" s="95"/>
      <c r="TZN58" s="96"/>
      <c r="TZT58" s="232"/>
      <c r="TZU58" s="95"/>
      <c r="TZV58" s="96"/>
      <c r="UAB58" s="232"/>
      <c r="UAC58" s="95"/>
      <c r="UAD58" s="96"/>
      <c r="UAJ58" s="232"/>
      <c r="UAK58" s="95"/>
      <c r="UAL58" s="96"/>
      <c r="UAR58" s="232"/>
      <c r="UAS58" s="95"/>
      <c r="UAT58" s="96"/>
      <c r="UAZ58" s="232"/>
      <c r="UBA58" s="95"/>
      <c r="UBB58" s="96"/>
      <c r="UBH58" s="232"/>
      <c r="UBI58" s="95"/>
      <c r="UBJ58" s="96"/>
      <c r="UBP58" s="232"/>
      <c r="UBQ58" s="95"/>
      <c r="UBR58" s="96"/>
      <c r="UBX58" s="232"/>
      <c r="UBY58" s="95"/>
      <c r="UBZ58" s="96"/>
      <c r="UCF58" s="232"/>
      <c r="UCG58" s="95"/>
      <c r="UCH58" s="96"/>
      <c r="UCN58" s="232"/>
      <c r="UCO58" s="95"/>
      <c r="UCP58" s="96"/>
      <c r="UCV58" s="232"/>
      <c r="UCW58" s="95"/>
      <c r="UCX58" s="96"/>
      <c r="UDD58" s="232"/>
      <c r="UDE58" s="95"/>
      <c r="UDF58" s="96"/>
      <c r="UDL58" s="232"/>
      <c r="UDM58" s="95"/>
      <c r="UDN58" s="96"/>
      <c r="UDT58" s="232"/>
      <c r="UDU58" s="95"/>
      <c r="UDV58" s="96"/>
      <c r="UEB58" s="232"/>
      <c r="UEC58" s="95"/>
      <c r="UED58" s="96"/>
      <c r="UEJ58" s="232"/>
      <c r="UEK58" s="95"/>
      <c r="UEL58" s="96"/>
      <c r="UER58" s="232"/>
      <c r="UES58" s="95"/>
      <c r="UET58" s="96"/>
      <c r="UEZ58" s="232"/>
      <c r="UFA58" s="95"/>
      <c r="UFB58" s="96"/>
      <c r="UFH58" s="232"/>
      <c r="UFI58" s="95"/>
      <c r="UFJ58" s="96"/>
      <c r="UFP58" s="232"/>
      <c r="UFQ58" s="95"/>
      <c r="UFR58" s="96"/>
      <c r="UFX58" s="232"/>
      <c r="UFY58" s="95"/>
      <c r="UFZ58" s="96"/>
      <c r="UGF58" s="232"/>
      <c r="UGG58" s="95"/>
      <c r="UGH58" s="96"/>
      <c r="UGN58" s="232"/>
      <c r="UGO58" s="95"/>
      <c r="UGP58" s="96"/>
      <c r="UGV58" s="232"/>
      <c r="UGW58" s="95"/>
      <c r="UGX58" s="96"/>
      <c r="UHD58" s="232"/>
      <c r="UHE58" s="95"/>
      <c r="UHF58" s="96"/>
      <c r="UHL58" s="232"/>
      <c r="UHM58" s="95"/>
      <c r="UHN58" s="96"/>
      <c r="UHT58" s="232"/>
      <c r="UHU58" s="95"/>
      <c r="UHV58" s="96"/>
      <c r="UIB58" s="232"/>
      <c r="UIC58" s="95"/>
      <c r="UID58" s="96"/>
      <c r="UIJ58" s="232"/>
      <c r="UIK58" s="95"/>
      <c r="UIL58" s="96"/>
      <c r="UIR58" s="232"/>
      <c r="UIS58" s="95"/>
      <c r="UIT58" s="96"/>
      <c r="UIZ58" s="232"/>
      <c r="UJA58" s="95"/>
      <c r="UJB58" s="96"/>
      <c r="UJH58" s="232"/>
      <c r="UJI58" s="95"/>
      <c r="UJJ58" s="96"/>
      <c r="UJP58" s="232"/>
      <c r="UJQ58" s="95"/>
      <c r="UJR58" s="96"/>
      <c r="UJX58" s="232"/>
      <c r="UJY58" s="95"/>
      <c r="UJZ58" s="96"/>
      <c r="UKF58" s="232"/>
      <c r="UKG58" s="95"/>
      <c r="UKH58" s="96"/>
      <c r="UKN58" s="232"/>
      <c r="UKO58" s="95"/>
      <c r="UKP58" s="96"/>
      <c r="UKV58" s="232"/>
      <c r="UKW58" s="95"/>
      <c r="UKX58" s="96"/>
      <c r="ULD58" s="232"/>
      <c r="ULE58" s="95"/>
      <c r="ULF58" s="96"/>
      <c r="ULL58" s="232"/>
      <c r="ULM58" s="95"/>
      <c r="ULN58" s="96"/>
      <c r="ULT58" s="232"/>
      <c r="ULU58" s="95"/>
      <c r="ULV58" s="96"/>
      <c r="UMB58" s="232"/>
      <c r="UMC58" s="95"/>
      <c r="UMD58" s="96"/>
      <c r="UMJ58" s="232"/>
      <c r="UMK58" s="95"/>
      <c r="UML58" s="96"/>
      <c r="UMR58" s="232"/>
      <c r="UMS58" s="95"/>
      <c r="UMT58" s="96"/>
      <c r="UMZ58" s="232"/>
      <c r="UNA58" s="95"/>
      <c r="UNB58" s="96"/>
      <c r="UNH58" s="232"/>
      <c r="UNI58" s="95"/>
      <c r="UNJ58" s="96"/>
      <c r="UNP58" s="232"/>
      <c r="UNQ58" s="95"/>
      <c r="UNR58" s="96"/>
      <c r="UNX58" s="232"/>
      <c r="UNY58" s="95"/>
      <c r="UNZ58" s="96"/>
      <c r="UOF58" s="232"/>
      <c r="UOG58" s="95"/>
      <c r="UOH58" s="96"/>
      <c r="UON58" s="232"/>
      <c r="UOO58" s="95"/>
      <c r="UOP58" s="96"/>
      <c r="UOV58" s="232"/>
      <c r="UOW58" s="95"/>
      <c r="UOX58" s="96"/>
      <c r="UPD58" s="232"/>
      <c r="UPE58" s="95"/>
      <c r="UPF58" s="96"/>
      <c r="UPL58" s="232"/>
      <c r="UPM58" s="95"/>
      <c r="UPN58" s="96"/>
      <c r="UPT58" s="232"/>
      <c r="UPU58" s="95"/>
      <c r="UPV58" s="96"/>
      <c r="UQB58" s="232"/>
      <c r="UQC58" s="95"/>
      <c r="UQD58" s="96"/>
      <c r="UQJ58" s="232"/>
      <c r="UQK58" s="95"/>
      <c r="UQL58" s="96"/>
      <c r="UQR58" s="232"/>
      <c r="UQS58" s="95"/>
      <c r="UQT58" s="96"/>
      <c r="UQZ58" s="232"/>
      <c r="URA58" s="95"/>
      <c r="URB58" s="96"/>
      <c r="URH58" s="232"/>
      <c r="URI58" s="95"/>
      <c r="URJ58" s="96"/>
      <c r="URP58" s="232"/>
      <c r="URQ58" s="95"/>
      <c r="URR58" s="96"/>
      <c r="URX58" s="232"/>
      <c r="URY58" s="95"/>
      <c r="URZ58" s="96"/>
      <c r="USF58" s="232"/>
      <c r="USG58" s="95"/>
      <c r="USH58" s="96"/>
      <c r="USN58" s="232"/>
      <c r="USO58" s="95"/>
      <c r="USP58" s="96"/>
      <c r="USV58" s="232"/>
      <c r="USW58" s="95"/>
      <c r="USX58" s="96"/>
      <c r="UTD58" s="232"/>
      <c r="UTE58" s="95"/>
      <c r="UTF58" s="96"/>
      <c r="UTL58" s="232"/>
      <c r="UTM58" s="95"/>
      <c r="UTN58" s="96"/>
      <c r="UTT58" s="232"/>
      <c r="UTU58" s="95"/>
      <c r="UTV58" s="96"/>
      <c r="UUB58" s="232"/>
      <c r="UUC58" s="95"/>
      <c r="UUD58" s="96"/>
      <c r="UUJ58" s="232"/>
      <c r="UUK58" s="95"/>
      <c r="UUL58" s="96"/>
      <c r="UUR58" s="232"/>
      <c r="UUS58" s="95"/>
      <c r="UUT58" s="96"/>
      <c r="UUZ58" s="232"/>
      <c r="UVA58" s="95"/>
      <c r="UVB58" s="96"/>
      <c r="UVH58" s="232"/>
      <c r="UVI58" s="95"/>
      <c r="UVJ58" s="96"/>
      <c r="UVP58" s="232"/>
      <c r="UVQ58" s="95"/>
      <c r="UVR58" s="96"/>
      <c r="UVX58" s="232"/>
      <c r="UVY58" s="95"/>
      <c r="UVZ58" s="96"/>
      <c r="UWF58" s="232"/>
      <c r="UWG58" s="95"/>
      <c r="UWH58" s="96"/>
      <c r="UWN58" s="232"/>
      <c r="UWO58" s="95"/>
      <c r="UWP58" s="96"/>
      <c r="UWV58" s="232"/>
      <c r="UWW58" s="95"/>
      <c r="UWX58" s="96"/>
      <c r="UXD58" s="232"/>
      <c r="UXE58" s="95"/>
      <c r="UXF58" s="96"/>
      <c r="UXL58" s="232"/>
      <c r="UXM58" s="95"/>
      <c r="UXN58" s="96"/>
      <c r="UXT58" s="232"/>
      <c r="UXU58" s="95"/>
      <c r="UXV58" s="96"/>
      <c r="UYB58" s="232"/>
      <c r="UYC58" s="95"/>
      <c r="UYD58" s="96"/>
      <c r="UYJ58" s="232"/>
      <c r="UYK58" s="95"/>
      <c r="UYL58" s="96"/>
      <c r="UYR58" s="232"/>
      <c r="UYS58" s="95"/>
      <c r="UYT58" s="96"/>
      <c r="UYZ58" s="232"/>
      <c r="UZA58" s="95"/>
      <c r="UZB58" s="96"/>
      <c r="UZH58" s="232"/>
      <c r="UZI58" s="95"/>
      <c r="UZJ58" s="96"/>
      <c r="UZP58" s="232"/>
      <c r="UZQ58" s="95"/>
      <c r="UZR58" s="96"/>
      <c r="UZX58" s="232"/>
      <c r="UZY58" s="95"/>
      <c r="UZZ58" s="96"/>
      <c r="VAF58" s="232"/>
      <c r="VAG58" s="95"/>
      <c r="VAH58" s="96"/>
      <c r="VAN58" s="232"/>
      <c r="VAO58" s="95"/>
      <c r="VAP58" s="96"/>
      <c r="VAV58" s="232"/>
      <c r="VAW58" s="95"/>
      <c r="VAX58" s="96"/>
      <c r="VBD58" s="232"/>
      <c r="VBE58" s="95"/>
      <c r="VBF58" s="96"/>
      <c r="VBL58" s="232"/>
      <c r="VBM58" s="95"/>
      <c r="VBN58" s="96"/>
      <c r="VBT58" s="232"/>
      <c r="VBU58" s="95"/>
      <c r="VBV58" s="96"/>
      <c r="VCB58" s="232"/>
      <c r="VCC58" s="95"/>
      <c r="VCD58" s="96"/>
      <c r="VCJ58" s="232"/>
      <c r="VCK58" s="95"/>
      <c r="VCL58" s="96"/>
      <c r="VCR58" s="232"/>
      <c r="VCS58" s="95"/>
      <c r="VCT58" s="96"/>
      <c r="VCZ58" s="232"/>
      <c r="VDA58" s="95"/>
      <c r="VDB58" s="96"/>
      <c r="VDH58" s="232"/>
      <c r="VDI58" s="95"/>
      <c r="VDJ58" s="96"/>
      <c r="VDP58" s="232"/>
      <c r="VDQ58" s="95"/>
      <c r="VDR58" s="96"/>
      <c r="VDX58" s="232"/>
      <c r="VDY58" s="95"/>
      <c r="VDZ58" s="96"/>
      <c r="VEF58" s="232"/>
      <c r="VEG58" s="95"/>
      <c r="VEH58" s="96"/>
      <c r="VEN58" s="232"/>
      <c r="VEO58" s="95"/>
      <c r="VEP58" s="96"/>
      <c r="VEV58" s="232"/>
      <c r="VEW58" s="95"/>
      <c r="VEX58" s="96"/>
      <c r="VFD58" s="232"/>
      <c r="VFE58" s="95"/>
      <c r="VFF58" s="96"/>
      <c r="VFL58" s="232"/>
      <c r="VFM58" s="95"/>
      <c r="VFN58" s="96"/>
      <c r="VFT58" s="232"/>
      <c r="VFU58" s="95"/>
      <c r="VFV58" s="96"/>
      <c r="VGB58" s="232"/>
      <c r="VGC58" s="95"/>
      <c r="VGD58" s="96"/>
      <c r="VGJ58" s="232"/>
      <c r="VGK58" s="95"/>
      <c r="VGL58" s="96"/>
      <c r="VGR58" s="232"/>
      <c r="VGS58" s="95"/>
      <c r="VGT58" s="96"/>
      <c r="VGZ58" s="232"/>
      <c r="VHA58" s="95"/>
      <c r="VHB58" s="96"/>
      <c r="VHH58" s="232"/>
      <c r="VHI58" s="95"/>
      <c r="VHJ58" s="96"/>
      <c r="VHP58" s="232"/>
      <c r="VHQ58" s="95"/>
      <c r="VHR58" s="96"/>
      <c r="VHX58" s="232"/>
      <c r="VHY58" s="95"/>
      <c r="VHZ58" s="96"/>
      <c r="VIF58" s="232"/>
      <c r="VIG58" s="95"/>
      <c r="VIH58" s="96"/>
      <c r="VIN58" s="232"/>
      <c r="VIO58" s="95"/>
      <c r="VIP58" s="96"/>
      <c r="VIV58" s="232"/>
      <c r="VIW58" s="95"/>
      <c r="VIX58" s="96"/>
      <c r="VJD58" s="232"/>
      <c r="VJE58" s="95"/>
      <c r="VJF58" s="96"/>
      <c r="VJL58" s="232"/>
      <c r="VJM58" s="95"/>
      <c r="VJN58" s="96"/>
      <c r="VJT58" s="232"/>
      <c r="VJU58" s="95"/>
      <c r="VJV58" s="96"/>
      <c r="VKB58" s="232"/>
      <c r="VKC58" s="95"/>
      <c r="VKD58" s="96"/>
      <c r="VKJ58" s="232"/>
      <c r="VKK58" s="95"/>
      <c r="VKL58" s="96"/>
      <c r="VKR58" s="232"/>
      <c r="VKS58" s="95"/>
      <c r="VKT58" s="96"/>
      <c r="VKZ58" s="232"/>
      <c r="VLA58" s="95"/>
      <c r="VLB58" s="96"/>
      <c r="VLH58" s="232"/>
      <c r="VLI58" s="95"/>
      <c r="VLJ58" s="96"/>
      <c r="VLP58" s="232"/>
      <c r="VLQ58" s="95"/>
      <c r="VLR58" s="96"/>
      <c r="VLX58" s="232"/>
      <c r="VLY58" s="95"/>
      <c r="VLZ58" s="96"/>
      <c r="VMF58" s="232"/>
      <c r="VMG58" s="95"/>
      <c r="VMH58" s="96"/>
      <c r="VMN58" s="232"/>
      <c r="VMO58" s="95"/>
      <c r="VMP58" s="96"/>
      <c r="VMV58" s="232"/>
      <c r="VMW58" s="95"/>
      <c r="VMX58" s="96"/>
      <c r="VND58" s="232"/>
      <c r="VNE58" s="95"/>
      <c r="VNF58" s="96"/>
      <c r="VNL58" s="232"/>
      <c r="VNM58" s="95"/>
      <c r="VNN58" s="96"/>
      <c r="VNT58" s="232"/>
      <c r="VNU58" s="95"/>
      <c r="VNV58" s="96"/>
      <c r="VOB58" s="232"/>
      <c r="VOC58" s="95"/>
      <c r="VOD58" s="96"/>
      <c r="VOJ58" s="232"/>
      <c r="VOK58" s="95"/>
      <c r="VOL58" s="96"/>
      <c r="VOR58" s="232"/>
      <c r="VOS58" s="95"/>
      <c r="VOT58" s="96"/>
      <c r="VOZ58" s="232"/>
      <c r="VPA58" s="95"/>
      <c r="VPB58" s="96"/>
      <c r="VPH58" s="232"/>
      <c r="VPI58" s="95"/>
      <c r="VPJ58" s="96"/>
      <c r="VPP58" s="232"/>
      <c r="VPQ58" s="95"/>
      <c r="VPR58" s="96"/>
      <c r="VPX58" s="232"/>
      <c r="VPY58" s="95"/>
      <c r="VPZ58" s="96"/>
      <c r="VQF58" s="232"/>
      <c r="VQG58" s="95"/>
      <c r="VQH58" s="96"/>
      <c r="VQN58" s="232"/>
      <c r="VQO58" s="95"/>
      <c r="VQP58" s="96"/>
      <c r="VQV58" s="232"/>
      <c r="VQW58" s="95"/>
      <c r="VQX58" s="96"/>
      <c r="VRD58" s="232"/>
      <c r="VRE58" s="95"/>
      <c r="VRF58" s="96"/>
      <c r="VRL58" s="232"/>
      <c r="VRM58" s="95"/>
      <c r="VRN58" s="96"/>
      <c r="VRT58" s="232"/>
      <c r="VRU58" s="95"/>
      <c r="VRV58" s="96"/>
      <c r="VSB58" s="232"/>
      <c r="VSC58" s="95"/>
      <c r="VSD58" s="96"/>
      <c r="VSJ58" s="232"/>
      <c r="VSK58" s="95"/>
      <c r="VSL58" s="96"/>
      <c r="VSR58" s="232"/>
      <c r="VSS58" s="95"/>
      <c r="VST58" s="96"/>
      <c r="VSZ58" s="232"/>
      <c r="VTA58" s="95"/>
      <c r="VTB58" s="96"/>
      <c r="VTH58" s="232"/>
      <c r="VTI58" s="95"/>
      <c r="VTJ58" s="96"/>
      <c r="VTP58" s="232"/>
      <c r="VTQ58" s="95"/>
      <c r="VTR58" s="96"/>
      <c r="VTX58" s="232"/>
      <c r="VTY58" s="95"/>
      <c r="VTZ58" s="96"/>
      <c r="VUF58" s="232"/>
      <c r="VUG58" s="95"/>
      <c r="VUH58" s="96"/>
      <c r="VUN58" s="232"/>
      <c r="VUO58" s="95"/>
      <c r="VUP58" s="96"/>
      <c r="VUV58" s="232"/>
      <c r="VUW58" s="95"/>
      <c r="VUX58" s="96"/>
      <c r="VVD58" s="232"/>
      <c r="VVE58" s="95"/>
      <c r="VVF58" s="96"/>
      <c r="VVL58" s="232"/>
      <c r="VVM58" s="95"/>
      <c r="VVN58" s="96"/>
      <c r="VVT58" s="232"/>
      <c r="VVU58" s="95"/>
      <c r="VVV58" s="96"/>
      <c r="VWB58" s="232"/>
      <c r="VWC58" s="95"/>
      <c r="VWD58" s="96"/>
      <c r="VWJ58" s="232"/>
      <c r="VWK58" s="95"/>
      <c r="VWL58" s="96"/>
      <c r="VWR58" s="232"/>
      <c r="VWS58" s="95"/>
      <c r="VWT58" s="96"/>
      <c r="VWZ58" s="232"/>
      <c r="VXA58" s="95"/>
      <c r="VXB58" s="96"/>
      <c r="VXH58" s="232"/>
      <c r="VXI58" s="95"/>
      <c r="VXJ58" s="96"/>
      <c r="VXP58" s="232"/>
      <c r="VXQ58" s="95"/>
      <c r="VXR58" s="96"/>
      <c r="VXX58" s="232"/>
      <c r="VXY58" s="95"/>
      <c r="VXZ58" s="96"/>
      <c r="VYF58" s="232"/>
      <c r="VYG58" s="95"/>
      <c r="VYH58" s="96"/>
      <c r="VYN58" s="232"/>
      <c r="VYO58" s="95"/>
      <c r="VYP58" s="96"/>
      <c r="VYV58" s="232"/>
      <c r="VYW58" s="95"/>
      <c r="VYX58" s="96"/>
      <c r="VZD58" s="232"/>
      <c r="VZE58" s="95"/>
      <c r="VZF58" s="96"/>
      <c r="VZL58" s="232"/>
      <c r="VZM58" s="95"/>
      <c r="VZN58" s="96"/>
      <c r="VZT58" s="232"/>
      <c r="VZU58" s="95"/>
      <c r="VZV58" s="96"/>
      <c r="WAB58" s="232"/>
      <c r="WAC58" s="95"/>
      <c r="WAD58" s="96"/>
      <c r="WAJ58" s="232"/>
      <c r="WAK58" s="95"/>
      <c r="WAL58" s="96"/>
      <c r="WAR58" s="232"/>
      <c r="WAS58" s="95"/>
      <c r="WAT58" s="96"/>
      <c r="WAZ58" s="232"/>
      <c r="WBA58" s="95"/>
      <c r="WBB58" s="96"/>
      <c r="WBH58" s="232"/>
      <c r="WBI58" s="95"/>
      <c r="WBJ58" s="96"/>
      <c r="WBP58" s="232"/>
      <c r="WBQ58" s="95"/>
      <c r="WBR58" s="96"/>
      <c r="WBX58" s="232"/>
      <c r="WBY58" s="95"/>
      <c r="WBZ58" s="96"/>
      <c r="WCF58" s="232"/>
      <c r="WCG58" s="95"/>
      <c r="WCH58" s="96"/>
      <c r="WCN58" s="232"/>
      <c r="WCO58" s="95"/>
      <c r="WCP58" s="96"/>
      <c r="WCV58" s="232"/>
      <c r="WCW58" s="95"/>
      <c r="WCX58" s="96"/>
      <c r="WDD58" s="232"/>
      <c r="WDE58" s="95"/>
      <c r="WDF58" s="96"/>
      <c r="WDL58" s="232"/>
      <c r="WDM58" s="95"/>
      <c r="WDN58" s="96"/>
      <c r="WDT58" s="232"/>
      <c r="WDU58" s="95"/>
      <c r="WDV58" s="96"/>
      <c r="WEB58" s="232"/>
      <c r="WEC58" s="95"/>
      <c r="WED58" s="96"/>
      <c r="WEJ58" s="232"/>
      <c r="WEK58" s="95"/>
      <c r="WEL58" s="96"/>
      <c r="WER58" s="232"/>
      <c r="WES58" s="95"/>
      <c r="WET58" s="96"/>
      <c r="WEZ58" s="232"/>
      <c r="WFA58" s="95"/>
      <c r="WFB58" s="96"/>
      <c r="WFH58" s="232"/>
      <c r="WFI58" s="95"/>
      <c r="WFJ58" s="96"/>
      <c r="WFP58" s="232"/>
      <c r="WFQ58" s="95"/>
      <c r="WFR58" s="96"/>
      <c r="WFX58" s="232"/>
      <c r="WFY58" s="95"/>
      <c r="WFZ58" s="96"/>
      <c r="WGF58" s="232"/>
      <c r="WGG58" s="95"/>
      <c r="WGH58" s="96"/>
      <c r="WGN58" s="232"/>
      <c r="WGO58" s="95"/>
      <c r="WGP58" s="96"/>
      <c r="WGV58" s="232"/>
      <c r="WGW58" s="95"/>
      <c r="WGX58" s="96"/>
      <c r="WHD58" s="232"/>
      <c r="WHE58" s="95"/>
      <c r="WHF58" s="96"/>
      <c r="WHL58" s="232"/>
      <c r="WHM58" s="95"/>
      <c r="WHN58" s="96"/>
      <c r="WHT58" s="232"/>
      <c r="WHU58" s="95"/>
      <c r="WHV58" s="96"/>
      <c r="WIB58" s="232"/>
      <c r="WIC58" s="95"/>
      <c r="WID58" s="96"/>
      <c r="WIJ58" s="232"/>
      <c r="WIK58" s="95"/>
      <c r="WIL58" s="96"/>
      <c r="WIR58" s="232"/>
      <c r="WIS58" s="95"/>
      <c r="WIT58" s="96"/>
      <c r="WIZ58" s="232"/>
      <c r="WJA58" s="95"/>
      <c r="WJB58" s="96"/>
      <c r="WJH58" s="232"/>
      <c r="WJI58" s="95"/>
      <c r="WJJ58" s="96"/>
      <c r="WJP58" s="232"/>
      <c r="WJQ58" s="95"/>
      <c r="WJR58" s="96"/>
      <c r="WJX58" s="232"/>
      <c r="WJY58" s="95"/>
      <c r="WJZ58" s="96"/>
      <c r="WKF58" s="232"/>
      <c r="WKG58" s="95"/>
      <c r="WKH58" s="96"/>
      <c r="WKN58" s="232"/>
      <c r="WKO58" s="95"/>
      <c r="WKP58" s="96"/>
      <c r="WKV58" s="232"/>
      <c r="WKW58" s="95"/>
      <c r="WKX58" s="96"/>
      <c r="WLD58" s="232"/>
      <c r="WLE58" s="95"/>
      <c r="WLF58" s="96"/>
      <c r="WLL58" s="232"/>
      <c r="WLM58" s="95"/>
      <c r="WLN58" s="96"/>
      <c r="WLT58" s="232"/>
      <c r="WLU58" s="95"/>
      <c r="WLV58" s="96"/>
      <c r="WMB58" s="232"/>
      <c r="WMC58" s="95"/>
      <c r="WMD58" s="96"/>
      <c r="WMJ58" s="232"/>
      <c r="WMK58" s="95"/>
      <c r="WML58" s="96"/>
      <c r="WMR58" s="232"/>
      <c r="WMS58" s="95"/>
      <c r="WMT58" s="96"/>
      <c r="WMZ58" s="232"/>
      <c r="WNA58" s="95"/>
      <c r="WNB58" s="96"/>
      <c r="WNH58" s="232"/>
      <c r="WNI58" s="95"/>
      <c r="WNJ58" s="96"/>
      <c r="WNP58" s="232"/>
      <c r="WNQ58" s="95"/>
      <c r="WNR58" s="96"/>
      <c r="WNX58" s="232"/>
      <c r="WNY58" s="95"/>
      <c r="WNZ58" s="96"/>
      <c r="WOF58" s="232"/>
      <c r="WOG58" s="95"/>
      <c r="WOH58" s="96"/>
      <c r="WON58" s="232"/>
      <c r="WOO58" s="95"/>
      <c r="WOP58" s="96"/>
      <c r="WOV58" s="232"/>
      <c r="WOW58" s="95"/>
      <c r="WOX58" s="96"/>
      <c r="WPD58" s="232"/>
      <c r="WPE58" s="95"/>
      <c r="WPF58" s="96"/>
      <c r="WPL58" s="232"/>
      <c r="WPM58" s="95"/>
      <c r="WPN58" s="96"/>
      <c r="WPT58" s="232"/>
      <c r="WPU58" s="95"/>
      <c r="WPV58" s="96"/>
      <c r="WQB58" s="232"/>
      <c r="WQC58" s="95"/>
      <c r="WQD58" s="96"/>
      <c r="WQJ58" s="232"/>
      <c r="WQK58" s="95"/>
      <c r="WQL58" s="96"/>
      <c r="WQR58" s="232"/>
      <c r="WQS58" s="95"/>
      <c r="WQT58" s="96"/>
      <c r="WQZ58" s="232"/>
      <c r="WRA58" s="95"/>
      <c r="WRB58" s="96"/>
      <c r="WRH58" s="232"/>
      <c r="WRI58" s="95"/>
      <c r="WRJ58" s="96"/>
      <c r="WRP58" s="232"/>
      <c r="WRQ58" s="95"/>
      <c r="WRR58" s="96"/>
      <c r="WRX58" s="232"/>
      <c r="WRY58" s="95"/>
      <c r="WRZ58" s="96"/>
      <c r="WSF58" s="232"/>
      <c r="WSG58" s="95"/>
      <c r="WSH58" s="96"/>
      <c r="WSN58" s="232"/>
      <c r="WSO58" s="95"/>
      <c r="WSP58" s="96"/>
      <c r="WSV58" s="232"/>
      <c r="WSW58" s="95"/>
      <c r="WSX58" s="96"/>
      <c r="WTD58" s="232"/>
      <c r="WTE58" s="95"/>
      <c r="WTF58" s="96"/>
      <c r="WTL58" s="232"/>
      <c r="WTM58" s="95"/>
      <c r="WTN58" s="96"/>
      <c r="WTT58" s="232"/>
      <c r="WTU58" s="95"/>
      <c r="WTV58" s="96"/>
      <c r="WUB58" s="232"/>
      <c r="WUC58" s="95"/>
      <c r="WUD58" s="96"/>
      <c r="WUJ58" s="232"/>
      <c r="WUK58" s="95"/>
      <c r="WUL58" s="96"/>
      <c r="WUR58" s="232"/>
      <c r="WUS58" s="95"/>
      <c r="WUT58" s="96"/>
      <c r="WUZ58" s="232"/>
      <c r="WVA58" s="95"/>
      <c r="WVB58" s="96"/>
      <c r="WVH58" s="232"/>
      <c r="WVI58" s="95"/>
      <c r="WVJ58" s="96"/>
      <c r="WVP58" s="232"/>
      <c r="WVQ58" s="95"/>
      <c r="WVR58" s="96"/>
      <c r="WVX58" s="232"/>
      <c r="WVY58" s="95"/>
      <c r="WVZ58" s="96"/>
      <c r="WWF58" s="232"/>
      <c r="WWG58" s="95"/>
      <c r="WWH58" s="96"/>
      <c r="WWN58" s="232"/>
      <c r="WWO58" s="95"/>
      <c r="WWP58" s="96"/>
      <c r="WWV58" s="232"/>
      <c r="WWW58" s="95"/>
      <c r="WWX58" s="96"/>
      <c r="WXD58" s="232"/>
      <c r="WXE58" s="95"/>
      <c r="WXF58" s="96"/>
      <c r="WXL58" s="232"/>
      <c r="WXM58" s="95"/>
      <c r="WXN58" s="96"/>
      <c r="WXT58" s="232"/>
      <c r="WXU58" s="95"/>
      <c r="WXV58" s="96"/>
      <c r="WYB58" s="232"/>
      <c r="WYC58" s="95"/>
      <c r="WYD58" s="96"/>
      <c r="WYJ58" s="232"/>
      <c r="WYK58" s="95"/>
      <c r="WYL58" s="96"/>
      <c r="WYR58" s="232"/>
      <c r="WYS58" s="95"/>
      <c r="WYT58" s="96"/>
      <c r="WYZ58" s="232"/>
      <c r="WZA58" s="95"/>
      <c r="WZB58" s="96"/>
      <c r="WZH58" s="232"/>
      <c r="WZI58" s="95"/>
      <c r="WZJ58" s="96"/>
      <c r="WZP58" s="232"/>
      <c r="WZQ58" s="95"/>
      <c r="WZR58" s="96"/>
      <c r="WZX58" s="232"/>
      <c r="WZY58" s="95"/>
      <c r="WZZ58" s="96"/>
      <c r="XAF58" s="232"/>
      <c r="XAG58" s="95"/>
      <c r="XAH58" s="96"/>
      <c r="XAN58" s="232"/>
      <c r="XAO58" s="95"/>
      <c r="XAP58" s="96"/>
      <c r="XAV58" s="232"/>
      <c r="XAW58" s="95"/>
      <c r="XAX58" s="96"/>
      <c r="XBD58" s="232"/>
      <c r="XBE58" s="95"/>
      <c r="XBF58" s="96"/>
      <c r="XBL58" s="232"/>
      <c r="XBM58" s="95"/>
      <c r="XBN58" s="96"/>
      <c r="XBT58" s="232"/>
      <c r="XBU58" s="95"/>
      <c r="XBV58" s="96"/>
      <c r="XCB58" s="232"/>
      <c r="XCC58" s="95"/>
      <c r="XCD58" s="96"/>
      <c r="XCJ58" s="232"/>
      <c r="XCK58" s="95"/>
      <c r="XCL58" s="96"/>
      <c r="XCR58" s="232"/>
      <c r="XCS58" s="95"/>
      <c r="XCT58" s="96"/>
      <c r="XCZ58" s="232"/>
      <c r="XDA58" s="95"/>
      <c r="XDB58" s="96"/>
      <c r="XDH58" s="232"/>
      <c r="XDI58" s="95"/>
      <c r="XDJ58" s="96"/>
      <c r="XDP58" s="232"/>
      <c r="XDQ58" s="95"/>
      <c r="XDR58" s="96"/>
      <c r="XDX58" s="232"/>
      <c r="XDY58" s="95"/>
      <c r="XDZ58" s="96"/>
      <c r="XEF58" s="232"/>
      <c r="XEG58" s="95"/>
      <c r="XEH58" s="96"/>
      <c r="XEN58" s="232"/>
      <c r="XEO58" s="95"/>
      <c r="XEP58" s="96"/>
      <c r="XEV58" s="232"/>
      <c r="XEW58" s="95"/>
      <c r="XEX58" s="96"/>
    </row>
    <row r="59" spans="1:16378" x14ac:dyDescent="0.25">
      <c r="A59" s="97"/>
      <c r="B59" s="98"/>
      <c r="C59" s="96"/>
      <c r="D59" s="91"/>
      <c r="E59" s="91"/>
      <c r="F59" s="91"/>
      <c r="G59" s="91"/>
    </row>
    <row r="60" spans="1:16378" ht="30" customHeight="1" x14ac:dyDescent="0.3">
      <c r="A60" s="428" t="s">
        <v>1355</v>
      </c>
      <c r="B60" s="428"/>
      <c r="C60" s="428"/>
      <c r="D60" s="428"/>
      <c r="E60" s="428"/>
      <c r="F60" s="428"/>
      <c r="G60" s="428"/>
    </row>
    <row r="61" spans="1:16378" ht="12.75" customHeight="1" x14ac:dyDescent="0.25">
      <c r="A61" s="429" t="s">
        <v>1337</v>
      </c>
      <c r="B61" s="429"/>
      <c r="C61" s="429"/>
      <c r="D61" s="429"/>
      <c r="E61" s="429"/>
      <c r="F61" s="429"/>
      <c r="G61" s="429"/>
    </row>
    <row r="62" spans="1:16378" x14ac:dyDescent="0.25">
      <c r="A62" s="77"/>
      <c r="B62" s="238"/>
      <c r="C62" s="77"/>
      <c r="D62" s="77"/>
      <c r="E62" s="77"/>
      <c r="F62" s="77"/>
      <c r="G62" s="77"/>
    </row>
    <row r="63" spans="1:16378" ht="15" customHeight="1" x14ac:dyDescent="0.25">
      <c r="A63" s="430" t="s">
        <v>1038</v>
      </c>
      <c r="B63" s="430" t="s">
        <v>1037</v>
      </c>
      <c r="C63" s="419" t="s">
        <v>91</v>
      </c>
      <c r="D63" s="419" t="s">
        <v>90</v>
      </c>
      <c r="E63" s="419" t="s">
        <v>89</v>
      </c>
      <c r="F63" s="419" t="s">
        <v>1186</v>
      </c>
      <c r="G63" s="419"/>
    </row>
    <row r="64" spans="1:16378" ht="50.15" customHeight="1" x14ac:dyDescent="0.25">
      <c r="A64" s="430"/>
      <c r="B64" s="430"/>
      <c r="C64" s="419"/>
      <c r="D64" s="419"/>
      <c r="E64" s="419"/>
      <c r="F64" s="5" t="s">
        <v>88</v>
      </c>
      <c r="G64" s="5" t="s">
        <v>87</v>
      </c>
    </row>
    <row r="65" spans="1:8" x14ac:dyDescent="0.25">
      <c r="A65" s="233"/>
      <c r="B65" s="234"/>
      <c r="C65" s="234"/>
      <c r="D65" s="235"/>
      <c r="E65" s="235"/>
      <c r="F65" s="235"/>
      <c r="G65" s="260"/>
    </row>
    <row r="66" spans="1:8" s="83" customFormat="1" ht="14" x14ac:dyDescent="0.3">
      <c r="A66" s="88" t="s">
        <v>654</v>
      </c>
      <c r="B66" s="108" t="s">
        <v>1045</v>
      </c>
      <c r="C66" s="248">
        <v>16683.740000000002</v>
      </c>
      <c r="D66" s="248">
        <v>740.45439999999996</v>
      </c>
      <c r="E66" s="249">
        <f>IF(C66&lt;&gt;"",D66/C66*100,"")</f>
        <v>4.4381799284812633</v>
      </c>
      <c r="F66" s="248">
        <v>15465.7</v>
      </c>
      <c r="G66" s="250">
        <v>17901.77</v>
      </c>
      <c r="H66" s="82"/>
    </row>
    <row r="67" spans="1:8" s="83" customFormat="1" ht="13" x14ac:dyDescent="0.3">
      <c r="A67" s="87"/>
      <c r="B67" s="110"/>
      <c r="C67" s="110"/>
      <c r="D67" s="109"/>
      <c r="E67" s="109"/>
      <c r="F67" s="109"/>
      <c r="G67" s="261"/>
    </row>
    <row r="68" spans="1:8" s="83" customFormat="1" ht="25.5" customHeight="1" x14ac:dyDescent="0.3">
      <c r="A68" s="88" t="s">
        <v>1042</v>
      </c>
      <c r="B68" s="107" t="s">
        <v>1111</v>
      </c>
      <c r="C68" s="248">
        <v>16514.759999999998</v>
      </c>
      <c r="D68" s="248">
        <v>159.5814</v>
      </c>
      <c r="E68" s="249">
        <f>IF(C68&lt;&gt;"",D68/C68*100,"")</f>
        <v>0.96629560465910513</v>
      </c>
      <c r="F68" s="248">
        <v>16252.25</v>
      </c>
      <c r="G68" s="250">
        <v>16777.27</v>
      </c>
      <c r="H68" s="82"/>
    </row>
    <row r="69" spans="1:8" ht="25.5" x14ac:dyDescent="0.3">
      <c r="A69" s="85" t="s">
        <v>592</v>
      </c>
      <c r="B69" s="90" t="s">
        <v>1112</v>
      </c>
      <c r="C69" s="254">
        <v>14859.89</v>
      </c>
      <c r="D69" s="254">
        <v>109.5659</v>
      </c>
      <c r="E69" s="255">
        <f>IF(C69&lt;&gt;"",D69/C69*100,"")</f>
        <v>0.7373264539643295</v>
      </c>
      <c r="F69" s="254">
        <v>14679.65</v>
      </c>
      <c r="G69" s="256">
        <v>15040.12</v>
      </c>
      <c r="H69" s="82"/>
    </row>
    <row r="70" spans="1:8" ht="13.5" customHeight="1" x14ac:dyDescent="0.3">
      <c r="A70" s="85" t="s">
        <v>428</v>
      </c>
      <c r="B70" s="90" t="s">
        <v>1041</v>
      </c>
      <c r="C70" s="254">
        <v>20061.73</v>
      </c>
      <c r="D70" s="254">
        <v>427.81560000000002</v>
      </c>
      <c r="E70" s="255">
        <f>IF(C70&lt;&gt;"",D70/C70*100,"")</f>
        <v>2.1324960509387774</v>
      </c>
      <c r="F70" s="254">
        <v>19357.98</v>
      </c>
      <c r="G70" s="256">
        <v>20765.48</v>
      </c>
      <c r="H70" s="82"/>
    </row>
    <row r="71" spans="1:8" ht="15.75" customHeight="1" x14ac:dyDescent="0.3">
      <c r="A71" s="85" t="s">
        <v>311</v>
      </c>
      <c r="B71" s="90" t="s">
        <v>563</v>
      </c>
      <c r="C71" s="254">
        <v>14789.6</v>
      </c>
      <c r="D71" s="254">
        <v>98.522919999999999</v>
      </c>
      <c r="E71" s="255">
        <f>IF(C71&lt;&gt;"",D71/C71*100,"")</f>
        <v>0.66616352031157033</v>
      </c>
      <c r="F71" s="254">
        <v>14627.54</v>
      </c>
      <c r="G71" s="256">
        <v>14951.67</v>
      </c>
      <c r="H71" s="82"/>
    </row>
    <row r="72" spans="1:8" ht="13" x14ac:dyDescent="0.3">
      <c r="A72" s="99"/>
      <c r="B72" s="262"/>
      <c r="C72" s="262"/>
      <c r="D72" s="91"/>
      <c r="E72" s="91"/>
      <c r="F72" s="91"/>
      <c r="G72" s="253"/>
    </row>
    <row r="73" spans="1:8" s="83" customFormat="1" ht="14" x14ac:dyDescent="0.3">
      <c r="A73" s="88" t="s">
        <v>1039</v>
      </c>
      <c r="B73" s="111" t="s">
        <v>1040</v>
      </c>
      <c r="C73" s="248">
        <v>19307.89</v>
      </c>
      <c r="D73" s="248">
        <v>1701.7439999999999</v>
      </c>
      <c r="E73" s="249">
        <f t="shared" ref="E73:E79" si="2">IF(C73&lt;&gt;"",D73/C73*100,"")</f>
        <v>8.8137233017175873</v>
      </c>
      <c r="F73" s="248">
        <v>16508.55</v>
      </c>
      <c r="G73" s="250">
        <v>22107.23</v>
      </c>
      <c r="H73" s="82"/>
    </row>
    <row r="74" spans="1:8" s="83" customFormat="1" ht="25.5" x14ac:dyDescent="0.3">
      <c r="A74" s="85" t="s">
        <v>536</v>
      </c>
      <c r="B74" s="237" t="s">
        <v>1113</v>
      </c>
      <c r="C74" s="254">
        <v>18557.84</v>
      </c>
      <c r="D74" s="254">
        <v>1979.2470000000001</v>
      </c>
      <c r="E74" s="255">
        <f t="shared" si="2"/>
        <v>10.66528755501718</v>
      </c>
      <c r="F74" s="254">
        <v>15302.01</v>
      </c>
      <c r="G74" s="256">
        <v>21813.66</v>
      </c>
      <c r="H74" s="82"/>
    </row>
    <row r="75" spans="1:8" s="83" customFormat="1" ht="14" x14ac:dyDescent="0.3">
      <c r="A75" s="85" t="s">
        <v>496</v>
      </c>
      <c r="B75" s="90" t="s">
        <v>525</v>
      </c>
      <c r="C75" s="254">
        <v>12768.2</v>
      </c>
      <c r="D75" s="254">
        <v>220.18729999999999</v>
      </c>
      <c r="E75" s="255">
        <f t="shared" si="2"/>
        <v>1.7244975799251265</v>
      </c>
      <c r="F75" s="254">
        <v>12406</v>
      </c>
      <c r="G75" s="256">
        <v>13130.4</v>
      </c>
      <c r="H75" s="82"/>
    </row>
    <row r="76" spans="1:8" ht="14" x14ac:dyDescent="0.3">
      <c r="A76" s="85" t="s">
        <v>471</v>
      </c>
      <c r="B76" s="90" t="s">
        <v>493</v>
      </c>
      <c r="C76" s="254">
        <v>18266.41</v>
      </c>
      <c r="D76" s="254">
        <v>749.11580000000004</v>
      </c>
      <c r="E76" s="255">
        <f t="shared" si="2"/>
        <v>4.1010565294439356</v>
      </c>
      <c r="F76" s="254">
        <v>17034.13</v>
      </c>
      <c r="G76" s="256">
        <v>19498.689999999999</v>
      </c>
      <c r="H76" s="82"/>
    </row>
    <row r="77" spans="1:8" ht="14" x14ac:dyDescent="0.3">
      <c r="A77" s="85" t="s">
        <v>438</v>
      </c>
      <c r="B77" s="90" t="s">
        <v>469</v>
      </c>
      <c r="C77" s="254">
        <v>57406.69</v>
      </c>
      <c r="D77" s="254">
        <v>6710.6580000000004</v>
      </c>
      <c r="E77" s="255">
        <f t="shared" si="2"/>
        <v>11.689679373606108</v>
      </c>
      <c r="F77" s="254">
        <v>46367.77</v>
      </c>
      <c r="G77" s="256">
        <v>68445.600000000006</v>
      </c>
      <c r="H77" s="82"/>
    </row>
    <row r="78" spans="1:8" ht="14.25" customHeight="1" x14ac:dyDescent="0.3">
      <c r="A78" s="85" t="s">
        <v>423</v>
      </c>
      <c r="B78" s="90" t="s">
        <v>1114</v>
      </c>
      <c r="C78" s="254">
        <v>18023.63</v>
      </c>
      <c r="D78" s="254">
        <v>1690.9369999999999</v>
      </c>
      <c r="E78" s="255">
        <f t="shared" si="2"/>
        <v>9.3817782544359805</v>
      </c>
      <c r="F78" s="254">
        <v>15242.07</v>
      </c>
      <c r="G78" s="256">
        <v>20805.2</v>
      </c>
      <c r="H78" s="82"/>
    </row>
    <row r="79" spans="1:8" ht="14" x14ac:dyDescent="0.3">
      <c r="A79" s="85" t="s">
        <v>325</v>
      </c>
      <c r="B79" s="90" t="s">
        <v>1115</v>
      </c>
      <c r="C79" s="254">
        <v>16899.509999999998</v>
      </c>
      <c r="D79" s="254">
        <v>3059.0529999999999</v>
      </c>
      <c r="E79" s="255">
        <f t="shared" si="2"/>
        <v>18.101430159809368</v>
      </c>
      <c r="F79" s="254">
        <v>11867.42</v>
      </c>
      <c r="G79" s="256">
        <v>21931.59</v>
      </c>
      <c r="H79" s="82"/>
    </row>
    <row r="80" spans="1:8" ht="12.75" customHeight="1" x14ac:dyDescent="0.25">
      <c r="A80" s="89"/>
      <c r="B80" s="263"/>
      <c r="C80" s="263"/>
      <c r="D80" s="106"/>
      <c r="E80" s="106"/>
      <c r="F80" s="106"/>
      <c r="G80" s="259"/>
    </row>
    <row r="81" spans="1:16378" s="83" customFormat="1" ht="14.25" customHeight="1" x14ac:dyDescent="0.3">
      <c r="A81" s="88" t="s">
        <v>400</v>
      </c>
      <c r="B81" s="111" t="s">
        <v>1036</v>
      </c>
      <c r="C81" s="248">
        <v>14805.24</v>
      </c>
      <c r="D81" s="248">
        <v>197.45660000000001</v>
      </c>
      <c r="E81" s="249">
        <f>IF(C81&lt;&gt;"",D81/C81*100,"")</f>
        <v>1.3336940164428273</v>
      </c>
      <c r="F81" s="248">
        <v>14480.42</v>
      </c>
      <c r="G81" s="250">
        <v>15130.05</v>
      </c>
      <c r="H81" s="82"/>
    </row>
    <row r="82" spans="1:16378" s="83" customFormat="1" ht="14.25" customHeight="1" x14ac:dyDescent="0.3">
      <c r="A82" s="88"/>
      <c r="B82" s="111"/>
      <c r="C82" s="109"/>
      <c r="D82" s="105"/>
      <c r="E82" s="105"/>
      <c r="F82" s="105"/>
      <c r="G82" s="264"/>
      <c r="H82" s="82"/>
    </row>
    <row r="83" spans="1:16378" s="83" customFormat="1" ht="13.5" customHeight="1" x14ac:dyDescent="0.3">
      <c r="A83" s="88" t="s">
        <v>1033</v>
      </c>
      <c r="B83" s="111" t="s">
        <v>1034</v>
      </c>
      <c r="C83" s="248">
        <v>40930.85</v>
      </c>
      <c r="D83" s="248">
        <v>2191.6880000000001</v>
      </c>
      <c r="E83" s="249">
        <f t="shared" ref="E83:E89" si="3">IF(C83&lt;&gt;"",D83/C83*100,"")</f>
        <v>5.3546114971958811</v>
      </c>
      <c r="F83" s="248">
        <v>37325.56</v>
      </c>
      <c r="G83" s="250">
        <v>44536.13</v>
      </c>
      <c r="H83" s="82"/>
    </row>
    <row r="84" spans="1:16378" ht="15.75" customHeight="1" x14ac:dyDescent="0.3">
      <c r="A84" s="85" t="s">
        <v>301</v>
      </c>
      <c r="B84" s="90" t="s">
        <v>370</v>
      </c>
      <c r="C84" s="254">
        <v>32433.98</v>
      </c>
      <c r="D84" s="254">
        <v>4339.402</v>
      </c>
      <c r="E84" s="255">
        <f t="shared" si="3"/>
        <v>13.379184423249937</v>
      </c>
      <c r="F84" s="254">
        <v>25295.74</v>
      </c>
      <c r="G84" s="256">
        <v>39572.22</v>
      </c>
      <c r="H84" s="82"/>
    </row>
    <row r="85" spans="1:16378" ht="51.75" customHeight="1" x14ac:dyDescent="0.3">
      <c r="A85" s="85" t="s">
        <v>1032</v>
      </c>
      <c r="B85" s="90" t="s">
        <v>1116</v>
      </c>
      <c r="C85" s="254">
        <v>31162.18</v>
      </c>
      <c r="D85" s="254">
        <v>3845.0610000000001</v>
      </c>
      <c r="E85" s="255">
        <f t="shared" si="3"/>
        <v>12.338870387116691</v>
      </c>
      <c r="F85" s="254">
        <v>24837.13</v>
      </c>
      <c r="G85" s="256">
        <v>37487.24</v>
      </c>
      <c r="H85" s="82"/>
    </row>
    <row r="86" spans="1:16378" ht="14.5" x14ac:dyDescent="0.3">
      <c r="A86" s="85" t="s">
        <v>1030</v>
      </c>
      <c r="B86" s="90" t="s">
        <v>342</v>
      </c>
      <c r="C86" s="254">
        <v>20778.3</v>
      </c>
      <c r="D86" s="254">
        <v>1308.395</v>
      </c>
      <c r="E86" s="255">
        <f t="shared" si="3"/>
        <v>6.2969299702093053</v>
      </c>
      <c r="F86" s="254">
        <v>18626.009999999998</v>
      </c>
      <c r="G86" s="256">
        <v>22930.59</v>
      </c>
      <c r="H86" s="82"/>
    </row>
    <row r="87" spans="1:16378" ht="14" x14ac:dyDescent="0.3">
      <c r="A87" s="85" t="s">
        <v>295</v>
      </c>
      <c r="B87" s="90" t="s">
        <v>323</v>
      </c>
      <c r="C87" s="254">
        <v>41033.19</v>
      </c>
      <c r="D87" s="254">
        <v>6254.64</v>
      </c>
      <c r="E87" s="255">
        <f t="shared" si="3"/>
        <v>15.24288021477248</v>
      </c>
      <c r="F87" s="254">
        <v>30744.42</v>
      </c>
      <c r="G87" s="256">
        <v>51321.97</v>
      </c>
      <c r="H87" s="82"/>
    </row>
    <row r="88" spans="1:16378" s="71" customFormat="1" ht="25" x14ac:dyDescent="0.3">
      <c r="A88" s="85" t="s">
        <v>279</v>
      </c>
      <c r="B88" s="98" t="s">
        <v>1100</v>
      </c>
      <c r="C88" s="254">
        <v>45737.66</v>
      </c>
      <c r="D88" s="254">
        <v>2685.165</v>
      </c>
      <c r="E88" s="255">
        <f t="shared" si="3"/>
        <v>5.8707966258002706</v>
      </c>
      <c r="F88" s="254">
        <v>41320.61</v>
      </c>
      <c r="G88" s="256">
        <v>50154.71</v>
      </c>
      <c r="H88" s="82"/>
    </row>
    <row r="89" spans="1:16378" s="71" customFormat="1" ht="14" x14ac:dyDescent="0.3">
      <c r="A89" s="85" t="s">
        <v>252</v>
      </c>
      <c r="B89" s="98" t="s">
        <v>277</v>
      </c>
      <c r="C89" s="254">
        <v>29422.47</v>
      </c>
      <c r="D89" s="254">
        <v>3372.7739999999999</v>
      </c>
      <c r="E89" s="255">
        <f t="shared" si="3"/>
        <v>11.463259202915323</v>
      </c>
      <c r="F89" s="254">
        <v>23874.31</v>
      </c>
      <c r="G89" s="256">
        <v>34970.620000000003</v>
      </c>
      <c r="H89" s="82"/>
    </row>
    <row r="90" spans="1:16378" s="91" customFormat="1" ht="5.5" customHeight="1" x14ac:dyDescent="0.25">
      <c r="A90" s="92"/>
      <c r="B90" s="231"/>
      <c r="C90" s="93"/>
      <c r="D90" s="94"/>
      <c r="E90" s="94"/>
      <c r="F90" s="94"/>
      <c r="G90" s="257"/>
      <c r="H90" s="232"/>
      <c r="I90" s="95"/>
      <c r="J90" s="96"/>
      <c r="P90" s="232"/>
      <c r="Q90" s="95"/>
      <c r="R90" s="96"/>
      <c r="X90" s="232"/>
      <c r="Y90" s="95"/>
      <c r="Z90" s="96"/>
      <c r="AF90" s="232"/>
      <c r="AG90" s="95"/>
      <c r="AH90" s="96"/>
      <c r="AN90" s="232"/>
      <c r="AO90" s="95"/>
      <c r="AP90" s="96"/>
      <c r="AV90" s="232"/>
      <c r="AW90" s="95"/>
      <c r="AX90" s="96"/>
      <c r="BD90" s="232"/>
      <c r="BE90" s="95"/>
      <c r="BF90" s="96"/>
      <c r="BL90" s="232"/>
      <c r="BM90" s="95"/>
      <c r="BN90" s="96"/>
      <c r="BT90" s="232"/>
      <c r="BU90" s="95"/>
      <c r="BV90" s="96"/>
      <c r="CB90" s="232"/>
      <c r="CC90" s="95"/>
      <c r="CD90" s="96"/>
      <c r="CJ90" s="232"/>
      <c r="CK90" s="95"/>
      <c r="CL90" s="96"/>
      <c r="CR90" s="232"/>
      <c r="CS90" s="95"/>
      <c r="CT90" s="96"/>
      <c r="CZ90" s="232"/>
      <c r="DA90" s="95"/>
      <c r="DB90" s="96"/>
      <c r="DH90" s="232"/>
      <c r="DI90" s="95"/>
      <c r="DJ90" s="96"/>
      <c r="DP90" s="232"/>
      <c r="DQ90" s="95"/>
      <c r="DR90" s="96"/>
      <c r="DX90" s="232"/>
      <c r="DY90" s="95"/>
      <c r="DZ90" s="96"/>
      <c r="EF90" s="232"/>
      <c r="EG90" s="95"/>
      <c r="EH90" s="96"/>
      <c r="EN90" s="232"/>
      <c r="EO90" s="95"/>
      <c r="EP90" s="96"/>
      <c r="EV90" s="232"/>
      <c r="EW90" s="95"/>
      <c r="EX90" s="96"/>
      <c r="FD90" s="232"/>
      <c r="FE90" s="95"/>
      <c r="FF90" s="96"/>
      <c r="FL90" s="232"/>
      <c r="FM90" s="95"/>
      <c r="FN90" s="96"/>
      <c r="FT90" s="232"/>
      <c r="FU90" s="95"/>
      <c r="FV90" s="96"/>
      <c r="GB90" s="232"/>
      <c r="GC90" s="95"/>
      <c r="GD90" s="96"/>
      <c r="GJ90" s="232"/>
      <c r="GK90" s="95"/>
      <c r="GL90" s="96"/>
      <c r="GR90" s="232"/>
      <c r="GS90" s="95"/>
      <c r="GT90" s="96"/>
      <c r="GZ90" s="232"/>
      <c r="HA90" s="95"/>
      <c r="HB90" s="96"/>
      <c r="HH90" s="232"/>
      <c r="HI90" s="95"/>
      <c r="HJ90" s="96"/>
      <c r="HP90" s="232"/>
      <c r="HQ90" s="95"/>
      <c r="HR90" s="96"/>
      <c r="HX90" s="232"/>
      <c r="HY90" s="95"/>
      <c r="HZ90" s="96"/>
      <c r="IF90" s="232"/>
      <c r="IG90" s="95"/>
      <c r="IH90" s="96"/>
      <c r="IN90" s="232"/>
      <c r="IO90" s="95"/>
      <c r="IP90" s="96"/>
      <c r="IV90" s="232"/>
      <c r="IW90" s="95"/>
      <c r="IX90" s="96"/>
      <c r="JD90" s="232"/>
      <c r="JE90" s="95"/>
      <c r="JF90" s="96"/>
      <c r="JL90" s="232"/>
      <c r="JM90" s="95"/>
      <c r="JN90" s="96"/>
      <c r="JT90" s="232"/>
      <c r="JU90" s="95"/>
      <c r="JV90" s="96"/>
      <c r="KB90" s="232"/>
      <c r="KC90" s="95"/>
      <c r="KD90" s="96"/>
      <c r="KJ90" s="232"/>
      <c r="KK90" s="95"/>
      <c r="KL90" s="96"/>
      <c r="KR90" s="232"/>
      <c r="KS90" s="95"/>
      <c r="KT90" s="96"/>
      <c r="KZ90" s="232"/>
      <c r="LA90" s="95"/>
      <c r="LB90" s="96"/>
      <c r="LH90" s="232"/>
      <c r="LI90" s="95"/>
      <c r="LJ90" s="96"/>
      <c r="LP90" s="232"/>
      <c r="LQ90" s="95"/>
      <c r="LR90" s="96"/>
      <c r="LX90" s="232"/>
      <c r="LY90" s="95"/>
      <c r="LZ90" s="96"/>
      <c r="MF90" s="232"/>
      <c r="MG90" s="95"/>
      <c r="MH90" s="96"/>
      <c r="MN90" s="232"/>
      <c r="MO90" s="95"/>
      <c r="MP90" s="96"/>
      <c r="MV90" s="232"/>
      <c r="MW90" s="95"/>
      <c r="MX90" s="96"/>
      <c r="ND90" s="232"/>
      <c r="NE90" s="95"/>
      <c r="NF90" s="96"/>
      <c r="NL90" s="232"/>
      <c r="NM90" s="95"/>
      <c r="NN90" s="96"/>
      <c r="NT90" s="232"/>
      <c r="NU90" s="95"/>
      <c r="NV90" s="96"/>
      <c r="OB90" s="232"/>
      <c r="OC90" s="95"/>
      <c r="OD90" s="96"/>
      <c r="OJ90" s="232"/>
      <c r="OK90" s="95"/>
      <c r="OL90" s="96"/>
      <c r="OR90" s="232"/>
      <c r="OS90" s="95"/>
      <c r="OT90" s="96"/>
      <c r="OZ90" s="232"/>
      <c r="PA90" s="95"/>
      <c r="PB90" s="96"/>
      <c r="PH90" s="232"/>
      <c r="PI90" s="95"/>
      <c r="PJ90" s="96"/>
      <c r="PP90" s="232"/>
      <c r="PQ90" s="95"/>
      <c r="PR90" s="96"/>
      <c r="PX90" s="232"/>
      <c r="PY90" s="95"/>
      <c r="PZ90" s="96"/>
      <c r="QF90" s="232"/>
      <c r="QG90" s="95"/>
      <c r="QH90" s="96"/>
      <c r="QN90" s="232"/>
      <c r="QO90" s="95"/>
      <c r="QP90" s="96"/>
      <c r="QV90" s="232"/>
      <c r="QW90" s="95"/>
      <c r="QX90" s="96"/>
      <c r="RD90" s="232"/>
      <c r="RE90" s="95"/>
      <c r="RF90" s="96"/>
      <c r="RL90" s="232"/>
      <c r="RM90" s="95"/>
      <c r="RN90" s="96"/>
      <c r="RT90" s="232"/>
      <c r="RU90" s="95"/>
      <c r="RV90" s="96"/>
      <c r="SB90" s="232"/>
      <c r="SC90" s="95"/>
      <c r="SD90" s="96"/>
      <c r="SJ90" s="232"/>
      <c r="SK90" s="95"/>
      <c r="SL90" s="96"/>
      <c r="SR90" s="232"/>
      <c r="SS90" s="95"/>
      <c r="ST90" s="96"/>
      <c r="SZ90" s="232"/>
      <c r="TA90" s="95"/>
      <c r="TB90" s="96"/>
      <c r="TH90" s="232"/>
      <c r="TI90" s="95"/>
      <c r="TJ90" s="96"/>
      <c r="TP90" s="232"/>
      <c r="TQ90" s="95"/>
      <c r="TR90" s="96"/>
      <c r="TX90" s="232"/>
      <c r="TY90" s="95"/>
      <c r="TZ90" s="96"/>
      <c r="UF90" s="232"/>
      <c r="UG90" s="95"/>
      <c r="UH90" s="96"/>
      <c r="UN90" s="232"/>
      <c r="UO90" s="95"/>
      <c r="UP90" s="96"/>
      <c r="UV90" s="232"/>
      <c r="UW90" s="95"/>
      <c r="UX90" s="96"/>
      <c r="VD90" s="232"/>
      <c r="VE90" s="95"/>
      <c r="VF90" s="96"/>
      <c r="VL90" s="232"/>
      <c r="VM90" s="95"/>
      <c r="VN90" s="96"/>
      <c r="VT90" s="232"/>
      <c r="VU90" s="95"/>
      <c r="VV90" s="96"/>
      <c r="WB90" s="232"/>
      <c r="WC90" s="95"/>
      <c r="WD90" s="96"/>
      <c r="WJ90" s="232"/>
      <c r="WK90" s="95"/>
      <c r="WL90" s="96"/>
      <c r="WR90" s="232"/>
      <c r="WS90" s="95"/>
      <c r="WT90" s="96"/>
      <c r="WZ90" s="232"/>
      <c r="XA90" s="95"/>
      <c r="XB90" s="96"/>
      <c r="XH90" s="232"/>
      <c r="XI90" s="95"/>
      <c r="XJ90" s="96"/>
      <c r="XP90" s="232"/>
      <c r="XQ90" s="95"/>
      <c r="XR90" s="96"/>
      <c r="XX90" s="232"/>
      <c r="XY90" s="95"/>
      <c r="XZ90" s="96"/>
      <c r="YF90" s="232"/>
      <c r="YG90" s="95"/>
      <c r="YH90" s="96"/>
      <c r="YN90" s="232"/>
      <c r="YO90" s="95"/>
      <c r="YP90" s="96"/>
      <c r="YV90" s="232"/>
      <c r="YW90" s="95"/>
      <c r="YX90" s="96"/>
      <c r="ZD90" s="232"/>
      <c r="ZE90" s="95"/>
      <c r="ZF90" s="96"/>
      <c r="ZL90" s="232"/>
      <c r="ZM90" s="95"/>
      <c r="ZN90" s="96"/>
      <c r="ZT90" s="232"/>
      <c r="ZU90" s="95"/>
      <c r="ZV90" s="96"/>
      <c r="AAB90" s="232"/>
      <c r="AAC90" s="95"/>
      <c r="AAD90" s="96"/>
      <c r="AAJ90" s="232"/>
      <c r="AAK90" s="95"/>
      <c r="AAL90" s="96"/>
      <c r="AAR90" s="232"/>
      <c r="AAS90" s="95"/>
      <c r="AAT90" s="96"/>
      <c r="AAZ90" s="232"/>
      <c r="ABA90" s="95"/>
      <c r="ABB90" s="96"/>
      <c r="ABH90" s="232"/>
      <c r="ABI90" s="95"/>
      <c r="ABJ90" s="96"/>
      <c r="ABP90" s="232"/>
      <c r="ABQ90" s="95"/>
      <c r="ABR90" s="96"/>
      <c r="ABX90" s="232"/>
      <c r="ABY90" s="95"/>
      <c r="ABZ90" s="96"/>
      <c r="ACF90" s="232"/>
      <c r="ACG90" s="95"/>
      <c r="ACH90" s="96"/>
      <c r="ACN90" s="232"/>
      <c r="ACO90" s="95"/>
      <c r="ACP90" s="96"/>
      <c r="ACV90" s="232"/>
      <c r="ACW90" s="95"/>
      <c r="ACX90" s="96"/>
      <c r="ADD90" s="232"/>
      <c r="ADE90" s="95"/>
      <c r="ADF90" s="96"/>
      <c r="ADL90" s="232"/>
      <c r="ADM90" s="95"/>
      <c r="ADN90" s="96"/>
      <c r="ADT90" s="232"/>
      <c r="ADU90" s="95"/>
      <c r="ADV90" s="96"/>
      <c r="AEB90" s="232"/>
      <c r="AEC90" s="95"/>
      <c r="AED90" s="96"/>
      <c r="AEJ90" s="232"/>
      <c r="AEK90" s="95"/>
      <c r="AEL90" s="96"/>
      <c r="AER90" s="232"/>
      <c r="AES90" s="95"/>
      <c r="AET90" s="96"/>
      <c r="AEZ90" s="232"/>
      <c r="AFA90" s="95"/>
      <c r="AFB90" s="96"/>
      <c r="AFH90" s="232"/>
      <c r="AFI90" s="95"/>
      <c r="AFJ90" s="96"/>
      <c r="AFP90" s="232"/>
      <c r="AFQ90" s="95"/>
      <c r="AFR90" s="96"/>
      <c r="AFX90" s="232"/>
      <c r="AFY90" s="95"/>
      <c r="AFZ90" s="96"/>
      <c r="AGF90" s="232"/>
      <c r="AGG90" s="95"/>
      <c r="AGH90" s="96"/>
      <c r="AGN90" s="232"/>
      <c r="AGO90" s="95"/>
      <c r="AGP90" s="96"/>
      <c r="AGV90" s="232"/>
      <c r="AGW90" s="95"/>
      <c r="AGX90" s="96"/>
      <c r="AHD90" s="232"/>
      <c r="AHE90" s="95"/>
      <c r="AHF90" s="96"/>
      <c r="AHL90" s="232"/>
      <c r="AHM90" s="95"/>
      <c r="AHN90" s="96"/>
      <c r="AHT90" s="232"/>
      <c r="AHU90" s="95"/>
      <c r="AHV90" s="96"/>
      <c r="AIB90" s="232"/>
      <c r="AIC90" s="95"/>
      <c r="AID90" s="96"/>
      <c r="AIJ90" s="232"/>
      <c r="AIK90" s="95"/>
      <c r="AIL90" s="96"/>
      <c r="AIR90" s="232"/>
      <c r="AIS90" s="95"/>
      <c r="AIT90" s="96"/>
      <c r="AIZ90" s="232"/>
      <c r="AJA90" s="95"/>
      <c r="AJB90" s="96"/>
      <c r="AJH90" s="232"/>
      <c r="AJI90" s="95"/>
      <c r="AJJ90" s="96"/>
      <c r="AJP90" s="232"/>
      <c r="AJQ90" s="95"/>
      <c r="AJR90" s="96"/>
      <c r="AJX90" s="232"/>
      <c r="AJY90" s="95"/>
      <c r="AJZ90" s="96"/>
      <c r="AKF90" s="232"/>
      <c r="AKG90" s="95"/>
      <c r="AKH90" s="96"/>
      <c r="AKN90" s="232"/>
      <c r="AKO90" s="95"/>
      <c r="AKP90" s="96"/>
      <c r="AKV90" s="232"/>
      <c r="AKW90" s="95"/>
      <c r="AKX90" s="96"/>
      <c r="ALD90" s="232"/>
      <c r="ALE90" s="95"/>
      <c r="ALF90" s="96"/>
      <c r="ALL90" s="232"/>
      <c r="ALM90" s="95"/>
      <c r="ALN90" s="96"/>
      <c r="ALT90" s="232"/>
      <c r="ALU90" s="95"/>
      <c r="ALV90" s="96"/>
      <c r="AMB90" s="232"/>
      <c r="AMC90" s="95"/>
      <c r="AMD90" s="96"/>
      <c r="AMJ90" s="232"/>
      <c r="AMK90" s="95"/>
      <c r="AML90" s="96"/>
      <c r="AMR90" s="232"/>
      <c r="AMS90" s="95"/>
      <c r="AMT90" s="96"/>
      <c r="AMZ90" s="232"/>
      <c r="ANA90" s="95"/>
      <c r="ANB90" s="96"/>
      <c r="ANH90" s="232"/>
      <c r="ANI90" s="95"/>
      <c r="ANJ90" s="96"/>
      <c r="ANP90" s="232"/>
      <c r="ANQ90" s="95"/>
      <c r="ANR90" s="96"/>
      <c r="ANX90" s="232"/>
      <c r="ANY90" s="95"/>
      <c r="ANZ90" s="96"/>
      <c r="AOF90" s="232"/>
      <c r="AOG90" s="95"/>
      <c r="AOH90" s="96"/>
      <c r="AON90" s="232"/>
      <c r="AOO90" s="95"/>
      <c r="AOP90" s="96"/>
      <c r="AOV90" s="232"/>
      <c r="AOW90" s="95"/>
      <c r="AOX90" s="96"/>
      <c r="APD90" s="232"/>
      <c r="APE90" s="95"/>
      <c r="APF90" s="96"/>
      <c r="APL90" s="232"/>
      <c r="APM90" s="95"/>
      <c r="APN90" s="96"/>
      <c r="APT90" s="232"/>
      <c r="APU90" s="95"/>
      <c r="APV90" s="96"/>
      <c r="AQB90" s="232"/>
      <c r="AQC90" s="95"/>
      <c r="AQD90" s="96"/>
      <c r="AQJ90" s="232"/>
      <c r="AQK90" s="95"/>
      <c r="AQL90" s="96"/>
      <c r="AQR90" s="232"/>
      <c r="AQS90" s="95"/>
      <c r="AQT90" s="96"/>
      <c r="AQZ90" s="232"/>
      <c r="ARA90" s="95"/>
      <c r="ARB90" s="96"/>
      <c r="ARH90" s="232"/>
      <c r="ARI90" s="95"/>
      <c r="ARJ90" s="96"/>
      <c r="ARP90" s="232"/>
      <c r="ARQ90" s="95"/>
      <c r="ARR90" s="96"/>
      <c r="ARX90" s="232"/>
      <c r="ARY90" s="95"/>
      <c r="ARZ90" s="96"/>
      <c r="ASF90" s="232"/>
      <c r="ASG90" s="95"/>
      <c r="ASH90" s="96"/>
      <c r="ASN90" s="232"/>
      <c r="ASO90" s="95"/>
      <c r="ASP90" s="96"/>
      <c r="ASV90" s="232"/>
      <c r="ASW90" s="95"/>
      <c r="ASX90" s="96"/>
      <c r="ATD90" s="232"/>
      <c r="ATE90" s="95"/>
      <c r="ATF90" s="96"/>
      <c r="ATL90" s="232"/>
      <c r="ATM90" s="95"/>
      <c r="ATN90" s="96"/>
      <c r="ATT90" s="232"/>
      <c r="ATU90" s="95"/>
      <c r="ATV90" s="96"/>
      <c r="AUB90" s="232"/>
      <c r="AUC90" s="95"/>
      <c r="AUD90" s="96"/>
      <c r="AUJ90" s="232"/>
      <c r="AUK90" s="95"/>
      <c r="AUL90" s="96"/>
      <c r="AUR90" s="232"/>
      <c r="AUS90" s="95"/>
      <c r="AUT90" s="96"/>
      <c r="AUZ90" s="232"/>
      <c r="AVA90" s="95"/>
      <c r="AVB90" s="96"/>
      <c r="AVH90" s="232"/>
      <c r="AVI90" s="95"/>
      <c r="AVJ90" s="96"/>
      <c r="AVP90" s="232"/>
      <c r="AVQ90" s="95"/>
      <c r="AVR90" s="96"/>
      <c r="AVX90" s="232"/>
      <c r="AVY90" s="95"/>
      <c r="AVZ90" s="96"/>
      <c r="AWF90" s="232"/>
      <c r="AWG90" s="95"/>
      <c r="AWH90" s="96"/>
      <c r="AWN90" s="232"/>
      <c r="AWO90" s="95"/>
      <c r="AWP90" s="96"/>
      <c r="AWV90" s="232"/>
      <c r="AWW90" s="95"/>
      <c r="AWX90" s="96"/>
      <c r="AXD90" s="232"/>
      <c r="AXE90" s="95"/>
      <c r="AXF90" s="96"/>
      <c r="AXL90" s="232"/>
      <c r="AXM90" s="95"/>
      <c r="AXN90" s="96"/>
      <c r="AXT90" s="232"/>
      <c r="AXU90" s="95"/>
      <c r="AXV90" s="96"/>
      <c r="AYB90" s="232"/>
      <c r="AYC90" s="95"/>
      <c r="AYD90" s="96"/>
      <c r="AYJ90" s="232"/>
      <c r="AYK90" s="95"/>
      <c r="AYL90" s="96"/>
      <c r="AYR90" s="232"/>
      <c r="AYS90" s="95"/>
      <c r="AYT90" s="96"/>
      <c r="AYZ90" s="232"/>
      <c r="AZA90" s="95"/>
      <c r="AZB90" s="96"/>
      <c r="AZH90" s="232"/>
      <c r="AZI90" s="95"/>
      <c r="AZJ90" s="96"/>
      <c r="AZP90" s="232"/>
      <c r="AZQ90" s="95"/>
      <c r="AZR90" s="96"/>
      <c r="AZX90" s="232"/>
      <c r="AZY90" s="95"/>
      <c r="AZZ90" s="96"/>
      <c r="BAF90" s="232"/>
      <c r="BAG90" s="95"/>
      <c r="BAH90" s="96"/>
      <c r="BAN90" s="232"/>
      <c r="BAO90" s="95"/>
      <c r="BAP90" s="96"/>
      <c r="BAV90" s="232"/>
      <c r="BAW90" s="95"/>
      <c r="BAX90" s="96"/>
      <c r="BBD90" s="232"/>
      <c r="BBE90" s="95"/>
      <c r="BBF90" s="96"/>
      <c r="BBL90" s="232"/>
      <c r="BBM90" s="95"/>
      <c r="BBN90" s="96"/>
      <c r="BBT90" s="232"/>
      <c r="BBU90" s="95"/>
      <c r="BBV90" s="96"/>
      <c r="BCB90" s="232"/>
      <c r="BCC90" s="95"/>
      <c r="BCD90" s="96"/>
      <c r="BCJ90" s="232"/>
      <c r="BCK90" s="95"/>
      <c r="BCL90" s="96"/>
      <c r="BCR90" s="232"/>
      <c r="BCS90" s="95"/>
      <c r="BCT90" s="96"/>
      <c r="BCZ90" s="232"/>
      <c r="BDA90" s="95"/>
      <c r="BDB90" s="96"/>
      <c r="BDH90" s="232"/>
      <c r="BDI90" s="95"/>
      <c r="BDJ90" s="96"/>
      <c r="BDP90" s="232"/>
      <c r="BDQ90" s="95"/>
      <c r="BDR90" s="96"/>
      <c r="BDX90" s="232"/>
      <c r="BDY90" s="95"/>
      <c r="BDZ90" s="96"/>
      <c r="BEF90" s="232"/>
      <c r="BEG90" s="95"/>
      <c r="BEH90" s="96"/>
      <c r="BEN90" s="232"/>
      <c r="BEO90" s="95"/>
      <c r="BEP90" s="96"/>
      <c r="BEV90" s="232"/>
      <c r="BEW90" s="95"/>
      <c r="BEX90" s="96"/>
      <c r="BFD90" s="232"/>
      <c r="BFE90" s="95"/>
      <c r="BFF90" s="96"/>
      <c r="BFL90" s="232"/>
      <c r="BFM90" s="95"/>
      <c r="BFN90" s="96"/>
      <c r="BFT90" s="232"/>
      <c r="BFU90" s="95"/>
      <c r="BFV90" s="96"/>
      <c r="BGB90" s="232"/>
      <c r="BGC90" s="95"/>
      <c r="BGD90" s="96"/>
      <c r="BGJ90" s="232"/>
      <c r="BGK90" s="95"/>
      <c r="BGL90" s="96"/>
      <c r="BGR90" s="232"/>
      <c r="BGS90" s="95"/>
      <c r="BGT90" s="96"/>
      <c r="BGZ90" s="232"/>
      <c r="BHA90" s="95"/>
      <c r="BHB90" s="96"/>
      <c r="BHH90" s="232"/>
      <c r="BHI90" s="95"/>
      <c r="BHJ90" s="96"/>
      <c r="BHP90" s="232"/>
      <c r="BHQ90" s="95"/>
      <c r="BHR90" s="96"/>
      <c r="BHX90" s="232"/>
      <c r="BHY90" s="95"/>
      <c r="BHZ90" s="96"/>
      <c r="BIF90" s="232"/>
      <c r="BIG90" s="95"/>
      <c r="BIH90" s="96"/>
      <c r="BIN90" s="232"/>
      <c r="BIO90" s="95"/>
      <c r="BIP90" s="96"/>
      <c r="BIV90" s="232"/>
      <c r="BIW90" s="95"/>
      <c r="BIX90" s="96"/>
      <c r="BJD90" s="232"/>
      <c r="BJE90" s="95"/>
      <c r="BJF90" s="96"/>
      <c r="BJL90" s="232"/>
      <c r="BJM90" s="95"/>
      <c r="BJN90" s="96"/>
      <c r="BJT90" s="232"/>
      <c r="BJU90" s="95"/>
      <c r="BJV90" s="96"/>
      <c r="BKB90" s="232"/>
      <c r="BKC90" s="95"/>
      <c r="BKD90" s="96"/>
      <c r="BKJ90" s="232"/>
      <c r="BKK90" s="95"/>
      <c r="BKL90" s="96"/>
      <c r="BKR90" s="232"/>
      <c r="BKS90" s="95"/>
      <c r="BKT90" s="96"/>
      <c r="BKZ90" s="232"/>
      <c r="BLA90" s="95"/>
      <c r="BLB90" s="96"/>
      <c r="BLH90" s="232"/>
      <c r="BLI90" s="95"/>
      <c r="BLJ90" s="96"/>
      <c r="BLP90" s="232"/>
      <c r="BLQ90" s="95"/>
      <c r="BLR90" s="96"/>
      <c r="BLX90" s="232"/>
      <c r="BLY90" s="95"/>
      <c r="BLZ90" s="96"/>
      <c r="BMF90" s="232"/>
      <c r="BMG90" s="95"/>
      <c r="BMH90" s="96"/>
      <c r="BMN90" s="232"/>
      <c r="BMO90" s="95"/>
      <c r="BMP90" s="96"/>
      <c r="BMV90" s="232"/>
      <c r="BMW90" s="95"/>
      <c r="BMX90" s="96"/>
      <c r="BND90" s="232"/>
      <c r="BNE90" s="95"/>
      <c r="BNF90" s="96"/>
      <c r="BNL90" s="232"/>
      <c r="BNM90" s="95"/>
      <c r="BNN90" s="96"/>
      <c r="BNT90" s="232"/>
      <c r="BNU90" s="95"/>
      <c r="BNV90" s="96"/>
      <c r="BOB90" s="232"/>
      <c r="BOC90" s="95"/>
      <c r="BOD90" s="96"/>
      <c r="BOJ90" s="232"/>
      <c r="BOK90" s="95"/>
      <c r="BOL90" s="96"/>
      <c r="BOR90" s="232"/>
      <c r="BOS90" s="95"/>
      <c r="BOT90" s="96"/>
      <c r="BOZ90" s="232"/>
      <c r="BPA90" s="95"/>
      <c r="BPB90" s="96"/>
      <c r="BPH90" s="232"/>
      <c r="BPI90" s="95"/>
      <c r="BPJ90" s="96"/>
      <c r="BPP90" s="232"/>
      <c r="BPQ90" s="95"/>
      <c r="BPR90" s="96"/>
      <c r="BPX90" s="232"/>
      <c r="BPY90" s="95"/>
      <c r="BPZ90" s="96"/>
      <c r="BQF90" s="232"/>
      <c r="BQG90" s="95"/>
      <c r="BQH90" s="96"/>
      <c r="BQN90" s="232"/>
      <c r="BQO90" s="95"/>
      <c r="BQP90" s="96"/>
      <c r="BQV90" s="232"/>
      <c r="BQW90" s="95"/>
      <c r="BQX90" s="96"/>
      <c r="BRD90" s="232"/>
      <c r="BRE90" s="95"/>
      <c r="BRF90" s="96"/>
      <c r="BRL90" s="232"/>
      <c r="BRM90" s="95"/>
      <c r="BRN90" s="96"/>
      <c r="BRT90" s="232"/>
      <c r="BRU90" s="95"/>
      <c r="BRV90" s="96"/>
      <c r="BSB90" s="232"/>
      <c r="BSC90" s="95"/>
      <c r="BSD90" s="96"/>
      <c r="BSJ90" s="232"/>
      <c r="BSK90" s="95"/>
      <c r="BSL90" s="96"/>
      <c r="BSR90" s="232"/>
      <c r="BSS90" s="95"/>
      <c r="BST90" s="96"/>
      <c r="BSZ90" s="232"/>
      <c r="BTA90" s="95"/>
      <c r="BTB90" s="96"/>
      <c r="BTH90" s="232"/>
      <c r="BTI90" s="95"/>
      <c r="BTJ90" s="96"/>
      <c r="BTP90" s="232"/>
      <c r="BTQ90" s="95"/>
      <c r="BTR90" s="96"/>
      <c r="BTX90" s="232"/>
      <c r="BTY90" s="95"/>
      <c r="BTZ90" s="96"/>
      <c r="BUF90" s="232"/>
      <c r="BUG90" s="95"/>
      <c r="BUH90" s="96"/>
      <c r="BUN90" s="232"/>
      <c r="BUO90" s="95"/>
      <c r="BUP90" s="96"/>
      <c r="BUV90" s="232"/>
      <c r="BUW90" s="95"/>
      <c r="BUX90" s="96"/>
      <c r="BVD90" s="232"/>
      <c r="BVE90" s="95"/>
      <c r="BVF90" s="96"/>
      <c r="BVL90" s="232"/>
      <c r="BVM90" s="95"/>
      <c r="BVN90" s="96"/>
      <c r="BVT90" s="232"/>
      <c r="BVU90" s="95"/>
      <c r="BVV90" s="96"/>
      <c r="BWB90" s="232"/>
      <c r="BWC90" s="95"/>
      <c r="BWD90" s="96"/>
      <c r="BWJ90" s="232"/>
      <c r="BWK90" s="95"/>
      <c r="BWL90" s="96"/>
      <c r="BWR90" s="232"/>
      <c r="BWS90" s="95"/>
      <c r="BWT90" s="96"/>
      <c r="BWZ90" s="232"/>
      <c r="BXA90" s="95"/>
      <c r="BXB90" s="96"/>
      <c r="BXH90" s="232"/>
      <c r="BXI90" s="95"/>
      <c r="BXJ90" s="96"/>
      <c r="BXP90" s="232"/>
      <c r="BXQ90" s="95"/>
      <c r="BXR90" s="96"/>
      <c r="BXX90" s="232"/>
      <c r="BXY90" s="95"/>
      <c r="BXZ90" s="96"/>
      <c r="BYF90" s="232"/>
      <c r="BYG90" s="95"/>
      <c r="BYH90" s="96"/>
      <c r="BYN90" s="232"/>
      <c r="BYO90" s="95"/>
      <c r="BYP90" s="96"/>
      <c r="BYV90" s="232"/>
      <c r="BYW90" s="95"/>
      <c r="BYX90" s="96"/>
      <c r="BZD90" s="232"/>
      <c r="BZE90" s="95"/>
      <c r="BZF90" s="96"/>
      <c r="BZL90" s="232"/>
      <c r="BZM90" s="95"/>
      <c r="BZN90" s="96"/>
      <c r="BZT90" s="232"/>
      <c r="BZU90" s="95"/>
      <c r="BZV90" s="96"/>
      <c r="CAB90" s="232"/>
      <c r="CAC90" s="95"/>
      <c r="CAD90" s="96"/>
      <c r="CAJ90" s="232"/>
      <c r="CAK90" s="95"/>
      <c r="CAL90" s="96"/>
      <c r="CAR90" s="232"/>
      <c r="CAS90" s="95"/>
      <c r="CAT90" s="96"/>
      <c r="CAZ90" s="232"/>
      <c r="CBA90" s="95"/>
      <c r="CBB90" s="96"/>
      <c r="CBH90" s="232"/>
      <c r="CBI90" s="95"/>
      <c r="CBJ90" s="96"/>
      <c r="CBP90" s="232"/>
      <c r="CBQ90" s="95"/>
      <c r="CBR90" s="96"/>
      <c r="CBX90" s="232"/>
      <c r="CBY90" s="95"/>
      <c r="CBZ90" s="96"/>
      <c r="CCF90" s="232"/>
      <c r="CCG90" s="95"/>
      <c r="CCH90" s="96"/>
      <c r="CCN90" s="232"/>
      <c r="CCO90" s="95"/>
      <c r="CCP90" s="96"/>
      <c r="CCV90" s="232"/>
      <c r="CCW90" s="95"/>
      <c r="CCX90" s="96"/>
      <c r="CDD90" s="232"/>
      <c r="CDE90" s="95"/>
      <c r="CDF90" s="96"/>
      <c r="CDL90" s="232"/>
      <c r="CDM90" s="95"/>
      <c r="CDN90" s="96"/>
      <c r="CDT90" s="232"/>
      <c r="CDU90" s="95"/>
      <c r="CDV90" s="96"/>
      <c r="CEB90" s="232"/>
      <c r="CEC90" s="95"/>
      <c r="CED90" s="96"/>
      <c r="CEJ90" s="232"/>
      <c r="CEK90" s="95"/>
      <c r="CEL90" s="96"/>
      <c r="CER90" s="232"/>
      <c r="CES90" s="95"/>
      <c r="CET90" s="96"/>
      <c r="CEZ90" s="232"/>
      <c r="CFA90" s="95"/>
      <c r="CFB90" s="96"/>
      <c r="CFH90" s="232"/>
      <c r="CFI90" s="95"/>
      <c r="CFJ90" s="96"/>
      <c r="CFP90" s="232"/>
      <c r="CFQ90" s="95"/>
      <c r="CFR90" s="96"/>
      <c r="CFX90" s="232"/>
      <c r="CFY90" s="95"/>
      <c r="CFZ90" s="96"/>
      <c r="CGF90" s="232"/>
      <c r="CGG90" s="95"/>
      <c r="CGH90" s="96"/>
      <c r="CGN90" s="232"/>
      <c r="CGO90" s="95"/>
      <c r="CGP90" s="96"/>
      <c r="CGV90" s="232"/>
      <c r="CGW90" s="95"/>
      <c r="CGX90" s="96"/>
      <c r="CHD90" s="232"/>
      <c r="CHE90" s="95"/>
      <c r="CHF90" s="96"/>
      <c r="CHL90" s="232"/>
      <c r="CHM90" s="95"/>
      <c r="CHN90" s="96"/>
      <c r="CHT90" s="232"/>
      <c r="CHU90" s="95"/>
      <c r="CHV90" s="96"/>
      <c r="CIB90" s="232"/>
      <c r="CIC90" s="95"/>
      <c r="CID90" s="96"/>
      <c r="CIJ90" s="232"/>
      <c r="CIK90" s="95"/>
      <c r="CIL90" s="96"/>
      <c r="CIR90" s="232"/>
      <c r="CIS90" s="95"/>
      <c r="CIT90" s="96"/>
      <c r="CIZ90" s="232"/>
      <c r="CJA90" s="95"/>
      <c r="CJB90" s="96"/>
      <c r="CJH90" s="232"/>
      <c r="CJI90" s="95"/>
      <c r="CJJ90" s="96"/>
      <c r="CJP90" s="232"/>
      <c r="CJQ90" s="95"/>
      <c r="CJR90" s="96"/>
      <c r="CJX90" s="232"/>
      <c r="CJY90" s="95"/>
      <c r="CJZ90" s="96"/>
      <c r="CKF90" s="232"/>
      <c r="CKG90" s="95"/>
      <c r="CKH90" s="96"/>
      <c r="CKN90" s="232"/>
      <c r="CKO90" s="95"/>
      <c r="CKP90" s="96"/>
      <c r="CKV90" s="232"/>
      <c r="CKW90" s="95"/>
      <c r="CKX90" s="96"/>
      <c r="CLD90" s="232"/>
      <c r="CLE90" s="95"/>
      <c r="CLF90" s="96"/>
      <c r="CLL90" s="232"/>
      <c r="CLM90" s="95"/>
      <c r="CLN90" s="96"/>
      <c r="CLT90" s="232"/>
      <c r="CLU90" s="95"/>
      <c r="CLV90" s="96"/>
      <c r="CMB90" s="232"/>
      <c r="CMC90" s="95"/>
      <c r="CMD90" s="96"/>
      <c r="CMJ90" s="232"/>
      <c r="CMK90" s="95"/>
      <c r="CML90" s="96"/>
      <c r="CMR90" s="232"/>
      <c r="CMS90" s="95"/>
      <c r="CMT90" s="96"/>
      <c r="CMZ90" s="232"/>
      <c r="CNA90" s="95"/>
      <c r="CNB90" s="96"/>
      <c r="CNH90" s="232"/>
      <c r="CNI90" s="95"/>
      <c r="CNJ90" s="96"/>
      <c r="CNP90" s="232"/>
      <c r="CNQ90" s="95"/>
      <c r="CNR90" s="96"/>
      <c r="CNX90" s="232"/>
      <c r="CNY90" s="95"/>
      <c r="CNZ90" s="96"/>
      <c r="COF90" s="232"/>
      <c r="COG90" s="95"/>
      <c r="COH90" s="96"/>
      <c r="CON90" s="232"/>
      <c r="COO90" s="95"/>
      <c r="COP90" s="96"/>
      <c r="COV90" s="232"/>
      <c r="COW90" s="95"/>
      <c r="COX90" s="96"/>
      <c r="CPD90" s="232"/>
      <c r="CPE90" s="95"/>
      <c r="CPF90" s="96"/>
      <c r="CPL90" s="232"/>
      <c r="CPM90" s="95"/>
      <c r="CPN90" s="96"/>
      <c r="CPT90" s="232"/>
      <c r="CPU90" s="95"/>
      <c r="CPV90" s="96"/>
      <c r="CQB90" s="232"/>
      <c r="CQC90" s="95"/>
      <c r="CQD90" s="96"/>
      <c r="CQJ90" s="232"/>
      <c r="CQK90" s="95"/>
      <c r="CQL90" s="96"/>
      <c r="CQR90" s="232"/>
      <c r="CQS90" s="95"/>
      <c r="CQT90" s="96"/>
      <c r="CQZ90" s="232"/>
      <c r="CRA90" s="95"/>
      <c r="CRB90" s="96"/>
      <c r="CRH90" s="232"/>
      <c r="CRI90" s="95"/>
      <c r="CRJ90" s="96"/>
      <c r="CRP90" s="232"/>
      <c r="CRQ90" s="95"/>
      <c r="CRR90" s="96"/>
      <c r="CRX90" s="232"/>
      <c r="CRY90" s="95"/>
      <c r="CRZ90" s="96"/>
      <c r="CSF90" s="232"/>
      <c r="CSG90" s="95"/>
      <c r="CSH90" s="96"/>
      <c r="CSN90" s="232"/>
      <c r="CSO90" s="95"/>
      <c r="CSP90" s="96"/>
      <c r="CSV90" s="232"/>
      <c r="CSW90" s="95"/>
      <c r="CSX90" s="96"/>
      <c r="CTD90" s="232"/>
      <c r="CTE90" s="95"/>
      <c r="CTF90" s="96"/>
      <c r="CTL90" s="232"/>
      <c r="CTM90" s="95"/>
      <c r="CTN90" s="96"/>
      <c r="CTT90" s="232"/>
      <c r="CTU90" s="95"/>
      <c r="CTV90" s="96"/>
      <c r="CUB90" s="232"/>
      <c r="CUC90" s="95"/>
      <c r="CUD90" s="96"/>
      <c r="CUJ90" s="232"/>
      <c r="CUK90" s="95"/>
      <c r="CUL90" s="96"/>
      <c r="CUR90" s="232"/>
      <c r="CUS90" s="95"/>
      <c r="CUT90" s="96"/>
      <c r="CUZ90" s="232"/>
      <c r="CVA90" s="95"/>
      <c r="CVB90" s="96"/>
      <c r="CVH90" s="232"/>
      <c r="CVI90" s="95"/>
      <c r="CVJ90" s="96"/>
      <c r="CVP90" s="232"/>
      <c r="CVQ90" s="95"/>
      <c r="CVR90" s="96"/>
      <c r="CVX90" s="232"/>
      <c r="CVY90" s="95"/>
      <c r="CVZ90" s="96"/>
      <c r="CWF90" s="232"/>
      <c r="CWG90" s="95"/>
      <c r="CWH90" s="96"/>
      <c r="CWN90" s="232"/>
      <c r="CWO90" s="95"/>
      <c r="CWP90" s="96"/>
      <c r="CWV90" s="232"/>
      <c r="CWW90" s="95"/>
      <c r="CWX90" s="96"/>
      <c r="CXD90" s="232"/>
      <c r="CXE90" s="95"/>
      <c r="CXF90" s="96"/>
      <c r="CXL90" s="232"/>
      <c r="CXM90" s="95"/>
      <c r="CXN90" s="96"/>
      <c r="CXT90" s="232"/>
      <c r="CXU90" s="95"/>
      <c r="CXV90" s="96"/>
      <c r="CYB90" s="232"/>
      <c r="CYC90" s="95"/>
      <c r="CYD90" s="96"/>
      <c r="CYJ90" s="232"/>
      <c r="CYK90" s="95"/>
      <c r="CYL90" s="96"/>
      <c r="CYR90" s="232"/>
      <c r="CYS90" s="95"/>
      <c r="CYT90" s="96"/>
      <c r="CYZ90" s="232"/>
      <c r="CZA90" s="95"/>
      <c r="CZB90" s="96"/>
      <c r="CZH90" s="232"/>
      <c r="CZI90" s="95"/>
      <c r="CZJ90" s="96"/>
      <c r="CZP90" s="232"/>
      <c r="CZQ90" s="95"/>
      <c r="CZR90" s="96"/>
      <c r="CZX90" s="232"/>
      <c r="CZY90" s="95"/>
      <c r="CZZ90" s="96"/>
      <c r="DAF90" s="232"/>
      <c r="DAG90" s="95"/>
      <c r="DAH90" s="96"/>
      <c r="DAN90" s="232"/>
      <c r="DAO90" s="95"/>
      <c r="DAP90" s="96"/>
      <c r="DAV90" s="232"/>
      <c r="DAW90" s="95"/>
      <c r="DAX90" s="96"/>
      <c r="DBD90" s="232"/>
      <c r="DBE90" s="95"/>
      <c r="DBF90" s="96"/>
      <c r="DBL90" s="232"/>
      <c r="DBM90" s="95"/>
      <c r="DBN90" s="96"/>
      <c r="DBT90" s="232"/>
      <c r="DBU90" s="95"/>
      <c r="DBV90" s="96"/>
      <c r="DCB90" s="232"/>
      <c r="DCC90" s="95"/>
      <c r="DCD90" s="96"/>
      <c r="DCJ90" s="232"/>
      <c r="DCK90" s="95"/>
      <c r="DCL90" s="96"/>
      <c r="DCR90" s="232"/>
      <c r="DCS90" s="95"/>
      <c r="DCT90" s="96"/>
      <c r="DCZ90" s="232"/>
      <c r="DDA90" s="95"/>
      <c r="DDB90" s="96"/>
      <c r="DDH90" s="232"/>
      <c r="DDI90" s="95"/>
      <c r="DDJ90" s="96"/>
      <c r="DDP90" s="232"/>
      <c r="DDQ90" s="95"/>
      <c r="DDR90" s="96"/>
      <c r="DDX90" s="232"/>
      <c r="DDY90" s="95"/>
      <c r="DDZ90" s="96"/>
      <c r="DEF90" s="232"/>
      <c r="DEG90" s="95"/>
      <c r="DEH90" s="96"/>
      <c r="DEN90" s="232"/>
      <c r="DEO90" s="95"/>
      <c r="DEP90" s="96"/>
      <c r="DEV90" s="232"/>
      <c r="DEW90" s="95"/>
      <c r="DEX90" s="96"/>
      <c r="DFD90" s="232"/>
      <c r="DFE90" s="95"/>
      <c r="DFF90" s="96"/>
      <c r="DFL90" s="232"/>
      <c r="DFM90" s="95"/>
      <c r="DFN90" s="96"/>
      <c r="DFT90" s="232"/>
      <c r="DFU90" s="95"/>
      <c r="DFV90" s="96"/>
      <c r="DGB90" s="232"/>
      <c r="DGC90" s="95"/>
      <c r="DGD90" s="96"/>
      <c r="DGJ90" s="232"/>
      <c r="DGK90" s="95"/>
      <c r="DGL90" s="96"/>
      <c r="DGR90" s="232"/>
      <c r="DGS90" s="95"/>
      <c r="DGT90" s="96"/>
      <c r="DGZ90" s="232"/>
      <c r="DHA90" s="95"/>
      <c r="DHB90" s="96"/>
      <c r="DHH90" s="232"/>
      <c r="DHI90" s="95"/>
      <c r="DHJ90" s="96"/>
      <c r="DHP90" s="232"/>
      <c r="DHQ90" s="95"/>
      <c r="DHR90" s="96"/>
      <c r="DHX90" s="232"/>
      <c r="DHY90" s="95"/>
      <c r="DHZ90" s="96"/>
      <c r="DIF90" s="232"/>
      <c r="DIG90" s="95"/>
      <c r="DIH90" s="96"/>
      <c r="DIN90" s="232"/>
      <c r="DIO90" s="95"/>
      <c r="DIP90" s="96"/>
      <c r="DIV90" s="232"/>
      <c r="DIW90" s="95"/>
      <c r="DIX90" s="96"/>
      <c r="DJD90" s="232"/>
      <c r="DJE90" s="95"/>
      <c r="DJF90" s="96"/>
      <c r="DJL90" s="232"/>
      <c r="DJM90" s="95"/>
      <c r="DJN90" s="96"/>
      <c r="DJT90" s="232"/>
      <c r="DJU90" s="95"/>
      <c r="DJV90" s="96"/>
      <c r="DKB90" s="232"/>
      <c r="DKC90" s="95"/>
      <c r="DKD90" s="96"/>
      <c r="DKJ90" s="232"/>
      <c r="DKK90" s="95"/>
      <c r="DKL90" s="96"/>
      <c r="DKR90" s="232"/>
      <c r="DKS90" s="95"/>
      <c r="DKT90" s="96"/>
      <c r="DKZ90" s="232"/>
      <c r="DLA90" s="95"/>
      <c r="DLB90" s="96"/>
      <c r="DLH90" s="232"/>
      <c r="DLI90" s="95"/>
      <c r="DLJ90" s="96"/>
      <c r="DLP90" s="232"/>
      <c r="DLQ90" s="95"/>
      <c r="DLR90" s="96"/>
      <c r="DLX90" s="232"/>
      <c r="DLY90" s="95"/>
      <c r="DLZ90" s="96"/>
      <c r="DMF90" s="232"/>
      <c r="DMG90" s="95"/>
      <c r="DMH90" s="96"/>
      <c r="DMN90" s="232"/>
      <c r="DMO90" s="95"/>
      <c r="DMP90" s="96"/>
      <c r="DMV90" s="232"/>
      <c r="DMW90" s="95"/>
      <c r="DMX90" s="96"/>
      <c r="DND90" s="232"/>
      <c r="DNE90" s="95"/>
      <c r="DNF90" s="96"/>
      <c r="DNL90" s="232"/>
      <c r="DNM90" s="95"/>
      <c r="DNN90" s="96"/>
      <c r="DNT90" s="232"/>
      <c r="DNU90" s="95"/>
      <c r="DNV90" s="96"/>
      <c r="DOB90" s="232"/>
      <c r="DOC90" s="95"/>
      <c r="DOD90" s="96"/>
      <c r="DOJ90" s="232"/>
      <c r="DOK90" s="95"/>
      <c r="DOL90" s="96"/>
      <c r="DOR90" s="232"/>
      <c r="DOS90" s="95"/>
      <c r="DOT90" s="96"/>
      <c r="DOZ90" s="232"/>
      <c r="DPA90" s="95"/>
      <c r="DPB90" s="96"/>
      <c r="DPH90" s="232"/>
      <c r="DPI90" s="95"/>
      <c r="DPJ90" s="96"/>
      <c r="DPP90" s="232"/>
      <c r="DPQ90" s="95"/>
      <c r="DPR90" s="96"/>
      <c r="DPX90" s="232"/>
      <c r="DPY90" s="95"/>
      <c r="DPZ90" s="96"/>
      <c r="DQF90" s="232"/>
      <c r="DQG90" s="95"/>
      <c r="DQH90" s="96"/>
      <c r="DQN90" s="232"/>
      <c r="DQO90" s="95"/>
      <c r="DQP90" s="96"/>
      <c r="DQV90" s="232"/>
      <c r="DQW90" s="95"/>
      <c r="DQX90" s="96"/>
      <c r="DRD90" s="232"/>
      <c r="DRE90" s="95"/>
      <c r="DRF90" s="96"/>
      <c r="DRL90" s="232"/>
      <c r="DRM90" s="95"/>
      <c r="DRN90" s="96"/>
      <c r="DRT90" s="232"/>
      <c r="DRU90" s="95"/>
      <c r="DRV90" s="96"/>
      <c r="DSB90" s="232"/>
      <c r="DSC90" s="95"/>
      <c r="DSD90" s="96"/>
      <c r="DSJ90" s="232"/>
      <c r="DSK90" s="95"/>
      <c r="DSL90" s="96"/>
      <c r="DSR90" s="232"/>
      <c r="DSS90" s="95"/>
      <c r="DST90" s="96"/>
      <c r="DSZ90" s="232"/>
      <c r="DTA90" s="95"/>
      <c r="DTB90" s="96"/>
      <c r="DTH90" s="232"/>
      <c r="DTI90" s="95"/>
      <c r="DTJ90" s="96"/>
      <c r="DTP90" s="232"/>
      <c r="DTQ90" s="95"/>
      <c r="DTR90" s="96"/>
      <c r="DTX90" s="232"/>
      <c r="DTY90" s="95"/>
      <c r="DTZ90" s="96"/>
      <c r="DUF90" s="232"/>
      <c r="DUG90" s="95"/>
      <c r="DUH90" s="96"/>
      <c r="DUN90" s="232"/>
      <c r="DUO90" s="95"/>
      <c r="DUP90" s="96"/>
      <c r="DUV90" s="232"/>
      <c r="DUW90" s="95"/>
      <c r="DUX90" s="96"/>
      <c r="DVD90" s="232"/>
      <c r="DVE90" s="95"/>
      <c r="DVF90" s="96"/>
      <c r="DVL90" s="232"/>
      <c r="DVM90" s="95"/>
      <c r="DVN90" s="96"/>
      <c r="DVT90" s="232"/>
      <c r="DVU90" s="95"/>
      <c r="DVV90" s="96"/>
      <c r="DWB90" s="232"/>
      <c r="DWC90" s="95"/>
      <c r="DWD90" s="96"/>
      <c r="DWJ90" s="232"/>
      <c r="DWK90" s="95"/>
      <c r="DWL90" s="96"/>
      <c r="DWR90" s="232"/>
      <c r="DWS90" s="95"/>
      <c r="DWT90" s="96"/>
      <c r="DWZ90" s="232"/>
      <c r="DXA90" s="95"/>
      <c r="DXB90" s="96"/>
      <c r="DXH90" s="232"/>
      <c r="DXI90" s="95"/>
      <c r="DXJ90" s="96"/>
      <c r="DXP90" s="232"/>
      <c r="DXQ90" s="95"/>
      <c r="DXR90" s="96"/>
      <c r="DXX90" s="232"/>
      <c r="DXY90" s="95"/>
      <c r="DXZ90" s="96"/>
      <c r="DYF90" s="232"/>
      <c r="DYG90" s="95"/>
      <c r="DYH90" s="96"/>
      <c r="DYN90" s="232"/>
      <c r="DYO90" s="95"/>
      <c r="DYP90" s="96"/>
      <c r="DYV90" s="232"/>
      <c r="DYW90" s="95"/>
      <c r="DYX90" s="96"/>
      <c r="DZD90" s="232"/>
      <c r="DZE90" s="95"/>
      <c r="DZF90" s="96"/>
      <c r="DZL90" s="232"/>
      <c r="DZM90" s="95"/>
      <c r="DZN90" s="96"/>
      <c r="DZT90" s="232"/>
      <c r="DZU90" s="95"/>
      <c r="DZV90" s="96"/>
      <c r="EAB90" s="232"/>
      <c r="EAC90" s="95"/>
      <c r="EAD90" s="96"/>
      <c r="EAJ90" s="232"/>
      <c r="EAK90" s="95"/>
      <c r="EAL90" s="96"/>
      <c r="EAR90" s="232"/>
      <c r="EAS90" s="95"/>
      <c r="EAT90" s="96"/>
      <c r="EAZ90" s="232"/>
      <c r="EBA90" s="95"/>
      <c r="EBB90" s="96"/>
      <c r="EBH90" s="232"/>
      <c r="EBI90" s="95"/>
      <c r="EBJ90" s="96"/>
      <c r="EBP90" s="232"/>
      <c r="EBQ90" s="95"/>
      <c r="EBR90" s="96"/>
      <c r="EBX90" s="232"/>
      <c r="EBY90" s="95"/>
      <c r="EBZ90" s="96"/>
      <c r="ECF90" s="232"/>
      <c r="ECG90" s="95"/>
      <c r="ECH90" s="96"/>
      <c r="ECN90" s="232"/>
      <c r="ECO90" s="95"/>
      <c r="ECP90" s="96"/>
      <c r="ECV90" s="232"/>
      <c r="ECW90" s="95"/>
      <c r="ECX90" s="96"/>
      <c r="EDD90" s="232"/>
      <c r="EDE90" s="95"/>
      <c r="EDF90" s="96"/>
      <c r="EDL90" s="232"/>
      <c r="EDM90" s="95"/>
      <c r="EDN90" s="96"/>
      <c r="EDT90" s="232"/>
      <c r="EDU90" s="95"/>
      <c r="EDV90" s="96"/>
      <c r="EEB90" s="232"/>
      <c r="EEC90" s="95"/>
      <c r="EED90" s="96"/>
      <c r="EEJ90" s="232"/>
      <c r="EEK90" s="95"/>
      <c r="EEL90" s="96"/>
      <c r="EER90" s="232"/>
      <c r="EES90" s="95"/>
      <c r="EET90" s="96"/>
      <c r="EEZ90" s="232"/>
      <c r="EFA90" s="95"/>
      <c r="EFB90" s="96"/>
      <c r="EFH90" s="232"/>
      <c r="EFI90" s="95"/>
      <c r="EFJ90" s="96"/>
      <c r="EFP90" s="232"/>
      <c r="EFQ90" s="95"/>
      <c r="EFR90" s="96"/>
      <c r="EFX90" s="232"/>
      <c r="EFY90" s="95"/>
      <c r="EFZ90" s="96"/>
      <c r="EGF90" s="232"/>
      <c r="EGG90" s="95"/>
      <c r="EGH90" s="96"/>
      <c r="EGN90" s="232"/>
      <c r="EGO90" s="95"/>
      <c r="EGP90" s="96"/>
      <c r="EGV90" s="232"/>
      <c r="EGW90" s="95"/>
      <c r="EGX90" s="96"/>
      <c r="EHD90" s="232"/>
      <c r="EHE90" s="95"/>
      <c r="EHF90" s="96"/>
      <c r="EHL90" s="232"/>
      <c r="EHM90" s="95"/>
      <c r="EHN90" s="96"/>
      <c r="EHT90" s="232"/>
      <c r="EHU90" s="95"/>
      <c r="EHV90" s="96"/>
      <c r="EIB90" s="232"/>
      <c r="EIC90" s="95"/>
      <c r="EID90" s="96"/>
      <c r="EIJ90" s="232"/>
      <c r="EIK90" s="95"/>
      <c r="EIL90" s="96"/>
      <c r="EIR90" s="232"/>
      <c r="EIS90" s="95"/>
      <c r="EIT90" s="96"/>
      <c r="EIZ90" s="232"/>
      <c r="EJA90" s="95"/>
      <c r="EJB90" s="96"/>
      <c r="EJH90" s="232"/>
      <c r="EJI90" s="95"/>
      <c r="EJJ90" s="96"/>
      <c r="EJP90" s="232"/>
      <c r="EJQ90" s="95"/>
      <c r="EJR90" s="96"/>
      <c r="EJX90" s="232"/>
      <c r="EJY90" s="95"/>
      <c r="EJZ90" s="96"/>
      <c r="EKF90" s="232"/>
      <c r="EKG90" s="95"/>
      <c r="EKH90" s="96"/>
      <c r="EKN90" s="232"/>
      <c r="EKO90" s="95"/>
      <c r="EKP90" s="96"/>
      <c r="EKV90" s="232"/>
      <c r="EKW90" s="95"/>
      <c r="EKX90" s="96"/>
      <c r="ELD90" s="232"/>
      <c r="ELE90" s="95"/>
      <c r="ELF90" s="96"/>
      <c r="ELL90" s="232"/>
      <c r="ELM90" s="95"/>
      <c r="ELN90" s="96"/>
      <c r="ELT90" s="232"/>
      <c r="ELU90" s="95"/>
      <c r="ELV90" s="96"/>
      <c r="EMB90" s="232"/>
      <c r="EMC90" s="95"/>
      <c r="EMD90" s="96"/>
      <c r="EMJ90" s="232"/>
      <c r="EMK90" s="95"/>
      <c r="EML90" s="96"/>
      <c r="EMR90" s="232"/>
      <c r="EMS90" s="95"/>
      <c r="EMT90" s="96"/>
      <c r="EMZ90" s="232"/>
      <c r="ENA90" s="95"/>
      <c r="ENB90" s="96"/>
      <c r="ENH90" s="232"/>
      <c r="ENI90" s="95"/>
      <c r="ENJ90" s="96"/>
      <c r="ENP90" s="232"/>
      <c r="ENQ90" s="95"/>
      <c r="ENR90" s="96"/>
      <c r="ENX90" s="232"/>
      <c r="ENY90" s="95"/>
      <c r="ENZ90" s="96"/>
      <c r="EOF90" s="232"/>
      <c r="EOG90" s="95"/>
      <c r="EOH90" s="96"/>
      <c r="EON90" s="232"/>
      <c r="EOO90" s="95"/>
      <c r="EOP90" s="96"/>
      <c r="EOV90" s="232"/>
      <c r="EOW90" s="95"/>
      <c r="EOX90" s="96"/>
      <c r="EPD90" s="232"/>
      <c r="EPE90" s="95"/>
      <c r="EPF90" s="96"/>
      <c r="EPL90" s="232"/>
      <c r="EPM90" s="95"/>
      <c r="EPN90" s="96"/>
      <c r="EPT90" s="232"/>
      <c r="EPU90" s="95"/>
      <c r="EPV90" s="96"/>
      <c r="EQB90" s="232"/>
      <c r="EQC90" s="95"/>
      <c r="EQD90" s="96"/>
      <c r="EQJ90" s="232"/>
      <c r="EQK90" s="95"/>
      <c r="EQL90" s="96"/>
      <c r="EQR90" s="232"/>
      <c r="EQS90" s="95"/>
      <c r="EQT90" s="96"/>
      <c r="EQZ90" s="232"/>
      <c r="ERA90" s="95"/>
      <c r="ERB90" s="96"/>
      <c r="ERH90" s="232"/>
      <c r="ERI90" s="95"/>
      <c r="ERJ90" s="96"/>
      <c r="ERP90" s="232"/>
      <c r="ERQ90" s="95"/>
      <c r="ERR90" s="96"/>
      <c r="ERX90" s="232"/>
      <c r="ERY90" s="95"/>
      <c r="ERZ90" s="96"/>
      <c r="ESF90" s="232"/>
      <c r="ESG90" s="95"/>
      <c r="ESH90" s="96"/>
      <c r="ESN90" s="232"/>
      <c r="ESO90" s="95"/>
      <c r="ESP90" s="96"/>
      <c r="ESV90" s="232"/>
      <c r="ESW90" s="95"/>
      <c r="ESX90" s="96"/>
      <c r="ETD90" s="232"/>
      <c r="ETE90" s="95"/>
      <c r="ETF90" s="96"/>
      <c r="ETL90" s="232"/>
      <c r="ETM90" s="95"/>
      <c r="ETN90" s="96"/>
      <c r="ETT90" s="232"/>
      <c r="ETU90" s="95"/>
      <c r="ETV90" s="96"/>
      <c r="EUB90" s="232"/>
      <c r="EUC90" s="95"/>
      <c r="EUD90" s="96"/>
      <c r="EUJ90" s="232"/>
      <c r="EUK90" s="95"/>
      <c r="EUL90" s="96"/>
      <c r="EUR90" s="232"/>
      <c r="EUS90" s="95"/>
      <c r="EUT90" s="96"/>
      <c r="EUZ90" s="232"/>
      <c r="EVA90" s="95"/>
      <c r="EVB90" s="96"/>
      <c r="EVH90" s="232"/>
      <c r="EVI90" s="95"/>
      <c r="EVJ90" s="96"/>
      <c r="EVP90" s="232"/>
      <c r="EVQ90" s="95"/>
      <c r="EVR90" s="96"/>
      <c r="EVX90" s="232"/>
      <c r="EVY90" s="95"/>
      <c r="EVZ90" s="96"/>
      <c r="EWF90" s="232"/>
      <c r="EWG90" s="95"/>
      <c r="EWH90" s="96"/>
      <c r="EWN90" s="232"/>
      <c r="EWO90" s="95"/>
      <c r="EWP90" s="96"/>
      <c r="EWV90" s="232"/>
      <c r="EWW90" s="95"/>
      <c r="EWX90" s="96"/>
      <c r="EXD90" s="232"/>
      <c r="EXE90" s="95"/>
      <c r="EXF90" s="96"/>
      <c r="EXL90" s="232"/>
      <c r="EXM90" s="95"/>
      <c r="EXN90" s="96"/>
      <c r="EXT90" s="232"/>
      <c r="EXU90" s="95"/>
      <c r="EXV90" s="96"/>
      <c r="EYB90" s="232"/>
      <c r="EYC90" s="95"/>
      <c r="EYD90" s="96"/>
      <c r="EYJ90" s="232"/>
      <c r="EYK90" s="95"/>
      <c r="EYL90" s="96"/>
      <c r="EYR90" s="232"/>
      <c r="EYS90" s="95"/>
      <c r="EYT90" s="96"/>
      <c r="EYZ90" s="232"/>
      <c r="EZA90" s="95"/>
      <c r="EZB90" s="96"/>
      <c r="EZH90" s="232"/>
      <c r="EZI90" s="95"/>
      <c r="EZJ90" s="96"/>
      <c r="EZP90" s="232"/>
      <c r="EZQ90" s="95"/>
      <c r="EZR90" s="96"/>
      <c r="EZX90" s="232"/>
      <c r="EZY90" s="95"/>
      <c r="EZZ90" s="96"/>
      <c r="FAF90" s="232"/>
      <c r="FAG90" s="95"/>
      <c r="FAH90" s="96"/>
      <c r="FAN90" s="232"/>
      <c r="FAO90" s="95"/>
      <c r="FAP90" s="96"/>
      <c r="FAV90" s="232"/>
      <c r="FAW90" s="95"/>
      <c r="FAX90" s="96"/>
      <c r="FBD90" s="232"/>
      <c r="FBE90" s="95"/>
      <c r="FBF90" s="96"/>
      <c r="FBL90" s="232"/>
      <c r="FBM90" s="95"/>
      <c r="FBN90" s="96"/>
      <c r="FBT90" s="232"/>
      <c r="FBU90" s="95"/>
      <c r="FBV90" s="96"/>
      <c r="FCB90" s="232"/>
      <c r="FCC90" s="95"/>
      <c r="FCD90" s="96"/>
      <c r="FCJ90" s="232"/>
      <c r="FCK90" s="95"/>
      <c r="FCL90" s="96"/>
      <c r="FCR90" s="232"/>
      <c r="FCS90" s="95"/>
      <c r="FCT90" s="96"/>
      <c r="FCZ90" s="232"/>
      <c r="FDA90" s="95"/>
      <c r="FDB90" s="96"/>
      <c r="FDH90" s="232"/>
      <c r="FDI90" s="95"/>
      <c r="FDJ90" s="96"/>
      <c r="FDP90" s="232"/>
      <c r="FDQ90" s="95"/>
      <c r="FDR90" s="96"/>
      <c r="FDX90" s="232"/>
      <c r="FDY90" s="95"/>
      <c r="FDZ90" s="96"/>
      <c r="FEF90" s="232"/>
      <c r="FEG90" s="95"/>
      <c r="FEH90" s="96"/>
      <c r="FEN90" s="232"/>
      <c r="FEO90" s="95"/>
      <c r="FEP90" s="96"/>
      <c r="FEV90" s="232"/>
      <c r="FEW90" s="95"/>
      <c r="FEX90" s="96"/>
      <c r="FFD90" s="232"/>
      <c r="FFE90" s="95"/>
      <c r="FFF90" s="96"/>
      <c r="FFL90" s="232"/>
      <c r="FFM90" s="95"/>
      <c r="FFN90" s="96"/>
      <c r="FFT90" s="232"/>
      <c r="FFU90" s="95"/>
      <c r="FFV90" s="96"/>
      <c r="FGB90" s="232"/>
      <c r="FGC90" s="95"/>
      <c r="FGD90" s="96"/>
      <c r="FGJ90" s="232"/>
      <c r="FGK90" s="95"/>
      <c r="FGL90" s="96"/>
      <c r="FGR90" s="232"/>
      <c r="FGS90" s="95"/>
      <c r="FGT90" s="96"/>
      <c r="FGZ90" s="232"/>
      <c r="FHA90" s="95"/>
      <c r="FHB90" s="96"/>
      <c r="FHH90" s="232"/>
      <c r="FHI90" s="95"/>
      <c r="FHJ90" s="96"/>
      <c r="FHP90" s="232"/>
      <c r="FHQ90" s="95"/>
      <c r="FHR90" s="96"/>
      <c r="FHX90" s="232"/>
      <c r="FHY90" s="95"/>
      <c r="FHZ90" s="96"/>
      <c r="FIF90" s="232"/>
      <c r="FIG90" s="95"/>
      <c r="FIH90" s="96"/>
      <c r="FIN90" s="232"/>
      <c r="FIO90" s="95"/>
      <c r="FIP90" s="96"/>
      <c r="FIV90" s="232"/>
      <c r="FIW90" s="95"/>
      <c r="FIX90" s="96"/>
      <c r="FJD90" s="232"/>
      <c r="FJE90" s="95"/>
      <c r="FJF90" s="96"/>
      <c r="FJL90" s="232"/>
      <c r="FJM90" s="95"/>
      <c r="FJN90" s="96"/>
      <c r="FJT90" s="232"/>
      <c r="FJU90" s="95"/>
      <c r="FJV90" s="96"/>
      <c r="FKB90" s="232"/>
      <c r="FKC90" s="95"/>
      <c r="FKD90" s="96"/>
      <c r="FKJ90" s="232"/>
      <c r="FKK90" s="95"/>
      <c r="FKL90" s="96"/>
      <c r="FKR90" s="232"/>
      <c r="FKS90" s="95"/>
      <c r="FKT90" s="96"/>
      <c r="FKZ90" s="232"/>
      <c r="FLA90" s="95"/>
      <c r="FLB90" s="96"/>
      <c r="FLH90" s="232"/>
      <c r="FLI90" s="95"/>
      <c r="FLJ90" s="96"/>
      <c r="FLP90" s="232"/>
      <c r="FLQ90" s="95"/>
      <c r="FLR90" s="96"/>
      <c r="FLX90" s="232"/>
      <c r="FLY90" s="95"/>
      <c r="FLZ90" s="96"/>
      <c r="FMF90" s="232"/>
      <c r="FMG90" s="95"/>
      <c r="FMH90" s="96"/>
      <c r="FMN90" s="232"/>
      <c r="FMO90" s="95"/>
      <c r="FMP90" s="96"/>
      <c r="FMV90" s="232"/>
      <c r="FMW90" s="95"/>
      <c r="FMX90" s="96"/>
      <c r="FND90" s="232"/>
      <c r="FNE90" s="95"/>
      <c r="FNF90" s="96"/>
      <c r="FNL90" s="232"/>
      <c r="FNM90" s="95"/>
      <c r="FNN90" s="96"/>
      <c r="FNT90" s="232"/>
      <c r="FNU90" s="95"/>
      <c r="FNV90" s="96"/>
      <c r="FOB90" s="232"/>
      <c r="FOC90" s="95"/>
      <c r="FOD90" s="96"/>
      <c r="FOJ90" s="232"/>
      <c r="FOK90" s="95"/>
      <c r="FOL90" s="96"/>
      <c r="FOR90" s="232"/>
      <c r="FOS90" s="95"/>
      <c r="FOT90" s="96"/>
      <c r="FOZ90" s="232"/>
      <c r="FPA90" s="95"/>
      <c r="FPB90" s="96"/>
      <c r="FPH90" s="232"/>
      <c r="FPI90" s="95"/>
      <c r="FPJ90" s="96"/>
      <c r="FPP90" s="232"/>
      <c r="FPQ90" s="95"/>
      <c r="FPR90" s="96"/>
      <c r="FPX90" s="232"/>
      <c r="FPY90" s="95"/>
      <c r="FPZ90" s="96"/>
      <c r="FQF90" s="232"/>
      <c r="FQG90" s="95"/>
      <c r="FQH90" s="96"/>
      <c r="FQN90" s="232"/>
      <c r="FQO90" s="95"/>
      <c r="FQP90" s="96"/>
      <c r="FQV90" s="232"/>
      <c r="FQW90" s="95"/>
      <c r="FQX90" s="96"/>
      <c r="FRD90" s="232"/>
      <c r="FRE90" s="95"/>
      <c r="FRF90" s="96"/>
      <c r="FRL90" s="232"/>
      <c r="FRM90" s="95"/>
      <c r="FRN90" s="96"/>
      <c r="FRT90" s="232"/>
      <c r="FRU90" s="95"/>
      <c r="FRV90" s="96"/>
      <c r="FSB90" s="232"/>
      <c r="FSC90" s="95"/>
      <c r="FSD90" s="96"/>
      <c r="FSJ90" s="232"/>
      <c r="FSK90" s="95"/>
      <c r="FSL90" s="96"/>
      <c r="FSR90" s="232"/>
      <c r="FSS90" s="95"/>
      <c r="FST90" s="96"/>
      <c r="FSZ90" s="232"/>
      <c r="FTA90" s="95"/>
      <c r="FTB90" s="96"/>
      <c r="FTH90" s="232"/>
      <c r="FTI90" s="95"/>
      <c r="FTJ90" s="96"/>
      <c r="FTP90" s="232"/>
      <c r="FTQ90" s="95"/>
      <c r="FTR90" s="96"/>
      <c r="FTX90" s="232"/>
      <c r="FTY90" s="95"/>
      <c r="FTZ90" s="96"/>
      <c r="FUF90" s="232"/>
      <c r="FUG90" s="95"/>
      <c r="FUH90" s="96"/>
      <c r="FUN90" s="232"/>
      <c r="FUO90" s="95"/>
      <c r="FUP90" s="96"/>
      <c r="FUV90" s="232"/>
      <c r="FUW90" s="95"/>
      <c r="FUX90" s="96"/>
      <c r="FVD90" s="232"/>
      <c r="FVE90" s="95"/>
      <c r="FVF90" s="96"/>
      <c r="FVL90" s="232"/>
      <c r="FVM90" s="95"/>
      <c r="FVN90" s="96"/>
      <c r="FVT90" s="232"/>
      <c r="FVU90" s="95"/>
      <c r="FVV90" s="96"/>
      <c r="FWB90" s="232"/>
      <c r="FWC90" s="95"/>
      <c r="FWD90" s="96"/>
      <c r="FWJ90" s="232"/>
      <c r="FWK90" s="95"/>
      <c r="FWL90" s="96"/>
      <c r="FWR90" s="232"/>
      <c r="FWS90" s="95"/>
      <c r="FWT90" s="96"/>
      <c r="FWZ90" s="232"/>
      <c r="FXA90" s="95"/>
      <c r="FXB90" s="96"/>
      <c r="FXH90" s="232"/>
      <c r="FXI90" s="95"/>
      <c r="FXJ90" s="96"/>
      <c r="FXP90" s="232"/>
      <c r="FXQ90" s="95"/>
      <c r="FXR90" s="96"/>
      <c r="FXX90" s="232"/>
      <c r="FXY90" s="95"/>
      <c r="FXZ90" s="96"/>
      <c r="FYF90" s="232"/>
      <c r="FYG90" s="95"/>
      <c r="FYH90" s="96"/>
      <c r="FYN90" s="232"/>
      <c r="FYO90" s="95"/>
      <c r="FYP90" s="96"/>
      <c r="FYV90" s="232"/>
      <c r="FYW90" s="95"/>
      <c r="FYX90" s="96"/>
      <c r="FZD90" s="232"/>
      <c r="FZE90" s="95"/>
      <c r="FZF90" s="96"/>
      <c r="FZL90" s="232"/>
      <c r="FZM90" s="95"/>
      <c r="FZN90" s="96"/>
      <c r="FZT90" s="232"/>
      <c r="FZU90" s="95"/>
      <c r="FZV90" s="96"/>
      <c r="GAB90" s="232"/>
      <c r="GAC90" s="95"/>
      <c r="GAD90" s="96"/>
      <c r="GAJ90" s="232"/>
      <c r="GAK90" s="95"/>
      <c r="GAL90" s="96"/>
      <c r="GAR90" s="232"/>
      <c r="GAS90" s="95"/>
      <c r="GAT90" s="96"/>
      <c r="GAZ90" s="232"/>
      <c r="GBA90" s="95"/>
      <c r="GBB90" s="96"/>
      <c r="GBH90" s="232"/>
      <c r="GBI90" s="95"/>
      <c r="GBJ90" s="96"/>
      <c r="GBP90" s="232"/>
      <c r="GBQ90" s="95"/>
      <c r="GBR90" s="96"/>
      <c r="GBX90" s="232"/>
      <c r="GBY90" s="95"/>
      <c r="GBZ90" s="96"/>
      <c r="GCF90" s="232"/>
      <c r="GCG90" s="95"/>
      <c r="GCH90" s="96"/>
      <c r="GCN90" s="232"/>
      <c r="GCO90" s="95"/>
      <c r="GCP90" s="96"/>
      <c r="GCV90" s="232"/>
      <c r="GCW90" s="95"/>
      <c r="GCX90" s="96"/>
      <c r="GDD90" s="232"/>
      <c r="GDE90" s="95"/>
      <c r="GDF90" s="96"/>
      <c r="GDL90" s="232"/>
      <c r="GDM90" s="95"/>
      <c r="GDN90" s="96"/>
      <c r="GDT90" s="232"/>
      <c r="GDU90" s="95"/>
      <c r="GDV90" s="96"/>
      <c r="GEB90" s="232"/>
      <c r="GEC90" s="95"/>
      <c r="GED90" s="96"/>
      <c r="GEJ90" s="232"/>
      <c r="GEK90" s="95"/>
      <c r="GEL90" s="96"/>
      <c r="GER90" s="232"/>
      <c r="GES90" s="95"/>
      <c r="GET90" s="96"/>
      <c r="GEZ90" s="232"/>
      <c r="GFA90" s="95"/>
      <c r="GFB90" s="96"/>
      <c r="GFH90" s="232"/>
      <c r="GFI90" s="95"/>
      <c r="GFJ90" s="96"/>
      <c r="GFP90" s="232"/>
      <c r="GFQ90" s="95"/>
      <c r="GFR90" s="96"/>
      <c r="GFX90" s="232"/>
      <c r="GFY90" s="95"/>
      <c r="GFZ90" s="96"/>
      <c r="GGF90" s="232"/>
      <c r="GGG90" s="95"/>
      <c r="GGH90" s="96"/>
      <c r="GGN90" s="232"/>
      <c r="GGO90" s="95"/>
      <c r="GGP90" s="96"/>
      <c r="GGV90" s="232"/>
      <c r="GGW90" s="95"/>
      <c r="GGX90" s="96"/>
      <c r="GHD90" s="232"/>
      <c r="GHE90" s="95"/>
      <c r="GHF90" s="96"/>
      <c r="GHL90" s="232"/>
      <c r="GHM90" s="95"/>
      <c r="GHN90" s="96"/>
      <c r="GHT90" s="232"/>
      <c r="GHU90" s="95"/>
      <c r="GHV90" s="96"/>
      <c r="GIB90" s="232"/>
      <c r="GIC90" s="95"/>
      <c r="GID90" s="96"/>
      <c r="GIJ90" s="232"/>
      <c r="GIK90" s="95"/>
      <c r="GIL90" s="96"/>
      <c r="GIR90" s="232"/>
      <c r="GIS90" s="95"/>
      <c r="GIT90" s="96"/>
      <c r="GIZ90" s="232"/>
      <c r="GJA90" s="95"/>
      <c r="GJB90" s="96"/>
      <c r="GJH90" s="232"/>
      <c r="GJI90" s="95"/>
      <c r="GJJ90" s="96"/>
      <c r="GJP90" s="232"/>
      <c r="GJQ90" s="95"/>
      <c r="GJR90" s="96"/>
      <c r="GJX90" s="232"/>
      <c r="GJY90" s="95"/>
      <c r="GJZ90" s="96"/>
      <c r="GKF90" s="232"/>
      <c r="GKG90" s="95"/>
      <c r="GKH90" s="96"/>
      <c r="GKN90" s="232"/>
      <c r="GKO90" s="95"/>
      <c r="GKP90" s="96"/>
      <c r="GKV90" s="232"/>
      <c r="GKW90" s="95"/>
      <c r="GKX90" s="96"/>
      <c r="GLD90" s="232"/>
      <c r="GLE90" s="95"/>
      <c r="GLF90" s="96"/>
      <c r="GLL90" s="232"/>
      <c r="GLM90" s="95"/>
      <c r="GLN90" s="96"/>
      <c r="GLT90" s="232"/>
      <c r="GLU90" s="95"/>
      <c r="GLV90" s="96"/>
      <c r="GMB90" s="232"/>
      <c r="GMC90" s="95"/>
      <c r="GMD90" s="96"/>
      <c r="GMJ90" s="232"/>
      <c r="GMK90" s="95"/>
      <c r="GML90" s="96"/>
      <c r="GMR90" s="232"/>
      <c r="GMS90" s="95"/>
      <c r="GMT90" s="96"/>
      <c r="GMZ90" s="232"/>
      <c r="GNA90" s="95"/>
      <c r="GNB90" s="96"/>
      <c r="GNH90" s="232"/>
      <c r="GNI90" s="95"/>
      <c r="GNJ90" s="96"/>
      <c r="GNP90" s="232"/>
      <c r="GNQ90" s="95"/>
      <c r="GNR90" s="96"/>
      <c r="GNX90" s="232"/>
      <c r="GNY90" s="95"/>
      <c r="GNZ90" s="96"/>
      <c r="GOF90" s="232"/>
      <c r="GOG90" s="95"/>
      <c r="GOH90" s="96"/>
      <c r="GON90" s="232"/>
      <c r="GOO90" s="95"/>
      <c r="GOP90" s="96"/>
      <c r="GOV90" s="232"/>
      <c r="GOW90" s="95"/>
      <c r="GOX90" s="96"/>
      <c r="GPD90" s="232"/>
      <c r="GPE90" s="95"/>
      <c r="GPF90" s="96"/>
      <c r="GPL90" s="232"/>
      <c r="GPM90" s="95"/>
      <c r="GPN90" s="96"/>
      <c r="GPT90" s="232"/>
      <c r="GPU90" s="95"/>
      <c r="GPV90" s="96"/>
      <c r="GQB90" s="232"/>
      <c r="GQC90" s="95"/>
      <c r="GQD90" s="96"/>
      <c r="GQJ90" s="232"/>
      <c r="GQK90" s="95"/>
      <c r="GQL90" s="96"/>
      <c r="GQR90" s="232"/>
      <c r="GQS90" s="95"/>
      <c r="GQT90" s="96"/>
      <c r="GQZ90" s="232"/>
      <c r="GRA90" s="95"/>
      <c r="GRB90" s="96"/>
      <c r="GRH90" s="232"/>
      <c r="GRI90" s="95"/>
      <c r="GRJ90" s="96"/>
      <c r="GRP90" s="232"/>
      <c r="GRQ90" s="95"/>
      <c r="GRR90" s="96"/>
      <c r="GRX90" s="232"/>
      <c r="GRY90" s="95"/>
      <c r="GRZ90" s="96"/>
      <c r="GSF90" s="232"/>
      <c r="GSG90" s="95"/>
      <c r="GSH90" s="96"/>
      <c r="GSN90" s="232"/>
      <c r="GSO90" s="95"/>
      <c r="GSP90" s="96"/>
      <c r="GSV90" s="232"/>
      <c r="GSW90" s="95"/>
      <c r="GSX90" s="96"/>
      <c r="GTD90" s="232"/>
      <c r="GTE90" s="95"/>
      <c r="GTF90" s="96"/>
      <c r="GTL90" s="232"/>
      <c r="GTM90" s="95"/>
      <c r="GTN90" s="96"/>
      <c r="GTT90" s="232"/>
      <c r="GTU90" s="95"/>
      <c r="GTV90" s="96"/>
      <c r="GUB90" s="232"/>
      <c r="GUC90" s="95"/>
      <c r="GUD90" s="96"/>
      <c r="GUJ90" s="232"/>
      <c r="GUK90" s="95"/>
      <c r="GUL90" s="96"/>
      <c r="GUR90" s="232"/>
      <c r="GUS90" s="95"/>
      <c r="GUT90" s="96"/>
      <c r="GUZ90" s="232"/>
      <c r="GVA90" s="95"/>
      <c r="GVB90" s="96"/>
      <c r="GVH90" s="232"/>
      <c r="GVI90" s="95"/>
      <c r="GVJ90" s="96"/>
      <c r="GVP90" s="232"/>
      <c r="GVQ90" s="95"/>
      <c r="GVR90" s="96"/>
      <c r="GVX90" s="232"/>
      <c r="GVY90" s="95"/>
      <c r="GVZ90" s="96"/>
      <c r="GWF90" s="232"/>
      <c r="GWG90" s="95"/>
      <c r="GWH90" s="96"/>
      <c r="GWN90" s="232"/>
      <c r="GWO90" s="95"/>
      <c r="GWP90" s="96"/>
      <c r="GWV90" s="232"/>
      <c r="GWW90" s="95"/>
      <c r="GWX90" s="96"/>
      <c r="GXD90" s="232"/>
      <c r="GXE90" s="95"/>
      <c r="GXF90" s="96"/>
      <c r="GXL90" s="232"/>
      <c r="GXM90" s="95"/>
      <c r="GXN90" s="96"/>
      <c r="GXT90" s="232"/>
      <c r="GXU90" s="95"/>
      <c r="GXV90" s="96"/>
      <c r="GYB90" s="232"/>
      <c r="GYC90" s="95"/>
      <c r="GYD90" s="96"/>
      <c r="GYJ90" s="232"/>
      <c r="GYK90" s="95"/>
      <c r="GYL90" s="96"/>
      <c r="GYR90" s="232"/>
      <c r="GYS90" s="95"/>
      <c r="GYT90" s="96"/>
      <c r="GYZ90" s="232"/>
      <c r="GZA90" s="95"/>
      <c r="GZB90" s="96"/>
      <c r="GZH90" s="232"/>
      <c r="GZI90" s="95"/>
      <c r="GZJ90" s="96"/>
      <c r="GZP90" s="232"/>
      <c r="GZQ90" s="95"/>
      <c r="GZR90" s="96"/>
      <c r="GZX90" s="232"/>
      <c r="GZY90" s="95"/>
      <c r="GZZ90" s="96"/>
      <c r="HAF90" s="232"/>
      <c r="HAG90" s="95"/>
      <c r="HAH90" s="96"/>
      <c r="HAN90" s="232"/>
      <c r="HAO90" s="95"/>
      <c r="HAP90" s="96"/>
      <c r="HAV90" s="232"/>
      <c r="HAW90" s="95"/>
      <c r="HAX90" s="96"/>
      <c r="HBD90" s="232"/>
      <c r="HBE90" s="95"/>
      <c r="HBF90" s="96"/>
      <c r="HBL90" s="232"/>
      <c r="HBM90" s="95"/>
      <c r="HBN90" s="96"/>
      <c r="HBT90" s="232"/>
      <c r="HBU90" s="95"/>
      <c r="HBV90" s="96"/>
      <c r="HCB90" s="232"/>
      <c r="HCC90" s="95"/>
      <c r="HCD90" s="96"/>
      <c r="HCJ90" s="232"/>
      <c r="HCK90" s="95"/>
      <c r="HCL90" s="96"/>
      <c r="HCR90" s="232"/>
      <c r="HCS90" s="95"/>
      <c r="HCT90" s="96"/>
      <c r="HCZ90" s="232"/>
      <c r="HDA90" s="95"/>
      <c r="HDB90" s="96"/>
      <c r="HDH90" s="232"/>
      <c r="HDI90" s="95"/>
      <c r="HDJ90" s="96"/>
      <c r="HDP90" s="232"/>
      <c r="HDQ90" s="95"/>
      <c r="HDR90" s="96"/>
      <c r="HDX90" s="232"/>
      <c r="HDY90" s="95"/>
      <c r="HDZ90" s="96"/>
      <c r="HEF90" s="232"/>
      <c r="HEG90" s="95"/>
      <c r="HEH90" s="96"/>
      <c r="HEN90" s="232"/>
      <c r="HEO90" s="95"/>
      <c r="HEP90" s="96"/>
      <c r="HEV90" s="232"/>
      <c r="HEW90" s="95"/>
      <c r="HEX90" s="96"/>
      <c r="HFD90" s="232"/>
      <c r="HFE90" s="95"/>
      <c r="HFF90" s="96"/>
      <c r="HFL90" s="232"/>
      <c r="HFM90" s="95"/>
      <c r="HFN90" s="96"/>
      <c r="HFT90" s="232"/>
      <c r="HFU90" s="95"/>
      <c r="HFV90" s="96"/>
      <c r="HGB90" s="232"/>
      <c r="HGC90" s="95"/>
      <c r="HGD90" s="96"/>
      <c r="HGJ90" s="232"/>
      <c r="HGK90" s="95"/>
      <c r="HGL90" s="96"/>
      <c r="HGR90" s="232"/>
      <c r="HGS90" s="95"/>
      <c r="HGT90" s="96"/>
      <c r="HGZ90" s="232"/>
      <c r="HHA90" s="95"/>
      <c r="HHB90" s="96"/>
      <c r="HHH90" s="232"/>
      <c r="HHI90" s="95"/>
      <c r="HHJ90" s="96"/>
      <c r="HHP90" s="232"/>
      <c r="HHQ90" s="95"/>
      <c r="HHR90" s="96"/>
      <c r="HHX90" s="232"/>
      <c r="HHY90" s="95"/>
      <c r="HHZ90" s="96"/>
      <c r="HIF90" s="232"/>
      <c r="HIG90" s="95"/>
      <c r="HIH90" s="96"/>
      <c r="HIN90" s="232"/>
      <c r="HIO90" s="95"/>
      <c r="HIP90" s="96"/>
      <c r="HIV90" s="232"/>
      <c r="HIW90" s="95"/>
      <c r="HIX90" s="96"/>
      <c r="HJD90" s="232"/>
      <c r="HJE90" s="95"/>
      <c r="HJF90" s="96"/>
      <c r="HJL90" s="232"/>
      <c r="HJM90" s="95"/>
      <c r="HJN90" s="96"/>
      <c r="HJT90" s="232"/>
      <c r="HJU90" s="95"/>
      <c r="HJV90" s="96"/>
      <c r="HKB90" s="232"/>
      <c r="HKC90" s="95"/>
      <c r="HKD90" s="96"/>
      <c r="HKJ90" s="232"/>
      <c r="HKK90" s="95"/>
      <c r="HKL90" s="96"/>
      <c r="HKR90" s="232"/>
      <c r="HKS90" s="95"/>
      <c r="HKT90" s="96"/>
      <c r="HKZ90" s="232"/>
      <c r="HLA90" s="95"/>
      <c r="HLB90" s="96"/>
      <c r="HLH90" s="232"/>
      <c r="HLI90" s="95"/>
      <c r="HLJ90" s="96"/>
      <c r="HLP90" s="232"/>
      <c r="HLQ90" s="95"/>
      <c r="HLR90" s="96"/>
      <c r="HLX90" s="232"/>
      <c r="HLY90" s="95"/>
      <c r="HLZ90" s="96"/>
      <c r="HMF90" s="232"/>
      <c r="HMG90" s="95"/>
      <c r="HMH90" s="96"/>
      <c r="HMN90" s="232"/>
      <c r="HMO90" s="95"/>
      <c r="HMP90" s="96"/>
      <c r="HMV90" s="232"/>
      <c r="HMW90" s="95"/>
      <c r="HMX90" s="96"/>
      <c r="HND90" s="232"/>
      <c r="HNE90" s="95"/>
      <c r="HNF90" s="96"/>
      <c r="HNL90" s="232"/>
      <c r="HNM90" s="95"/>
      <c r="HNN90" s="96"/>
      <c r="HNT90" s="232"/>
      <c r="HNU90" s="95"/>
      <c r="HNV90" s="96"/>
      <c r="HOB90" s="232"/>
      <c r="HOC90" s="95"/>
      <c r="HOD90" s="96"/>
      <c r="HOJ90" s="232"/>
      <c r="HOK90" s="95"/>
      <c r="HOL90" s="96"/>
      <c r="HOR90" s="232"/>
      <c r="HOS90" s="95"/>
      <c r="HOT90" s="96"/>
      <c r="HOZ90" s="232"/>
      <c r="HPA90" s="95"/>
      <c r="HPB90" s="96"/>
      <c r="HPH90" s="232"/>
      <c r="HPI90" s="95"/>
      <c r="HPJ90" s="96"/>
      <c r="HPP90" s="232"/>
      <c r="HPQ90" s="95"/>
      <c r="HPR90" s="96"/>
      <c r="HPX90" s="232"/>
      <c r="HPY90" s="95"/>
      <c r="HPZ90" s="96"/>
      <c r="HQF90" s="232"/>
      <c r="HQG90" s="95"/>
      <c r="HQH90" s="96"/>
      <c r="HQN90" s="232"/>
      <c r="HQO90" s="95"/>
      <c r="HQP90" s="96"/>
      <c r="HQV90" s="232"/>
      <c r="HQW90" s="95"/>
      <c r="HQX90" s="96"/>
      <c r="HRD90" s="232"/>
      <c r="HRE90" s="95"/>
      <c r="HRF90" s="96"/>
      <c r="HRL90" s="232"/>
      <c r="HRM90" s="95"/>
      <c r="HRN90" s="96"/>
      <c r="HRT90" s="232"/>
      <c r="HRU90" s="95"/>
      <c r="HRV90" s="96"/>
      <c r="HSB90" s="232"/>
      <c r="HSC90" s="95"/>
      <c r="HSD90" s="96"/>
      <c r="HSJ90" s="232"/>
      <c r="HSK90" s="95"/>
      <c r="HSL90" s="96"/>
      <c r="HSR90" s="232"/>
      <c r="HSS90" s="95"/>
      <c r="HST90" s="96"/>
      <c r="HSZ90" s="232"/>
      <c r="HTA90" s="95"/>
      <c r="HTB90" s="96"/>
      <c r="HTH90" s="232"/>
      <c r="HTI90" s="95"/>
      <c r="HTJ90" s="96"/>
      <c r="HTP90" s="232"/>
      <c r="HTQ90" s="95"/>
      <c r="HTR90" s="96"/>
      <c r="HTX90" s="232"/>
      <c r="HTY90" s="95"/>
      <c r="HTZ90" s="96"/>
      <c r="HUF90" s="232"/>
      <c r="HUG90" s="95"/>
      <c r="HUH90" s="96"/>
      <c r="HUN90" s="232"/>
      <c r="HUO90" s="95"/>
      <c r="HUP90" s="96"/>
      <c r="HUV90" s="232"/>
      <c r="HUW90" s="95"/>
      <c r="HUX90" s="96"/>
      <c r="HVD90" s="232"/>
      <c r="HVE90" s="95"/>
      <c r="HVF90" s="96"/>
      <c r="HVL90" s="232"/>
      <c r="HVM90" s="95"/>
      <c r="HVN90" s="96"/>
      <c r="HVT90" s="232"/>
      <c r="HVU90" s="95"/>
      <c r="HVV90" s="96"/>
      <c r="HWB90" s="232"/>
      <c r="HWC90" s="95"/>
      <c r="HWD90" s="96"/>
      <c r="HWJ90" s="232"/>
      <c r="HWK90" s="95"/>
      <c r="HWL90" s="96"/>
      <c r="HWR90" s="232"/>
      <c r="HWS90" s="95"/>
      <c r="HWT90" s="96"/>
      <c r="HWZ90" s="232"/>
      <c r="HXA90" s="95"/>
      <c r="HXB90" s="96"/>
      <c r="HXH90" s="232"/>
      <c r="HXI90" s="95"/>
      <c r="HXJ90" s="96"/>
      <c r="HXP90" s="232"/>
      <c r="HXQ90" s="95"/>
      <c r="HXR90" s="96"/>
      <c r="HXX90" s="232"/>
      <c r="HXY90" s="95"/>
      <c r="HXZ90" s="96"/>
      <c r="HYF90" s="232"/>
      <c r="HYG90" s="95"/>
      <c r="HYH90" s="96"/>
      <c r="HYN90" s="232"/>
      <c r="HYO90" s="95"/>
      <c r="HYP90" s="96"/>
      <c r="HYV90" s="232"/>
      <c r="HYW90" s="95"/>
      <c r="HYX90" s="96"/>
      <c r="HZD90" s="232"/>
      <c r="HZE90" s="95"/>
      <c r="HZF90" s="96"/>
      <c r="HZL90" s="232"/>
      <c r="HZM90" s="95"/>
      <c r="HZN90" s="96"/>
      <c r="HZT90" s="232"/>
      <c r="HZU90" s="95"/>
      <c r="HZV90" s="96"/>
      <c r="IAB90" s="232"/>
      <c r="IAC90" s="95"/>
      <c r="IAD90" s="96"/>
      <c r="IAJ90" s="232"/>
      <c r="IAK90" s="95"/>
      <c r="IAL90" s="96"/>
      <c r="IAR90" s="232"/>
      <c r="IAS90" s="95"/>
      <c r="IAT90" s="96"/>
      <c r="IAZ90" s="232"/>
      <c r="IBA90" s="95"/>
      <c r="IBB90" s="96"/>
      <c r="IBH90" s="232"/>
      <c r="IBI90" s="95"/>
      <c r="IBJ90" s="96"/>
      <c r="IBP90" s="232"/>
      <c r="IBQ90" s="95"/>
      <c r="IBR90" s="96"/>
      <c r="IBX90" s="232"/>
      <c r="IBY90" s="95"/>
      <c r="IBZ90" s="96"/>
      <c r="ICF90" s="232"/>
      <c r="ICG90" s="95"/>
      <c r="ICH90" s="96"/>
      <c r="ICN90" s="232"/>
      <c r="ICO90" s="95"/>
      <c r="ICP90" s="96"/>
      <c r="ICV90" s="232"/>
      <c r="ICW90" s="95"/>
      <c r="ICX90" s="96"/>
      <c r="IDD90" s="232"/>
      <c r="IDE90" s="95"/>
      <c r="IDF90" s="96"/>
      <c r="IDL90" s="232"/>
      <c r="IDM90" s="95"/>
      <c r="IDN90" s="96"/>
      <c r="IDT90" s="232"/>
      <c r="IDU90" s="95"/>
      <c r="IDV90" s="96"/>
      <c r="IEB90" s="232"/>
      <c r="IEC90" s="95"/>
      <c r="IED90" s="96"/>
      <c r="IEJ90" s="232"/>
      <c r="IEK90" s="95"/>
      <c r="IEL90" s="96"/>
      <c r="IER90" s="232"/>
      <c r="IES90" s="95"/>
      <c r="IET90" s="96"/>
      <c r="IEZ90" s="232"/>
      <c r="IFA90" s="95"/>
      <c r="IFB90" s="96"/>
      <c r="IFH90" s="232"/>
      <c r="IFI90" s="95"/>
      <c r="IFJ90" s="96"/>
      <c r="IFP90" s="232"/>
      <c r="IFQ90" s="95"/>
      <c r="IFR90" s="96"/>
      <c r="IFX90" s="232"/>
      <c r="IFY90" s="95"/>
      <c r="IFZ90" s="96"/>
      <c r="IGF90" s="232"/>
      <c r="IGG90" s="95"/>
      <c r="IGH90" s="96"/>
      <c r="IGN90" s="232"/>
      <c r="IGO90" s="95"/>
      <c r="IGP90" s="96"/>
      <c r="IGV90" s="232"/>
      <c r="IGW90" s="95"/>
      <c r="IGX90" s="96"/>
      <c r="IHD90" s="232"/>
      <c r="IHE90" s="95"/>
      <c r="IHF90" s="96"/>
      <c r="IHL90" s="232"/>
      <c r="IHM90" s="95"/>
      <c r="IHN90" s="96"/>
      <c r="IHT90" s="232"/>
      <c r="IHU90" s="95"/>
      <c r="IHV90" s="96"/>
      <c r="IIB90" s="232"/>
      <c r="IIC90" s="95"/>
      <c r="IID90" s="96"/>
      <c r="IIJ90" s="232"/>
      <c r="IIK90" s="95"/>
      <c r="IIL90" s="96"/>
      <c r="IIR90" s="232"/>
      <c r="IIS90" s="95"/>
      <c r="IIT90" s="96"/>
      <c r="IIZ90" s="232"/>
      <c r="IJA90" s="95"/>
      <c r="IJB90" s="96"/>
      <c r="IJH90" s="232"/>
      <c r="IJI90" s="95"/>
      <c r="IJJ90" s="96"/>
      <c r="IJP90" s="232"/>
      <c r="IJQ90" s="95"/>
      <c r="IJR90" s="96"/>
      <c r="IJX90" s="232"/>
      <c r="IJY90" s="95"/>
      <c r="IJZ90" s="96"/>
      <c r="IKF90" s="232"/>
      <c r="IKG90" s="95"/>
      <c r="IKH90" s="96"/>
      <c r="IKN90" s="232"/>
      <c r="IKO90" s="95"/>
      <c r="IKP90" s="96"/>
      <c r="IKV90" s="232"/>
      <c r="IKW90" s="95"/>
      <c r="IKX90" s="96"/>
      <c r="ILD90" s="232"/>
      <c r="ILE90" s="95"/>
      <c r="ILF90" s="96"/>
      <c r="ILL90" s="232"/>
      <c r="ILM90" s="95"/>
      <c r="ILN90" s="96"/>
      <c r="ILT90" s="232"/>
      <c r="ILU90" s="95"/>
      <c r="ILV90" s="96"/>
      <c r="IMB90" s="232"/>
      <c r="IMC90" s="95"/>
      <c r="IMD90" s="96"/>
      <c r="IMJ90" s="232"/>
      <c r="IMK90" s="95"/>
      <c r="IML90" s="96"/>
      <c r="IMR90" s="232"/>
      <c r="IMS90" s="95"/>
      <c r="IMT90" s="96"/>
      <c r="IMZ90" s="232"/>
      <c r="INA90" s="95"/>
      <c r="INB90" s="96"/>
      <c r="INH90" s="232"/>
      <c r="INI90" s="95"/>
      <c r="INJ90" s="96"/>
      <c r="INP90" s="232"/>
      <c r="INQ90" s="95"/>
      <c r="INR90" s="96"/>
      <c r="INX90" s="232"/>
      <c r="INY90" s="95"/>
      <c r="INZ90" s="96"/>
      <c r="IOF90" s="232"/>
      <c r="IOG90" s="95"/>
      <c r="IOH90" s="96"/>
      <c r="ION90" s="232"/>
      <c r="IOO90" s="95"/>
      <c r="IOP90" s="96"/>
      <c r="IOV90" s="232"/>
      <c r="IOW90" s="95"/>
      <c r="IOX90" s="96"/>
      <c r="IPD90" s="232"/>
      <c r="IPE90" s="95"/>
      <c r="IPF90" s="96"/>
      <c r="IPL90" s="232"/>
      <c r="IPM90" s="95"/>
      <c r="IPN90" s="96"/>
      <c r="IPT90" s="232"/>
      <c r="IPU90" s="95"/>
      <c r="IPV90" s="96"/>
      <c r="IQB90" s="232"/>
      <c r="IQC90" s="95"/>
      <c r="IQD90" s="96"/>
      <c r="IQJ90" s="232"/>
      <c r="IQK90" s="95"/>
      <c r="IQL90" s="96"/>
      <c r="IQR90" s="232"/>
      <c r="IQS90" s="95"/>
      <c r="IQT90" s="96"/>
      <c r="IQZ90" s="232"/>
      <c r="IRA90" s="95"/>
      <c r="IRB90" s="96"/>
      <c r="IRH90" s="232"/>
      <c r="IRI90" s="95"/>
      <c r="IRJ90" s="96"/>
      <c r="IRP90" s="232"/>
      <c r="IRQ90" s="95"/>
      <c r="IRR90" s="96"/>
      <c r="IRX90" s="232"/>
      <c r="IRY90" s="95"/>
      <c r="IRZ90" s="96"/>
      <c r="ISF90" s="232"/>
      <c r="ISG90" s="95"/>
      <c r="ISH90" s="96"/>
      <c r="ISN90" s="232"/>
      <c r="ISO90" s="95"/>
      <c r="ISP90" s="96"/>
      <c r="ISV90" s="232"/>
      <c r="ISW90" s="95"/>
      <c r="ISX90" s="96"/>
      <c r="ITD90" s="232"/>
      <c r="ITE90" s="95"/>
      <c r="ITF90" s="96"/>
      <c r="ITL90" s="232"/>
      <c r="ITM90" s="95"/>
      <c r="ITN90" s="96"/>
      <c r="ITT90" s="232"/>
      <c r="ITU90" s="95"/>
      <c r="ITV90" s="96"/>
      <c r="IUB90" s="232"/>
      <c r="IUC90" s="95"/>
      <c r="IUD90" s="96"/>
      <c r="IUJ90" s="232"/>
      <c r="IUK90" s="95"/>
      <c r="IUL90" s="96"/>
      <c r="IUR90" s="232"/>
      <c r="IUS90" s="95"/>
      <c r="IUT90" s="96"/>
      <c r="IUZ90" s="232"/>
      <c r="IVA90" s="95"/>
      <c r="IVB90" s="96"/>
      <c r="IVH90" s="232"/>
      <c r="IVI90" s="95"/>
      <c r="IVJ90" s="96"/>
      <c r="IVP90" s="232"/>
      <c r="IVQ90" s="95"/>
      <c r="IVR90" s="96"/>
      <c r="IVX90" s="232"/>
      <c r="IVY90" s="95"/>
      <c r="IVZ90" s="96"/>
      <c r="IWF90" s="232"/>
      <c r="IWG90" s="95"/>
      <c r="IWH90" s="96"/>
      <c r="IWN90" s="232"/>
      <c r="IWO90" s="95"/>
      <c r="IWP90" s="96"/>
      <c r="IWV90" s="232"/>
      <c r="IWW90" s="95"/>
      <c r="IWX90" s="96"/>
      <c r="IXD90" s="232"/>
      <c r="IXE90" s="95"/>
      <c r="IXF90" s="96"/>
      <c r="IXL90" s="232"/>
      <c r="IXM90" s="95"/>
      <c r="IXN90" s="96"/>
      <c r="IXT90" s="232"/>
      <c r="IXU90" s="95"/>
      <c r="IXV90" s="96"/>
      <c r="IYB90" s="232"/>
      <c r="IYC90" s="95"/>
      <c r="IYD90" s="96"/>
      <c r="IYJ90" s="232"/>
      <c r="IYK90" s="95"/>
      <c r="IYL90" s="96"/>
      <c r="IYR90" s="232"/>
      <c r="IYS90" s="95"/>
      <c r="IYT90" s="96"/>
      <c r="IYZ90" s="232"/>
      <c r="IZA90" s="95"/>
      <c r="IZB90" s="96"/>
      <c r="IZH90" s="232"/>
      <c r="IZI90" s="95"/>
      <c r="IZJ90" s="96"/>
      <c r="IZP90" s="232"/>
      <c r="IZQ90" s="95"/>
      <c r="IZR90" s="96"/>
      <c r="IZX90" s="232"/>
      <c r="IZY90" s="95"/>
      <c r="IZZ90" s="96"/>
      <c r="JAF90" s="232"/>
      <c r="JAG90" s="95"/>
      <c r="JAH90" s="96"/>
      <c r="JAN90" s="232"/>
      <c r="JAO90" s="95"/>
      <c r="JAP90" s="96"/>
      <c r="JAV90" s="232"/>
      <c r="JAW90" s="95"/>
      <c r="JAX90" s="96"/>
      <c r="JBD90" s="232"/>
      <c r="JBE90" s="95"/>
      <c r="JBF90" s="96"/>
      <c r="JBL90" s="232"/>
      <c r="JBM90" s="95"/>
      <c r="JBN90" s="96"/>
      <c r="JBT90" s="232"/>
      <c r="JBU90" s="95"/>
      <c r="JBV90" s="96"/>
      <c r="JCB90" s="232"/>
      <c r="JCC90" s="95"/>
      <c r="JCD90" s="96"/>
      <c r="JCJ90" s="232"/>
      <c r="JCK90" s="95"/>
      <c r="JCL90" s="96"/>
      <c r="JCR90" s="232"/>
      <c r="JCS90" s="95"/>
      <c r="JCT90" s="96"/>
      <c r="JCZ90" s="232"/>
      <c r="JDA90" s="95"/>
      <c r="JDB90" s="96"/>
      <c r="JDH90" s="232"/>
      <c r="JDI90" s="95"/>
      <c r="JDJ90" s="96"/>
      <c r="JDP90" s="232"/>
      <c r="JDQ90" s="95"/>
      <c r="JDR90" s="96"/>
      <c r="JDX90" s="232"/>
      <c r="JDY90" s="95"/>
      <c r="JDZ90" s="96"/>
      <c r="JEF90" s="232"/>
      <c r="JEG90" s="95"/>
      <c r="JEH90" s="96"/>
      <c r="JEN90" s="232"/>
      <c r="JEO90" s="95"/>
      <c r="JEP90" s="96"/>
      <c r="JEV90" s="232"/>
      <c r="JEW90" s="95"/>
      <c r="JEX90" s="96"/>
      <c r="JFD90" s="232"/>
      <c r="JFE90" s="95"/>
      <c r="JFF90" s="96"/>
      <c r="JFL90" s="232"/>
      <c r="JFM90" s="95"/>
      <c r="JFN90" s="96"/>
      <c r="JFT90" s="232"/>
      <c r="JFU90" s="95"/>
      <c r="JFV90" s="96"/>
      <c r="JGB90" s="232"/>
      <c r="JGC90" s="95"/>
      <c r="JGD90" s="96"/>
      <c r="JGJ90" s="232"/>
      <c r="JGK90" s="95"/>
      <c r="JGL90" s="96"/>
      <c r="JGR90" s="232"/>
      <c r="JGS90" s="95"/>
      <c r="JGT90" s="96"/>
      <c r="JGZ90" s="232"/>
      <c r="JHA90" s="95"/>
      <c r="JHB90" s="96"/>
      <c r="JHH90" s="232"/>
      <c r="JHI90" s="95"/>
      <c r="JHJ90" s="96"/>
      <c r="JHP90" s="232"/>
      <c r="JHQ90" s="95"/>
      <c r="JHR90" s="96"/>
      <c r="JHX90" s="232"/>
      <c r="JHY90" s="95"/>
      <c r="JHZ90" s="96"/>
      <c r="JIF90" s="232"/>
      <c r="JIG90" s="95"/>
      <c r="JIH90" s="96"/>
      <c r="JIN90" s="232"/>
      <c r="JIO90" s="95"/>
      <c r="JIP90" s="96"/>
      <c r="JIV90" s="232"/>
      <c r="JIW90" s="95"/>
      <c r="JIX90" s="96"/>
      <c r="JJD90" s="232"/>
      <c r="JJE90" s="95"/>
      <c r="JJF90" s="96"/>
      <c r="JJL90" s="232"/>
      <c r="JJM90" s="95"/>
      <c r="JJN90" s="96"/>
      <c r="JJT90" s="232"/>
      <c r="JJU90" s="95"/>
      <c r="JJV90" s="96"/>
      <c r="JKB90" s="232"/>
      <c r="JKC90" s="95"/>
      <c r="JKD90" s="96"/>
      <c r="JKJ90" s="232"/>
      <c r="JKK90" s="95"/>
      <c r="JKL90" s="96"/>
      <c r="JKR90" s="232"/>
      <c r="JKS90" s="95"/>
      <c r="JKT90" s="96"/>
      <c r="JKZ90" s="232"/>
      <c r="JLA90" s="95"/>
      <c r="JLB90" s="96"/>
      <c r="JLH90" s="232"/>
      <c r="JLI90" s="95"/>
      <c r="JLJ90" s="96"/>
      <c r="JLP90" s="232"/>
      <c r="JLQ90" s="95"/>
      <c r="JLR90" s="96"/>
      <c r="JLX90" s="232"/>
      <c r="JLY90" s="95"/>
      <c r="JLZ90" s="96"/>
      <c r="JMF90" s="232"/>
      <c r="JMG90" s="95"/>
      <c r="JMH90" s="96"/>
      <c r="JMN90" s="232"/>
      <c r="JMO90" s="95"/>
      <c r="JMP90" s="96"/>
      <c r="JMV90" s="232"/>
      <c r="JMW90" s="95"/>
      <c r="JMX90" s="96"/>
      <c r="JND90" s="232"/>
      <c r="JNE90" s="95"/>
      <c r="JNF90" s="96"/>
      <c r="JNL90" s="232"/>
      <c r="JNM90" s="95"/>
      <c r="JNN90" s="96"/>
      <c r="JNT90" s="232"/>
      <c r="JNU90" s="95"/>
      <c r="JNV90" s="96"/>
      <c r="JOB90" s="232"/>
      <c r="JOC90" s="95"/>
      <c r="JOD90" s="96"/>
      <c r="JOJ90" s="232"/>
      <c r="JOK90" s="95"/>
      <c r="JOL90" s="96"/>
      <c r="JOR90" s="232"/>
      <c r="JOS90" s="95"/>
      <c r="JOT90" s="96"/>
      <c r="JOZ90" s="232"/>
      <c r="JPA90" s="95"/>
      <c r="JPB90" s="96"/>
      <c r="JPH90" s="232"/>
      <c r="JPI90" s="95"/>
      <c r="JPJ90" s="96"/>
      <c r="JPP90" s="232"/>
      <c r="JPQ90" s="95"/>
      <c r="JPR90" s="96"/>
      <c r="JPX90" s="232"/>
      <c r="JPY90" s="95"/>
      <c r="JPZ90" s="96"/>
      <c r="JQF90" s="232"/>
      <c r="JQG90" s="95"/>
      <c r="JQH90" s="96"/>
      <c r="JQN90" s="232"/>
      <c r="JQO90" s="95"/>
      <c r="JQP90" s="96"/>
      <c r="JQV90" s="232"/>
      <c r="JQW90" s="95"/>
      <c r="JQX90" s="96"/>
      <c r="JRD90" s="232"/>
      <c r="JRE90" s="95"/>
      <c r="JRF90" s="96"/>
      <c r="JRL90" s="232"/>
      <c r="JRM90" s="95"/>
      <c r="JRN90" s="96"/>
      <c r="JRT90" s="232"/>
      <c r="JRU90" s="95"/>
      <c r="JRV90" s="96"/>
      <c r="JSB90" s="232"/>
      <c r="JSC90" s="95"/>
      <c r="JSD90" s="96"/>
      <c r="JSJ90" s="232"/>
      <c r="JSK90" s="95"/>
      <c r="JSL90" s="96"/>
      <c r="JSR90" s="232"/>
      <c r="JSS90" s="95"/>
      <c r="JST90" s="96"/>
      <c r="JSZ90" s="232"/>
      <c r="JTA90" s="95"/>
      <c r="JTB90" s="96"/>
      <c r="JTH90" s="232"/>
      <c r="JTI90" s="95"/>
      <c r="JTJ90" s="96"/>
      <c r="JTP90" s="232"/>
      <c r="JTQ90" s="95"/>
      <c r="JTR90" s="96"/>
      <c r="JTX90" s="232"/>
      <c r="JTY90" s="95"/>
      <c r="JTZ90" s="96"/>
      <c r="JUF90" s="232"/>
      <c r="JUG90" s="95"/>
      <c r="JUH90" s="96"/>
      <c r="JUN90" s="232"/>
      <c r="JUO90" s="95"/>
      <c r="JUP90" s="96"/>
      <c r="JUV90" s="232"/>
      <c r="JUW90" s="95"/>
      <c r="JUX90" s="96"/>
      <c r="JVD90" s="232"/>
      <c r="JVE90" s="95"/>
      <c r="JVF90" s="96"/>
      <c r="JVL90" s="232"/>
      <c r="JVM90" s="95"/>
      <c r="JVN90" s="96"/>
      <c r="JVT90" s="232"/>
      <c r="JVU90" s="95"/>
      <c r="JVV90" s="96"/>
      <c r="JWB90" s="232"/>
      <c r="JWC90" s="95"/>
      <c r="JWD90" s="96"/>
      <c r="JWJ90" s="232"/>
      <c r="JWK90" s="95"/>
      <c r="JWL90" s="96"/>
      <c r="JWR90" s="232"/>
      <c r="JWS90" s="95"/>
      <c r="JWT90" s="96"/>
      <c r="JWZ90" s="232"/>
      <c r="JXA90" s="95"/>
      <c r="JXB90" s="96"/>
      <c r="JXH90" s="232"/>
      <c r="JXI90" s="95"/>
      <c r="JXJ90" s="96"/>
      <c r="JXP90" s="232"/>
      <c r="JXQ90" s="95"/>
      <c r="JXR90" s="96"/>
      <c r="JXX90" s="232"/>
      <c r="JXY90" s="95"/>
      <c r="JXZ90" s="96"/>
      <c r="JYF90" s="232"/>
      <c r="JYG90" s="95"/>
      <c r="JYH90" s="96"/>
      <c r="JYN90" s="232"/>
      <c r="JYO90" s="95"/>
      <c r="JYP90" s="96"/>
      <c r="JYV90" s="232"/>
      <c r="JYW90" s="95"/>
      <c r="JYX90" s="96"/>
      <c r="JZD90" s="232"/>
      <c r="JZE90" s="95"/>
      <c r="JZF90" s="96"/>
      <c r="JZL90" s="232"/>
      <c r="JZM90" s="95"/>
      <c r="JZN90" s="96"/>
      <c r="JZT90" s="232"/>
      <c r="JZU90" s="95"/>
      <c r="JZV90" s="96"/>
      <c r="KAB90" s="232"/>
      <c r="KAC90" s="95"/>
      <c r="KAD90" s="96"/>
      <c r="KAJ90" s="232"/>
      <c r="KAK90" s="95"/>
      <c r="KAL90" s="96"/>
      <c r="KAR90" s="232"/>
      <c r="KAS90" s="95"/>
      <c r="KAT90" s="96"/>
      <c r="KAZ90" s="232"/>
      <c r="KBA90" s="95"/>
      <c r="KBB90" s="96"/>
      <c r="KBH90" s="232"/>
      <c r="KBI90" s="95"/>
      <c r="KBJ90" s="96"/>
      <c r="KBP90" s="232"/>
      <c r="KBQ90" s="95"/>
      <c r="KBR90" s="96"/>
      <c r="KBX90" s="232"/>
      <c r="KBY90" s="95"/>
      <c r="KBZ90" s="96"/>
      <c r="KCF90" s="232"/>
      <c r="KCG90" s="95"/>
      <c r="KCH90" s="96"/>
      <c r="KCN90" s="232"/>
      <c r="KCO90" s="95"/>
      <c r="KCP90" s="96"/>
      <c r="KCV90" s="232"/>
      <c r="KCW90" s="95"/>
      <c r="KCX90" s="96"/>
      <c r="KDD90" s="232"/>
      <c r="KDE90" s="95"/>
      <c r="KDF90" s="96"/>
      <c r="KDL90" s="232"/>
      <c r="KDM90" s="95"/>
      <c r="KDN90" s="96"/>
      <c r="KDT90" s="232"/>
      <c r="KDU90" s="95"/>
      <c r="KDV90" s="96"/>
      <c r="KEB90" s="232"/>
      <c r="KEC90" s="95"/>
      <c r="KED90" s="96"/>
      <c r="KEJ90" s="232"/>
      <c r="KEK90" s="95"/>
      <c r="KEL90" s="96"/>
      <c r="KER90" s="232"/>
      <c r="KES90" s="95"/>
      <c r="KET90" s="96"/>
      <c r="KEZ90" s="232"/>
      <c r="KFA90" s="95"/>
      <c r="KFB90" s="96"/>
      <c r="KFH90" s="232"/>
      <c r="KFI90" s="95"/>
      <c r="KFJ90" s="96"/>
      <c r="KFP90" s="232"/>
      <c r="KFQ90" s="95"/>
      <c r="KFR90" s="96"/>
      <c r="KFX90" s="232"/>
      <c r="KFY90" s="95"/>
      <c r="KFZ90" s="96"/>
      <c r="KGF90" s="232"/>
      <c r="KGG90" s="95"/>
      <c r="KGH90" s="96"/>
      <c r="KGN90" s="232"/>
      <c r="KGO90" s="95"/>
      <c r="KGP90" s="96"/>
      <c r="KGV90" s="232"/>
      <c r="KGW90" s="95"/>
      <c r="KGX90" s="96"/>
      <c r="KHD90" s="232"/>
      <c r="KHE90" s="95"/>
      <c r="KHF90" s="96"/>
      <c r="KHL90" s="232"/>
      <c r="KHM90" s="95"/>
      <c r="KHN90" s="96"/>
      <c r="KHT90" s="232"/>
      <c r="KHU90" s="95"/>
      <c r="KHV90" s="96"/>
      <c r="KIB90" s="232"/>
      <c r="KIC90" s="95"/>
      <c r="KID90" s="96"/>
      <c r="KIJ90" s="232"/>
      <c r="KIK90" s="95"/>
      <c r="KIL90" s="96"/>
      <c r="KIR90" s="232"/>
      <c r="KIS90" s="95"/>
      <c r="KIT90" s="96"/>
      <c r="KIZ90" s="232"/>
      <c r="KJA90" s="95"/>
      <c r="KJB90" s="96"/>
      <c r="KJH90" s="232"/>
      <c r="KJI90" s="95"/>
      <c r="KJJ90" s="96"/>
      <c r="KJP90" s="232"/>
      <c r="KJQ90" s="95"/>
      <c r="KJR90" s="96"/>
      <c r="KJX90" s="232"/>
      <c r="KJY90" s="95"/>
      <c r="KJZ90" s="96"/>
      <c r="KKF90" s="232"/>
      <c r="KKG90" s="95"/>
      <c r="KKH90" s="96"/>
      <c r="KKN90" s="232"/>
      <c r="KKO90" s="95"/>
      <c r="KKP90" s="96"/>
      <c r="KKV90" s="232"/>
      <c r="KKW90" s="95"/>
      <c r="KKX90" s="96"/>
      <c r="KLD90" s="232"/>
      <c r="KLE90" s="95"/>
      <c r="KLF90" s="96"/>
      <c r="KLL90" s="232"/>
      <c r="KLM90" s="95"/>
      <c r="KLN90" s="96"/>
      <c r="KLT90" s="232"/>
      <c r="KLU90" s="95"/>
      <c r="KLV90" s="96"/>
      <c r="KMB90" s="232"/>
      <c r="KMC90" s="95"/>
      <c r="KMD90" s="96"/>
      <c r="KMJ90" s="232"/>
      <c r="KMK90" s="95"/>
      <c r="KML90" s="96"/>
      <c r="KMR90" s="232"/>
      <c r="KMS90" s="95"/>
      <c r="KMT90" s="96"/>
      <c r="KMZ90" s="232"/>
      <c r="KNA90" s="95"/>
      <c r="KNB90" s="96"/>
      <c r="KNH90" s="232"/>
      <c r="KNI90" s="95"/>
      <c r="KNJ90" s="96"/>
      <c r="KNP90" s="232"/>
      <c r="KNQ90" s="95"/>
      <c r="KNR90" s="96"/>
      <c r="KNX90" s="232"/>
      <c r="KNY90" s="95"/>
      <c r="KNZ90" s="96"/>
      <c r="KOF90" s="232"/>
      <c r="KOG90" s="95"/>
      <c r="KOH90" s="96"/>
      <c r="KON90" s="232"/>
      <c r="KOO90" s="95"/>
      <c r="KOP90" s="96"/>
      <c r="KOV90" s="232"/>
      <c r="KOW90" s="95"/>
      <c r="KOX90" s="96"/>
      <c r="KPD90" s="232"/>
      <c r="KPE90" s="95"/>
      <c r="KPF90" s="96"/>
      <c r="KPL90" s="232"/>
      <c r="KPM90" s="95"/>
      <c r="KPN90" s="96"/>
      <c r="KPT90" s="232"/>
      <c r="KPU90" s="95"/>
      <c r="KPV90" s="96"/>
      <c r="KQB90" s="232"/>
      <c r="KQC90" s="95"/>
      <c r="KQD90" s="96"/>
      <c r="KQJ90" s="232"/>
      <c r="KQK90" s="95"/>
      <c r="KQL90" s="96"/>
      <c r="KQR90" s="232"/>
      <c r="KQS90" s="95"/>
      <c r="KQT90" s="96"/>
      <c r="KQZ90" s="232"/>
      <c r="KRA90" s="95"/>
      <c r="KRB90" s="96"/>
      <c r="KRH90" s="232"/>
      <c r="KRI90" s="95"/>
      <c r="KRJ90" s="96"/>
      <c r="KRP90" s="232"/>
      <c r="KRQ90" s="95"/>
      <c r="KRR90" s="96"/>
      <c r="KRX90" s="232"/>
      <c r="KRY90" s="95"/>
      <c r="KRZ90" s="96"/>
      <c r="KSF90" s="232"/>
      <c r="KSG90" s="95"/>
      <c r="KSH90" s="96"/>
      <c r="KSN90" s="232"/>
      <c r="KSO90" s="95"/>
      <c r="KSP90" s="96"/>
      <c r="KSV90" s="232"/>
      <c r="KSW90" s="95"/>
      <c r="KSX90" s="96"/>
      <c r="KTD90" s="232"/>
      <c r="KTE90" s="95"/>
      <c r="KTF90" s="96"/>
      <c r="KTL90" s="232"/>
      <c r="KTM90" s="95"/>
      <c r="KTN90" s="96"/>
      <c r="KTT90" s="232"/>
      <c r="KTU90" s="95"/>
      <c r="KTV90" s="96"/>
      <c r="KUB90" s="232"/>
      <c r="KUC90" s="95"/>
      <c r="KUD90" s="96"/>
      <c r="KUJ90" s="232"/>
      <c r="KUK90" s="95"/>
      <c r="KUL90" s="96"/>
      <c r="KUR90" s="232"/>
      <c r="KUS90" s="95"/>
      <c r="KUT90" s="96"/>
      <c r="KUZ90" s="232"/>
      <c r="KVA90" s="95"/>
      <c r="KVB90" s="96"/>
      <c r="KVH90" s="232"/>
      <c r="KVI90" s="95"/>
      <c r="KVJ90" s="96"/>
      <c r="KVP90" s="232"/>
      <c r="KVQ90" s="95"/>
      <c r="KVR90" s="96"/>
      <c r="KVX90" s="232"/>
      <c r="KVY90" s="95"/>
      <c r="KVZ90" s="96"/>
      <c r="KWF90" s="232"/>
      <c r="KWG90" s="95"/>
      <c r="KWH90" s="96"/>
      <c r="KWN90" s="232"/>
      <c r="KWO90" s="95"/>
      <c r="KWP90" s="96"/>
      <c r="KWV90" s="232"/>
      <c r="KWW90" s="95"/>
      <c r="KWX90" s="96"/>
      <c r="KXD90" s="232"/>
      <c r="KXE90" s="95"/>
      <c r="KXF90" s="96"/>
      <c r="KXL90" s="232"/>
      <c r="KXM90" s="95"/>
      <c r="KXN90" s="96"/>
      <c r="KXT90" s="232"/>
      <c r="KXU90" s="95"/>
      <c r="KXV90" s="96"/>
      <c r="KYB90" s="232"/>
      <c r="KYC90" s="95"/>
      <c r="KYD90" s="96"/>
      <c r="KYJ90" s="232"/>
      <c r="KYK90" s="95"/>
      <c r="KYL90" s="96"/>
      <c r="KYR90" s="232"/>
      <c r="KYS90" s="95"/>
      <c r="KYT90" s="96"/>
      <c r="KYZ90" s="232"/>
      <c r="KZA90" s="95"/>
      <c r="KZB90" s="96"/>
      <c r="KZH90" s="232"/>
      <c r="KZI90" s="95"/>
      <c r="KZJ90" s="96"/>
      <c r="KZP90" s="232"/>
      <c r="KZQ90" s="95"/>
      <c r="KZR90" s="96"/>
      <c r="KZX90" s="232"/>
      <c r="KZY90" s="95"/>
      <c r="KZZ90" s="96"/>
      <c r="LAF90" s="232"/>
      <c r="LAG90" s="95"/>
      <c r="LAH90" s="96"/>
      <c r="LAN90" s="232"/>
      <c r="LAO90" s="95"/>
      <c r="LAP90" s="96"/>
      <c r="LAV90" s="232"/>
      <c r="LAW90" s="95"/>
      <c r="LAX90" s="96"/>
      <c r="LBD90" s="232"/>
      <c r="LBE90" s="95"/>
      <c r="LBF90" s="96"/>
      <c r="LBL90" s="232"/>
      <c r="LBM90" s="95"/>
      <c r="LBN90" s="96"/>
      <c r="LBT90" s="232"/>
      <c r="LBU90" s="95"/>
      <c r="LBV90" s="96"/>
      <c r="LCB90" s="232"/>
      <c r="LCC90" s="95"/>
      <c r="LCD90" s="96"/>
      <c r="LCJ90" s="232"/>
      <c r="LCK90" s="95"/>
      <c r="LCL90" s="96"/>
      <c r="LCR90" s="232"/>
      <c r="LCS90" s="95"/>
      <c r="LCT90" s="96"/>
      <c r="LCZ90" s="232"/>
      <c r="LDA90" s="95"/>
      <c r="LDB90" s="96"/>
      <c r="LDH90" s="232"/>
      <c r="LDI90" s="95"/>
      <c r="LDJ90" s="96"/>
      <c r="LDP90" s="232"/>
      <c r="LDQ90" s="95"/>
      <c r="LDR90" s="96"/>
      <c r="LDX90" s="232"/>
      <c r="LDY90" s="95"/>
      <c r="LDZ90" s="96"/>
      <c r="LEF90" s="232"/>
      <c r="LEG90" s="95"/>
      <c r="LEH90" s="96"/>
      <c r="LEN90" s="232"/>
      <c r="LEO90" s="95"/>
      <c r="LEP90" s="96"/>
      <c r="LEV90" s="232"/>
      <c r="LEW90" s="95"/>
      <c r="LEX90" s="96"/>
      <c r="LFD90" s="232"/>
      <c r="LFE90" s="95"/>
      <c r="LFF90" s="96"/>
      <c r="LFL90" s="232"/>
      <c r="LFM90" s="95"/>
      <c r="LFN90" s="96"/>
      <c r="LFT90" s="232"/>
      <c r="LFU90" s="95"/>
      <c r="LFV90" s="96"/>
      <c r="LGB90" s="232"/>
      <c r="LGC90" s="95"/>
      <c r="LGD90" s="96"/>
      <c r="LGJ90" s="232"/>
      <c r="LGK90" s="95"/>
      <c r="LGL90" s="96"/>
      <c r="LGR90" s="232"/>
      <c r="LGS90" s="95"/>
      <c r="LGT90" s="96"/>
      <c r="LGZ90" s="232"/>
      <c r="LHA90" s="95"/>
      <c r="LHB90" s="96"/>
      <c r="LHH90" s="232"/>
      <c r="LHI90" s="95"/>
      <c r="LHJ90" s="96"/>
      <c r="LHP90" s="232"/>
      <c r="LHQ90" s="95"/>
      <c r="LHR90" s="96"/>
      <c r="LHX90" s="232"/>
      <c r="LHY90" s="95"/>
      <c r="LHZ90" s="96"/>
      <c r="LIF90" s="232"/>
      <c r="LIG90" s="95"/>
      <c r="LIH90" s="96"/>
      <c r="LIN90" s="232"/>
      <c r="LIO90" s="95"/>
      <c r="LIP90" s="96"/>
      <c r="LIV90" s="232"/>
      <c r="LIW90" s="95"/>
      <c r="LIX90" s="96"/>
      <c r="LJD90" s="232"/>
      <c r="LJE90" s="95"/>
      <c r="LJF90" s="96"/>
      <c r="LJL90" s="232"/>
      <c r="LJM90" s="95"/>
      <c r="LJN90" s="96"/>
      <c r="LJT90" s="232"/>
      <c r="LJU90" s="95"/>
      <c r="LJV90" s="96"/>
      <c r="LKB90" s="232"/>
      <c r="LKC90" s="95"/>
      <c r="LKD90" s="96"/>
      <c r="LKJ90" s="232"/>
      <c r="LKK90" s="95"/>
      <c r="LKL90" s="96"/>
      <c r="LKR90" s="232"/>
      <c r="LKS90" s="95"/>
      <c r="LKT90" s="96"/>
      <c r="LKZ90" s="232"/>
      <c r="LLA90" s="95"/>
      <c r="LLB90" s="96"/>
      <c r="LLH90" s="232"/>
      <c r="LLI90" s="95"/>
      <c r="LLJ90" s="96"/>
      <c r="LLP90" s="232"/>
      <c r="LLQ90" s="95"/>
      <c r="LLR90" s="96"/>
      <c r="LLX90" s="232"/>
      <c r="LLY90" s="95"/>
      <c r="LLZ90" s="96"/>
      <c r="LMF90" s="232"/>
      <c r="LMG90" s="95"/>
      <c r="LMH90" s="96"/>
      <c r="LMN90" s="232"/>
      <c r="LMO90" s="95"/>
      <c r="LMP90" s="96"/>
      <c r="LMV90" s="232"/>
      <c r="LMW90" s="95"/>
      <c r="LMX90" s="96"/>
      <c r="LND90" s="232"/>
      <c r="LNE90" s="95"/>
      <c r="LNF90" s="96"/>
      <c r="LNL90" s="232"/>
      <c r="LNM90" s="95"/>
      <c r="LNN90" s="96"/>
      <c r="LNT90" s="232"/>
      <c r="LNU90" s="95"/>
      <c r="LNV90" s="96"/>
      <c r="LOB90" s="232"/>
      <c r="LOC90" s="95"/>
      <c r="LOD90" s="96"/>
      <c r="LOJ90" s="232"/>
      <c r="LOK90" s="95"/>
      <c r="LOL90" s="96"/>
      <c r="LOR90" s="232"/>
      <c r="LOS90" s="95"/>
      <c r="LOT90" s="96"/>
      <c r="LOZ90" s="232"/>
      <c r="LPA90" s="95"/>
      <c r="LPB90" s="96"/>
      <c r="LPH90" s="232"/>
      <c r="LPI90" s="95"/>
      <c r="LPJ90" s="96"/>
      <c r="LPP90" s="232"/>
      <c r="LPQ90" s="95"/>
      <c r="LPR90" s="96"/>
      <c r="LPX90" s="232"/>
      <c r="LPY90" s="95"/>
      <c r="LPZ90" s="96"/>
      <c r="LQF90" s="232"/>
      <c r="LQG90" s="95"/>
      <c r="LQH90" s="96"/>
      <c r="LQN90" s="232"/>
      <c r="LQO90" s="95"/>
      <c r="LQP90" s="96"/>
      <c r="LQV90" s="232"/>
      <c r="LQW90" s="95"/>
      <c r="LQX90" s="96"/>
      <c r="LRD90" s="232"/>
      <c r="LRE90" s="95"/>
      <c r="LRF90" s="96"/>
      <c r="LRL90" s="232"/>
      <c r="LRM90" s="95"/>
      <c r="LRN90" s="96"/>
      <c r="LRT90" s="232"/>
      <c r="LRU90" s="95"/>
      <c r="LRV90" s="96"/>
      <c r="LSB90" s="232"/>
      <c r="LSC90" s="95"/>
      <c r="LSD90" s="96"/>
      <c r="LSJ90" s="232"/>
      <c r="LSK90" s="95"/>
      <c r="LSL90" s="96"/>
      <c r="LSR90" s="232"/>
      <c r="LSS90" s="95"/>
      <c r="LST90" s="96"/>
      <c r="LSZ90" s="232"/>
      <c r="LTA90" s="95"/>
      <c r="LTB90" s="96"/>
      <c r="LTH90" s="232"/>
      <c r="LTI90" s="95"/>
      <c r="LTJ90" s="96"/>
      <c r="LTP90" s="232"/>
      <c r="LTQ90" s="95"/>
      <c r="LTR90" s="96"/>
      <c r="LTX90" s="232"/>
      <c r="LTY90" s="95"/>
      <c r="LTZ90" s="96"/>
      <c r="LUF90" s="232"/>
      <c r="LUG90" s="95"/>
      <c r="LUH90" s="96"/>
      <c r="LUN90" s="232"/>
      <c r="LUO90" s="95"/>
      <c r="LUP90" s="96"/>
      <c r="LUV90" s="232"/>
      <c r="LUW90" s="95"/>
      <c r="LUX90" s="96"/>
      <c r="LVD90" s="232"/>
      <c r="LVE90" s="95"/>
      <c r="LVF90" s="96"/>
      <c r="LVL90" s="232"/>
      <c r="LVM90" s="95"/>
      <c r="LVN90" s="96"/>
      <c r="LVT90" s="232"/>
      <c r="LVU90" s="95"/>
      <c r="LVV90" s="96"/>
      <c r="LWB90" s="232"/>
      <c r="LWC90" s="95"/>
      <c r="LWD90" s="96"/>
      <c r="LWJ90" s="232"/>
      <c r="LWK90" s="95"/>
      <c r="LWL90" s="96"/>
      <c r="LWR90" s="232"/>
      <c r="LWS90" s="95"/>
      <c r="LWT90" s="96"/>
      <c r="LWZ90" s="232"/>
      <c r="LXA90" s="95"/>
      <c r="LXB90" s="96"/>
      <c r="LXH90" s="232"/>
      <c r="LXI90" s="95"/>
      <c r="LXJ90" s="96"/>
      <c r="LXP90" s="232"/>
      <c r="LXQ90" s="95"/>
      <c r="LXR90" s="96"/>
      <c r="LXX90" s="232"/>
      <c r="LXY90" s="95"/>
      <c r="LXZ90" s="96"/>
      <c r="LYF90" s="232"/>
      <c r="LYG90" s="95"/>
      <c r="LYH90" s="96"/>
      <c r="LYN90" s="232"/>
      <c r="LYO90" s="95"/>
      <c r="LYP90" s="96"/>
      <c r="LYV90" s="232"/>
      <c r="LYW90" s="95"/>
      <c r="LYX90" s="96"/>
      <c r="LZD90" s="232"/>
      <c r="LZE90" s="95"/>
      <c r="LZF90" s="96"/>
      <c r="LZL90" s="232"/>
      <c r="LZM90" s="95"/>
      <c r="LZN90" s="96"/>
      <c r="LZT90" s="232"/>
      <c r="LZU90" s="95"/>
      <c r="LZV90" s="96"/>
      <c r="MAB90" s="232"/>
      <c r="MAC90" s="95"/>
      <c r="MAD90" s="96"/>
      <c r="MAJ90" s="232"/>
      <c r="MAK90" s="95"/>
      <c r="MAL90" s="96"/>
      <c r="MAR90" s="232"/>
      <c r="MAS90" s="95"/>
      <c r="MAT90" s="96"/>
      <c r="MAZ90" s="232"/>
      <c r="MBA90" s="95"/>
      <c r="MBB90" s="96"/>
      <c r="MBH90" s="232"/>
      <c r="MBI90" s="95"/>
      <c r="MBJ90" s="96"/>
      <c r="MBP90" s="232"/>
      <c r="MBQ90" s="95"/>
      <c r="MBR90" s="96"/>
      <c r="MBX90" s="232"/>
      <c r="MBY90" s="95"/>
      <c r="MBZ90" s="96"/>
      <c r="MCF90" s="232"/>
      <c r="MCG90" s="95"/>
      <c r="MCH90" s="96"/>
      <c r="MCN90" s="232"/>
      <c r="MCO90" s="95"/>
      <c r="MCP90" s="96"/>
      <c r="MCV90" s="232"/>
      <c r="MCW90" s="95"/>
      <c r="MCX90" s="96"/>
      <c r="MDD90" s="232"/>
      <c r="MDE90" s="95"/>
      <c r="MDF90" s="96"/>
      <c r="MDL90" s="232"/>
      <c r="MDM90" s="95"/>
      <c r="MDN90" s="96"/>
      <c r="MDT90" s="232"/>
      <c r="MDU90" s="95"/>
      <c r="MDV90" s="96"/>
      <c r="MEB90" s="232"/>
      <c r="MEC90" s="95"/>
      <c r="MED90" s="96"/>
      <c r="MEJ90" s="232"/>
      <c r="MEK90" s="95"/>
      <c r="MEL90" s="96"/>
      <c r="MER90" s="232"/>
      <c r="MES90" s="95"/>
      <c r="MET90" s="96"/>
      <c r="MEZ90" s="232"/>
      <c r="MFA90" s="95"/>
      <c r="MFB90" s="96"/>
      <c r="MFH90" s="232"/>
      <c r="MFI90" s="95"/>
      <c r="MFJ90" s="96"/>
      <c r="MFP90" s="232"/>
      <c r="MFQ90" s="95"/>
      <c r="MFR90" s="96"/>
      <c r="MFX90" s="232"/>
      <c r="MFY90" s="95"/>
      <c r="MFZ90" s="96"/>
      <c r="MGF90" s="232"/>
      <c r="MGG90" s="95"/>
      <c r="MGH90" s="96"/>
      <c r="MGN90" s="232"/>
      <c r="MGO90" s="95"/>
      <c r="MGP90" s="96"/>
      <c r="MGV90" s="232"/>
      <c r="MGW90" s="95"/>
      <c r="MGX90" s="96"/>
      <c r="MHD90" s="232"/>
      <c r="MHE90" s="95"/>
      <c r="MHF90" s="96"/>
      <c r="MHL90" s="232"/>
      <c r="MHM90" s="95"/>
      <c r="MHN90" s="96"/>
      <c r="MHT90" s="232"/>
      <c r="MHU90" s="95"/>
      <c r="MHV90" s="96"/>
      <c r="MIB90" s="232"/>
      <c r="MIC90" s="95"/>
      <c r="MID90" s="96"/>
      <c r="MIJ90" s="232"/>
      <c r="MIK90" s="95"/>
      <c r="MIL90" s="96"/>
      <c r="MIR90" s="232"/>
      <c r="MIS90" s="95"/>
      <c r="MIT90" s="96"/>
      <c r="MIZ90" s="232"/>
      <c r="MJA90" s="95"/>
      <c r="MJB90" s="96"/>
      <c r="MJH90" s="232"/>
      <c r="MJI90" s="95"/>
      <c r="MJJ90" s="96"/>
      <c r="MJP90" s="232"/>
      <c r="MJQ90" s="95"/>
      <c r="MJR90" s="96"/>
      <c r="MJX90" s="232"/>
      <c r="MJY90" s="95"/>
      <c r="MJZ90" s="96"/>
      <c r="MKF90" s="232"/>
      <c r="MKG90" s="95"/>
      <c r="MKH90" s="96"/>
      <c r="MKN90" s="232"/>
      <c r="MKO90" s="95"/>
      <c r="MKP90" s="96"/>
      <c r="MKV90" s="232"/>
      <c r="MKW90" s="95"/>
      <c r="MKX90" s="96"/>
      <c r="MLD90" s="232"/>
      <c r="MLE90" s="95"/>
      <c r="MLF90" s="96"/>
      <c r="MLL90" s="232"/>
      <c r="MLM90" s="95"/>
      <c r="MLN90" s="96"/>
      <c r="MLT90" s="232"/>
      <c r="MLU90" s="95"/>
      <c r="MLV90" s="96"/>
      <c r="MMB90" s="232"/>
      <c r="MMC90" s="95"/>
      <c r="MMD90" s="96"/>
      <c r="MMJ90" s="232"/>
      <c r="MMK90" s="95"/>
      <c r="MML90" s="96"/>
      <c r="MMR90" s="232"/>
      <c r="MMS90" s="95"/>
      <c r="MMT90" s="96"/>
      <c r="MMZ90" s="232"/>
      <c r="MNA90" s="95"/>
      <c r="MNB90" s="96"/>
      <c r="MNH90" s="232"/>
      <c r="MNI90" s="95"/>
      <c r="MNJ90" s="96"/>
      <c r="MNP90" s="232"/>
      <c r="MNQ90" s="95"/>
      <c r="MNR90" s="96"/>
      <c r="MNX90" s="232"/>
      <c r="MNY90" s="95"/>
      <c r="MNZ90" s="96"/>
      <c r="MOF90" s="232"/>
      <c r="MOG90" s="95"/>
      <c r="MOH90" s="96"/>
      <c r="MON90" s="232"/>
      <c r="MOO90" s="95"/>
      <c r="MOP90" s="96"/>
      <c r="MOV90" s="232"/>
      <c r="MOW90" s="95"/>
      <c r="MOX90" s="96"/>
      <c r="MPD90" s="232"/>
      <c r="MPE90" s="95"/>
      <c r="MPF90" s="96"/>
      <c r="MPL90" s="232"/>
      <c r="MPM90" s="95"/>
      <c r="MPN90" s="96"/>
      <c r="MPT90" s="232"/>
      <c r="MPU90" s="95"/>
      <c r="MPV90" s="96"/>
      <c r="MQB90" s="232"/>
      <c r="MQC90" s="95"/>
      <c r="MQD90" s="96"/>
      <c r="MQJ90" s="232"/>
      <c r="MQK90" s="95"/>
      <c r="MQL90" s="96"/>
      <c r="MQR90" s="232"/>
      <c r="MQS90" s="95"/>
      <c r="MQT90" s="96"/>
      <c r="MQZ90" s="232"/>
      <c r="MRA90" s="95"/>
      <c r="MRB90" s="96"/>
      <c r="MRH90" s="232"/>
      <c r="MRI90" s="95"/>
      <c r="MRJ90" s="96"/>
      <c r="MRP90" s="232"/>
      <c r="MRQ90" s="95"/>
      <c r="MRR90" s="96"/>
      <c r="MRX90" s="232"/>
      <c r="MRY90" s="95"/>
      <c r="MRZ90" s="96"/>
      <c r="MSF90" s="232"/>
      <c r="MSG90" s="95"/>
      <c r="MSH90" s="96"/>
      <c r="MSN90" s="232"/>
      <c r="MSO90" s="95"/>
      <c r="MSP90" s="96"/>
      <c r="MSV90" s="232"/>
      <c r="MSW90" s="95"/>
      <c r="MSX90" s="96"/>
      <c r="MTD90" s="232"/>
      <c r="MTE90" s="95"/>
      <c r="MTF90" s="96"/>
      <c r="MTL90" s="232"/>
      <c r="MTM90" s="95"/>
      <c r="MTN90" s="96"/>
      <c r="MTT90" s="232"/>
      <c r="MTU90" s="95"/>
      <c r="MTV90" s="96"/>
      <c r="MUB90" s="232"/>
      <c r="MUC90" s="95"/>
      <c r="MUD90" s="96"/>
      <c r="MUJ90" s="232"/>
      <c r="MUK90" s="95"/>
      <c r="MUL90" s="96"/>
      <c r="MUR90" s="232"/>
      <c r="MUS90" s="95"/>
      <c r="MUT90" s="96"/>
      <c r="MUZ90" s="232"/>
      <c r="MVA90" s="95"/>
      <c r="MVB90" s="96"/>
      <c r="MVH90" s="232"/>
      <c r="MVI90" s="95"/>
      <c r="MVJ90" s="96"/>
      <c r="MVP90" s="232"/>
      <c r="MVQ90" s="95"/>
      <c r="MVR90" s="96"/>
      <c r="MVX90" s="232"/>
      <c r="MVY90" s="95"/>
      <c r="MVZ90" s="96"/>
      <c r="MWF90" s="232"/>
      <c r="MWG90" s="95"/>
      <c r="MWH90" s="96"/>
      <c r="MWN90" s="232"/>
      <c r="MWO90" s="95"/>
      <c r="MWP90" s="96"/>
      <c r="MWV90" s="232"/>
      <c r="MWW90" s="95"/>
      <c r="MWX90" s="96"/>
      <c r="MXD90" s="232"/>
      <c r="MXE90" s="95"/>
      <c r="MXF90" s="96"/>
      <c r="MXL90" s="232"/>
      <c r="MXM90" s="95"/>
      <c r="MXN90" s="96"/>
      <c r="MXT90" s="232"/>
      <c r="MXU90" s="95"/>
      <c r="MXV90" s="96"/>
      <c r="MYB90" s="232"/>
      <c r="MYC90" s="95"/>
      <c r="MYD90" s="96"/>
      <c r="MYJ90" s="232"/>
      <c r="MYK90" s="95"/>
      <c r="MYL90" s="96"/>
      <c r="MYR90" s="232"/>
      <c r="MYS90" s="95"/>
      <c r="MYT90" s="96"/>
      <c r="MYZ90" s="232"/>
      <c r="MZA90" s="95"/>
      <c r="MZB90" s="96"/>
      <c r="MZH90" s="232"/>
      <c r="MZI90" s="95"/>
      <c r="MZJ90" s="96"/>
      <c r="MZP90" s="232"/>
      <c r="MZQ90" s="95"/>
      <c r="MZR90" s="96"/>
      <c r="MZX90" s="232"/>
      <c r="MZY90" s="95"/>
      <c r="MZZ90" s="96"/>
      <c r="NAF90" s="232"/>
      <c r="NAG90" s="95"/>
      <c r="NAH90" s="96"/>
      <c r="NAN90" s="232"/>
      <c r="NAO90" s="95"/>
      <c r="NAP90" s="96"/>
      <c r="NAV90" s="232"/>
      <c r="NAW90" s="95"/>
      <c r="NAX90" s="96"/>
      <c r="NBD90" s="232"/>
      <c r="NBE90" s="95"/>
      <c r="NBF90" s="96"/>
      <c r="NBL90" s="232"/>
      <c r="NBM90" s="95"/>
      <c r="NBN90" s="96"/>
      <c r="NBT90" s="232"/>
      <c r="NBU90" s="95"/>
      <c r="NBV90" s="96"/>
      <c r="NCB90" s="232"/>
      <c r="NCC90" s="95"/>
      <c r="NCD90" s="96"/>
      <c r="NCJ90" s="232"/>
      <c r="NCK90" s="95"/>
      <c r="NCL90" s="96"/>
      <c r="NCR90" s="232"/>
      <c r="NCS90" s="95"/>
      <c r="NCT90" s="96"/>
      <c r="NCZ90" s="232"/>
      <c r="NDA90" s="95"/>
      <c r="NDB90" s="96"/>
      <c r="NDH90" s="232"/>
      <c r="NDI90" s="95"/>
      <c r="NDJ90" s="96"/>
      <c r="NDP90" s="232"/>
      <c r="NDQ90" s="95"/>
      <c r="NDR90" s="96"/>
      <c r="NDX90" s="232"/>
      <c r="NDY90" s="95"/>
      <c r="NDZ90" s="96"/>
      <c r="NEF90" s="232"/>
      <c r="NEG90" s="95"/>
      <c r="NEH90" s="96"/>
      <c r="NEN90" s="232"/>
      <c r="NEO90" s="95"/>
      <c r="NEP90" s="96"/>
      <c r="NEV90" s="232"/>
      <c r="NEW90" s="95"/>
      <c r="NEX90" s="96"/>
      <c r="NFD90" s="232"/>
      <c r="NFE90" s="95"/>
      <c r="NFF90" s="96"/>
      <c r="NFL90" s="232"/>
      <c r="NFM90" s="95"/>
      <c r="NFN90" s="96"/>
      <c r="NFT90" s="232"/>
      <c r="NFU90" s="95"/>
      <c r="NFV90" s="96"/>
      <c r="NGB90" s="232"/>
      <c r="NGC90" s="95"/>
      <c r="NGD90" s="96"/>
      <c r="NGJ90" s="232"/>
      <c r="NGK90" s="95"/>
      <c r="NGL90" s="96"/>
      <c r="NGR90" s="232"/>
      <c r="NGS90" s="95"/>
      <c r="NGT90" s="96"/>
      <c r="NGZ90" s="232"/>
      <c r="NHA90" s="95"/>
      <c r="NHB90" s="96"/>
      <c r="NHH90" s="232"/>
      <c r="NHI90" s="95"/>
      <c r="NHJ90" s="96"/>
      <c r="NHP90" s="232"/>
      <c r="NHQ90" s="95"/>
      <c r="NHR90" s="96"/>
      <c r="NHX90" s="232"/>
      <c r="NHY90" s="95"/>
      <c r="NHZ90" s="96"/>
      <c r="NIF90" s="232"/>
      <c r="NIG90" s="95"/>
      <c r="NIH90" s="96"/>
      <c r="NIN90" s="232"/>
      <c r="NIO90" s="95"/>
      <c r="NIP90" s="96"/>
      <c r="NIV90" s="232"/>
      <c r="NIW90" s="95"/>
      <c r="NIX90" s="96"/>
      <c r="NJD90" s="232"/>
      <c r="NJE90" s="95"/>
      <c r="NJF90" s="96"/>
      <c r="NJL90" s="232"/>
      <c r="NJM90" s="95"/>
      <c r="NJN90" s="96"/>
      <c r="NJT90" s="232"/>
      <c r="NJU90" s="95"/>
      <c r="NJV90" s="96"/>
      <c r="NKB90" s="232"/>
      <c r="NKC90" s="95"/>
      <c r="NKD90" s="96"/>
      <c r="NKJ90" s="232"/>
      <c r="NKK90" s="95"/>
      <c r="NKL90" s="96"/>
      <c r="NKR90" s="232"/>
      <c r="NKS90" s="95"/>
      <c r="NKT90" s="96"/>
      <c r="NKZ90" s="232"/>
      <c r="NLA90" s="95"/>
      <c r="NLB90" s="96"/>
      <c r="NLH90" s="232"/>
      <c r="NLI90" s="95"/>
      <c r="NLJ90" s="96"/>
      <c r="NLP90" s="232"/>
      <c r="NLQ90" s="95"/>
      <c r="NLR90" s="96"/>
      <c r="NLX90" s="232"/>
      <c r="NLY90" s="95"/>
      <c r="NLZ90" s="96"/>
      <c r="NMF90" s="232"/>
      <c r="NMG90" s="95"/>
      <c r="NMH90" s="96"/>
      <c r="NMN90" s="232"/>
      <c r="NMO90" s="95"/>
      <c r="NMP90" s="96"/>
      <c r="NMV90" s="232"/>
      <c r="NMW90" s="95"/>
      <c r="NMX90" s="96"/>
      <c r="NND90" s="232"/>
      <c r="NNE90" s="95"/>
      <c r="NNF90" s="96"/>
      <c r="NNL90" s="232"/>
      <c r="NNM90" s="95"/>
      <c r="NNN90" s="96"/>
      <c r="NNT90" s="232"/>
      <c r="NNU90" s="95"/>
      <c r="NNV90" s="96"/>
      <c r="NOB90" s="232"/>
      <c r="NOC90" s="95"/>
      <c r="NOD90" s="96"/>
      <c r="NOJ90" s="232"/>
      <c r="NOK90" s="95"/>
      <c r="NOL90" s="96"/>
      <c r="NOR90" s="232"/>
      <c r="NOS90" s="95"/>
      <c r="NOT90" s="96"/>
      <c r="NOZ90" s="232"/>
      <c r="NPA90" s="95"/>
      <c r="NPB90" s="96"/>
      <c r="NPH90" s="232"/>
      <c r="NPI90" s="95"/>
      <c r="NPJ90" s="96"/>
      <c r="NPP90" s="232"/>
      <c r="NPQ90" s="95"/>
      <c r="NPR90" s="96"/>
      <c r="NPX90" s="232"/>
      <c r="NPY90" s="95"/>
      <c r="NPZ90" s="96"/>
      <c r="NQF90" s="232"/>
      <c r="NQG90" s="95"/>
      <c r="NQH90" s="96"/>
      <c r="NQN90" s="232"/>
      <c r="NQO90" s="95"/>
      <c r="NQP90" s="96"/>
      <c r="NQV90" s="232"/>
      <c r="NQW90" s="95"/>
      <c r="NQX90" s="96"/>
      <c r="NRD90" s="232"/>
      <c r="NRE90" s="95"/>
      <c r="NRF90" s="96"/>
      <c r="NRL90" s="232"/>
      <c r="NRM90" s="95"/>
      <c r="NRN90" s="96"/>
      <c r="NRT90" s="232"/>
      <c r="NRU90" s="95"/>
      <c r="NRV90" s="96"/>
      <c r="NSB90" s="232"/>
      <c r="NSC90" s="95"/>
      <c r="NSD90" s="96"/>
      <c r="NSJ90" s="232"/>
      <c r="NSK90" s="95"/>
      <c r="NSL90" s="96"/>
      <c r="NSR90" s="232"/>
      <c r="NSS90" s="95"/>
      <c r="NST90" s="96"/>
      <c r="NSZ90" s="232"/>
      <c r="NTA90" s="95"/>
      <c r="NTB90" s="96"/>
      <c r="NTH90" s="232"/>
      <c r="NTI90" s="95"/>
      <c r="NTJ90" s="96"/>
      <c r="NTP90" s="232"/>
      <c r="NTQ90" s="95"/>
      <c r="NTR90" s="96"/>
      <c r="NTX90" s="232"/>
      <c r="NTY90" s="95"/>
      <c r="NTZ90" s="96"/>
      <c r="NUF90" s="232"/>
      <c r="NUG90" s="95"/>
      <c r="NUH90" s="96"/>
      <c r="NUN90" s="232"/>
      <c r="NUO90" s="95"/>
      <c r="NUP90" s="96"/>
      <c r="NUV90" s="232"/>
      <c r="NUW90" s="95"/>
      <c r="NUX90" s="96"/>
      <c r="NVD90" s="232"/>
      <c r="NVE90" s="95"/>
      <c r="NVF90" s="96"/>
      <c r="NVL90" s="232"/>
      <c r="NVM90" s="95"/>
      <c r="NVN90" s="96"/>
      <c r="NVT90" s="232"/>
      <c r="NVU90" s="95"/>
      <c r="NVV90" s="96"/>
      <c r="NWB90" s="232"/>
      <c r="NWC90" s="95"/>
      <c r="NWD90" s="96"/>
      <c r="NWJ90" s="232"/>
      <c r="NWK90" s="95"/>
      <c r="NWL90" s="96"/>
      <c r="NWR90" s="232"/>
      <c r="NWS90" s="95"/>
      <c r="NWT90" s="96"/>
      <c r="NWZ90" s="232"/>
      <c r="NXA90" s="95"/>
      <c r="NXB90" s="96"/>
      <c r="NXH90" s="232"/>
      <c r="NXI90" s="95"/>
      <c r="NXJ90" s="96"/>
      <c r="NXP90" s="232"/>
      <c r="NXQ90" s="95"/>
      <c r="NXR90" s="96"/>
      <c r="NXX90" s="232"/>
      <c r="NXY90" s="95"/>
      <c r="NXZ90" s="96"/>
      <c r="NYF90" s="232"/>
      <c r="NYG90" s="95"/>
      <c r="NYH90" s="96"/>
      <c r="NYN90" s="232"/>
      <c r="NYO90" s="95"/>
      <c r="NYP90" s="96"/>
      <c r="NYV90" s="232"/>
      <c r="NYW90" s="95"/>
      <c r="NYX90" s="96"/>
      <c r="NZD90" s="232"/>
      <c r="NZE90" s="95"/>
      <c r="NZF90" s="96"/>
      <c r="NZL90" s="232"/>
      <c r="NZM90" s="95"/>
      <c r="NZN90" s="96"/>
      <c r="NZT90" s="232"/>
      <c r="NZU90" s="95"/>
      <c r="NZV90" s="96"/>
      <c r="OAB90" s="232"/>
      <c r="OAC90" s="95"/>
      <c r="OAD90" s="96"/>
      <c r="OAJ90" s="232"/>
      <c r="OAK90" s="95"/>
      <c r="OAL90" s="96"/>
      <c r="OAR90" s="232"/>
      <c r="OAS90" s="95"/>
      <c r="OAT90" s="96"/>
      <c r="OAZ90" s="232"/>
      <c r="OBA90" s="95"/>
      <c r="OBB90" s="96"/>
      <c r="OBH90" s="232"/>
      <c r="OBI90" s="95"/>
      <c r="OBJ90" s="96"/>
      <c r="OBP90" s="232"/>
      <c r="OBQ90" s="95"/>
      <c r="OBR90" s="96"/>
      <c r="OBX90" s="232"/>
      <c r="OBY90" s="95"/>
      <c r="OBZ90" s="96"/>
      <c r="OCF90" s="232"/>
      <c r="OCG90" s="95"/>
      <c r="OCH90" s="96"/>
      <c r="OCN90" s="232"/>
      <c r="OCO90" s="95"/>
      <c r="OCP90" s="96"/>
      <c r="OCV90" s="232"/>
      <c r="OCW90" s="95"/>
      <c r="OCX90" s="96"/>
      <c r="ODD90" s="232"/>
      <c r="ODE90" s="95"/>
      <c r="ODF90" s="96"/>
      <c r="ODL90" s="232"/>
      <c r="ODM90" s="95"/>
      <c r="ODN90" s="96"/>
      <c r="ODT90" s="232"/>
      <c r="ODU90" s="95"/>
      <c r="ODV90" s="96"/>
      <c r="OEB90" s="232"/>
      <c r="OEC90" s="95"/>
      <c r="OED90" s="96"/>
      <c r="OEJ90" s="232"/>
      <c r="OEK90" s="95"/>
      <c r="OEL90" s="96"/>
      <c r="OER90" s="232"/>
      <c r="OES90" s="95"/>
      <c r="OET90" s="96"/>
      <c r="OEZ90" s="232"/>
      <c r="OFA90" s="95"/>
      <c r="OFB90" s="96"/>
      <c r="OFH90" s="232"/>
      <c r="OFI90" s="95"/>
      <c r="OFJ90" s="96"/>
      <c r="OFP90" s="232"/>
      <c r="OFQ90" s="95"/>
      <c r="OFR90" s="96"/>
      <c r="OFX90" s="232"/>
      <c r="OFY90" s="95"/>
      <c r="OFZ90" s="96"/>
      <c r="OGF90" s="232"/>
      <c r="OGG90" s="95"/>
      <c r="OGH90" s="96"/>
      <c r="OGN90" s="232"/>
      <c r="OGO90" s="95"/>
      <c r="OGP90" s="96"/>
      <c r="OGV90" s="232"/>
      <c r="OGW90" s="95"/>
      <c r="OGX90" s="96"/>
      <c r="OHD90" s="232"/>
      <c r="OHE90" s="95"/>
      <c r="OHF90" s="96"/>
      <c r="OHL90" s="232"/>
      <c r="OHM90" s="95"/>
      <c r="OHN90" s="96"/>
      <c r="OHT90" s="232"/>
      <c r="OHU90" s="95"/>
      <c r="OHV90" s="96"/>
      <c r="OIB90" s="232"/>
      <c r="OIC90" s="95"/>
      <c r="OID90" s="96"/>
      <c r="OIJ90" s="232"/>
      <c r="OIK90" s="95"/>
      <c r="OIL90" s="96"/>
      <c r="OIR90" s="232"/>
      <c r="OIS90" s="95"/>
      <c r="OIT90" s="96"/>
      <c r="OIZ90" s="232"/>
      <c r="OJA90" s="95"/>
      <c r="OJB90" s="96"/>
      <c r="OJH90" s="232"/>
      <c r="OJI90" s="95"/>
      <c r="OJJ90" s="96"/>
      <c r="OJP90" s="232"/>
      <c r="OJQ90" s="95"/>
      <c r="OJR90" s="96"/>
      <c r="OJX90" s="232"/>
      <c r="OJY90" s="95"/>
      <c r="OJZ90" s="96"/>
      <c r="OKF90" s="232"/>
      <c r="OKG90" s="95"/>
      <c r="OKH90" s="96"/>
      <c r="OKN90" s="232"/>
      <c r="OKO90" s="95"/>
      <c r="OKP90" s="96"/>
      <c r="OKV90" s="232"/>
      <c r="OKW90" s="95"/>
      <c r="OKX90" s="96"/>
      <c r="OLD90" s="232"/>
      <c r="OLE90" s="95"/>
      <c r="OLF90" s="96"/>
      <c r="OLL90" s="232"/>
      <c r="OLM90" s="95"/>
      <c r="OLN90" s="96"/>
      <c r="OLT90" s="232"/>
      <c r="OLU90" s="95"/>
      <c r="OLV90" s="96"/>
      <c r="OMB90" s="232"/>
      <c r="OMC90" s="95"/>
      <c r="OMD90" s="96"/>
      <c r="OMJ90" s="232"/>
      <c r="OMK90" s="95"/>
      <c r="OML90" s="96"/>
      <c r="OMR90" s="232"/>
      <c r="OMS90" s="95"/>
      <c r="OMT90" s="96"/>
      <c r="OMZ90" s="232"/>
      <c r="ONA90" s="95"/>
      <c r="ONB90" s="96"/>
      <c r="ONH90" s="232"/>
      <c r="ONI90" s="95"/>
      <c r="ONJ90" s="96"/>
      <c r="ONP90" s="232"/>
      <c r="ONQ90" s="95"/>
      <c r="ONR90" s="96"/>
      <c r="ONX90" s="232"/>
      <c r="ONY90" s="95"/>
      <c r="ONZ90" s="96"/>
      <c r="OOF90" s="232"/>
      <c r="OOG90" s="95"/>
      <c r="OOH90" s="96"/>
      <c r="OON90" s="232"/>
      <c r="OOO90" s="95"/>
      <c r="OOP90" s="96"/>
      <c r="OOV90" s="232"/>
      <c r="OOW90" s="95"/>
      <c r="OOX90" s="96"/>
      <c r="OPD90" s="232"/>
      <c r="OPE90" s="95"/>
      <c r="OPF90" s="96"/>
      <c r="OPL90" s="232"/>
      <c r="OPM90" s="95"/>
      <c r="OPN90" s="96"/>
      <c r="OPT90" s="232"/>
      <c r="OPU90" s="95"/>
      <c r="OPV90" s="96"/>
      <c r="OQB90" s="232"/>
      <c r="OQC90" s="95"/>
      <c r="OQD90" s="96"/>
      <c r="OQJ90" s="232"/>
      <c r="OQK90" s="95"/>
      <c r="OQL90" s="96"/>
      <c r="OQR90" s="232"/>
      <c r="OQS90" s="95"/>
      <c r="OQT90" s="96"/>
      <c r="OQZ90" s="232"/>
      <c r="ORA90" s="95"/>
      <c r="ORB90" s="96"/>
      <c r="ORH90" s="232"/>
      <c r="ORI90" s="95"/>
      <c r="ORJ90" s="96"/>
      <c r="ORP90" s="232"/>
      <c r="ORQ90" s="95"/>
      <c r="ORR90" s="96"/>
      <c r="ORX90" s="232"/>
      <c r="ORY90" s="95"/>
      <c r="ORZ90" s="96"/>
      <c r="OSF90" s="232"/>
      <c r="OSG90" s="95"/>
      <c r="OSH90" s="96"/>
      <c r="OSN90" s="232"/>
      <c r="OSO90" s="95"/>
      <c r="OSP90" s="96"/>
      <c r="OSV90" s="232"/>
      <c r="OSW90" s="95"/>
      <c r="OSX90" s="96"/>
      <c r="OTD90" s="232"/>
      <c r="OTE90" s="95"/>
      <c r="OTF90" s="96"/>
      <c r="OTL90" s="232"/>
      <c r="OTM90" s="95"/>
      <c r="OTN90" s="96"/>
      <c r="OTT90" s="232"/>
      <c r="OTU90" s="95"/>
      <c r="OTV90" s="96"/>
      <c r="OUB90" s="232"/>
      <c r="OUC90" s="95"/>
      <c r="OUD90" s="96"/>
      <c r="OUJ90" s="232"/>
      <c r="OUK90" s="95"/>
      <c r="OUL90" s="96"/>
      <c r="OUR90" s="232"/>
      <c r="OUS90" s="95"/>
      <c r="OUT90" s="96"/>
      <c r="OUZ90" s="232"/>
      <c r="OVA90" s="95"/>
      <c r="OVB90" s="96"/>
      <c r="OVH90" s="232"/>
      <c r="OVI90" s="95"/>
      <c r="OVJ90" s="96"/>
      <c r="OVP90" s="232"/>
      <c r="OVQ90" s="95"/>
      <c r="OVR90" s="96"/>
      <c r="OVX90" s="232"/>
      <c r="OVY90" s="95"/>
      <c r="OVZ90" s="96"/>
      <c r="OWF90" s="232"/>
      <c r="OWG90" s="95"/>
      <c r="OWH90" s="96"/>
      <c r="OWN90" s="232"/>
      <c r="OWO90" s="95"/>
      <c r="OWP90" s="96"/>
      <c r="OWV90" s="232"/>
      <c r="OWW90" s="95"/>
      <c r="OWX90" s="96"/>
      <c r="OXD90" s="232"/>
      <c r="OXE90" s="95"/>
      <c r="OXF90" s="96"/>
      <c r="OXL90" s="232"/>
      <c r="OXM90" s="95"/>
      <c r="OXN90" s="96"/>
      <c r="OXT90" s="232"/>
      <c r="OXU90" s="95"/>
      <c r="OXV90" s="96"/>
      <c r="OYB90" s="232"/>
      <c r="OYC90" s="95"/>
      <c r="OYD90" s="96"/>
      <c r="OYJ90" s="232"/>
      <c r="OYK90" s="95"/>
      <c r="OYL90" s="96"/>
      <c r="OYR90" s="232"/>
      <c r="OYS90" s="95"/>
      <c r="OYT90" s="96"/>
      <c r="OYZ90" s="232"/>
      <c r="OZA90" s="95"/>
      <c r="OZB90" s="96"/>
      <c r="OZH90" s="232"/>
      <c r="OZI90" s="95"/>
      <c r="OZJ90" s="96"/>
      <c r="OZP90" s="232"/>
      <c r="OZQ90" s="95"/>
      <c r="OZR90" s="96"/>
      <c r="OZX90" s="232"/>
      <c r="OZY90" s="95"/>
      <c r="OZZ90" s="96"/>
      <c r="PAF90" s="232"/>
      <c r="PAG90" s="95"/>
      <c r="PAH90" s="96"/>
      <c r="PAN90" s="232"/>
      <c r="PAO90" s="95"/>
      <c r="PAP90" s="96"/>
      <c r="PAV90" s="232"/>
      <c r="PAW90" s="95"/>
      <c r="PAX90" s="96"/>
      <c r="PBD90" s="232"/>
      <c r="PBE90" s="95"/>
      <c r="PBF90" s="96"/>
      <c r="PBL90" s="232"/>
      <c r="PBM90" s="95"/>
      <c r="PBN90" s="96"/>
      <c r="PBT90" s="232"/>
      <c r="PBU90" s="95"/>
      <c r="PBV90" s="96"/>
      <c r="PCB90" s="232"/>
      <c r="PCC90" s="95"/>
      <c r="PCD90" s="96"/>
      <c r="PCJ90" s="232"/>
      <c r="PCK90" s="95"/>
      <c r="PCL90" s="96"/>
      <c r="PCR90" s="232"/>
      <c r="PCS90" s="95"/>
      <c r="PCT90" s="96"/>
      <c r="PCZ90" s="232"/>
      <c r="PDA90" s="95"/>
      <c r="PDB90" s="96"/>
      <c r="PDH90" s="232"/>
      <c r="PDI90" s="95"/>
      <c r="PDJ90" s="96"/>
      <c r="PDP90" s="232"/>
      <c r="PDQ90" s="95"/>
      <c r="PDR90" s="96"/>
      <c r="PDX90" s="232"/>
      <c r="PDY90" s="95"/>
      <c r="PDZ90" s="96"/>
      <c r="PEF90" s="232"/>
      <c r="PEG90" s="95"/>
      <c r="PEH90" s="96"/>
      <c r="PEN90" s="232"/>
      <c r="PEO90" s="95"/>
      <c r="PEP90" s="96"/>
      <c r="PEV90" s="232"/>
      <c r="PEW90" s="95"/>
      <c r="PEX90" s="96"/>
      <c r="PFD90" s="232"/>
      <c r="PFE90" s="95"/>
      <c r="PFF90" s="96"/>
      <c r="PFL90" s="232"/>
      <c r="PFM90" s="95"/>
      <c r="PFN90" s="96"/>
      <c r="PFT90" s="232"/>
      <c r="PFU90" s="95"/>
      <c r="PFV90" s="96"/>
      <c r="PGB90" s="232"/>
      <c r="PGC90" s="95"/>
      <c r="PGD90" s="96"/>
      <c r="PGJ90" s="232"/>
      <c r="PGK90" s="95"/>
      <c r="PGL90" s="96"/>
      <c r="PGR90" s="232"/>
      <c r="PGS90" s="95"/>
      <c r="PGT90" s="96"/>
      <c r="PGZ90" s="232"/>
      <c r="PHA90" s="95"/>
      <c r="PHB90" s="96"/>
      <c r="PHH90" s="232"/>
      <c r="PHI90" s="95"/>
      <c r="PHJ90" s="96"/>
      <c r="PHP90" s="232"/>
      <c r="PHQ90" s="95"/>
      <c r="PHR90" s="96"/>
      <c r="PHX90" s="232"/>
      <c r="PHY90" s="95"/>
      <c r="PHZ90" s="96"/>
      <c r="PIF90" s="232"/>
      <c r="PIG90" s="95"/>
      <c r="PIH90" s="96"/>
      <c r="PIN90" s="232"/>
      <c r="PIO90" s="95"/>
      <c r="PIP90" s="96"/>
      <c r="PIV90" s="232"/>
      <c r="PIW90" s="95"/>
      <c r="PIX90" s="96"/>
      <c r="PJD90" s="232"/>
      <c r="PJE90" s="95"/>
      <c r="PJF90" s="96"/>
      <c r="PJL90" s="232"/>
      <c r="PJM90" s="95"/>
      <c r="PJN90" s="96"/>
      <c r="PJT90" s="232"/>
      <c r="PJU90" s="95"/>
      <c r="PJV90" s="96"/>
      <c r="PKB90" s="232"/>
      <c r="PKC90" s="95"/>
      <c r="PKD90" s="96"/>
      <c r="PKJ90" s="232"/>
      <c r="PKK90" s="95"/>
      <c r="PKL90" s="96"/>
      <c r="PKR90" s="232"/>
      <c r="PKS90" s="95"/>
      <c r="PKT90" s="96"/>
      <c r="PKZ90" s="232"/>
      <c r="PLA90" s="95"/>
      <c r="PLB90" s="96"/>
      <c r="PLH90" s="232"/>
      <c r="PLI90" s="95"/>
      <c r="PLJ90" s="96"/>
      <c r="PLP90" s="232"/>
      <c r="PLQ90" s="95"/>
      <c r="PLR90" s="96"/>
      <c r="PLX90" s="232"/>
      <c r="PLY90" s="95"/>
      <c r="PLZ90" s="96"/>
      <c r="PMF90" s="232"/>
      <c r="PMG90" s="95"/>
      <c r="PMH90" s="96"/>
      <c r="PMN90" s="232"/>
      <c r="PMO90" s="95"/>
      <c r="PMP90" s="96"/>
      <c r="PMV90" s="232"/>
      <c r="PMW90" s="95"/>
      <c r="PMX90" s="96"/>
      <c r="PND90" s="232"/>
      <c r="PNE90" s="95"/>
      <c r="PNF90" s="96"/>
      <c r="PNL90" s="232"/>
      <c r="PNM90" s="95"/>
      <c r="PNN90" s="96"/>
      <c r="PNT90" s="232"/>
      <c r="PNU90" s="95"/>
      <c r="PNV90" s="96"/>
      <c r="POB90" s="232"/>
      <c r="POC90" s="95"/>
      <c r="POD90" s="96"/>
      <c r="POJ90" s="232"/>
      <c r="POK90" s="95"/>
      <c r="POL90" s="96"/>
      <c r="POR90" s="232"/>
      <c r="POS90" s="95"/>
      <c r="POT90" s="96"/>
      <c r="POZ90" s="232"/>
      <c r="PPA90" s="95"/>
      <c r="PPB90" s="96"/>
      <c r="PPH90" s="232"/>
      <c r="PPI90" s="95"/>
      <c r="PPJ90" s="96"/>
      <c r="PPP90" s="232"/>
      <c r="PPQ90" s="95"/>
      <c r="PPR90" s="96"/>
      <c r="PPX90" s="232"/>
      <c r="PPY90" s="95"/>
      <c r="PPZ90" s="96"/>
      <c r="PQF90" s="232"/>
      <c r="PQG90" s="95"/>
      <c r="PQH90" s="96"/>
      <c r="PQN90" s="232"/>
      <c r="PQO90" s="95"/>
      <c r="PQP90" s="96"/>
      <c r="PQV90" s="232"/>
      <c r="PQW90" s="95"/>
      <c r="PQX90" s="96"/>
      <c r="PRD90" s="232"/>
      <c r="PRE90" s="95"/>
      <c r="PRF90" s="96"/>
      <c r="PRL90" s="232"/>
      <c r="PRM90" s="95"/>
      <c r="PRN90" s="96"/>
      <c r="PRT90" s="232"/>
      <c r="PRU90" s="95"/>
      <c r="PRV90" s="96"/>
      <c r="PSB90" s="232"/>
      <c r="PSC90" s="95"/>
      <c r="PSD90" s="96"/>
      <c r="PSJ90" s="232"/>
      <c r="PSK90" s="95"/>
      <c r="PSL90" s="96"/>
      <c r="PSR90" s="232"/>
      <c r="PSS90" s="95"/>
      <c r="PST90" s="96"/>
      <c r="PSZ90" s="232"/>
      <c r="PTA90" s="95"/>
      <c r="PTB90" s="96"/>
      <c r="PTH90" s="232"/>
      <c r="PTI90" s="95"/>
      <c r="PTJ90" s="96"/>
      <c r="PTP90" s="232"/>
      <c r="PTQ90" s="95"/>
      <c r="PTR90" s="96"/>
      <c r="PTX90" s="232"/>
      <c r="PTY90" s="95"/>
      <c r="PTZ90" s="96"/>
      <c r="PUF90" s="232"/>
      <c r="PUG90" s="95"/>
      <c r="PUH90" s="96"/>
      <c r="PUN90" s="232"/>
      <c r="PUO90" s="95"/>
      <c r="PUP90" s="96"/>
      <c r="PUV90" s="232"/>
      <c r="PUW90" s="95"/>
      <c r="PUX90" s="96"/>
      <c r="PVD90" s="232"/>
      <c r="PVE90" s="95"/>
      <c r="PVF90" s="96"/>
      <c r="PVL90" s="232"/>
      <c r="PVM90" s="95"/>
      <c r="PVN90" s="96"/>
      <c r="PVT90" s="232"/>
      <c r="PVU90" s="95"/>
      <c r="PVV90" s="96"/>
      <c r="PWB90" s="232"/>
      <c r="PWC90" s="95"/>
      <c r="PWD90" s="96"/>
      <c r="PWJ90" s="232"/>
      <c r="PWK90" s="95"/>
      <c r="PWL90" s="96"/>
      <c r="PWR90" s="232"/>
      <c r="PWS90" s="95"/>
      <c r="PWT90" s="96"/>
      <c r="PWZ90" s="232"/>
      <c r="PXA90" s="95"/>
      <c r="PXB90" s="96"/>
      <c r="PXH90" s="232"/>
      <c r="PXI90" s="95"/>
      <c r="PXJ90" s="96"/>
      <c r="PXP90" s="232"/>
      <c r="PXQ90" s="95"/>
      <c r="PXR90" s="96"/>
      <c r="PXX90" s="232"/>
      <c r="PXY90" s="95"/>
      <c r="PXZ90" s="96"/>
      <c r="PYF90" s="232"/>
      <c r="PYG90" s="95"/>
      <c r="PYH90" s="96"/>
      <c r="PYN90" s="232"/>
      <c r="PYO90" s="95"/>
      <c r="PYP90" s="96"/>
      <c r="PYV90" s="232"/>
      <c r="PYW90" s="95"/>
      <c r="PYX90" s="96"/>
      <c r="PZD90" s="232"/>
      <c r="PZE90" s="95"/>
      <c r="PZF90" s="96"/>
      <c r="PZL90" s="232"/>
      <c r="PZM90" s="95"/>
      <c r="PZN90" s="96"/>
      <c r="PZT90" s="232"/>
      <c r="PZU90" s="95"/>
      <c r="PZV90" s="96"/>
      <c r="QAB90" s="232"/>
      <c r="QAC90" s="95"/>
      <c r="QAD90" s="96"/>
      <c r="QAJ90" s="232"/>
      <c r="QAK90" s="95"/>
      <c r="QAL90" s="96"/>
      <c r="QAR90" s="232"/>
      <c r="QAS90" s="95"/>
      <c r="QAT90" s="96"/>
      <c r="QAZ90" s="232"/>
      <c r="QBA90" s="95"/>
      <c r="QBB90" s="96"/>
      <c r="QBH90" s="232"/>
      <c r="QBI90" s="95"/>
      <c r="QBJ90" s="96"/>
      <c r="QBP90" s="232"/>
      <c r="QBQ90" s="95"/>
      <c r="QBR90" s="96"/>
      <c r="QBX90" s="232"/>
      <c r="QBY90" s="95"/>
      <c r="QBZ90" s="96"/>
      <c r="QCF90" s="232"/>
      <c r="QCG90" s="95"/>
      <c r="QCH90" s="96"/>
      <c r="QCN90" s="232"/>
      <c r="QCO90" s="95"/>
      <c r="QCP90" s="96"/>
      <c r="QCV90" s="232"/>
      <c r="QCW90" s="95"/>
      <c r="QCX90" s="96"/>
      <c r="QDD90" s="232"/>
      <c r="QDE90" s="95"/>
      <c r="QDF90" s="96"/>
      <c r="QDL90" s="232"/>
      <c r="QDM90" s="95"/>
      <c r="QDN90" s="96"/>
      <c r="QDT90" s="232"/>
      <c r="QDU90" s="95"/>
      <c r="QDV90" s="96"/>
      <c r="QEB90" s="232"/>
      <c r="QEC90" s="95"/>
      <c r="QED90" s="96"/>
      <c r="QEJ90" s="232"/>
      <c r="QEK90" s="95"/>
      <c r="QEL90" s="96"/>
      <c r="QER90" s="232"/>
      <c r="QES90" s="95"/>
      <c r="QET90" s="96"/>
      <c r="QEZ90" s="232"/>
      <c r="QFA90" s="95"/>
      <c r="QFB90" s="96"/>
      <c r="QFH90" s="232"/>
      <c r="QFI90" s="95"/>
      <c r="QFJ90" s="96"/>
      <c r="QFP90" s="232"/>
      <c r="QFQ90" s="95"/>
      <c r="QFR90" s="96"/>
      <c r="QFX90" s="232"/>
      <c r="QFY90" s="95"/>
      <c r="QFZ90" s="96"/>
      <c r="QGF90" s="232"/>
      <c r="QGG90" s="95"/>
      <c r="QGH90" s="96"/>
      <c r="QGN90" s="232"/>
      <c r="QGO90" s="95"/>
      <c r="QGP90" s="96"/>
      <c r="QGV90" s="232"/>
      <c r="QGW90" s="95"/>
      <c r="QGX90" s="96"/>
      <c r="QHD90" s="232"/>
      <c r="QHE90" s="95"/>
      <c r="QHF90" s="96"/>
      <c r="QHL90" s="232"/>
      <c r="QHM90" s="95"/>
      <c r="QHN90" s="96"/>
      <c r="QHT90" s="232"/>
      <c r="QHU90" s="95"/>
      <c r="QHV90" s="96"/>
      <c r="QIB90" s="232"/>
      <c r="QIC90" s="95"/>
      <c r="QID90" s="96"/>
      <c r="QIJ90" s="232"/>
      <c r="QIK90" s="95"/>
      <c r="QIL90" s="96"/>
      <c r="QIR90" s="232"/>
      <c r="QIS90" s="95"/>
      <c r="QIT90" s="96"/>
      <c r="QIZ90" s="232"/>
      <c r="QJA90" s="95"/>
      <c r="QJB90" s="96"/>
      <c r="QJH90" s="232"/>
      <c r="QJI90" s="95"/>
      <c r="QJJ90" s="96"/>
      <c r="QJP90" s="232"/>
      <c r="QJQ90" s="95"/>
      <c r="QJR90" s="96"/>
      <c r="QJX90" s="232"/>
      <c r="QJY90" s="95"/>
      <c r="QJZ90" s="96"/>
      <c r="QKF90" s="232"/>
      <c r="QKG90" s="95"/>
      <c r="QKH90" s="96"/>
      <c r="QKN90" s="232"/>
      <c r="QKO90" s="95"/>
      <c r="QKP90" s="96"/>
      <c r="QKV90" s="232"/>
      <c r="QKW90" s="95"/>
      <c r="QKX90" s="96"/>
      <c r="QLD90" s="232"/>
      <c r="QLE90" s="95"/>
      <c r="QLF90" s="96"/>
      <c r="QLL90" s="232"/>
      <c r="QLM90" s="95"/>
      <c r="QLN90" s="96"/>
      <c r="QLT90" s="232"/>
      <c r="QLU90" s="95"/>
      <c r="QLV90" s="96"/>
      <c r="QMB90" s="232"/>
      <c r="QMC90" s="95"/>
      <c r="QMD90" s="96"/>
      <c r="QMJ90" s="232"/>
      <c r="QMK90" s="95"/>
      <c r="QML90" s="96"/>
      <c r="QMR90" s="232"/>
      <c r="QMS90" s="95"/>
      <c r="QMT90" s="96"/>
      <c r="QMZ90" s="232"/>
      <c r="QNA90" s="95"/>
      <c r="QNB90" s="96"/>
      <c r="QNH90" s="232"/>
      <c r="QNI90" s="95"/>
      <c r="QNJ90" s="96"/>
      <c r="QNP90" s="232"/>
      <c r="QNQ90" s="95"/>
      <c r="QNR90" s="96"/>
      <c r="QNX90" s="232"/>
      <c r="QNY90" s="95"/>
      <c r="QNZ90" s="96"/>
      <c r="QOF90" s="232"/>
      <c r="QOG90" s="95"/>
      <c r="QOH90" s="96"/>
      <c r="QON90" s="232"/>
      <c r="QOO90" s="95"/>
      <c r="QOP90" s="96"/>
      <c r="QOV90" s="232"/>
      <c r="QOW90" s="95"/>
      <c r="QOX90" s="96"/>
      <c r="QPD90" s="232"/>
      <c r="QPE90" s="95"/>
      <c r="QPF90" s="96"/>
      <c r="QPL90" s="232"/>
      <c r="QPM90" s="95"/>
      <c r="QPN90" s="96"/>
      <c r="QPT90" s="232"/>
      <c r="QPU90" s="95"/>
      <c r="QPV90" s="96"/>
      <c r="QQB90" s="232"/>
      <c r="QQC90" s="95"/>
      <c r="QQD90" s="96"/>
      <c r="QQJ90" s="232"/>
      <c r="QQK90" s="95"/>
      <c r="QQL90" s="96"/>
      <c r="QQR90" s="232"/>
      <c r="QQS90" s="95"/>
      <c r="QQT90" s="96"/>
      <c r="QQZ90" s="232"/>
      <c r="QRA90" s="95"/>
      <c r="QRB90" s="96"/>
      <c r="QRH90" s="232"/>
      <c r="QRI90" s="95"/>
      <c r="QRJ90" s="96"/>
      <c r="QRP90" s="232"/>
      <c r="QRQ90" s="95"/>
      <c r="QRR90" s="96"/>
      <c r="QRX90" s="232"/>
      <c r="QRY90" s="95"/>
      <c r="QRZ90" s="96"/>
      <c r="QSF90" s="232"/>
      <c r="QSG90" s="95"/>
      <c r="QSH90" s="96"/>
      <c r="QSN90" s="232"/>
      <c r="QSO90" s="95"/>
      <c r="QSP90" s="96"/>
      <c r="QSV90" s="232"/>
      <c r="QSW90" s="95"/>
      <c r="QSX90" s="96"/>
      <c r="QTD90" s="232"/>
      <c r="QTE90" s="95"/>
      <c r="QTF90" s="96"/>
      <c r="QTL90" s="232"/>
      <c r="QTM90" s="95"/>
      <c r="QTN90" s="96"/>
      <c r="QTT90" s="232"/>
      <c r="QTU90" s="95"/>
      <c r="QTV90" s="96"/>
      <c r="QUB90" s="232"/>
      <c r="QUC90" s="95"/>
      <c r="QUD90" s="96"/>
      <c r="QUJ90" s="232"/>
      <c r="QUK90" s="95"/>
      <c r="QUL90" s="96"/>
      <c r="QUR90" s="232"/>
      <c r="QUS90" s="95"/>
      <c r="QUT90" s="96"/>
      <c r="QUZ90" s="232"/>
      <c r="QVA90" s="95"/>
      <c r="QVB90" s="96"/>
      <c r="QVH90" s="232"/>
      <c r="QVI90" s="95"/>
      <c r="QVJ90" s="96"/>
      <c r="QVP90" s="232"/>
      <c r="QVQ90" s="95"/>
      <c r="QVR90" s="96"/>
      <c r="QVX90" s="232"/>
      <c r="QVY90" s="95"/>
      <c r="QVZ90" s="96"/>
      <c r="QWF90" s="232"/>
      <c r="QWG90" s="95"/>
      <c r="QWH90" s="96"/>
      <c r="QWN90" s="232"/>
      <c r="QWO90" s="95"/>
      <c r="QWP90" s="96"/>
      <c r="QWV90" s="232"/>
      <c r="QWW90" s="95"/>
      <c r="QWX90" s="96"/>
      <c r="QXD90" s="232"/>
      <c r="QXE90" s="95"/>
      <c r="QXF90" s="96"/>
      <c r="QXL90" s="232"/>
      <c r="QXM90" s="95"/>
      <c r="QXN90" s="96"/>
      <c r="QXT90" s="232"/>
      <c r="QXU90" s="95"/>
      <c r="QXV90" s="96"/>
      <c r="QYB90" s="232"/>
      <c r="QYC90" s="95"/>
      <c r="QYD90" s="96"/>
      <c r="QYJ90" s="232"/>
      <c r="QYK90" s="95"/>
      <c r="QYL90" s="96"/>
      <c r="QYR90" s="232"/>
      <c r="QYS90" s="95"/>
      <c r="QYT90" s="96"/>
      <c r="QYZ90" s="232"/>
      <c r="QZA90" s="95"/>
      <c r="QZB90" s="96"/>
      <c r="QZH90" s="232"/>
      <c r="QZI90" s="95"/>
      <c r="QZJ90" s="96"/>
      <c r="QZP90" s="232"/>
      <c r="QZQ90" s="95"/>
      <c r="QZR90" s="96"/>
      <c r="QZX90" s="232"/>
      <c r="QZY90" s="95"/>
      <c r="QZZ90" s="96"/>
      <c r="RAF90" s="232"/>
      <c r="RAG90" s="95"/>
      <c r="RAH90" s="96"/>
      <c r="RAN90" s="232"/>
      <c r="RAO90" s="95"/>
      <c r="RAP90" s="96"/>
      <c r="RAV90" s="232"/>
      <c r="RAW90" s="95"/>
      <c r="RAX90" s="96"/>
      <c r="RBD90" s="232"/>
      <c r="RBE90" s="95"/>
      <c r="RBF90" s="96"/>
      <c r="RBL90" s="232"/>
      <c r="RBM90" s="95"/>
      <c r="RBN90" s="96"/>
      <c r="RBT90" s="232"/>
      <c r="RBU90" s="95"/>
      <c r="RBV90" s="96"/>
      <c r="RCB90" s="232"/>
      <c r="RCC90" s="95"/>
      <c r="RCD90" s="96"/>
      <c r="RCJ90" s="232"/>
      <c r="RCK90" s="95"/>
      <c r="RCL90" s="96"/>
      <c r="RCR90" s="232"/>
      <c r="RCS90" s="95"/>
      <c r="RCT90" s="96"/>
      <c r="RCZ90" s="232"/>
      <c r="RDA90" s="95"/>
      <c r="RDB90" s="96"/>
      <c r="RDH90" s="232"/>
      <c r="RDI90" s="95"/>
      <c r="RDJ90" s="96"/>
      <c r="RDP90" s="232"/>
      <c r="RDQ90" s="95"/>
      <c r="RDR90" s="96"/>
      <c r="RDX90" s="232"/>
      <c r="RDY90" s="95"/>
      <c r="RDZ90" s="96"/>
      <c r="REF90" s="232"/>
      <c r="REG90" s="95"/>
      <c r="REH90" s="96"/>
      <c r="REN90" s="232"/>
      <c r="REO90" s="95"/>
      <c r="REP90" s="96"/>
      <c r="REV90" s="232"/>
      <c r="REW90" s="95"/>
      <c r="REX90" s="96"/>
      <c r="RFD90" s="232"/>
      <c r="RFE90" s="95"/>
      <c r="RFF90" s="96"/>
      <c r="RFL90" s="232"/>
      <c r="RFM90" s="95"/>
      <c r="RFN90" s="96"/>
      <c r="RFT90" s="232"/>
      <c r="RFU90" s="95"/>
      <c r="RFV90" s="96"/>
      <c r="RGB90" s="232"/>
      <c r="RGC90" s="95"/>
      <c r="RGD90" s="96"/>
      <c r="RGJ90" s="232"/>
      <c r="RGK90" s="95"/>
      <c r="RGL90" s="96"/>
      <c r="RGR90" s="232"/>
      <c r="RGS90" s="95"/>
      <c r="RGT90" s="96"/>
      <c r="RGZ90" s="232"/>
      <c r="RHA90" s="95"/>
      <c r="RHB90" s="96"/>
      <c r="RHH90" s="232"/>
      <c r="RHI90" s="95"/>
      <c r="RHJ90" s="96"/>
      <c r="RHP90" s="232"/>
      <c r="RHQ90" s="95"/>
      <c r="RHR90" s="96"/>
      <c r="RHX90" s="232"/>
      <c r="RHY90" s="95"/>
      <c r="RHZ90" s="96"/>
      <c r="RIF90" s="232"/>
      <c r="RIG90" s="95"/>
      <c r="RIH90" s="96"/>
      <c r="RIN90" s="232"/>
      <c r="RIO90" s="95"/>
      <c r="RIP90" s="96"/>
      <c r="RIV90" s="232"/>
      <c r="RIW90" s="95"/>
      <c r="RIX90" s="96"/>
      <c r="RJD90" s="232"/>
      <c r="RJE90" s="95"/>
      <c r="RJF90" s="96"/>
      <c r="RJL90" s="232"/>
      <c r="RJM90" s="95"/>
      <c r="RJN90" s="96"/>
      <c r="RJT90" s="232"/>
      <c r="RJU90" s="95"/>
      <c r="RJV90" s="96"/>
      <c r="RKB90" s="232"/>
      <c r="RKC90" s="95"/>
      <c r="RKD90" s="96"/>
      <c r="RKJ90" s="232"/>
      <c r="RKK90" s="95"/>
      <c r="RKL90" s="96"/>
      <c r="RKR90" s="232"/>
      <c r="RKS90" s="95"/>
      <c r="RKT90" s="96"/>
      <c r="RKZ90" s="232"/>
      <c r="RLA90" s="95"/>
      <c r="RLB90" s="96"/>
      <c r="RLH90" s="232"/>
      <c r="RLI90" s="95"/>
      <c r="RLJ90" s="96"/>
      <c r="RLP90" s="232"/>
      <c r="RLQ90" s="95"/>
      <c r="RLR90" s="96"/>
      <c r="RLX90" s="232"/>
      <c r="RLY90" s="95"/>
      <c r="RLZ90" s="96"/>
      <c r="RMF90" s="232"/>
      <c r="RMG90" s="95"/>
      <c r="RMH90" s="96"/>
      <c r="RMN90" s="232"/>
      <c r="RMO90" s="95"/>
      <c r="RMP90" s="96"/>
      <c r="RMV90" s="232"/>
      <c r="RMW90" s="95"/>
      <c r="RMX90" s="96"/>
      <c r="RND90" s="232"/>
      <c r="RNE90" s="95"/>
      <c r="RNF90" s="96"/>
      <c r="RNL90" s="232"/>
      <c r="RNM90" s="95"/>
      <c r="RNN90" s="96"/>
      <c r="RNT90" s="232"/>
      <c r="RNU90" s="95"/>
      <c r="RNV90" s="96"/>
      <c r="ROB90" s="232"/>
      <c r="ROC90" s="95"/>
      <c r="ROD90" s="96"/>
      <c r="ROJ90" s="232"/>
      <c r="ROK90" s="95"/>
      <c r="ROL90" s="96"/>
      <c r="ROR90" s="232"/>
      <c r="ROS90" s="95"/>
      <c r="ROT90" s="96"/>
      <c r="ROZ90" s="232"/>
      <c r="RPA90" s="95"/>
      <c r="RPB90" s="96"/>
      <c r="RPH90" s="232"/>
      <c r="RPI90" s="95"/>
      <c r="RPJ90" s="96"/>
      <c r="RPP90" s="232"/>
      <c r="RPQ90" s="95"/>
      <c r="RPR90" s="96"/>
      <c r="RPX90" s="232"/>
      <c r="RPY90" s="95"/>
      <c r="RPZ90" s="96"/>
      <c r="RQF90" s="232"/>
      <c r="RQG90" s="95"/>
      <c r="RQH90" s="96"/>
      <c r="RQN90" s="232"/>
      <c r="RQO90" s="95"/>
      <c r="RQP90" s="96"/>
      <c r="RQV90" s="232"/>
      <c r="RQW90" s="95"/>
      <c r="RQX90" s="96"/>
      <c r="RRD90" s="232"/>
      <c r="RRE90" s="95"/>
      <c r="RRF90" s="96"/>
      <c r="RRL90" s="232"/>
      <c r="RRM90" s="95"/>
      <c r="RRN90" s="96"/>
      <c r="RRT90" s="232"/>
      <c r="RRU90" s="95"/>
      <c r="RRV90" s="96"/>
      <c r="RSB90" s="232"/>
      <c r="RSC90" s="95"/>
      <c r="RSD90" s="96"/>
      <c r="RSJ90" s="232"/>
      <c r="RSK90" s="95"/>
      <c r="RSL90" s="96"/>
      <c r="RSR90" s="232"/>
      <c r="RSS90" s="95"/>
      <c r="RST90" s="96"/>
      <c r="RSZ90" s="232"/>
      <c r="RTA90" s="95"/>
      <c r="RTB90" s="96"/>
      <c r="RTH90" s="232"/>
      <c r="RTI90" s="95"/>
      <c r="RTJ90" s="96"/>
      <c r="RTP90" s="232"/>
      <c r="RTQ90" s="95"/>
      <c r="RTR90" s="96"/>
      <c r="RTX90" s="232"/>
      <c r="RTY90" s="95"/>
      <c r="RTZ90" s="96"/>
      <c r="RUF90" s="232"/>
      <c r="RUG90" s="95"/>
      <c r="RUH90" s="96"/>
      <c r="RUN90" s="232"/>
      <c r="RUO90" s="95"/>
      <c r="RUP90" s="96"/>
      <c r="RUV90" s="232"/>
      <c r="RUW90" s="95"/>
      <c r="RUX90" s="96"/>
      <c r="RVD90" s="232"/>
      <c r="RVE90" s="95"/>
      <c r="RVF90" s="96"/>
      <c r="RVL90" s="232"/>
      <c r="RVM90" s="95"/>
      <c r="RVN90" s="96"/>
      <c r="RVT90" s="232"/>
      <c r="RVU90" s="95"/>
      <c r="RVV90" s="96"/>
      <c r="RWB90" s="232"/>
      <c r="RWC90" s="95"/>
      <c r="RWD90" s="96"/>
      <c r="RWJ90" s="232"/>
      <c r="RWK90" s="95"/>
      <c r="RWL90" s="96"/>
      <c r="RWR90" s="232"/>
      <c r="RWS90" s="95"/>
      <c r="RWT90" s="96"/>
      <c r="RWZ90" s="232"/>
      <c r="RXA90" s="95"/>
      <c r="RXB90" s="96"/>
      <c r="RXH90" s="232"/>
      <c r="RXI90" s="95"/>
      <c r="RXJ90" s="96"/>
      <c r="RXP90" s="232"/>
      <c r="RXQ90" s="95"/>
      <c r="RXR90" s="96"/>
      <c r="RXX90" s="232"/>
      <c r="RXY90" s="95"/>
      <c r="RXZ90" s="96"/>
      <c r="RYF90" s="232"/>
      <c r="RYG90" s="95"/>
      <c r="RYH90" s="96"/>
      <c r="RYN90" s="232"/>
      <c r="RYO90" s="95"/>
      <c r="RYP90" s="96"/>
      <c r="RYV90" s="232"/>
      <c r="RYW90" s="95"/>
      <c r="RYX90" s="96"/>
      <c r="RZD90" s="232"/>
      <c r="RZE90" s="95"/>
      <c r="RZF90" s="96"/>
      <c r="RZL90" s="232"/>
      <c r="RZM90" s="95"/>
      <c r="RZN90" s="96"/>
      <c r="RZT90" s="232"/>
      <c r="RZU90" s="95"/>
      <c r="RZV90" s="96"/>
      <c r="SAB90" s="232"/>
      <c r="SAC90" s="95"/>
      <c r="SAD90" s="96"/>
      <c r="SAJ90" s="232"/>
      <c r="SAK90" s="95"/>
      <c r="SAL90" s="96"/>
      <c r="SAR90" s="232"/>
      <c r="SAS90" s="95"/>
      <c r="SAT90" s="96"/>
      <c r="SAZ90" s="232"/>
      <c r="SBA90" s="95"/>
      <c r="SBB90" s="96"/>
      <c r="SBH90" s="232"/>
      <c r="SBI90" s="95"/>
      <c r="SBJ90" s="96"/>
      <c r="SBP90" s="232"/>
      <c r="SBQ90" s="95"/>
      <c r="SBR90" s="96"/>
      <c r="SBX90" s="232"/>
      <c r="SBY90" s="95"/>
      <c r="SBZ90" s="96"/>
      <c r="SCF90" s="232"/>
      <c r="SCG90" s="95"/>
      <c r="SCH90" s="96"/>
      <c r="SCN90" s="232"/>
      <c r="SCO90" s="95"/>
      <c r="SCP90" s="96"/>
      <c r="SCV90" s="232"/>
      <c r="SCW90" s="95"/>
      <c r="SCX90" s="96"/>
      <c r="SDD90" s="232"/>
      <c r="SDE90" s="95"/>
      <c r="SDF90" s="96"/>
      <c r="SDL90" s="232"/>
      <c r="SDM90" s="95"/>
      <c r="SDN90" s="96"/>
      <c r="SDT90" s="232"/>
      <c r="SDU90" s="95"/>
      <c r="SDV90" s="96"/>
      <c r="SEB90" s="232"/>
      <c r="SEC90" s="95"/>
      <c r="SED90" s="96"/>
      <c r="SEJ90" s="232"/>
      <c r="SEK90" s="95"/>
      <c r="SEL90" s="96"/>
      <c r="SER90" s="232"/>
      <c r="SES90" s="95"/>
      <c r="SET90" s="96"/>
      <c r="SEZ90" s="232"/>
      <c r="SFA90" s="95"/>
      <c r="SFB90" s="96"/>
      <c r="SFH90" s="232"/>
      <c r="SFI90" s="95"/>
      <c r="SFJ90" s="96"/>
      <c r="SFP90" s="232"/>
      <c r="SFQ90" s="95"/>
      <c r="SFR90" s="96"/>
      <c r="SFX90" s="232"/>
      <c r="SFY90" s="95"/>
      <c r="SFZ90" s="96"/>
      <c r="SGF90" s="232"/>
      <c r="SGG90" s="95"/>
      <c r="SGH90" s="96"/>
      <c r="SGN90" s="232"/>
      <c r="SGO90" s="95"/>
      <c r="SGP90" s="96"/>
      <c r="SGV90" s="232"/>
      <c r="SGW90" s="95"/>
      <c r="SGX90" s="96"/>
      <c r="SHD90" s="232"/>
      <c r="SHE90" s="95"/>
      <c r="SHF90" s="96"/>
      <c r="SHL90" s="232"/>
      <c r="SHM90" s="95"/>
      <c r="SHN90" s="96"/>
      <c r="SHT90" s="232"/>
      <c r="SHU90" s="95"/>
      <c r="SHV90" s="96"/>
      <c r="SIB90" s="232"/>
      <c r="SIC90" s="95"/>
      <c r="SID90" s="96"/>
      <c r="SIJ90" s="232"/>
      <c r="SIK90" s="95"/>
      <c r="SIL90" s="96"/>
      <c r="SIR90" s="232"/>
      <c r="SIS90" s="95"/>
      <c r="SIT90" s="96"/>
      <c r="SIZ90" s="232"/>
      <c r="SJA90" s="95"/>
      <c r="SJB90" s="96"/>
      <c r="SJH90" s="232"/>
      <c r="SJI90" s="95"/>
      <c r="SJJ90" s="96"/>
      <c r="SJP90" s="232"/>
      <c r="SJQ90" s="95"/>
      <c r="SJR90" s="96"/>
      <c r="SJX90" s="232"/>
      <c r="SJY90" s="95"/>
      <c r="SJZ90" s="96"/>
      <c r="SKF90" s="232"/>
      <c r="SKG90" s="95"/>
      <c r="SKH90" s="96"/>
      <c r="SKN90" s="232"/>
      <c r="SKO90" s="95"/>
      <c r="SKP90" s="96"/>
      <c r="SKV90" s="232"/>
      <c r="SKW90" s="95"/>
      <c r="SKX90" s="96"/>
      <c r="SLD90" s="232"/>
      <c r="SLE90" s="95"/>
      <c r="SLF90" s="96"/>
      <c r="SLL90" s="232"/>
      <c r="SLM90" s="95"/>
      <c r="SLN90" s="96"/>
      <c r="SLT90" s="232"/>
      <c r="SLU90" s="95"/>
      <c r="SLV90" s="96"/>
      <c r="SMB90" s="232"/>
      <c r="SMC90" s="95"/>
      <c r="SMD90" s="96"/>
      <c r="SMJ90" s="232"/>
      <c r="SMK90" s="95"/>
      <c r="SML90" s="96"/>
      <c r="SMR90" s="232"/>
      <c r="SMS90" s="95"/>
      <c r="SMT90" s="96"/>
      <c r="SMZ90" s="232"/>
      <c r="SNA90" s="95"/>
      <c r="SNB90" s="96"/>
      <c r="SNH90" s="232"/>
      <c r="SNI90" s="95"/>
      <c r="SNJ90" s="96"/>
      <c r="SNP90" s="232"/>
      <c r="SNQ90" s="95"/>
      <c r="SNR90" s="96"/>
      <c r="SNX90" s="232"/>
      <c r="SNY90" s="95"/>
      <c r="SNZ90" s="96"/>
      <c r="SOF90" s="232"/>
      <c r="SOG90" s="95"/>
      <c r="SOH90" s="96"/>
      <c r="SON90" s="232"/>
      <c r="SOO90" s="95"/>
      <c r="SOP90" s="96"/>
      <c r="SOV90" s="232"/>
      <c r="SOW90" s="95"/>
      <c r="SOX90" s="96"/>
      <c r="SPD90" s="232"/>
      <c r="SPE90" s="95"/>
      <c r="SPF90" s="96"/>
      <c r="SPL90" s="232"/>
      <c r="SPM90" s="95"/>
      <c r="SPN90" s="96"/>
      <c r="SPT90" s="232"/>
      <c r="SPU90" s="95"/>
      <c r="SPV90" s="96"/>
      <c r="SQB90" s="232"/>
      <c r="SQC90" s="95"/>
      <c r="SQD90" s="96"/>
      <c r="SQJ90" s="232"/>
      <c r="SQK90" s="95"/>
      <c r="SQL90" s="96"/>
      <c r="SQR90" s="232"/>
      <c r="SQS90" s="95"/>
      <c r="SQT90" s="96"/>
      <c r="SQZ90" s="232"/>
      <c r="SRA90" s="95"/>
      <c r="SRB90" s="96"/>
      <c r="SRH90" s="232"/>
      <c r="SRI90" s="95"/>
      <c r="SRJ90" s="96"/>
      <c r="SRP90" s="232"/>
      <c r="SRQ90" s="95"/>
      <c r="SRR90" s="96"/>
      <c r="SRX90" s="232"/>
      <c r="SRY90" s="95"/>
      <c r="SRZ90" s="96"/>
      <c r="SSF90" s="232"/>
      <c r="SSG90" s="95"/>
      <c r="SSH90" s="96"/>
      <c r="SSN90" s="232"/>
      <c r="SSO90" s="95"/>
      <c r="SSP90" s="96"/>
      <c r="SSV90" s="232"/>
      <c r="SSW90" s="95"/>
      <c r="SSX90" s="96"/>
      <c r="STD90" s="232"/>
      <c r="STE90" s="95"/>
      <c r="STF90" s="96"/>
      <c r="STL90" s="232"/>
      <c r="STM90" s="95"/>
      <c r="STN90" s="96"/>
      <c r="STT90" s="232"/>
      <c r="STU90" s="95"/>
      <c r="STV90" s="96"/>
      <c r="SUB90" s="232"/>
      <c r="SUC90" s="95"/>
      <c r="SUD90" s="96"/>
      <c r="SUJ90" s="232"/>
      <c r="SUK90" s="95"/>
      <c r="SUL90" s="96"/>
      <c r="SUR90" s="232"/>
      <c r="SUS90" s="95"/>
      <c r="SUT90" s="96"/>
      <c r="SUZ90" s="232"/>
      <c r="SVA90" s="95"/>
      <c r="SVB90" s="96"/>
      <c r="SVH90" s="232"/>
      <c r="SVI90" s="95"/>
      <c r="SVJ90" s="96"/>
      <c r="SVP90" s="232"/>
      <c r="SVQ90" s="95"/>
      <c r="SVR90" s="96"/>
      <c r="SVX90" s="232"/>
      <c r="SVY90" s="95"/>
      <c r="SVZ90" s="96"/>
      <c r="SWF90" s="232"/>
      <c r="SWG90" s="95"/>
      <c r="SWH90" s="96"/>
      <c r="SWN90" s="232"/>
      <c r="SWO90" s="95"/>
      <c r="SWP90" s="96"/>
      <c r="SWV90" s="232"/>
      <c r="SWW90" s="95"/>
      <c r="SWX90" s="96"/>
      <c r="SXD90" s="232"/>
      <c r="SXE90" s="95"/>
      <c r="SXF90" s="96"/>
      <c r="SXL90" s="232"/>
      <c r="SXM90" s="95"/>
      <c r="SXN90" s="96"/>
      <c r="SXT90" s="232"/>
      <c r="SXU90" s="95"/>
      <c r="SXV90" s="96"/>
      <c r="SYB90" s="232"/>
      <c r="SYC90" s="95"/>
      <c r="SYD90" s="96"/>
      <c r="SYJ90" s="232"/>
      <c r="SYK90" s="95"/>
      <c r="SYL90" s="96"/>
      <c r="SYR90" s="232"/>
      <c r="SYS90" s="95"/>
      <c r="SYT90" s="96"/>
      <c r="SYZ90" s="232"/>
      <c r="SZA90" s="95"/>
      <c r="SZB90" s="96"/>
      <c r="SZH90" s="232"/>
      <c r="SZI90" s="95"/>
      <c r="SZJ90" s="96"/>
      <c r="SZP90" s="232"/>
      <c r="SZQ90" s="95"/>
      <c r="SZR90" s="96"/>
      <c r="SZX90" s="232"/>
      <c r="SZY90" s="95"/>
      <c r="SZZ90" s="96"/>
      <c r="TAF90" s="232"/>
      <c r="TAG90" s="95"/>
      <c r="TAH90" s="96"/>
      <c r="TAN90" s="232"/>
      <c r="TAO90" s="95"/>
      <c r="TAP90" s="96"/>
      <c r="TAV90" s="232"/>
      <c r="TAW90" s="95"/>
      <c r="TAX90" s="96"/>
      <c r="TBD90" s="232"/>
      <c r="TBE90" s="95"/>
      <c r="TBF90" s="96"/>
      <c r="TBL90" s="232"/>
      <c r="TBM90" s="95"/>
      <c r="TBN90" s="96"/>
      <c r="TBT90" s="232"/>
      <c r="TBU90" s="95"/>
      <c r="TBV90" s="96"/>
      <c r="TCB90" s="232"/>
      <c r="TCC90" s="95"/>
      <c r="TCD90" s="96"/>
      <c r="TCJ90" s="232"/>
      <c r="TCK90" s="95"/>
      <c r="TCL90" s="96"/>
      <c r="TCR90" s="232"/>
      <c r="TCS90" s="95"/>
      <c r="TCT90" s="96"/>
      <c r="TCZ90" s="232"/>
      <c r="TDA90" s="95"/>
      <c r="TDB90" s="96"/>
      <c r="TDH90" s="232"/>
      <c r="TDI90" s="95"/>
      <c r="TDJ90" s="96"/>
      <c r="TDP90" s="232"/>
      <c r="TDQ90" s="95"/>
      <c r="TDR90" s="96"/>
      <c r="TDX90" s="232"/>
      <c r="TDY90" s="95"/>
      <c r="TDZ90" s="96"/>
      <c r="TEF90" s="232"/>
      <c r="TEG90" s="95"/>
      <c r="TEH90" s="96"/>
      <c r="TEN90" s="232"/>
      <c r="TEO90" s="95"/>
      <c r="TEP90" s="96"/>
      <c r="TEV90" s="232"/>
      <c r="TEW90" s="95"/>
      <c r="TEX90" s="96"/>
      <c r="TFD90" s="232"/>
      <c r="TFE90" s="95"/>
      <c r="TFF90" s="96"/>
      <c r="TFL90" s="232"/>
      <c r="TFM90" s="95"/>
      <c r="TFN90" s="96"/>
      <c r="TFT90" s="232"/>
      <c r="TFU90" s="95"/>
      <c r="TFV90" s="96"/>
      <c r="TGB90" s="232"/>
      <c r="TGC90" s="95"/>
      <c r="TGD90" s="96"/>
      <c r="TGJ90" s="232"/>
      <c r="TGK90" s="95"/>
      <c r="TGL90" s="96"/>
      <c r="TGR90" s="232"/>
      <c r="TGS90" s="95"/>
      <c r="TGT90" s="96"/>
      <c r="TGZ90" s="232"/>
      <c r="THA90" s="95"/>
      <c r="THB90" s="96"/>
      <c r="THH90" s="232"/>
      <c r="THI90" s="95"/>
      <c r="THJ90" s="96"/>
      <c r="THP90" s="232"/>
      <c r="THQ90" s="95"/>
      <c r="THR90" s="96"/>
      <c r="THX90" s="232"/>
      <c r="THY90" s="95"/>
      <c r="THZ90" s="96"/>
      <c r="TIF90" s="232"/>
      <c r="TIG90" s="95"/>
      <c r="TIH90" s="96"/>
      <c r="TIN90" s="232"/>
      <c r="TIO90" s="95"/>
      <c r="TIP90" s="96"/>
      <c r="TIV90" s="232"/>
      <c r="TIW90" s="95"/>
      <c r="TIX90" s="96"/>
      <c r="TJD90" s="232"/>
      <c r="TJE90" s="95"/>
      <c r="TJF90" s="96"/>
      <c r="TJL90" s="232"/>
      <c r="TJM90" s="95"/>
      <c r="TJN90" s="96"/>
      <c r="TJT90" s="232"/>
      <c r="TJU90" s="95"/>
      <c r="TJV90" s="96"/>
      <c r="TKB90" s="232"/>
      <c r="TKC90" s="95"/>
      <c r="TKD90" s="96"/>
      <c r="TKJ90" s="232"/>
      <c r="TKK90" s="95"/>
      <c r="TKL90" s="96"/>
      <c r="TKR90" s="232"/>
      <c r="TKS90" s="95"/>
      <c r="TKT90" s="96"/>
      <c r="TKZ90" s="232"/>
      <c r="TLA90" s="95"/>
      <c r="TLB90" s="96"/>
      <c r="TLH90" s="232"/>
      <c r="TLI90" s="95"/>
      <c r="TLJ90" s="96"/>
      <c r="TLP90" s="232"/>
      <c r="TLQ90" s="95"/>
      <c r="TLR90" s="96"/>
      <c r="TLX90" s="232"/>
      <c r="TLY90" s="95"/>
      <c r="TLZ90" s="96"/>
      <c r="TMF90" s="232"/>
      <c r="TMG90" s="95"/>
      <c r="TMH90" s="96"/>
      <c r="TMN90" s="232"/>
      <c r="TMO90" s="95"/>
      <c r="TMP90" s="96"/>
      <c r="TMV90" s="232"/>
      <c r="TMW90" s="95"/>
      <c r="TMX90" s="96"/>
      <c r="TND90" s="232"/>
      <c r="TNE90" s="95"/>
      <c r="TNF90" s="96"/>
      <c r="TNL90" s="232"/>
      <c r="TNM90" s="95"/>
      <c r="TNN90" s="96"/>
      <c r="TNT90" s="232"/>
      <c r="TNU90" s="95"/>
      <c r="TNV90" s="96"/>
      <c r="TOB90" s="232"/>
      <c r="TOC90" s="95"/>
      <c r="TOD90" s="96"/>
      <c r="TOJ90" s="232"/>
      <c r="TOK90" s="95"/>
      <c r="TOL90" s="96"/>
      <c r="TOR90" s="232"/>
      <c r="TOS90" s="95"/>
      <c r="TOT90" s="96"/>
      <c r="TOZ90" s="232"/>
      <c r="TPA90" s="95"/>
      <c r="TPB90" s="96"/>
      <c r="TPH90" s="232"/>
      <c r="TPI90" s="95"/>
      <c r="TPJ90" s="96"/>
      <c r="TPP90" s="232"/>
      <c r="TPQ90" s="95"/>
      <c r="TPR90" s="96"/>
      <c r="TPX90" s="232"/>
      <c r="TPY90" s="95"/>
      <c r="TPZ90" s="96"/>
      <c r="TQF90" s="232"/>
      <c r="TQG90" s="95"/>
      <c r="TQH90" s="96"/>
      <c r="TQN90" s="232"/>
      <c r="TQO90" s="95"/>
      <c r="TQP90" s="96"/>
      <c r="TQV90" s="232"/>
      <c r="TQW90" s="95"/>
      <c r="TQX90" s="96"/>
      <c r="TRD90" s="232"/>
      <c r="TRE90" s="95"/>
      <c r="TRF90" s="96"/>
      <c r="TRL90" s="232"/>
      <c r="TRM90" s="95"/>
      <c r="TRN90" s="96"/>
      <c r="TRT90" s="232"/>
      <c r="TRU90" s="95"/>
      <c r="TRV90" s="96"/>
      <c r="TSB90" s="232"/>
      <c r="TSC90" s="95"/>
      <c r="TSD90" s="96"/>
      <c r="TSJ90" s="232"/>
      <c r="TSK90" s="95"/>
      <c r="TSL90" s="96"/>
      <c r="TSR90" s="232"/>
      <c r="TSS90" s="95"/>
      <c r="TST90" s="96"/>
      <c r="TSZ90" s="232"/>
      <c r="TTA90" s="95"/>
      <c r="TTB90" s="96"/>
      <c r="TTH90" s="232"/>
      <c r="TTI90" s="95"/>
      <c r="TTJ90" s="96"/>
      <c r="TTP90" s="232"/>
      <c r="TTQ90" s="95"/>
      <c r="TTR90" s="96"/>
      <c r="TTX90" s="232"/>
      <c r="TTY90" s="95"/>
      <c r="TTZ90" s="96"/>
      <c r="TUF90" s="232"/>
      <c r="TUG90" s="95"/>
      <c r="TUH90" s="96"/>
      <c r="TUN90" s="232"/>
      <c r="TUO90" s="95"/>
      <c r="TUP90" s="96"/>
      <c r="TUV90" s="232"/>
      <c r="TUW90" s="95"/>
      <c r="TUX90" s="96"/>
      <c r="TVD90" s="232"/>
      <c r="TVE90" s="95"/>
      <c r="TVF90" s="96"/>
      <c r="TVL90" s="232"/>
      <c r="TVM90" s="95"/>
      <c r="TVN90" s="96"/>
      <c r="TVT90" s="232"/>
      <c r="TVU90" s="95"/>
      <c r="TVV90" s="96"/>
      <c r="TWB90" s="232"/>
      <c r="TWC90" s="95"/>
      <c r="TWD90" s="96"/>
      <c r="TWJ90" s="232"/>
      <c r="TWK90" s="95"/>
      <c r="TWL90" s="96"/>
      <c r="TWR90" s="232"/>
      <c r="TWS90" s="95"/>
      <c r="TWT90" s="96"/>
      <c r="TWZ90" s="232"/>
      <c r="TXA90" s="95"/>
      <c r="TXB90" s="96"/>
      <c r="TXH90" s="232"/>
      <c r="TXI90" s="95"/>
      <c r="TXJ90" s="96"/>
      <c r="TXP90" s="232"/>
      <c r="TXQ90" s="95"/>
      <c r="TXR90" s="96"/>
      <c r="TXX90" s="232"/>
      <c r="TXY90" s="95"/>
      <c r="TXZ90" s="96"/>
      <c r="TYF90" s="232"/>
      <c r="TYG90" s="95"/>
      <c r="TYH90" s="96"/>
      <c r="TYN90" s="232"/>
      <c r="TYO90" s="95"/>
      <c r="TYP90" s="96"/>
      <c r="TYV90" s="232"/>
      <c r="TYW90" s="95"/>
      <c r="TYX90" s="96"/>
      <c r="TZD90" s="232"/>
      <c r="TZE90" s="95"/>
      <c r="TZF90" s="96"/>
      <c r="TZL90" s="232"/>
      <c r="TZM90" s="95"/>
      <c r="TZN90" s="96"/>
      <c r="TZT90" s="232"/>
      <c r="TZU90" s="95"/>
      <c r="TZV90" s="96"/>
      <c r="UAB90" s="232"/>
      <c r="UAC90" s="95"/>
      <c r="UAD90" s="96"/>
      <c r="UAJ90" s="232"/>
      <c r="UAK90" s="95"/>
      <c r="UAL90" s="96"/>
      <c r="UAR90" s="232"/>
      <c r="UAS90" s="95"/>
      <c r="UAT90" s="96"/>
      <c r="UAZ90" s="232"/>
      <c r="UBA90" s="95"/>
      <c r="UBB90" s="96"/>
      <c r="UBH90" s="232"/>
      <c r="UBI90" s="95"/>
      <c r="UBJ90" s="96"/>
      <c r="UBP90" s="232"/>
      <c r="UBQ90" s="95"/>
      <c r="UBR90" s="96"/>
      <c r="UBX90" s="232"/>
      <c r="UBY90" s="95"/>
      <c r="UBZ90" s="96"/>
      <c r="UCF90" s="232"/>
      <c r="UCG90" s="95"/>
      <c r="UCH90" s="96"/>
      <c r="UCN90" s="232"/>
      <c r="UCO90" s="95"/>
      <c r="UCP90" s="96"/>
      <c r="UCV90" s="232"/>
      <c r="UCW90" s="95"/>
      <c r="UCX90" s="96"/>
      <c r="UDD90" s="232"/>
      <c r="UDE90" s="95"/>
      <c r="UDF90" s="96"/>
      <c r="UDL90" s="232"/>
      <c r="UDM90" s="95"/>
      <c r="UDN90" s="96"/>
      <c r="UDT90" s="232"/>
      <c r="UDU90" s="95"/>
      <c r="UDV90" s="96"/>
      <c r="UEB90" s="232"/>
      <c r="UEC90" s="95"/>
      <c r="UED90" s="96"/>
      <c r="UEJ90" s="232"/>
      <c r="UEK90" s="95"/>
      <c r="UEL90" s="96"/>
      <c r="UER90" s="232"/>
      <c r="UES90" s="95"/>
      <c r="UET90" s="96"/>
      <c r="UEZ90" s="232"/>
      <c r="UFA90" s="95"/>
      <c r="UFB90" s="96"/>
      <c r="UFH90" s="232"/>
      <c r="UFI90" s="95"/>
      <c r="UFJ90" s="96"/>
      <c r="UFP90" s="232"/>
      <c r="UFQ90" s="95"/>
      <c r="UFR90" s="96"/>
      <c r="UFX90" s="232"/>
      <c r="UFY90" s="95"/>
      <c r="UFZ90" s="96"/>
      <c r="UGF90" s="232"/>
      <c r="UGG90" s="95"/>
      <c r="UGH90" s="96"/>
      <c r="UGN90" s="232"/>
      <c r="UGO90" s="95"/>
      <c r="UGP90" s="96"/>
      <c r="UGV90" s="232"/>
      <c r="UGW90" s="95"/>
      <c r="UGX90" s="96"/>
      <c r="UHD90" s="232"/>
      <c r="UHE90" s="95"/>
      <c r="UHF90" s="96"/>
      <c r="UHL90" s="232"/>
      <c r="UHM90" s="95"/>
      <c r="UHN90" s="96"/>
      <c r="UHT90" s="232"/>
      <c r="UHU90" s="95"/>
      <c r="UHV90" s="96"/>
      <c r="UIB90" s="232"/>
      <c r="UIC90" s="95"/>
      <c r="UID90" s="96"/>
      <c r="UIJ90" s="232"/>
      <c r="UIK90" s="95"/>
      <c r="UIL90" s="96"/>
      <c r="UIR90" s="232"/>
      <c r="UIS90" s="95"/>
      <c r="UIT90" s="96"/>
      <c r="UIZ90" s="232"/>
      <c r="UJA90" s="95"/>
      <c r="UJB90" s="96"/>
      <c r="UJH90" s="232"/>
      <c r="UJI90" s="95"/>
      <c r="UJJ90" s="96"/>
      <c r="UJP90" s="232"/>
      <c r="UJQ90" s="95"/>
      <c r="UJR90" s="96"/>
      <c r="UJX90" s="232"/>
      <c r="UJY90" s="95"/>
      <c r="UJZ90" s="96"/>
      <c r="UKF90" s="232"/>
      <c r="UKG90" s="95"/>
      <c r="UKH90" s="96"/>
      <c r="UKN90" s="232"/>
      <c r="UKO90" s="95"/>
      <c r="UKP90" s="96"/>
      <c r="UKV90" s="232"/>
      <c r="UKW90" s="95"/>
      <c r="UKX90" s="96"/>
      <c r="ULD90" s="232"/>
      <c r="ULE90" s="95"/>
      <c r="ULF90" s="96"/>
      <c r="ULL90" s="232"/>
      <c r="ULM90" s="95"/>
      <c r="ULN90" s="96"/>
      <c r="ULT90" s="232"/>
      <c r="ULU90" s="95"/>
      <c r="ULV90" s="96"/>
      <c r="UMB90" s="232"/>
      <c r="UMC90" s="95"/>
      <c r="UMD90" s="96"/>
      <c r="UMJ90" s="232"/>
      <c r="UMK90" s="95"/>
      <c r="UML90" s="96"/>
      <c r="UMR90" s="232"/>
      <c r="UMS90" s="95"/>
      <c r="UMT90" s="96"/>
      <c r="UMZ90" s="232"/>
      <c r="UNA90" s="95"/>
      <c r="UNB90" s="96"/>
      <c r="UNH90" s="232"/>
      <c r="UNI90" s="95"/>
      <c r="UNJ90" s="96"/>
      <c r="UNP90" s="232"/>
      <c r="UNQ90" s="95"/>
      <c r="UNR90" s="96"/>
      <c r="UNX90" s="232"/>
      <c r="UNY90" s="95"/>
      <c r="UNZ90" s="96"/>
      <c r="UOF90" s="232"/>
      <c r="UOG90" s="95"/>
      <c r="UOH90" s="96"/>
      <c r="UON90" s="232"/>
      <c r="UOO90" s="95"/>
      <c r="UOP90" s="96"/>
      <c r="UOV90" s="232"/>
      <c r="UOW90" s="95"/>
      <c r="UOX90" s="96"/>
      <c r="UPD90" s="232"/>
      <c r="UPE90" s="95"/>
      <c r="UPF90" s="96"/>
      <c r="UPL90" s="232"/>
      <c r="UPM90" s="95"/>
      <c r="UPN90" s="96"/>
      <c r="UPT90" s="232"/>
      <c r="UPU90" s="95"/>
      <c r="UPV90" s="96"/>
      <c r="UQB90" s="232"/>
      <c r="UQC90" s="95"/>
      <c r="UQD90" s="96"/>
      <c r="UQJ90" s="232"/>
      <c r="UQK90" s="95"/>
      <c r="UQL90" s="96"/>
      <c r="UQR90" s="232"/>
      <c r="UQS90" s="95"/>
      <c r="UQT90" s="96"/>
      <c r="UQZ90" s="232"/>
      <c r="URA90" s="95"/>
      <c r="URB90" s="96"/>
      <c r="URH90" s="232"/>
      <c r="URI90" s="95"/>
      <c r="URJ90" s="96"/>
      <c r="URP90" s="232"/>
      <c r="URQ90" s="95"/>
      <c r="URR90" s="96"/>
      <c r="URX90" s="232"/>
      <c r="URY90" s="95"/>
      <c r="URZ90" s="96"/>
      <c r="USF90" s="232"/>
      <c r="USG90" s="95"/>
      <c r="USH90" s="96"/>
      <c r="USN90" s="232"/>
      <c r="USO90" s="95"/>
      <c r="USP90" s="96"/>
      <c r="USV90" s="232"/>
      <c r="USW90" s="95"/>
      <c r="USX90" s="96"/>
      <c r="UTD90" s="232"/>
      <c r="UTE90" s="95"/>
      <c r="UTF90" s="96"/>
      <c r="UTL90" s="232"/>
      <c r="UTM90" s="95"/>
      <c r="UTN90" s="96"/>
      <c r="UTT90" s="232"/>
      <c r="UTU90" s="95"/>
      <c r="UTV90" s="96"/>
      <c r="UUB90" s="232"/>
      <c r="UUC90" s="95"/>
      <c r="UUD90" s="96"/>
      <c r="UUJ90" s="232"/>
      <c r="UUK90" s="95"/>
      <c r="UUL90" s="96"/>
      <c r="UUR90" s="232"/>
      <c r="UUS90" s="95"/>
      <c r="UUT90" s="96"/>
      <c r="UUZ90" s="232"/>
      <c r="UVA90" s="95"/>
      <c r="UVB90" s="96"/>
      <c r="UVH90" s="232"/>
      <c r="UVI90" s="95"/>
      <c r="UVJ90" s="96"/>
      <c r="UVP90" s="232"/>
      <c r="UVQ90" s="95"/>
      <c r="UVR90" s="96"/>
      <c r="UVX90" s="232"/>
      <c r="UVY90" s="95"/>
      <c r="UVZ90" s="96"/>
      <c r="UWF90" s="232"/>
      <c r="UWG90" s="95"/>
      <c r="UWH90" s="96"/>
      <c r="UWN90" s="232"/>
      <c r="UWO90" s="95"/>
      <c r="UWP90" s="96"/>
      <c r="UWV90" s="232"/>
      <c r="UWW90" s="95"/>
      <c r="UWX90" s="96"/>
      <c r="UXD90" s="232"/>
      <c r="UXE90" s="95"/>
      <c r="UXF90" s="96"/>
      <c r="UXL90" s="232"/>
      <c r="UXM90" s="95"/>
      <c r="UXN90" s="96"/>
      <c r="UXT90" s="232"/>
      <c r="UXU90" s="95"/>
      <c r="UXV90" s="96"/>
      <c r="UYB90" s="232"/>
      <c r="UYC90" s="95"/>
      <c r="UYD90" s="96"/>
      <c r="UYJ90" s="232"/>
      <c r="UYK90" s="95"/>
      <c r="UYL90" s="96"/>
      <c r="UYR90" s="232"/>
      <c r="UYS90" s="95"/>
      <c r="UYT90" s="96"/>
      <c r="UYZ90" s="232"/>
      <c r="UZA90" s="95"/>
      <c r="UZB90" s="96"/>
      <c r="UZH90" s="232"/>
      <c r="UZI90" s="95"/>
      <c r="UZJ90" s="96"/>
      <c r="UZP90" s="232"/>
      <c r="UZQ90" s="95"/>
      <c r="UZR90" s="96"/>
      <c r="UZX90" s="232"/>
      <c r="UZY90" s="95"/>
      <c r="UZZ90" s="96"/>
      <c r="VAF90" s="232"/>
      <c r="VAG90" s="95"/>
      <c r="VAH90" s="96"/>
      <c r="VAN90" s="232"/>
      <c r="VAO90" s="95"/>
      <c r="VAP90" s="96"/>
      <c r="VAV90" s="232"/>
      <c r="VAW90" s="95"/>
      <c r="VAX90" s="96"/>
      <c r="VBD90" s="232"/>
      <c r="VBE90" s="95"/>
      <c r="VBF90" s="96"/>
      <c r="VBL90" s="232"/>
      <c r="VBM90" s="95"/>
      <c r="VBN90" s="96"/>
      <c r="VBT90" s="232"/>
      <c r="VBU90" s="95"/>
      <c r="VBV90" s="96"/>
      <c r="VCB90" s="232"/>
      <c r="VCC90" s="95"/>
      <c r="VCD90" s="96"/>
      <c r="VCJ90" s="232"/>
      <c r="VCK90" s="95"/>
      <c r="VCL90" s="96"/>
      <c r="VCR90" s="232"/>
      <c r="VCS90" s="95"/>
      <c r="VCT90" s="96"/>
      <c r="VCZ90" s="232"/>
      <c r="VDA90" s="95"/>
      <c r="VDB90" s="96"/>
      <c r="VDH90" s="232"/>
      <c r="VDI90" s="95"/>
      <c r="VDJ90" s="96"/>
      <c r="VDP90" s="232"/>
      <c r="VDQ90" s="95"/>
      <c r="VDR90" s="96"/>
      <c r="VDX90" s="232"/>
      <c r="VDY90" s="95"/>
      <c r="VDZ90" s="96"/>
      <c r="VEF90" s="232"/>
      <c r="VEG90" s="95"/>
      <c r="VEH90" s="96"/>
      <c r="VEN90" s="232"/>
      <c r="VEO90" s="95"/>
      <c r="VEP90" s="96"/>
      <c r="VEV90" s="232"/>
      <c r="VEW90" s="95"/>
      <c r="VEX90" s="96"/>
      <c r="VFD90" s="232"/>
      <c r="VFE90" s="95"/>
      <c r="VFF90" s="96"/>
      <c r="VFL90" s="232"/>
      <c r="VFM90" s="95"/>
      <c r="VFN90" s="96"/>
      <c r="VFT90" s="232"/>
      <c r="VFU90" s="95"/>
      <c r="VFV90" s="96"/>
      <c r="VGB90" s="232"/>
      <c r="VGC90" s="95"/>
      <c r="VGD90" s="96"/>
      <c r="VGJ90" s="232"/>
      <c r="VGK90" s="95"/>
      <c r="VGL90" s="96"/>
      <c r="VGR90" s="232"/>
      <c r="VGS90" s="95"/>
      <c r="VGT90" s="96"/>
      <c r="VGZ90" s="232"/>
      <c r="VHA90" s="95"/>
      <c r="VHB90" s="96"/>
      <c r="VHH90" s="232"/>
      <c r="VHI90" s="95"/>
      <c r="VHJ90" s="96"/>
      <c r="VHP90" s="232"/>
      <c r="VHQ90" s="95"/>
      <c r="VHR90" s="96"/>
      <c r="VHX90" s="232"/>
      <c r="VHY90" s="95"/>
      <c r="VHZ90" s="96"/>
      <c r="VIF90" s="232"/>
      <c r="VIG90" s="95"/>
      <c r="VIH90" s="96"/>
      <c r="VIN90" s="232"/>
      <c r="VIO90" s="95"/>
      <c r="VIP90" s="96"/>
      <c r="VIV90" s="232"/>
      <c r="VIW90" s="95"/>
      <c r="VIX90" s="96"/>
      <c r="VJD90" s="232"/>
      <c r="VJE90" s="95"/>
      <c r="VJF90" s="96"/>
      <c r="VJL90" s="232"/>
      <c r="VJM90" s="95"/>
      <c r="VJN90" s="96"/>
      <c r="VJT90" s="232"/>
      <c r="VJU90" s="95"/>
      <c r="VJV90" s="96"/>
      <c r="VKB90" s="232"/>
      <c r="VKC90" s="95"/>
      <c r="VKD90" s="96"/>
      <c r="VKJ90" s="232"/>
      <c r="VKK90" s="95"/>
      <c r="VKL90" s="96"/>
      <c r="VKR90" s="232"/>
      <c r="VKS90" s="95"/>
      <c r="VKT90" s="96"/>
      <c r="VKZ90" s="232"/>
      <c r="VLA90" s="95"/>
      <c r="VLB90" s="96"/>
      <c r="VLH90" s="232"/>
      <c r="VLI90" s="95"/>
      <c r="VLJ90" s="96"/>
      <c r="VLP90" s="232"/>
      <c r="VLQ90" s="95"/>
      <c r="VLR90" s="96"/>
      <c r="VLX90" s="232"/>
      <c r="VLY90" s="95"/>
      <c r="VLZ90" s="96"/>
      <c r="VMF90" s="232"/>
      <c r="VMG90" s="95"/>
      <c r="VMH90" s="96"/>
      <c r="VMN90" s="232"/>
      <c r="VMO90" s="95"/>
      <c r="VMP90" s="96"/>
      <c r="VMV90" s="232"/>
      <c r="VMW90" s="95"/>
      <c r="VMX90" s="96"/>
      <c r="VND90" s="232"/>
      <c r="VNE90" s="95"/>
      <c r="VNF90" s="96"/>
      <c r="VNL90" s="232"/>
      <c r="VNM90" s="95"/>
      <c r="VNN90" s="96"/>
      <c r="VNT90" s="232"/>
      <c r="VNU90" s="95"/>
      <c r="VNV90" s="96"/>
      <c r="VOB90" s="232"/>
      <c r="VOC90" s="95"/>
      <c r="VOD90" s="96"/>
      <c r="VOJ90" s="232"/>
      <c r="VOK90" s="95"/>
      <c r="VOL90" s="96"/>
      <c r="VOR90" s="232"/>
      <c r="VOS90" s="95"/>
      <c r="VOT90" s="96"/>
      <c r="VOZ90" s="232"/>
      <c r="VPA90" s="95"/>
      <c r="VPB90" s="96"/>
      <c r="VPH90" s="232"/>
      <c r="VPI90" s="95"/>
      <c r="VPJ90" s="96"/>
      <c r="VPP90" s="232"/>
      <c r="VPQ90" s="95"/>
      <c r="VPR90" s="96"/>
      <c r="VPX90" s="232"/>
      <c r="VPY90" s="95"/>
      <c r="VPZ90" s="96"/>
      <c r="VQF90" s="232"/>
      <c r="VQG90" s="95"/>
      <c r="VQH90" s="96"/>
      <c r="VQN90" s="232"/>
      <c r="VQO90" s="95"/>
      <c r="VQP90" s="96"/>
      <c r="VQV90" s="232"/>
      <c r="VQW90" s="95"/>
      <c r="VQX90" s="96"/>
      <c r="VRD90" s="232"/>
      <c r="VRE90" s="95"/>
      <c r="VRF90" s="96"/>
      <c r="VRL90" s="232"/>
      <c r="VRM90" s="95"/>
      <c r="VRN90" s="96"/>
      <c r="VRT90" s="232"/>
      <c r="VRU90" s="95"/>
      <c r="VRV90" s="96"/>
      <c r="VSB90" s="232"/>
      <c r="VSC90" s="95"/>
      <c r="VSD90" s="96"/>
      <c r="VSJ90" s="232"/>
      <c r="VSK90" s="95"/>
      <c r="VSL90" s="96"/>
      <c r="VSR90" s="232"/>
      <c r="VSS90" s="95"/>
      <c r="VST90" s="96"/>
      <c r="VSZ90" s="232"/>
      <c r="VTA90" s="95"/>
      <c r="VTB90" s="96"/>
      <c r="VTH90" s="232"/>
      <c r="VTI90" s="95"/>
      <c r="VTJ90" s="96"/>
      <c r="VTP90" s="232"/>
      <c r="VTQ90" s="95"/>
      <c r="VTR90" s="96"/>
      <c r="VTX90" s="232"/>
      <c r="VTY90" s="95"/>
      <c r="VTZ90" s="96"/>
      <c r="VUF90" s="232"/>
      <c r="VUG90" s="95"/>
      <c r="VUH90" s="96"/>
      <c r="VUN90" s="232"/>
      <c r="VUO90" s="95"/>
      <c r="VUP90" s="96"/>
      <c r="VUV90" s="232"/>
      <c r="VUW90" s="95"/>
      <c r="VUX90" s="96"/>
      <c r="VVD90" s="232"/>
      <c r="VVE90" s="95"/>
      <c r="VVF90" s="96"/>
      <c r="VVL90" s="232"/>
      <c r="VVM90" s="95"/>
      <c r="VVN90" s="96"/>
      <c r="VVT90" s="232"/>
      <c r="VVU90" s="95"/>
      <c r="VVV90" s="96"/>
      <c r="VWB90" s="232"/>
      <c r="VWC90" s="95"/>
      <c r="VWD90" s="96"/>
      <c r="VWJ90" s="232"/>
      <c r="VWK90" s="95"/>
      <c r="VWL90" s="96"/>
      <c r="VWR90" s="232"/>
      <c r="VWS90" s="95"/>
      <c r="VWT90" s="96"/>
      <c r="VWZ90" s="232"/>
      <c r="VXA90" s="95"/>
      <c r="VXB90" s="96"/>
      <c r="VXH90" s="232"/>
      <c r="VXI90" s="95"/>
      <c r="VXJ90" s="96"/>
      <c r="VXP90" s="232"/>
      <c r="VXQ90" s="95"/>
      <c r="VXR90" s="96"/>
      <c r="VXX90" s="232"/>
      <c r="VXY90" s="95"/>
      <c r="VXZ90" s="96"/>
      <c r="VYF90" s="232"/>
      <c r="VYG90" s="95"/>
      <c r="VYH90" s="96"/>
      <c r="VYN90" s="232"/>
      <c r="VYO90" s="95"/>
      <c r="VYP90" s="96"/>
      <c r="VYV90" s="232"/>
      <c r="VYW90" s="95"/>
      <c r="VYX90" s="96"/>
      <c r="VZD90" s="232"/>
      <c r="VZE90" s="95"/>
      <c r="VZF90" s="96"/>
      <c r="VZL90" s="232"/>
      <c r="VZM90" s="95"/>
      <c r="VZN90" s="96"/>
      <c r="VZT90" s="232"/>
      <c r="VZU90" s="95"/>
      <c r="VZV90" s="96"/>
      <c r="WAB90" s="232"/>
      <c r="WAC90" s="95"/>
      <c r="WAD90" s="96"/>
      <c r="WAJ90" s="232"/>
      <c r="WAK90" s="95"/>
      <c r="WAL90" s="96"/>
      <c r="WAR90" s="232"/>
      <c r="WAS90" s="95"/>
      <c r="WAT90" s="96"/>
      <c r="WAZ90" s="232"/>
      <c r="WBA90" s="95"/>
      <c r="WBB90" s="96"/>
      <c r="WBH90" s="232"/>
      <c r="WBI90" s="95"/>
      <c r="WBJ90" s="96"/>
      <c r="WBP90" s="232"/>
      <c r="WBQ90" s="95"/>
      <c r="WBR90" s="96"/>
      <c r="WBX90" s="232"/>
      <c r="WBY90" s="95"/>
      <c r="WBZ90" s="96"/>
      <c r="WCF90" s="232"/>
      <c r="WCG90" s="95"/>
      <c r="WCH90" s="96"/>
      <c r="WCN90" s="232"/>
      <c r="WCO90" s="95"/>
      <c r="WCP90" s="96"/>
      <c r="WCV90" s="232"/>
      <c r="WCW90" s="95"/>
      <c r="WCX90" s="96"/>
      <c r="WDD90" s="232"/>
      <c r="WDE90" s="95"/>
      <c r="WDF90" s="96"/>
      <c r="WDL90" s="232"/>
      <c r="WDM90" s="95"/>
      <c r="WDN90" s="96"/>
      <c r="WDT90" s="232"/>
      <c r="WDU90" s="95"/>
      <c r="WDV90" s="96"/>
      <c r="WEB90" s="232"/>
      <c r="WEC90" s="95"/>
      <c r="WED90" s="96"/>
      <c r="WEJ90" s="232"/>
      <c r="WEK90" s="95"/>
      <c r="WEL90" s="96"/>
      <c r="WER90" s="232"/>
      <c r="WES90" s="95"/>
      <c r="WET90" s="96"/>
      <c r="WEZ90" s="232"/>
      <c r="WFA90" s="95"/>
      <c r="WFB90" s="96"/>
      <c r="WFH90" s="232"/>
      <c r="WFI90" s="95"/>
      <c r="WFJ90" s="96"/>
      <c r="WFP90" s="232"/>
      <c r="WFQ90" s="95"/>
      <c r="WFR90" s="96"/>
      <c r="WFX90" s="232"/>
      <c r="WFY90" s="95"/>
      <c r="WFZ90" s="96"/>
      <c r="WGF90" s="232"/>
      <c r="WGG90" s="95"/>
      <c r="WGH90" s="96"/>
      <c r="WGN90" s="232"/>
      <c r="WGO90" s="95"/>
      <c r="WGP90" s="96"/>
      <c r="WGV90" s="232"/>
      <c r="WGW90" s="95"/>
      <c r="WGX90" s="96"/>
      <c r="WHD90" s="232"/>
      <c r="WHE90" s="95"/>
      <c r="WHF90" s="96"/>
      <c r="WHL90" s="232"/>
      <c r="WHM90" s="95"/>
      <c r="WHN90" s="96"/>
      <c r="WHT90" s="232"/>
      <c r="WHU90" s="95"/>
      <c r="WHV90" s="96"/>
      <c r="WIB90" s="232"/>
      <c r="WIC90" s="95"/>
      <c r="WID90" s="96"/>
      <c r="WIJ90" s="232"/>
      <c r="WIK90" s="95"/>
      <c r="WIL90" s="96"/>
      <c r="WIR90" s="232"/>
      <c r="WIS90" s="95"/>
      <c r="WIT90" s="96"/>
      <c r="WIZ90" s="232"/>
      <c r="WJA90" s="95"/>
      <c r="WJB90" s="96"/>
      <c r="WJH90" s="232"/>
      <c r="WJI90" s="95"/>
      <c r="WJJ90" s="96"/>
      <c r="WJP90" s="232"/>
      <c r="WJQ90" s="95"/>
      <c r="WJR90" s="96"/>
      <c r="WJX90" s="232"/>
      <c r="WJY90" s="95"/>
      <c r="WJZ90" s="96"/>
      <c r="WKF90" s="232"/>
      <c r="WKG90" s="95"/>
      <c r="WKH90" s="96"/>
      <c r="WKN90" s="232"/>
      <c r="WKO90" s="95"/>
      <c r="WKP90" s="96"/>
      <c r="WKV90" s="232"/>
      <c r="WKW90" s="95"/>
      <c r="WKX90" s="96"/>
      <c r="WLD90" s="232"/>
      <c r="WLE90" s="95"/>
      <c r="WLF90" s="96"/>
      <c r="WLL90" s="232"/>
      <c r="WLM90" s="95"/>
      <c r="WLN90" s="96"/>
      <c r="WLT90" s="232"/>
      <c r="WLU90" s="95"/>
      <c r="WLV90" s="96"/>
      <c r="WMB90" s="232"/>
      <c r="WMC90" s="95"/>
      <c r="WMD90" s="96"/>
      <c r="WMJ90" s="232"/>
      <c r="WMK90" s="95"/>
      <c r="WML90" s="96"/>
      <c r="WMR90" s="232"/>
      <c r="WMS90" s="95"/>
      <c r="WMT90" s="96"/>
      <c r="WMZ90" s="232"/>
      <c r="WNA90" s="95"/>
      <c r="WNB90" s="96"/>
      <c r="WNH90" s="232"/>
      <c r="WNI90" s="95"/>
      <c r="WNJ90" s="96"/>
      <c r="WNP90" s="232"/>
      <c r="WNQ90" s="95"/>
      <c r="WNR90" s="96"/>
      <c r="WNX90" s="232"/>
      <c r="WNY90" s="95"/>
      <c r="WNZ90" s="96"/>
      <c r="WOF90" s="232"/>
      <c r="WOG90" s="95"/>
      <c r="WOH90" s="96"/>
      <c r="WON90" s="232"/>
      <c r="WOO90" s="95"/>
      <c r="WOP90" s="96"/>
      <c r="WOV90" s="232"/>
      <c r="WOW90" s="95"/>
      <c r="WOX90" s="96"/>
      <c r="WPD90" s="232"/>
      <c r="WPE90" s="95"/>
      <c r="WPF90" s="96"/>
      <c r="WPL90" s="232"/>
      <c r="WPM90" s="95"/>
      <c r="WPN90" s="96"/>
      <c r="WPT90" s="232"/>
      <c r="WPU90" s="95"/>
      <c r="WPV90" s="96"/>
      <c r="WQB90" s="232"/>
      <c r="WQC90" s="95"/>
      <c r="WQD90" s="96"/>
      <c r="WQJ90" s="232"/>
      <c r="WQK90" s="95"/>
      <c r="WQL90" s="96"/>
      <c r="WQR90" s="232"/>
      <c r="WQS90" s="95"/>
      <c r="WQT90" s="96"/>
      <c r="WQZ90" s="232"/>
      <c r="WRA90" s="95"/>
      <c r="WRB90" s="96"/>
      <c r="WRH90" s="232"/>
      <c r="WRI90" s="95"/>
      <c r="WRJ90" s="96"/>
      <c r="WRP90" s="232"/>
      <c r="WRQ90" s="95"/>
      <c r="WRR90" s="96"/>
      <c r="WRX90" s="232"/>
      <c r="WRY90" s="95"/>
      <c r="WRZ90" s="96"/>
      <c r="WSF90" s="232"/>
      <c r="WSG90" s="95"/>
      <c r="WSH90" s="96"/>
      <c r="WSN90" s="232"/>
      <c r="WSO90" s="95"/>
      <c r="WSP90" s="96"/>
      <c r="WSV90" s="232"/>
      <c r="WSW90" s="95"/>
      <c r="WSX90" s="96"/>
      <c r="WTD90" s="232"/>
      <c r="WTE90" s="95"/>
      <c r="WTF90" s="96"/>
      <c r="WTL90" s="232"/>
      <c r="WTM90" s="95"/>
      <c r="WTN90" s="96"/>
      <c r="WTT90" s="232"/>
      <c r="WTU90" s="95"/>
      <c r="WTV90" s="96"/>
      <c r="WUB90" s="232"/>
      <c r="WUC90" s="95"/>
      <c r="WUD90" s="96"/>
      <c r="WUJ90" s="232"/>
      <c r="WUK90" s="95"/>
      <c r="WUL90" s="96"/>
      <c r="WUR90" s="232"/>
      <c r="WUS90" s="95"/>
      <c r="WUT90" s="96"/>
      <c r="WUZ90" s="232"/>
      <c r="WVA90" s="95"/>
      <c r="WVB90" s="96"/>
      <c r="WVH90" s="232"/>
      <c r="WVI90" s="95"/>
      <c r="WVJ90" s="96"/>
      <c r="WVP90" s="232"/>
      <c r="WVQ90" s="95"/>
      <c r="WVR90" s="96"/>
      <c r="WVX90" s="232"/>
      <c r="WVY90" s="95"/>
      <c r="WVZ90" s="96"/>
      <c r="WWF90" s="232"/>
      <c r="WWG90" s="95"/>
      <c r="WWH90" s="96"/>
      <c r="WWN90" s="232"/>
      <c r="WWO90" s="95"/>
      <c r="WWP90" s="96"/>
      <c r="WWV90" s="232"/>
      <c r="WWW90" s="95"/>
      <c r="WWX90" s="96"/>
      <c r="WXD90" s="232"/>
      <c r="WXE90" s="95"/>
      <c r="WXF90" s="96"/>
      <c r="WXL90" s="232"/>
      <c r="WXM90" s="95"/>
      <c r="WXN90" s="96"/>
      <c r="WXT90" s="232"/>
      <c r="WXU90" s="95"/>
      <c r="WXV90" s="96"/>
      <c r="WYB90" s="232"/>
      <c r="WYC90" s="95"/>
      <c r="WYD90" s="96"/>
      <c r="WYJ90" s="232"/>
      <c r="WYK90" s="95"/>
      <c r="WYL90" s="96"/>
      <c r="WYR90" s="232"/>
      <c r="WYS90" s="95"/>
      <c r="WYT90" s="96"/>
      <c r="WYZ90" s="232"/>
      <c r="WZA90" s="95"/>
      <c r="WZB90" s="96"/>
      <c r="WZH90" s="232"/>
      <c r="WZI90" s="95"/>
      <c r="WZJ90" s="96"/>
      <c r="WZP90" s="232"/>
      <c r="WZQ90" s="95"/>
      <c r="WZR90" s="96"/>
      <c r="WZX90" s="232"/>
      <c r="WZY90" s="95"/>
      <c r="WZZ90" s="96"/>
      <c r="XAF90" s="232"/>
      <c r="XAG90" s="95"/>
      <c r="XAH90" s="96"/>
      <c r="XAN90" s="232"/>
      <c r="XAO90" s="95"/>
      <c r="XAP90" s="96"/>
      <c r="XAV90" s="232"/>
      <c r="XAW90" s="95"/>
      <c r="XAX90" s="96"/>
      <c r="XBD90" s="232"/>
      <c r="XBE90" s="95"/>
      <c r="XBF90" s="96"/>
      <c r="XBL90" s="232"/>
      <c r="XBM90" s="95"/>
      <c r="XBN90" s="96"/>
      <c r="XBT90" s="232"/>
      <c r="XBU90" s="95"/>
      <c r="XBV90" s="96"/>
      <c r="XCB90" s="232"/>
      <c r="XCC90" s="95"/>
      <c r="XCD90" s="96"/>
      <c r="XCJ90" s="232"/>
      <c r="XCK90" s="95"/>
      <c r="XCL90" s="96"/>
      <c r="XCR90" s="232"/>
      <c r="XCS90" s="95"/>
      <c r="XCT90" s="96"/>
      <c r="XCZ90" s="232"/>
      <c r="XDA90" s="95"/>
      <c r="XDB90" s="96"/>
      <c r="XDH90" s="232"/>
      <c r="XDI90" s="95"/>
      <c r="XDJ90" s="96"/>
      <c r="XDP90" s="232"/>
      <c r="XDQ90" s="95"/>
      <c r="XDR90" s="96"/>
      <c r="XDX90" s="232"/>
      <c r="XDY90" s="95"/>
      <c r="XDZ90" s="96"/>
      <c r="XEF90" s="232"/>
      <c r="XEG90" s="95"/>
      <c r="XEH90" s="96"/>
      <c r="XEN90" s="232"/>
      <c r="XEO90" s="95"/>
      <c r="XEP90" s="96"/>
      <c r="XEV90" s="232"/>
      <c r="XEW90" s="95"/>
      <c r="XEX90" s="96"/>
    </row>
    <row r="91" spans="1:16378" s="71" customFormat="1" ht="16.5" customHeight="1" x14ac:dyDescent="0.25">
      <c r="A91" s="103"/>
      <c r="B91" s="239"/>
      <c r="E91" s="102"/>
      <c r="F91" s="102"/>
      <c r="G91" s="102"/>
    </row>
    <row r="92" spans="1:16378" ht="33" customHeight="1" x14ac:dyDescent="0.3">
      <c r="A92" s="428" t="s">
        <v>1355</v>
      </c>
      <c r="B92" s="428"/>
      <c r="C92" s="428"/>
      <c r="D92" s="428"/>
      <c r="E92" s="428"/>
      <c r="F92" s="428"/>
      <c r="G92" s="428"/>
    </row>
    <row r="93" spans="1:16378" ht="12.75" customHeight="1" x14ac:dyDescent="0.25">
      <c r="A93" s="429" t="s">
        <v>1337</v>
      </c>
      <c r="B93" s="429"/>
      <c r="C93" s="429"/>
      <c r="D93" s="429"/>
      <c r="E93" s="429"/>
      <c r="F93" s="429"/>
      <c r="G93" s="429"/>
    </row>
    <row r="94" spans="1:16378" x14ac:dyDescent="0.25">
      <c r="A94" s="77"/>
      <c r="B94" s="238"/>
      <c r="C94" s="77"/>
      <c r="D94" s="77"/>
      <c r="E94" s="77"/>
      <c r="F94" s="77"/>
      <c r="G94" s="77"/>
    </row>
    <row r="95" spans="1:16378" ht="15" customHeight="1" x14ac:dyDescent="0.25">
      <c r="A95" s="430" t="s">
        <v>1038</v>
      </c>
      <c r="B95" s="430" t="s">
        <v>1037</v>
      </c>
      <c r="C95" s="419" t="s">
        <v>91</v>
      </c>
      <c r="D95" s="419" t="s">
        <v>90</v>
      </c>
      <c r="E95" s="419" t="s">
        <v>89</v>
      </c>
      <c r="F95" s="419" t="s">
        <v>1186</v>
      </c>
      <c r="G95" s="419"/>
    </row>
    <row r="96" spans="1:16378" ht="50.15" customHeight="1" x14ac:dyDescent="0.25">
      <c r="A96" s="430"/>
      <c r="B96" s="430"/>
      <c r="C96" s="419"/>
      <c r="D96" s="419"/>
      <c r="E96" s="419"/>
      <c r="F96" s="5" t="s">
        <v>88</v>
      </c>
      <c r="G96" s="5" t="s">
        <v>87</v>
      </c>
    </row>
    <row r="97" spans="1:8" x14ac:dyDescent="0.25">
      <c r="A97" s="233"/>
      <c r="B97" s="236"/>
      <c r="C97" s="236"/>
      <c r="D97" s="235"/>
      <c r="E97" s="235"/>
      <c r="F97" s="235"/>
      <c r="G97" s="260"/>
    </row>
    <row r="98" spans="1:8" s="83" customFormat="1" ht="12.75" customHeight="1" x14ac:dyDescent="0.3">
      <c r="A98" s="88" t="s">
        <v>1027</v>
      </c>
      <c r="B98" s="111" t="s">
        <v>1028</v>
      </c>
      <c r="C98" s="248">
        <v>29920.57</v>
      </c>
      <c r="D98" s="248">
        <v>1375.0250000000001</v>
      </c>
      <c r="E98" s="249">
        <f>IF(C98&lt;&gt;"",D98/C98*100,"")</f>
        <v>4.5955842418777451</v>
      </c>
      <c r="F98" s="248">
        <v>27658.68</v>
      </c>
      <c r="G98" s="250">
        <v>32182.46</v>
      </c>
      <c r="H98" s="82"/>
    </row>
    <row r="99" spans="1:8" ht="25.5" x14ac:dyDescent="0.3">
      <c r="A99" s="85" t="s">
        <v>250</v>
      </c>
      <c r="B99" s="90" t="s">
        <v>1118</v>
      </c>
      <c r="C99" s="254">
        <v>28392.89</v>
      </c>
      <c r="D99" s="254">
        <v>1597.431</v>
      </c>
      <c r="E99" s="255">
        <f>IF(C99&lt;&gt;"",D99/C99*100,"")</f>
        <v>5.6261655646889066</v>
      </c>
      <c r="F99" s="254">
        <v>25765.14</v>
      </c>
      <c r="G99" s="256">
        <v>31020.63</v>
      </c>
      <c r="H99" s="82"/>
    </row>
    <row r="100" spans="1:8" ht="25.5" x14ac:dyDescent="0.3">
      <c r="A100" s="85" t="s">
        <v>209</v>
      </c>
      <c r="B100" s="90" t="s">
        <v>1119</v>
      </c>
      <c r="C100" s="254">
        <v>39869.949999999997</v>
      </c>
      <c r="D100" s="254">
        <v>3850.6779999999999</v>
      </c>
      <c r="E100" s="255">
        <f>IF(C100&lt;&gt;"",D100/C100*100,"")</f>
        <v>9.6580958842436484</v>
      </c>
      <c r="F100" s="254">
        <v>33535.65</v>
      </c>
      <c r="G100" s="256">
        <v>46204.25</v>
      </c>
      <c r="H100" s="82"/>
    </row>
    <row r="101" spans="1:8" s="83" customFormat="1" ht="27" customHeight="1" x14ac:dyDescent="0.3">
      <c r="A101" s="85" t="s">
        <v>1026</v>
      </c>
      <c r="B101" s="90" t="s">
        <v>1120</v>
      </c>
      <c r="C101" s="254">
        <v>35388.99</v>
      </c>
      <c r="D101" s="254">
        <v>2205.8719999999998</v>
      </c>
      <c r="E101" s="255">
        <f>IF(C101&lt;&gt;"",D101/C101*100,"")</f>
        <v>6.2332154718176467</v>
      </c>
      <c r="F101" s="254">
        <v>31760.36</v>
      </c>
      <c r="G101" s="256">
        <v>39017.61</v>
      </c>
      <c r="H101" s="82"/>
    </row>
    <row r="102" spans="1:8" s="83" customFormat="1" ht="13" x14ac:dyDescent="0.3">
      <c r="A102" s="100"/>
      <c r="B102" s="265"/>
      <c r="C102" s="266"/>
      <c r="D102" s="91"/>
      <c r="E102" s="91"/>
      <c r="F102" s="91"/>
      <c r="G102" s="253"/>
    </row>
    <row r="103" spans="1:8" s="83" customFormat="1" ht="14.25" customHeight="1" x14ac:dyDescent="0.3">
      <c r="A103" s="88" t="s">
        <v>192</v>
      </c>
      <c r="B103" s="111" t="s">
        <v>1025</v>
      </c>
      <c r="C103" s="248">
        <v>23973.71</v>
      </c>
      <c r="D103" s="248">
        <v>1288.1610000000001</v>
      </c>
      <c r="E103" s="249">
        <f>IF(C103&lt;&gt;"",D103/C103*100,"")</f>
        <v>5.3732234184863339</v>
      </c>
      <c r="F103" s="248">
        <v>21854.7</v>
      </c>
      <c r="G103" s="250">
        <v>26092.71</v>
      </c>
      <c r="H103" s="82"/>
    </row>
    <row r="104" spans="1:8" s="83" customFormat="1" ht="13" x14ac:dyDescent="0.3">
      <c r="A104" s="101"/>
      <c r="B104" s="267"/>
      <c r="C104" s="267"/>
      <c r="D104" s="91"/>
      <c r="E104" s="91"/>
      <c r="F104" s="91"/>
      <c r="G104" s="253"/>
    </row>
    <row r="105" spans="1:8" s="83" customFormat="1" ht="26.25" customHeight="1" x14ac:dyDescent="0.3">
      <c r="A105" s="88" t="s">
        <v>1023</v>
      </c>
      <c r="B105" s="111" t="s">
        <v>1121</v>
      </c>
      <c r="C105" s="254">
        <v>32553.32</v>
      </c>
      <c r="D105" s="254">
        <v>2101.5479999999998</v>
      </c>
      <c r="E105" s="255">
        <f t="shared" ref="E105:E112" si="4">IF(C105&lt;&gt;"",D105/C105*100,"")</f>
        <v>6.4557102009871805</v>
      </c>
      <c r="F105" s="254">
        <v>29096.3</v>
      </c>
      <c r="G105" s="256">
        <v>36010.33</v>
      </c>
      <c r="H105" s="82"/>
    </row>
    <row r="106" spans="1:8" ht="26.25" customHeight="1" x14ac:dyDescent="0.3">
      <c r="A106" s="85" t="s">
        <v>1022</v>
      </c>
      <c r="B106" s="204" t="s">
        <v>1267</v>
      </c>
      <c r="C106" s="254">
        <v>33135.01</v>
      </c>
      <c r="D106" s="254">
        <v>2293.6109999999999</v>
      </c>
      <c r="E106" s="255">
        <f t="shared" si="4"/>
        <v>6.9220169240932776</v>
      </c>
      <c r="F106" s="254">
        <v>29362.06</v>
      </c>
      <c r="G106" s="256">
        <v>36907.96</v>
      </c>
      <c r="H106" s="82"/>
    </row>
    <row r="107" spans="1:8" ht="28.5" customHeight="1" x14ac:dyDescent="0.3">
      <c r="A107" s="85" t="s">
        <v>1190</v>
      </c>
      <c r="B107" s="204" t="s">
        <v>1270</v>
      </c>
      <c r="C107" s="254">
        <v>45300.63</v>
      </c>
      <c r="D107" s="254">
        <v>7333.6679999999997</v>
      </c>
      <c r="E107" s="255">
        <f t="shared" si="4"/>
        <v>16.18888743931376</v>
      </c>
      <c r="F107" s="254">
        <v>33236.870000000003</v>
      </c>
      <c r="G107" s="256">
        <v>57364.39</v>
      </c>
      <c r="H107" s="82"/>
    </row>
    <row r="108" spans="1:8" ht="23" x14ac:dyDescent="0.3">
      <c r="A108" s="85" t="s">
        <v>1191</v>
      </c>
      <c r="B108" s="204" t="s">
        <v>1272</v>
      </c>
      <c r="C108" s="254">
        <v>33146.81</v>
      </c>
      <c r="D108" s="254">
        <v>4378.1409999999996</v>
      </c>
      <c r="E108" s="255">
        <f t="shared" si="4"/>
        <v>13.208332868230761</v>
      </c>
      <c r="F108" s="254">
        <v>25944.84</v>
      </c>
      <c r="G108" s="256">
        <v>40348.769999999997</v>
      </c>
      <c r="H108" s="82"/>
    </row>
    <row r="109" spans="1:8" ht="14" x14ac:dyDescent="0.3">
      <c r="A109" s="85" t="s">
        <v>1192</v>
      </c>
      <c r="B109" s="204" t="s">
        <v>1275</v>
      </c>
      <c r="C109" s="254">
        <v>29736.54</v>
      </c>
      <c r="D109" s="254">
        <v>6990.1880000000001</v>
      </c>
      <c r="E109" s="255">
        <f t="shared" si="4"/>
        <v>23.507065717800391</v>
      </c>
      <c r="F109" s="254">
        <v>18237.8</v>
      </c>
      <c r="G109" s="256">
        <v>41235.279999999999</v>
      </c>
      <c r="H109" s="82"/>
    </row>
    <row r="110" spans="1:8" ht="14" x14ac:dyDescent="0.3">
      <c r="A110" s="85" t="s">
        <v>1193</v>
      </c>
      <c r="B110" s="204" t="s">
        <v>1276</v>
      </c>
      <c r="C110" s="254">
        <v>23848.42</v>
      </c>
      <c r="D110" s="254">
        <v>2702.6979999999999</v>
      </c>
      <c r="E110" s="255">
        <f t="shared" si="4"/>
        <v>11.332817855438641</v>
      </c>
      <c r="F110" s="254">
        <v>19402.52</v>
      </c>
      <c r="G110" s="256">
        <v>28294.31</v>
      </c>
      <c r="H110" s="82"/>
    </row>
    <row r="111" spans="1:8" ht="14" x14ac:dyDescent="0.3">
      <c r="A111" s="85" t="s">
        <v>1194</v>
      </c>
      <c r="B111" s="204" t="s">
        <v>1280</v>
      </c>
      <c r="C111" s="254">
        <v>35387.599999999999</v>
      </c>
      <c r="D111" s="254">
        <v>6980.7370000000001</v>
      </c>
      <c r="E111" s="255">
        <f t="shared" si="4"/>
        <v>19.726505894720187</v>
      </c>
      <c r="F111" s="254">
        <v>23904.41</v>
      </c>
      <c r="G111" s="256">
        <v>46870.8</v>
      </c>
      <c r="H111" s="82"/>
    </row>
    <row r="112" spans="1:8" ht="14" x14ac:dyDescent="0.3">
      <c r="A112" s="85" t="s">
        <v>1195</v>
      </c>
      <c r="B112" s="204" t="s">
        <v>1281</v>
      </c>
      <c r="C112" s="254">
        <v>18224.62</v>
      </c>
      <c r="D112" s="254">
        <v>472.40699999999998</v>
      </c>
      <c r="E112" s="255">
        <f t="shared" si="4"/>
        <v>2.5921363518141942</v>
      </c>
      <c r="F112" s="254">
        <v>17447.52</v>
      </c>
      <c r="G112" s="256">
        <v>19001.72</v>
      </c>
      <c r="H112" s="82"/>
    </row>
    <row r="113" spans="1:8" x14ac:dyDescent="0.25">
      <c r="A113" s="85"/>
      <c r="B113" s="90"/>
      <c r="C113" s="96"/>
      <c r="D113" s="91"/>
      <c r="E113" s="91"/>
      <c r="F113" s="91"/>
      <c r="G113" s="253"/>
    </row>
    <row r="114" spans="1:8" s="83" customFormat="1" ht="12.75" customHeight="1" x14ac:dyDescent="0.3">
      <c r="A114" s="88" t="s">
        <v>1020</v>
      </c>
      <c r="B114" s="111" t="s">
        <v>1021</v>
      </c>
      <c r="C114" s="248">
        <v>23126.6</v>
      </c>
      <c r="D114" s="248">
        <v>974.95119999999997</v>
      </c>
      <c r="E114" s="249">
        <f t="shared" ref="E114:E122" si="5">IF(C114&lt;&gt;"",D114/C114*100,"")</f>
        <v>4.2157135073897587</v>
      </c>
      <c r="F114" s="248">
        <v>21522.82</v>
      </c>
      <c r="G114" s="250">
        <v>24730.38</v>
      </c>
      <c r="H114" s="82"/>
    </row>
    <row r="115" spans="1:8" ht="25.5" customHeight="1" x14ac:dyDescent="0.3">
      <c r="A115" s="85" t="s">
        <v>1019</v>
      </c>
      <c r="B115" s="204" t="s">
        <v>1285</v>
      </c>
      <c r="C115" s="254">
        <v>16039.82</v>
      </c>
      <c r="D115" s="254">
        <v>670.39329999999995</v>
      </c>
      <c r="E115" s="255">
        <f t="shared" si="5"/>
        <v>4.1795562543719313</v>
      </c>
      <c r="F115" s="254">
        <v>14937.04</v>
      </c>
      <c r="G115" s="256">
        <v>17142.61</v>
      </c>
      <c r="H115" s="82"/>
    </row>
    <row r="116" spans="1:8" ht="14" x14ac:dyDescent="0.3">
      <c r="A116" s="85" t="s">
        <v>1017</v>
      </c>
      <c r="B116" s="204" t="s">
        <v>1018</v>
      </c>
      <c r="C116" s="254">
        <v>18258.53</v>
      </c>
      <c r="D116" s="254">
        <v>2486.779</v>
      </c>
      <c r="E116" s="255">
        <f t="shared" si="5"/>
        <v>13.619820434613302</v>
      </c>
      <c r="F116" s="254">
        <v>14167.82</v>
      </c>
      <c r="G116" s="256">
        <v>22349.24</v>
      </c>
      <c r="H116" s="82"/>
    </row>
    <row r="117" spans="1:8" ht="23" x14ac:dyDescent="0.3">
      <c r="A117" s="85" t="s">
        <v>135</v>
      </c>
      <c r="B117" s="204" t="s">
        <v>1344</v>
      </c>
      <c r="C117" s="254">
        <v>26882.48</v>
      </c>
      <c r="D117" s="254">
        <v>2362.971</v>
      </c>
      <c r="E117" s="255">
        <f t="shared" si="5"/>
        <v>8.7900037496540495</v>
      </c>
      <c r="F117" s="254">
        <v>22995.439999999999</v>
      </c>
      <c r="G117" s="256">
        <v>30769.53</v>
      </c>
      <c r="H117" s="82"/>
    </row>
    <row r="118" spans="1:8" ht="14" x14ac:dyDescent="0.3">
      <c r="A118" s="85" t="s">
        <v>1196</v>
      </c>
      <c r="B118" s="204" t="s">
        <v>1290</v>
      </c>
      <c r="C118" s="254">
        <v>15445.51</v>
      </c>
      <c r="D118" s="254">
        <v>195.2912</v>
      </c>
      <c r="E118" s="255">
        <f t="shared" si="5"/>
        <v>1.2643881619965931</v>
      </c>
      <c r="F118" s="254">
        <v>15124.26</v>
      </c>
      <c r="G118" s="256">
        <v>15766.76</v>
      </c>
      <c r="H118" s="82"/>
    </row>
    <row r="119" spans="1:8" ht="14" x14ac:dyDescent="0.3">
      <c r="A119" s="85" t="s">
        <v>1197</v>
      </c>
      <c r="B119" s="204" t="s">
        <v>1292</v>
      </c>
      <c r="C119" s="254">
        <v>15669.35</v>
      </c>
      <c r="D119" s="254">
        <v>376.05849999999998</v>
      </c>
      <c r="E119" s="255">
        <f t="shared" si="5"/>
        <v>2.3999623468746312</v>
      </c>
      <c r="F119" s="254">
        <v>15050.74</v>
      </c>
      <c r="G119" s="256">
        <v>16287.96</v>
      </c>
      <c r="H119" s="82"/>
    </row>
    <row r="120" spans="1:8" ht="34.5" x14ac:dyDescent="0.3">
      <c r="A120" s="85" t="s">
        <v>1347</v>
      </c>
      <c r="B120" s="204" t="s">
        <v>1293</v>
      </c>
      <c r="C120" s="254">
        <v>27149.49</v>
      </c>
      <c r="D120" s="254">
        <v>3095.8180000000002</v>
      </c>
      <c r="E120" s="255">
        <f t="shared" si="5"/>
        <v>11.402858764566112</v>
      </c>
      <c r="F120" s="254">
        <v>22056.92</v>
      </c>
      <c r="G120" s="256">
        <v>32242.06</v>
      </c>
      <c r="H120" s="82"/>
    </row>
    <row r="121" spans="1:8" ht="14" x14ac:dyDescent="0.3">
      <c r="A121" s="85" t="s">
        <v>120</v>
      </c>
      <c r="B121" s="204" t="s">
        <v>1294</v>
      </c>
      <c r="C121" s="254">
        <v>26831.68</v>
      </c>
      <c r="D121" s="254">
        <v>1272.008</v>
      </c>
      <c r="E121" s="255">
        <f t="shared" si="5"/>
        <v>4.7406945819270359</v>
      </c>
      <c r="F121" s="254">
        <v>24739.25</v>
      </c>
      <c r="G121" s="256">
        <v>28924.11</v>
      </c>
      <c r="H121" s="82"/>
    </row>
    <row r="122" spans="1:8" ht="14.25" customHeight="1" x14ac:dyDescent="0.3">
      <c r="A122" s="85" t="s">
        <v>96</v>
      </c>
      <c r="B122" s="204" t="s">
        <v>1297</v>
      </c>
      <c r="C122" s="254">
        <v>40273.4</v>
      </c>
      <c r="D122" s="254">
        <v>3303.69</v>
      </c>
      <c r="E122" s="255">
        <f t="shared" si="5"/>
        <v>8.2031564258294551</v>
      </c>
      <c r="F122" s="254">
        <v>34838.89</v>
      </c>
      <c r="G122" s="256">
        <v>45707.92</v>
      </c>
    </row>
    <row r="123" spans="1:8" ht="4.5" customHeight="1" x14ac:dyDescent="0.3">
      <c r="A123" s="92"/>
      <c r="B123" s="240"/>
      <c r="C123" s="241"/>
      <c r="D123" s="241"/>
      <c r="E123" s="242"/>
      <c r="F123" s="241"/>
      <c r="G123" s="268"/>
    </row>
    <row r="124" spans="1:8" ht="36.75" customHeight="1" x14ac:dyDescent="0.3">
      <c r="A124" s="428" t="s">
        <v>1355</v>
      </c>
      <c r="B124" s="428"/>
      <c r="C124" s="428"/>
      <c r="D124" s="428"/>
      <c r="E124" s="428"/>
      <c r="F124" s="428"/>
      <c r="G124" s="428"/>
    </row>
    <row r="125" spans="1:8" ht="12.75" customHeight="1" x14ac:dyDescent="0.25">
      <c r="A125" s="429" t="s">
        <v>1337</v>
      </c>
      <c r="B125" s="429"/>
      <c r="C125" s="429"/>
      <c r="D125" s="429"/>
      <c r="E125" s="429"/>
      <c r="F125" s="429"/>
      <c r="G125" s="429"/>
    </row>
    <row r="126" spans="1:8" ht="10.5" customHeight="1" x14ac:dyDescent="0.25">
      <c r="A126" s="77"/>
      <c r="B126" s="238"/>
      <c r="C126" s="77"/>
      <c r="D126" s="77"/>
      <c r="E126" s="77"/>
      <c r="F126" s="77"/>
      <c r="G126" s="77"/>
    </row>
    <row r="127" spans="1:8" ht="15" customHeight="1" x14ac:dyDescent="0.25">
      <c r="A127" s="430" t="s">
        <v>1038</v>
      </c>
      <c r="B127" s="430" t="s">
        <v>1037</v>
      </c>
      <c r="C127" s="419" t="s">
        <v>91</v>
      </c>
      <c r="D127" s="419" t="s">
        <v>90</v>
      </c>
      <c r="E127" s="419" t="s">
        <v>89</v>
      </c>
      <c r="F127" s="419" t="s">
        <v>1186</v>
      </c>
      <c r="G127" s="419"/>
    </row>
    <row r="128" spans="1:8" ht="50.15" customHeight="1" x14ac:dyDescent="0.25">
      <c r="A128" s="430"/>
      <c r="B128" s="430"/>
      <c r="C128" s="419"/>
      <c r="D128" s="419"/>
      <c r="E128" s="419"/>
      <c r="F128" s="5" t="s">
        <v>88</v>
      </c>
      <c r="G128" s="5" t="s">
        <v>87</v>
      </c>
    </row>
    <row r="129" spans="1:8" x14ac:dyDescent="0.25">
      <c r="A129" s="233"/>
      <c r="B129" s="236"/>
      <c r="C129" s="236"/>
      <c r="D129" s="235"/>
      <c r="E129" s="235"/>
      <c r="F129" s="235"/>
      <c r="G129" s="260"/>
    </row>
    <row r="130" spans="1:8" s="83" customFormat="1" ht="14" x14ac:dyDescent="0.3">
      <c r="A130" s="88" t="s">
        <v>54</v>
      </c>
      <c r="B130" s="111" t="s">
        <v>1015</v>
      </c>
      <c r="C130" s="248">
        <v>17898.12</v>
      </c>
      <c r="D130" s="248">
        <v>513.99770000000001</v>
      </c>
      <c r="E130" s="249">
        <f>IF(C130&lt;&gt;"",D130/C130*100,"")</f>
        <v>2.8717971496447672</v>
      </c>
      <c r="F130" s="248">
        <v>17052.61</v>
      </c>
      <c r="G130" s="250">
        <v>18743.64</v>
      </c>
      <c r="H130" s="82"/>
    </row>
    <row r="131" spans="1:8" ht="13" x14ac:dyDescent="0.3">
      <c r="A131" s="85"/>
      <c r="B131" s="269"/>
      <c r="C131" s="269"/>
      <c r="D131" s="91"/>
      <c r="E131" s="91"/>
      <c r="F131" s="91"/>
      <c r="G131" s="253"/>
      <c r="H131" s="82"/>
    </row>
    <row r="132" spans="1:8" s="83" customFormat="1" ht="14" x14ac:dyDescent="0.3">
      <c r="A132" s="88" t="s">
        <v>1013</v>
      </c>
      <c r="B132" s="111" t="s">
        <v>1014</v>
      </c>
      <c r="C132" s="248">
        <v>18813.97</v>
      </c>
      <c r="D132" s="248">
        <v>410.11290000000002</v>
      </c>
      <c r="E132" s="249">
        <f>IF(C132&lt;&gt;"",D132/C132*100,"")</f>
        <v>2.1798317952032455</v>
      </c>
      <c r="F132" s="248">
        <v>18139.34</v>
      </c>
      <c r="G132" s="250">
        <v>19488.599999999999</v>
      </c>
      <c r="H132" s="82"/>
    </row>
    <row r="133" spans="1:8" ht="12.75" customHeight="1" x14ac:dyDescent="0.3">
      <c r="A133" s="85" t="s">
        <v>22</v>
      </c>
      <c r="B133" s="90" t="s">
        <v>52</v>
      </c>
      <c r="C133" s="254">
        <v>18778.240000000002</v>
      </c>
      <c r="D133" s="254">
        <v>420.50569999999999</v>
      </c>
      <c r="E133" s="255">
        <f>IF(C133&lt;&gt;"",D133/C133*100,"")</f>
        <v>2.2393243456255747</v>
      </c>
      <c r="F133" s="254">
        <v>18086.509999999998</v>
      </c>
      <c r="G133" s="256">
        <v>19469.96</v>
      </c>
      <c r="H133" s="82"/>
    </row>
    <row r="134" spans="1:8" ht="25.5" x14ac:dyDescent="0.3">
      <c r="A134" s="85" t="s">
        <v>1012</v>
      </c>
      <c r="B134" s="90" t="s">
        <v>1122</v>
      </c>
      <c r="C134" s="254">
        <v>20243.68</v>
      </c>
      <c r="D134" s="254">
        <v>768.89970000000005</v>
      </c>
      <c r="E134" s="255">
        <f>IF(C134&lt;&gt;"",D134/C134*100,"")</f>
        <v>3.7982209756328893</v>
      </c>
      <c r="F134" s="254">
        <v>18978.86</v>
      </c>
      <c r="G134" s="256">
        <v>21508.51</v>
      </c>
      <c r="H134" s="82"/>
    </row>
    <row r="135" spans="1:8" x14ac:dyDescent="0.25">
      <c r="A135" s="85"/>
      <c r="B135" s="90"/>
      <c r="C135" s="90"/>
      <c r="D135" s="91"/>
      <c r="E135" s="91"/>
      <c r="F135" s="91"/>
      <c r="G135" s="253"/>
    </row>
    <row r="136" spans="1:8" s="83" customFormat="1" ht="14" x14ac:dyDescent="0.3">
      <c r="A136" s="88" t="s">
        <v>1008</v>
      </c>
      <c r="B136" s="111" t="s">
        <v>1009</v>
      </c>
      <c r="C136" s="248">
        <v>22679.97</v>
      </c>
      <c r="D136" s="248">
        <v>2691.9520000000002</v>
      </c>
      <c r="E136" s="249">
        <f>IF(C136&lt;&gt;"",D136/C136*100,"")</f>
        <v>11.869292596066044</v>
      </c>
      <c r="F136" s="248">
        <v>18251.75</v>
      </c>
      <c r="G136" s="250">
        <v>27108.18</v>
      </c>
      <c r="H136" s="82"/>
    </row>
    <row r="137" spans="1:8" s="83" customFormat="1" ht="14" x14ac:dyDescent="0.3">
      <c r="A137" s="85" t="s">
        <v>1200</v>
      </c>
      <c r="B137" s="204" t="s">
        <v>1309</v>
      </c>
      <c r="C137" s="254">
        <v>17009.78</v>
      </c>
      <c r="D137" s="254">
        <v>568.61159999999995</v>
      </c>
      <c r="E137" s="255">
        <f>IF(C137&lt;&gt;"",D137/C137*100,"")</f>
        <v>3.342850995133388</v>
      </c>
      <c r="F137" s="254">
        <v>16074.42</v>
      </c>
      <c r="G137" s="256">
        <v>17945.13</v>
      </c>
      <c r="H137" s="82"/>
    </row>
    <row r="138" spans="1:8" s="83" customFormat="1" ht="14" x14ac:dyDescent="0.3">
      <c r="A138" s="85" t="s">
        <v>1201</v>
      </c>
      <c r="B138" s="204" t="s">
        <v>1311</v>
      </c>
      <c r="C138" s="254">
        <v>17347.939999999999</v>
      </c>
      <c r="D138" s="254">
        <v>452.25920000000002</v>
      </c>
      <c r="E138" s="255">
        <f>IF(C138&lt;&gt;"",D138/C138*100,"")</f>
        <v>2.6069908012132856</v>
      </c>
      <c r="F138" s="254">
        <v>16603.98</v>
      </c>
      <c r="G138" s="256">
        <v>18091.900000000001</v>
      </c>
      <c r="H138" s="82"/>
    </row>
    <row r="139" spans="1:8" s="83" customFormat="1" ht="14" x14ac:dyDescent="0.3">
      <c r="A139" s="85" t="s">
        <v>1202</v>
      </c>
      <c r="B139" s="204" t="s">
        <v>1312</v>
      </c>
      <c r="C139" s="254">
        <v>33133.879999999997</v>
      </c>
      <c r="D139" s="254">
        <v>3270.9639999999999</v>
      </c>
      <c r="E139" s="255">
        <f>IF(C139&lt;&gt;"",D139/C139*100,"")</f>
        <v>9.8719618710516244</v>
      </c>
      <c r="F139" s="254">
        <v>27753.200000000001</v>
      </c>
      <c r="G139" s="256">
        <v>38514.559999999998</v>
      </c>
      <c r="H139" s="82"/>
    </row>
    <row r="140" spans="1:8" s="83" customFormat="1" ht="14" x14ac:dyDescent="0.3">
      <c r="A140" s="85" t="s">
        <v>1203</v>
      </c>
      <c r="B140" s="204" t="s">
        <v>1315</v>
      </c>
      <c r="C140" s="254">
        <v>13542.82</v>
      </c>
      <c r="D140" s="254">
        <v>313.4314</v>
      </c>
      <c r="E140" s="255">
        <f>IF(C140&lt;&gt;"",D140/C140*100,"")</f>
        <v>2.3143732250742461</v>
      </c>
      <c r="F140" s="254">
        <v>13027.23</v>
      </c>
      <c r="G140" s="256">
        <v>14058.41</v>
      </c>
      <c r="H140" s="82"/>
    </row>
    <row r="141" spans="1:8" ht="11.25" customHeight="1" x14ac:dyDescent="0.25">
      <c r="A141" s="85"/>
      <c r="B141" s="90"/>
      <c r="C141" s="90"/>
      <c r="D141" s="91"/>
      <c r="E141" s="91"/>
      <c r="F141" s="91"/>
      <c r="G141" s="253"/>
    </row>
    <row r="142" spans="1:8" s="83" customFormat="1" ht="26.25" customHeight="1" x14ac:dyDescent="0.3">
      <c r="A142" s="88" t="s">
        <v>1006</v>
      </c>
      <c r="B142" s="107" t="s">
        <v>1074</v>
      </c>
      <c r="C142" s="248">
        <v>15228.33</v>
      </c>
      <c r="D142" s="248">
        <v>193.66470000000001</v>
      </c>
      <c r="E142" s="249">
        <f>IF(C142&lt;&gt;"",D142/C142*100,"")</f>
        <v>1.2717395801115421</v>
      </c>
      <c r="F142" s="248">
        <v>14909.75</v>
      </c>
      <c r="G142" s="250">
        <v>15546.9</v>
      </c>
      <c r="H142" s="82"/>
    </row>
    <row r="143" spans="1:8" ht="14" x14ac:dyDescent="0.3">
      <c r="A143" s="85" t="s">
        <v>1004</v>
      </c>
      <c r="B143" s="95" t="s">
        <v>1098</v>
      </c>
      <c r="C143" s="254">
        <v>16014.77</v>
      </c>
      <c r="D143" s="254">
        <v>340.26639999999998</v>
      </c>
      <c r="E143" s="255">
        <f>IF(C143&lt;&gt;"",D143/C143*100,"")</f>
        <v>2.1247036329588247</v>
      </c>
      <c r="F143" s="254">
        <v>15455.04</v>
      </c>
      <c r="G143" s="256">
        <v>16574.5</v>
      </c>
      <c r="H143" s="82"/>
    </row>
    <row r="144" spans="1:8" ht="14" x14ac:dyDescent="0.3">
      <c r="A144" s="85" t="s">
        <v>6</v>
      </c>
      <c r="B144" s="237" t="s">
        <v>1097</v>
      </c>
      <c r="C144" s="254">
        <v>15030.91</v>
      </c>
      <c r="D144" s="254">
        <v>224.42910000000001</v>
      </c>
      <c r="E144" s="255">
        <f>IF(C144&lt;&gt;"",D144/C144*100,"")</f>
        <v>1.4931171831911707</v>
      </c>
      <c r="F144" s="254">
        <v>14661.73</v>
      </c>
      <c r="G144" s="256">
        <v>15400.09</v>
      </c>
      <c r="H144" s="82"/>
    </row>
    <row r="145" spans="1:16378" s="91" customFormat="1" ht="5.5" customHeight="1" x14ac:dyDescent="0.25">
      <c r="A145" s="92"/>
      <c r="B145" s="231"/>
      <c r="C145" s="93"/>
      <c r="D145" s="94"/>
      <c r="E145" s="94"/>
      <c r="F145" s="94"/>
      <c r="G145" s="257"/>
      <c r="H145" s="232"/>
      <c r="I145" s="95"/>
      <c r="J145" s="96"/>
      <c r="P145" s="232"/>
      <c r="Q145" s="95"/>
      <c r="R145" s="96"/>
      <c r="X145" s="232"/>
      <c r="Y145" s="95"/>
      <c r="Z145" s="96"/>
      <c r="AF145" s="232"/>
      <c r="AG145" s="95"/>
      <c r="AH145" s="96"/>
      <c r="AN145" s="232"/>
      <c r="AO145" s="95"/>
      <c r="AP145" s="96"/>
      <c r="AV145" s="232"/>
      <c r="AW145" s="95"/>
      <c r="AX145" s="96"/>
      <c r="BD145" s="232"/>
      <c r="BE145" s="95"/>
      <c r="BF145" s="96"/>
      <c r="BL145" s="232"/>
      <c r="BM145" s="95"/>
      <c r="BN145" s="96"/>
      <c r="BT145" s="232"/>
      <c r="BU145" s="95"/>
      <c r="BV145" s="96"/>
      <c r="CB145" s="232"/>
      <c r="CC145" s="95"/>
      <c r="CD145" s="96"/>
      <c r="CJ145" s="232"/>
      <c r="CK145" s="95"/>
      <c r="CL145" s="96"/>
      <c r="CR145" s="232"/>
      <c r="CS145" s="95"/>
      <c r="CT145" s="96"/>
      <c r="CZ145" s="232"/>
      <c r="DA145" s="95"/>
      <c r="DB145" s="96"/>
      <c r="DH145" s="232"/>
      <c r="DI145" s="95"/>
      <c r="DJ145" s="96"/>
      <c r="DP145" s="232"/>
      <c r="DQ145" s="95"/>
      <c r="DR145" s="96"/>
      <c r="DX145" s="232"/>
      <c r="DY145" s="95"/>
      <c r="DZ145" s="96"/>
      <c r="EF145" s="232"/>
      <c r="EG145" s="95"/>
      <c r="EH145" s="96"/>
      <c r="EN145" s="232"/>
      <c r="EO145" s="95"/>
      <c r="EP145" s="96"/>
      <c r="EV145" s="232"/>
      <c r="EW145" s="95"/>
      <c r="EX145" s="96"/>
      <c r="FD145" s="232"/>
      <c r="FE145" s="95"/>
      <c r="FF145" s="96"/>
      <c r="FL145" s="232"/>
      <c r="FM145" s="95"/>
      <c r="FN145" s="96"/>
      <c r="FT145" s="232"/>
      <c r="FU145" s="95"/>
      <c r="FV145" s="96"/>
      <c r="GB145" s="232"/>
      <c r="GC145" s="95"/>
      <c r="GD145" s="96"/>
      <c r="GJ145" s="232"/>
      <c r="GK145" s="95"/>
      <c r="GL145" s="96"/>
      <c r="GR145" s="232"/>
      <c r="GS145" s="95"/>
      <c r="GT145" s="96"/>
      <c r="GZ145" s="232"/>
      <c r="HA145" s="95"/>
      <c r="HB145" s="96"/>
      <c r="HH145" s="232"/>
      <c r="HI145" s="95"/>
      <c r="HJ145" s="96"/>
      <c r="HP145" s="232"/>
      <c r="HQ145" s="95"/>
      <c r="HR145" s="96"/>
      <c r="HX145" s="232"/>
      <c r="HY145" s="95"/>
      <c r="HZ145" s="96"/>
      <c r="IF145" s="232"/>
      <c r="IG145" s="95"/>
      <c r="IH145" s="96"/>
      <c r="IN145" s="232"/>
      <c r="IO145" s="95"/>
      <c r="IP145" s="96"/>
      <c r="IV145" s="232"/>
      <c r="IW145" s="95"/>
      <c r="IX145" s="96"/>
      <c r="JD145" s="232"/>
      <c r="JE145" s="95"/>
      <c r="JF145" s="96"/>
      <c r="JL145" s="232"/>
      <c r="JM145" s="95"/>
      <c r="JN145" s="96"/>
      <c r="JT145" s="232"/>
      <c r="JU145" s="95"/>
      <c r="JV145" s="96"/>
      <c r="KB145" s="232"/>
      <c r="KC145" s="95"/>
      <c r="KD145" s="96"/>
      <c r="KJ145" s="232"/>
      <c r="KK145" s="95"/>
      <c r="KL145" s="96"/>
      <c r="KR145" s="232"/>
      <c r="KS145" s="95"/>
      <c r="KT145" s="96"/>
      <c r="KZ145" s="232"/>
      <c r="LA145" s="95"/>
      <c r="LB145" s="96"/>
      <c r="LH145" s="232"/>
      <c r="LI145" s="95"/>
      <c r="LJ145" s="96"/>
      <c r="LP145" s="232"/>
      <c r="LQ145" s="95"/>
      <c r="LR145" s="96"/>
      <c r="LX145" s="232"/>
      <c r="LY145" s="95"/>
      <c r="LZ145" s="96"/>
      <c r="MF145" s="232"/>
      <c r="MG145" s="95"/>
      <c r="MH145" s="96"/>
      <c r="MN145" s="232"/>
      <c r="MO145" s="95"/>
      <c r="MP145" s="96"/>
      <c r="MV145" s="232"/>
      <c r="MW145" s="95"/>
      <c r="MX145" s="96"/>
      <c r="ND145" s="232"/>
      <c r="NE145" s="95"/>
      <c r="NF145" s="96"/>
      <c r="NL145" s="232"/>
      <c r="NM145" s="95"/>
      <c r="NN145" s="96"/>
      <c r="NT145" s="232"/>
      <c r="NU145" s="95"/>
      <c r="NV145" s="96"/>
      <c r="OB145" s="232"/>
      <c r="OC145" s="95"/>
      <c r="OD145" s="96"/>
      <c r="OJ145" s="232"/>
      <c r="OK145" s="95"/>
      <c r="OL145" s="96"/>
      <c r="OR145" s="232"/>
      <c r="OS145" s="95"/>
      <c r="OT145" s="96"/>
      <c r="OZ145" s="232"/>
      <c r="PA145" s="95"/>
      <c r="PB145" s="96"/>
      <c r="PH145" s="232"/>
      <c r="PI145" s="95"/>
      <c r="PJ145" s="96"/>
      <c r="PP145" s="232"/>
      <c r="PQ145" s="95"/>
      <c r="PR145" s="96"/>
      <c r="PX145" s="232"/>
      <c r="PY145" s="95"/>
      <c r="PZ145" s="96"/>
      <c r="QF145" s="232"/>
      <c r="QG145" s="95"/>
      <c r="QH145" s="96"/>
      <c r="QN145" s="232"/>
      <c r="QO145" s="95"/>
      <c r="QP145" s="96"/>
      <c r="QV145" s="232"/>
      <c r="QW145" s="95"/>
      <c r="QX145" s="96"/>
      <c r="RD145" s="232"/>
      <c r="RE145" s="95"/>
      <c r="RF145" s="96"/>
      <c r="RL145" s="232"/>
      <c r="RM145" s="95"/>
      <c r="RN145" s="96"/>
      <c r="RT145" s="232"/>
      <c r="RU145" s="95"/>
      <c r="RV145" s="96"/>
      <c r="SB145" s="232"/>
      <c r="SC145" s="95"/>
      <c r="SD145" s="96"/>
      <c r="SJ145" s="232"/>
      <c r="SK145" s="95"/>
      <c r="SL145" s="96"/>
      <c r="SR145" s="232"/>
      <c r="SS145" s="95"/>
      <c r="ST145" s="96"/>
      <c r="SZ145" s="232"/>
      <c r="TA145" s="95"/>
      <c r="TB145" s="96"/>
      <c r="TH145" s="232"/>
      <c r="TI145" s="95"/>
      <c r="TJ145" s="96"/>
      <c r="TP145" s="232"/>
      <c r="TQ145" s="95"/>
      <c r="TR145" s="96"/>
      <c r="TX145" s="232"/>
      <c r="TY145" s="95"/>
      <c r="TZ145" s="96"/>
      <c r="UF145" s="232"/>
      <c r="UG145" s="95"/>
      <c r="UH145" s="96"/>
      <c r="UN145" s="232"/>
      <c r="UO145" s="95"/>
      <c r="UP145" s="96"/>
      <c r="UV145" s="232"/>
      <c r="UW145" s="95"/>
      <c r="UX145" s="96"/>
      <c r="VD145" s="232"/>
      <c r="VE145" s="95"/>
      <c r="VF145" s="96"/>
      <c r="VL145" s="232"/>
      <c r="VM145" s="95"/>
      <c r="VN145" s="96"/>
      <c r="VT145" s="232"/>
      <c r="VU145" s="95"/>
      <c r="VV145" s="96"/>
      <c r="WB145" s="232"/>
      <c r="WC145" s="95"/>
      <c r="WD145" s="96"/>
      <c r="WJ145" s="232"/>
      <c r="WK145" s="95"/>
      <c r="WL145" s="96"/>
      <c r="WR145" s="232"/>
      <c r="WS145" s="95"/>
      <c r="WT145" s="96"/>
      <c r="WZ145" s="232"/>
      <c r="XA145" s="95"/>
      <c r="XB145" s="96"/>
      <c r="XH145" s="232"/>
      <c r="XI145" s="95"/>
      <c r="XJ145" s="96"/>
      <c r="XP145" s="232"/>
      <c r="XQ145" s="95"/>
      <c r="XR145" s="96"/>
      <c r="XX145" s="232"/>
      <c r="XY145" s="95"/>
      <c r="XZ145" s="96"/>
      <c r="YF145" s="232"/>
      <c r="YG145" s="95"/>
      <c r="YH145" s="96"/>
      <c r="YN145" s="232"/>
      <c r="YO145" s="95"/>
      <c r="YP145" s="96"/>
      <c r="YV145" s="232"/>
      <c r="YW145" s="95"/>
      <c r="YX145" s="96"/>
      <c r="ZD145" s="232"/>
      <c r="ZE145" s="95"/>
      <c r="ZF145" s="96"/>
      <c r="ZL145" s="232"/>
      <c r="ZM145" s="95"/>
      <c r="ZN145" s="96"/>
      <c r="ZT145" s="232"/>
      <c r="ZU145" s="95"/>
      <c r="ZV145" s="96"/>
      <c r="AAB145" s="232"/>
      <c r="AAC145" s="95"/>
      <c r="AAD145" s="96"/>
      <c r="AAJ145" s="232"/>
      <c r="AAK145" s="95"/>
      <c r="AAL145" s="96"/>
      <c r="AAR145" s="232"/>
      <c r="AAS145" s="95"/>
      <c r="AAT145" s="96"/>
      <c r="AAZ145" s="232"/>
      <c r="ABA145" s="95"/>
      <c r="ABB145" s="96"/>
      <c r="ABH145" s="232"/>
      <c r="ABI145" s="95"/>
      <c r="ABJ145" s="96"/>
      <c r="ABP145" s="232"/>
      <c r="ABQ145" s="95"/>
      <c r="ABR145" s="96"/>
      <c r="ABX145" s="232"/>
      <c r="ABY145" s="95"/>
      <c r="ABZ145" s="96"/>
      <c r="ACF145" s="232"/>
      <c r="ACG145" s="95"/>
      <c r="ACH145" s="96"/>
      <c r="ACN145" s="232"/>
      <c r="ACO145" s="95"/>
      <c r="ACP145" s="96"/>
      <c r="ACV145" s="232"/>
      <c r="ACW145" s="95"/>
      <c r="ACX145" s="96"/>
      <c r="ADD145" s="232"/>
      <c r="ADE145" s="95"/>
      <c r="ADF145" s="96"/>
      <c r="ADL145" s="232"/>
      <c r="ADM145" s="95"/>
      <c r="ADN145" s="96"/>
      <c r="ADT145" s="232"/>
      <c r="ADU145" s="95"/>
      <c r="ADV145" s="96"/>
      <c r="AEB145" s="232"/>
      <c r="AEC145" s="95"/>
      <c r="AED145" s="96"/>
      <c r="AEJ145" s="232"/>
      <c r="AEK145" s="95"/>
      <c r="AEL145" s="96"/>
      <c r="AER145" s="232"/>
      <c r="AES145" s="95"/>
      <c r="AET145" s="96"/>
      <c r="AEZ145" s="232"/>
      <c r="AFA145" s="95"/>
      <c r="AFB145" s="96"/>
      <c r="AFH145" s="232"/>
      <c r="AFI145" s="95"/>
      <c r="AFJ145" s="96"/>
      <c r="AFP145" s="232"/>
      <c r="AFQ145" s="95"/>
      <c r="AFR145" s="96"/>
      <c r="AFX145" s="232"/>
      <c r="AFY145" s="95"/>
      <c r="AFZ145" s="96"/>
      <c r="AGF145" s="232"/>
      <c r="AGG145" s="95"/>
      <c r="AGH145" s="96"/>
      <c r="AGN145" s="232"/>
      <c r="AGO145" s="95"/>
      <c r="AGP145" s="96"/>
      <c r="AGV145" s="232"/>
      <c r="AGW145" s="95"/>
      <c r="AGX145" s="96"/>
      <c r="AHD145" s="232"/>
      <c r="AHE145" s="95"/>
      <c r="AHF145" s="96"/>
      <c r="AHL145" s="232"/>
      <c r="AHM145" s="95"/>
      <c r="AHN145" s="96"/>
      <c r="AHT145" s="232"/>
      <c r="AHU145" s="95"/>
      <c r="AHV145" s="96"/>
      <c r="AIB145" s="232"/>
      <c r="AIC145" s="95"/>
      <c r="AID145" s="96"/>
      <c r="AIJ145" s="232"/>
      <c r="AIK145" s="95"/>
      <c r="AIL145" s="96"/>
      <c r="AIR145" s="232"/>
      <c r="AIS145" s="95"/>
      <c r="AIT145" s="96"/>
      <c r="AIZ145" s="232"/>
      <c r="AJA145" s="95"/>
      <c r="AJB145" s="96"/>
      <c r="AJH145" s="232"/>
      <c r="AJI145" s="95"/>
      <c r="AJJ145" s="96"/>
      <c r="AJP145" s="232"/>
      <c r="AJQ145" s="95"/>
      <c r="AJR145" s="96"/>
      <c r="AJX145" s="232"/>
      <c r="AJY145" s="95"/>
      <c r="AJZ145" s="96"/>
      <c r="AKF145" s="232"/>
      <c r="AKG145" s="95"/>
      <c r="AKH145" s="96"/>
      <c r="AKN145" s="232"/>
      <c r="AKO145" s="95"/>
      <c r="AKP145" s="96"/>
      <c r="AKV145" s="232"/>
      <c r="AKW145" s="95"/>
      <c r="AKX145" s="96"/>
      <c r="ALD145" s="232"/>
      <c r="ALE145" s="95"/>
      <c r="ALF145" s="96"/>
      <c r="ALL145" s="232"/>
      <c r="ALM145" s="95"/>
      <c r="ALN145" s="96"/>
      <c r="ALT145" s="232"/>
      <c r="ALU145" s="95"/>
      <c r="ALV145" s="96"/>
      <c r="AMB145" s="232"/>
      <c r="AMC145" s="95"/>
      <c r="AMD145" s="96"/>
      <c r="AMJ145" s="232"/>
      <c r="AMK145" s="95"/>
      <c r="AML145" s="96"/>
      <c r="AMR145" s="232"/>
      <c r="AMS145" s="95"/>
      <c r="AMT145" s="96"/>
      <c r="AMZ145" s="232"/>
      <c r="ANA145" s="95"/>
      <c r="ANB145" s="96"/>
      <c r="ANH145" s="232"/>
      <c r="ANI145" s="95"/>
      <c r="ANJ145" s="96"/>
      <c r="ANP145" s="232"/>
      <c r="ANQ145" s="95"/>
      <c r="ANR145" s="96"/>
      <c r="ANX145" s="232"/>
      <c r="ANY145" s="95"/>
      <c r="ANZ145" s="96"/>
      <c r="AOF145" s="232"/>
      <c r="AOG145" s="95"/>
      <c r="AOH145" s="96"/>
      <c r="AON145" s="232"/>
      <c r="AOO145" s="95"/>
      <c r="AOP145" s="96"/>
      <c r="AOV145" s="232"/>
      <c r="AOW145" s="95"/>
      <c r="AOX145" s="96"/>
      <c r="APD145" s="232"/>
      <c r="APE145" s="95"/>
      <c r="APF145" s="96"/>
      <c r="APL145" s="232"/>
      <c r="APM145" s="95"/>
      <c r="APN145" s="96"/>
      <c r="APT145" s="232"/>
      <c r="APU145" s="95"/>
      <c r="APV145" s="96"/>
      <c r="AQB145" s="232"/>
      <c r="AQC145" s="95"/>
      <c r="AQD145" s="96"/>
      <c r="AQJ145" s="232"/>
      <c r="AQK145" s="95"/>
      <c r="AQL145" s="96"/>
      <c r="AQR145" s="232"/>
      <c r="AQS145" s="95"/>
      <c r="AQT145" s="96"/>
      <c r="AQZ145" s="232"/>
      <c r="ARA145" s="95"/>
      <c r="ARB145" s="96"/>
      <c r="ARH145" s="232"/>
      <c r="ARI145" s="95"/>
      <c r="ARJ145" s="96"/>
      <c r="ARP145" s="232"/>
      <c r="ARQ145" s="95"/>
      <c r="ARR145" s="96"/>
      <c r="ARX145" s="232"/>
      <c r="ARY145" s="95"/>
      <c r="ARZ145" s="96"/>
      <c r="ASF145" s="232"/>
      <c r="ASG145" s="95"/>
      <c r="ASH145" s="96"/>
      <c r="ASN145" s="232"/>
      <c r="ASO145" s="95"/>
      <c r="ASP145" s="96"/>
      <c r="ASV145" s="232"/>
      <c r="ASW145" s="95"/>
      <c r="ASX145" s="96"/>
      <c r="ATD145" s="232"/>
      <c r="ATE145" s="95"/>
      <c r="ATF145" s="96"/>
      <c r="ATL145" s="232"/>
      <c r="ATM145" s="95"/>
      <c r="ATN145" s="96"/>
      <c r="ATT145" s="232"/>
      <c r="ATU145" s="95"/>
      <c r="ATV145" s="96"/>
      <c r="AUB145" s="232"/>
      <c r="AUC145" s="95"/>
      <c r="AUD145" s="96"/>
      <c r="AUJ145" s="232"/>
      <c r="AUK145" s="95"/>
      <c r="AUL145" s="96"/>
      <c r="AUR145" s="232"/>
      <c r="AUS145" s="95"/>
      <c r="AUT145" s="96"/>
      <c r="AUZ145" s="232"/>
      <c r="AVA145" s="95"/>
      <c r="AVB145" s="96"/>
      <c r="AVH145" s="232"/>
      <c r="AVI145" s="95"/>
      <c r="AVJ145" s="96"/>
      <c r="AVP145" s="232"/>
      <c r="AVQ145" s="95"/>
      <c r="AVR145" s="96"/>
      <c r="AVX145" s="232"/>
      <c r="AVY145" s="95"/>
      <c r="AVZ145" s="96"/>
      <c r="AWF145" s="232"/>
      <c r="AWG145" s="95"/>
      <c r="AWH145" s="96"/>
      <c r="AWN145" s="232"/>
      <c r="AWO145" s="95"/>
      <c r="AWP145" s="96"/>
      <c r="AWV145" s="232"/>
      <c r="AWW145" s="95"/>
      <c r="AWX145" s="96"/>
      <c r="AXD145" s="232"/>
      <c r="AXE145" s="95"/>
      <c r="AXF145" s="96"/>
      <c r="AXL145" s="232"/>
      <c r="AXM145" s="95"/>
      <c r="AXN145" s="96"/>
      <c r="AXT145" s="232"/>
      <c r="AXU145" s="95"/>
      <c r="AXV145" s="96"/>
      <c r="AYB145" s="232"/>
      <c r="AYC145" s="95"/>
      <c r="AYD145" s="96"/>
      <c r="AYJ145" s="232"/>
      <c r="AYK145" s="95"/>
      <c r="AYL145" s="96"/>
      <c r="AYR145" s="232"/>
      <c r="AYS145" s="95"/>
      <c r="AYT145" s="96"/>
      <c r="AYZ145" s="232"/>
      <c r="AZA145" s="95"/>
      <c r="AZB145" s="96"/>
      <c r="AZH145" s="232"/>
      <c r="AZI145" s="95"/>
      <c r="AZJ145" s="96"/>
      <c r="AZP145" s="232"/>
      <c r="AZQ145" s="95"/>
      <c r="AZR145" s="96"/>
      <c r="AZX145" s="232"/>
      <c r="AZY145" s="95"/>
      <c r="AZZ145" s="96"/>
      <c r="BAF145" s="232"/>
      <c r="BAG145" s="95"/>
      <c r="BAH145" s="96"/>
      <c r="BAN145" s="232"/>
      <c r="BAO145" s="95"/>
      <c r="BAP145" s="96"/>
      <c r="BAV145" s="232"/>
      <c r="BAW145" s="95"/>
      <c r="BAX145" s="96"/>
      <c r="BBD145" s="232"/>
      <c r="BBE145" s="95"/>
      <c r="BBF145" s="96"/>
      <c r="BBL145" s="232"/>
      <c r="BBM145" s="95"/>
      <c r="BBN145" s="96"/>
      <c r="BBT145" s="232"/>
      <c r="BBU145" s="95"/>
      <c r="BBV145" s="96"/>
      <c r="BCB145" s="232"/>
      <c r="BCC145" s="95"/>
      <c r="BCD145" s="96"/>
      <c r="BCJ145" s="232"/>
      <c r="BCK145" s="95"/>
      <c r="BCL145" s="96"/>
      <c r="BCR145" s="232"/>
      <c r="BCS145" s="95"/>
      <c r="BCT145" s="96"/>
      <c r="BCZ145" s="232"/>
      <c r="BDA145" s="95"/>
      <c r="BDB145" s="96"/>
      <c r="BDH145" s="232"/>
      <c r="BDI145" s="95"/>
      <c r="BDJ145" s="96"/>
      <c r="BDP145" s="232"/>
      <c r="BDQ145" s="95"/>
      <c r="BDR145" s="96"/>
      <c r="BDX145" s="232"/>
      <c r="BDY145" s="95"/>
      <c r="BDZ145" s="96"/>
      <c r="BEF145" s="232"/>
      <c r="BEG145" s="95"/>
      <c r="BEH145" s="96"/>
      <c r="BEN145" s="232"/>
      <c r="BEO145" s="95"/>
      <c r="BEP145" s="96"/>
      <c r="BEV145" s="232"/>
      <c r="BEW145" s="95"/>
      <c r="BEX145" s="96"/>
      <c r="BFD145" s="232"/>
      <c r="BFE145" s="95"/>
      <c r="BFF145" s="96"/>
      <c r="BFL145" s="232"/>
      <c r="BFM145" s="95"/>
      <c r="BFN145" s="96"/>
      <c r="BFT145" s="232"/>
      <c r="BFU145" s="95"/>
      <c r="BFV145" s="96"/>
      <c r="BGB145" s="232"/>
      <c r="BGC145" s="95"/>
      <c r="BGD145" s="96"/>
      <c r="BGJ145" s="232"/>
      <c r="BGK145" s="95"/>
      <c r="BGL145" s="96"/>
      <c r="BGR145" s="232"/>
      <c r="BGS145" s="95"/>
      <c r="BGT145" s="96"/>
      <c r="BGZ145" s="232"/>
      <c r="BHA145" s="95"/>
      <c r="BHB145" s="96"/>
      <c r="BHH145" s="232"/>
      <c r="BHI145" s="95"/>
      <c r="BHJ145" s="96"/>
      <c r="BHP145" s="232"/>
      <c r="BHQ145" s="95"/>
      <c r="BHR145" s="96"/>
      <c r="BHX145" s="232"/>
      <c r="BHY145" s="95"/>
      <c r="BHZ145" s="96"/>
      <c r="BIF145" s="232"/>
      <c r="BIG145" s="95"/>
      <c r="BIH145" s="96"/>
      <c r="BIN145" s="232"/>
      <c r="BIO145" s="95"/>
      <c r="BIP145" s="96"/>
      <c r="BIV145" s="232"/>
      <c r="BIW145" s="95"/>
      <c r="BIX145" s="96"/>
      <c r="BJD145" s="232"/>
      <c r="BJE145" s="95"/>
      <c r="BJF145" s="96"/>
      <c r="BJL145" s="232"/>
      <c r="BJM145" s="95"/>
      <c r="BJN145" s="96"/>
      <c r="BJT145" s="232"/>
      <c r="BJU145" s="95"/>
      <c r="BJV145" s="96"/>
      <c r="BKB145" s="232"/>
      <c r="BKC145" s="95"/>
      <c r="BKD145" s="96"/>
      <c r="BKJ145" s="232"/>
      <c r="BKK145" s="95"/>
      <c r="BKL145" s="96"/>
      <c r="BKR145" s="232"/>
      <c r="BKS145" s="95"/>
      <c r="BKT145" s="96"/>
      <c r="BKZ145" s="232"/>
      <c r="BLA145" s="95"/>
      <c r="BLB145" s="96"/>
      <c r="BLH145" s="232"/>
      <c r="BLI145" s="95"/>
      <c r="BLJ145" s="96"/>
      <c r="BLP145" s="232"/>
      <c r="BLQ145" s="95"/>
      <c r="BLR145" s="96"/>
      <c r="BLX145" s="232"/>
      <c r="BLY145" s="95"/>
      <c r="BLZ145" s="96"/>
      <c r="BMF145" s="232"/>
      <c r="BMG145" s="95"/>
      <c r="BMH145" s="96"/>
      <c r="BMN145" s="232"/>
      <c r="BMO145" s="95"/>
      <c r="BMP145" s="96"/>
      <c r="BMV145" s="232"/>
      <c r="BMW145" s="95"/>
      <c r="BMX145" s="96"/>
      <c r="BND145" s="232"/>
      <c r="BNE145" s="95"/>
      <c r="BNF145" s="96"/>
      <c r="BNL145" s="232"/>
      <c r="BNM145" s="95"/>
      <c r="BNN145" s="96"/>
      <c r="BNT145" s="232"/>
      <c r="BNU145" s="95"/>
      <c r="BNV145" s="96"/>
      <c r="BOB145" s="232"/>
      <c r="BOC145" s="95"/>
      <c r="BOD145" s="96"/>
      <c r="BOJ145" s="232"/>
      <c r="BOK145" s="95"/>
      <c r="BOL145" s="96"/>
      <c r="BOR145" s="232"/>
      <c r="BOS145" s="95"/>
      <c r="BOT145" s="96"/>
      <c r="BOZ145" s="232"/>
      <c r="BPA145" s="95"/>
      <c r="BPB145" s="96"/>
      <c r="BPH145" s="232"/>
      <c r="BPI145" s="95"/>
      <c r="BPJ145" s="96"/>
      <c r="BPP145" s="232"/>
      <c r="BPQ145" s="95"/>
      <c r="BPR145" s="96"/>
      <c r="BPX145" s="232"/>
      <c r="BPY145" s="95"/>
      <c r="BPZ145" s="96"/>
      <c r="BQF145" s="232"/>
      <c r="BQG145" s="95"/>
      <c r="BQH145" s="96"/>
      <c r="BQN145" s="232"/>
      <c r="BQO145" s="95"/>
      <c r="BQP145" s="96"/>
      <c r="BQV145" s="232"/>
      <c r="BQW145" s="95"/>
      <c r="BQX145" s="96"/>
      <c r="BRD145" s="232"/>
      <c r="BRE145" s="95"/>
      <c r="BRF145" s="96"/>
      <c r="BRL145" s="232"/>
      <c r="BRM145" s="95"/>
      <c r="BRN145" s="96"/>
      <c r="BRT145" s="232"/>
      <c r="BRU145" s="95"/>
      <c r="BRV145" s="96"/>
      <c r="BSB145" s="232"/>
      <c r="BSC145" s="95"/>
      <c r="BSD145" s="96"/>
      <c r="BSJ145" s="232"/>
      <c r="BSK145" s="95"/>
      <c r="BSL145" s="96"/>
      <c r="BSR145" s="232"/>
      <c r="BSS145" s="95"/>
      <c r="BST145" s="96"/>
      <c r="BSZ145" s="232"/>
      <c r="BTA145" s="95"/>
      <c r="BTB145" s="96"/>
      <c r="BTH145" s="232"/>
      <c r="BTI145" s="95"/>
      <c r="BTJ145" s="96"/>
      <c r="BTP145" s="232"/>
      <c r="BTQ145" s="95"/>
      <c r="BTR145" s="96"/>
      <c r="BTX145" s="232"/>
      <c r="BTY145" s="95"/>
      <c r="BTZ145" s="96"/>
      <c r="BUF145" s="232"/>
      <c r="BUG145" s="95"/>
      <c r="BUH145" s="96"/>
      <c r="BUN145" s="232"/>
      <c r="BUO145" s="95"/>
      <c r="BUP145" s="96"/>
      <c r="BUV145" s="232"/>
      <c r="BUW145" s="95"/>
      <c r="BUX145" s="96"/>
      <c r="BVD145" s="232"/>
      <c r="BVE145" s="95"/>
      <c r="BVF145" s="96"/>
      <c r="BVL145" s="232"/>
      <c r="BVM145" s="95"/>
      <c r="BVN145" s="96"/>
      <c r="BVT145" s="232"/>
      <c r="BVU145" s="95"/>
      <c r="BVV145" s="96"/>
      <c r="BWB145" s="232"/>
      <c r="BWC145" s="95"/>
      <c r="BWD145" s="96"/>
      <c r="BWJ145" s="232"/>
      <c r="BWK145" s="95"/>
      <c r="BWL145" s="96"/>
      <c r="BWR145" s="232"/>
      <c r="BWS145" s="95"/>
      <c r="BWT145" s="96"/>
      <c r="BWZ145" s="232"/>
      <c r="BXA145" s="95"/>
      <c r="BXB145" s="96"/>
      <c r="BXH145" s="232"/>
      <c r="BXI145" s="95"/>
      <c r="BXJ145" s="96"/>
      <c r="BXP145" s="232"/>
      <c r="BXQ145" s="95"/>
      <c r="BXR145" s="96"/>
      <c r="BXX145" s="232"/>
      <c r="BXY145" s="95"/>
      <c r="BXZ145" s="96"/>
      <c r="BYF145" s="232"/>
      <c r="BYG145" s="95"/>
      <c r="BYH145" s="96"/>
      <c r="BYN145" s="232"/>
      <c r="BYO145" s="95"/>
      <c r="BYP145" s="96"/>
      <c r="BYV145" s="232"/>
      <c r="BYW145" s="95"/>
      <c r="BYX145" s="96"/>
      <c r="BZD145" s="232"/>
      <c r="BZE145" s="95"/>
      <c r="BZF145" s="96"/>
      <c r="BZL145" s="232"/>
      <c r="BZM145" s="95"/>
      <c r="BZN145" s="96"/>
      <c r="BZT145" s="232"/>
      <c r="BZU145" s="95"/>
      <c r="BZV145" s="96"/>
      <c r="CAB145" s="232"/>
      <c r="CAC145" s="95"/>
      <c r="CAD145" s="96"/>
      <c r="CAJ145" s="232"/>
      <c r="CAK145" s="95"/>
      <c r="CAL145" s="96"/>
      <c r="CAR145" s="232"/>
      <c r="CAS145" s="95"/>
      <c r="CAT145" s="96"/>
      <c r="CAZ145" s="232"/>
      <c r="CBA145" s="95"/>
      <c r="CBB145" s="96"/>
      <c r="CBH145" s="232"/>
      <c r="CBI145" s="95"/>
      <c r="CBJ145" s="96"/>
      <c r="CBP145" s="232"/>
      <c r="CBQ145" s="95"/>
      <c r="CBR145" s="96"/>
      <c r="CBX145" s="232"/>
      <c r="CBY145" s="95"/>
      <c r="CBZ145" s="96"/>
      <c r="CCF145" s="232"/>
      <c r="CCG145" s="95"/>
      <c r="CCH145" s="96"/>
      <c r="CCN145" s="232"/>
      <c r="CCO145" s="95"/>
      <c r="CCP145" s="96"/>
      <c r="CCV145" s="232"/>
      <c r="CCW145" s="95"/>
      <c r="CCX145" s="96"/>
      <c r="CDD145" s="232"/>
      <c r="CDE145" s="95"/>
      <c r="CDF145" s="96"/>
      <c r="CDL145" s="232"/>
      <c r="CDM145" s="95"/>
      <c r="CDN145" s="96"/>
      <c r="CDT145" s="232"/>
      <c r="CDU145" s="95"/>
      <c r="CDV145" s="96"/>
      <c r="CEB145" s="232"/>
      <c r="CEC145" s="95"/>
      <c r="CED145" s="96"/>
      <c r="CEJ145" s="232"/>
      <c r="CEK145" s="95"/>
      <c r="CEL145" s="96"/>
      <c r="CER145" s="232"/>
      <c r="CES145" s="95"/>
      <c r="CET145" s="96"/>
      <c r="CEZ145" s="232"/>
      <c r="CFA145" s="95"/>
      <c r="CFB145" s="96"/>
      <c r="CFH145" s="232"/>
      <c r="CFI145" s="95"/>
      <c r="CFJ145" s="96"/>
      <c r="CFP145" s="232"/>
      <c r="CFQ145" s="95"/>
      <c r="CFR145" s="96"/>
      <c r="CFX145" s="232"/>
      <c r="CFY145" s="95"/>
      <c r="CFZ145" s="96"/>
      <c r="CGF145" s="232"/>
      <c r="CGG145" s="95"/>
      <c r="CGH145" s="96"/>
      <c r="CGN145" s="232"/>
      <c r="CGO145" s="95"/>
      <c r="CGP145" s="96"/>
      <c r="CGV145" s="232"/>
      <c r="CGW145" s="95"/>
      <c r="CGX145" s="96"/>
      <c r="CHD145" s="232"/>
      <c r="CHE145" s="95"/>
      <c r="CHF145" s="96"/>
      <c r="CHL145" s="232"/>
      <c r="CHM145" s="95"/>
      <c r="CHN145" s="96"/>
      <c r="CHT145" s="232"/>
      <c r="CHU145" s="95"/>
      <c r="CHV145" s="96"/>
      <c r="CIB145" s="232"/>
      <c r="CIC145" s="95"/>
      <c r="CID145" s="96"/>
      <c r="CIJ145" s="232"/>
      <c r="CIK145" s="95"/>
      <c r="CIL145" s="96"/>
      <c r="CIR145" s="232"/>
      <c r="CIS145" s="95"/>
      <c r="CIT145" s="96"/>
      <c r="CIZ145" s="232"/>
      <c r="CJA145" s="95"/>
      <c r="CJB145" s="96"/>
      <c r="CJH145" s="232"/>
      <c r="CJI145" s="95"/>
      <c r="CJJ145" s="96"/>
      <c r="CJP145" s="232"/>
      <c r="CJQ145" s="95"/>
      <c r="CJR145" s="96"/>
      <c r="CJX145" s="232"/>
      <c r="CJY145" s="95"/>
      <c r="CJZ145" s="96"/>
      <c r="CKF145" s="232"/>
      <c r="CKG145" s="95"/>
      <c r="CKH145" s="96"/>
      <c r="CKN145" s="232"/>
      <c r="CKO145" s="95"/>
      <c r="CKP145" s="96"/>
      <c r="CKV145" s="232"/>
      <c r="CKW145" s="95"/>
      <c r="CKX145" s="96"/>
      <c r="CLD145" s="232"/>
      <c r="CLE145" s="95"/>
      <c r="CLF145" s="96"/>
      <c r="CLL145" s="232"/>
      <c r="CLM145" s="95"/>
      <c r="CLN145" s="96"/>
      <c r="CLT145" s="232"/>
      <c r="CLU145" s="95"/>
      <c r="CLV145" s="96"/>
      <c r="CMB145" s="232"/>
      <c r="CMC145" s="95"/>
      <c r="CMD145" s="96"/>
      <c r="CMJ145" s="232"/>
      <c r="CMK145" s="95"/>
      <c r="CML145" s="96"/>
      <c r="CMR145" s="232"/>
      <c r="CMS145" s="95"/>
      <c r="CMT145" s="96"/>
      <c r="CMZ145" s="232"/>
      <c r="CNA145" s="95"/>
      <c r="CNB145" s="96"/>
      <c r="CNH145" s="232"/>
      <c r="CNI145" s="95"/>
      <c r="CNJ145" s="96"/>
      <c r="CNP145" s="232"/>
      <c r="CNQ145" s="95"/>
      <c r="CNR145" s="96"/>
      <c r="CNX145" s="232"/>
      <c r="CNY145" s="95"/>
      <c r="CNZ145" s="96"/>
      <c r="COF145" s="232"/>
      <c r="COG145" s="95"/>
      <c r="COH145" s="96"/>
      <c r="CON145" s="232"/>
      <c r="COO145" s="95"/>
      <c r="COP145" s="96"/>
      <c r="COV145" s="232"/>
      <c r="COW145" s="95"/>
      <c r="COX145" s="96"/>
      <c r="CPD145" s="232"/>
      <c r="CPE145" s="95"/>
      <c r="CPF145" s="96"/>
      <c r="CPL145" s="232"/>
      <c r="CPM145" s="95"/>
      <c r="CPN145" s="96"/>
      <c r="CPT145" s="232"/>
      <c r="CPU145" s="95"/>
      <c r="CPV145" s="96"/>
      <c r="CQB145" s="232"/>
      <c r="CQC145" s="95"/>
      <c r="CQD145" s="96"/>
      <c r="CQJ145" s="232"/>
      <c r="CQK145" s="95"/>
      <c r="CQL145" s="96"/>
      <c r="CQR145" s="232"/>
      <c r="CQS145" s="95"/>
      <c r="CQT145" s="96"/>
      <c r="CQZ145" s="232"/>
      <c r="CRA145" s="95"/>
      <c r="CRB145" s="96"/>
      <c r="CRH145" s="232"/>
      <c r="CRI145" s="95"/>
      <c r="CRJ145" s="96"/>
      <c r="CRP145" s="232"/>
      <c r="CRQ145" s="95"/>
      <c r="CRR145" s="96"/>
      <c r="CRX145" s="232"/>
      <c r="CRY145" s="95"/>
      <c r="CRZ145" s="96"/>
      <c r="CSF145" s="232"/>
      <c r="CSG145" s="95"/>
      <c r="CSH145" s="96"/>
      <c r="CSN145" s="232"/>
      <c r="CSO145" s="95"/>
      <c r="CSP145" s="96"/>
      <c r="CSV145" s="232"/>
      <c r="CSW145" s="95"/>
      <c r="CSX145" s="96"/>
      <c r="CTD145" s="232"/>
      <c r="CTE145" s="95"/>
      <c r="CTF145" s="96"/>
      <c r="CTL145" s="232"/>
      <c r="CTM145" s="95"/>
      <c r="CTN145" s="96"/>
      <c r="CTT145" s="232"/>
      <c r="CTU145" s="95"/>
      <c r="CTV145" s="96"/>
      <c r="CUB145" s="232"/>
      <c r="CUC145" s="95"/>
      <c r="CUD145" s="96"/>
      <c r="CUJ145" s="232"/>
      <c r="CUK145" s="95"/>
      <c r="CUL145" s="96"/>
      <c r="CUR145" s="232"/>
      <c r="CUS145" s="95"/>
      <c r="CUT145" s="96"/>
      <c r="CUZ145" s="232"/>
      <c r="CVA145" s="95"/>
      <c r="CVB145" s="96"/>
      <c r="CVH145" s="232"/>
      <c r="CVI145" s="95"/>
      <c r="CVJ145" s="96"/>
      <c r="CVP145" s="232"/>
      <c r="CVQ145" s="95"/>
      <c r="CVR145" s="96"/>
      <c r="CVX145" s="232"/>
      <c r="CVY145" s="95"/>
      <c r="CVZ145" s="96"/>
      <c r="CWF145" s="232"/>
      <c r="CWG145" s="95"/>
      <c r="CWH145" s="96"/>
      <c r="CWN145" s="232"/>
      <c r="CWO145" s="95"/>
      <c r="CWP145" s="96"/>
      <c r="CWV145" s="232"/>
      <c r="CWW145" s="95"/>
      <c r="CWX145" s="96"/>
      <c r="CXD145" s="232"/>
      <c r="CXE145" s="95"/>
      <c r="CXF145" s="96"/>
      <c r="CXL145" s="232"/>
      <c r="CXM145" s="95"/>
      <c r="CXN145" s="96"/>
      <c r="CXT145" s="232"/>
      <c r="CXU145" s="95"/>
      <c r="CXV145" s="96"/>
      <c r="CYB145" s="232"/>
      <c r="CYC145" s="95"/>
      <c r="CYD145" s="96"/>
      <c r="CYJ145" s="232"/>
      <c r="CYK145" s="95"/>
      <c r="CYL145" s="96"/>
      <c r="CYR145" s="232"/>
      <c r="CYS145" s="95"/>
      <c r="CYT145" s="96"/>
      <c r="CYZ145" s="232"/>
      <c r="CZA145" s="95"/>
      <c r="CZB145" s="96"/>
      <c r="CZH145" s="232"/>
      <c r="CZI145" s="95"/>
      <c r="CZJ145" s="96"/>
      <c r="CZP145" s="232"/>
      <c r="CZQ145" s="95"/>
      <c r="CZR145" s="96"/>
      <c r="CZX145" s="232"/>
      <c r="CZY145" s="95"/>
      <c r="CZZ145" s="96"/>
      <c r="DAF145" s="232"/>
      <c r="DAG145" s="95"/>
      <c r="DAH145" s="96"/>
      <c r="DAN145" s="232"/>
      <c r="DAO145" s="95"/>
      <c r="DAP145" s="96"/>
      <c r="DAV145" s="232"/>
      <c r="DAW145" s="95"/>
      <c r="DAX145" s="96"/>
      <c r="DBD145" s="232"/>
      <c r="DBE145" s="95"/>
      <c r="DBF145" s="96"/>
      <c r="DBL145" s="232"/>
      <c r="DBM145" s="95"/>
      <c r="DBN145" s="96"/>
      <c r="DBT145" s="232"/>
      <c r="DBU145" s="95"/>
      <c r="DBV145" s="96"/>
      <c r="DCB145" s="232"/>
      <c r="DCC145" s="95"/>
      <c r="DCD145" s="96"/>
      <c r="DCJ145" s="232"/>
      <c r="DCK145" s="95"/>
      <c r="DCL145" s="96"/>
      <c r="DCR145" s="232"/>
      <c r="DCS145" s="95"/>
      <c r="DCT145" s="96"/>
      <c r="DCZ145" s="232"/>
      <c r="DDA145" s="95"/>
      <c r="DDB145" s="96"/>
      <c r="DDH145" s="232"/>
      <c r="DDI145" s="95"/>
      <c r="DDJ145" s="96"/>
      <c r="DDP145" s="232"/>
      <c r="DDQ145" s="95"/>
      <c r="DDR145" s="96"/>
      <c r="DDX145" s="232"/>
      <c r="DDY145" s="95"/>
      <c r="DDZ145" s="96"/>
      <c r="DEF145" s="232"/>
      <c r="DEG145" s="95"/>
      <c r="DEH145" s="96"/>
      <c r="DEN145" s="232"/>
      <c r="DEO145" s="95"/>
      <c r="DEP145" s="96"/>
      <c r="DEV145" s="232"/>
      <c r="DEW145" s="95"/>
      <c r="DEX145" s="96"/>
      <c r="DFD145" s="232"/>
      <c r="DFE145" s="95"/>
      <c r="DFF145" s="96"/>
      <c r="DFL145" s="232"/>
      <c r="DFM145" s="95"/>
      <c r="DFN145" s="96"/>
      <c r="DFT145" s="232"/>
      <c r="DFU145" s="95"/>
      <c r="DFV145" s="96"/>
      <c r="DGB145" s="232"/>
      <c r="DGC145" s="95"/>
      <c r="DGD145" s="96"/>
      <c r="DGJ145" s="232"/>
      <c r="DGK145" s="95"/>
      <c r="DGL145" s="96"/>
      <c r="DGR145" s="232"/>
      <c r="DGS145" s="95"/>
      <c r="DGT145" s="96"/>
      <c r="DGZ145" s="232"/>
      <c r="DHA145" s="95"/>
      <c r="DHB145" s="96"/>
      <c r="DHH145" s="232"/>
      <c r="DHI145" s="95"/>
      <c r="DHJ145" s="96"/>
      <c r="DHP145" s="232"/>
      <c r="DHQ145" s="95"/>
      <c r="DHR145" s="96"/>
      <c r="DHX145" s="232"/>
      <c r="DHY145" s="95"/>
      <c r="DHZ145" s="96"/>
      <c r="DIF145" s="232"/>
      <c r="DIG145" s="95"/>
      <c r="DIH145" s="96"/>
      <c r="DIN145" s="232"/>
      <c r="DIO145" s="95"/>
      <c r="DIP145" s="96"/>
      <c r="DIV145" s="232"/>
      <c r="DIW145" s="95"/>
      <c r="DIX145" s="96"/>
      <c r="DJD145" s="232"/>
      <c r="DJE145" s="95"/>
      <c r="DJF145" s="96"/>
      <c r="DJL145" s="232"/>
      <c r="DJM145" s="95"/>
      <c r="DJN145" s="96"/>
      <c r="DJT145" s="232"/>
      <c r="DJU145" s="95"/>
      <c r="DJV145" s="96"/>
      <c r="DKB145" s="232"/>
      <c r="DKC145" s="95"/>
      <c r="DKD145" s="96"/>
      <c r="DKJ145" s="232"/>
      <c r="DKK145" s="95"/>
      <c r="DKL145" s="96"/>
      <c r="DKR145" s="232"/>
      <c r="DKS145" s="95"/>
      <c r="DKT145" s="96"/>
      <c r="DKZ145" s="232"/>
      <c r="DLA145" s="95"/>
      <c r="DLB145" s="96"/>
      <c r="DLH145" s="232"/>
      <c r="DLI145" s="95"/>
      <c r="DLJ145" s="96"/>
      <c r="DLP145" s="232"/>
      <c r="DLQ145" s="95"/>
      <c r="DLR145" s="96"/>
      <c r="DLX145" s="232"/>
      <c r="DLY145" s="95"/>
      <c r="DLZ145" s="96"/>
      <c r="DMF145" s="232"/>
      <c r="DMG145" s="95"/>
      <c r="DMH145" s="96"/>
      <c r="DMN145" s="232"/>
      <c r="DMO145" s="95"/>
      <c r="DMP145" s="96"/>
      <c r="DMV145" s="232"/>
      <c r="DMW145" s="95"/>
      <c r="DMX145" s="96"/>
      <c r="DND145" s="232"/>
      <c r="DNE145" s="95"/>
      <c r="DNF145" s="96"/>
      <c r="DNL145" s="232"/>
      <c r="DNM145" s="95"/>
      <c r="DNN145" s="96"/>
      <c r="DNT145" s="232"/>
      <c r="DNU145" s="95"/>
      <c r="DNV145" s="96"/>
      <c r="DOB145" s="232"/>
      <c r="DOC145" s="95"/>
      <c r="DOD145" s="96"/>
      <c r="DOJ145" s="232"/>
      <c r="DOK145" s="95"/>
      <c r="DOL145" s="96"/>
      <c r="DOR145" s="232"/>
      <c r="DOS145" s="95"/>
      <c r="DOT145" s="96"/>
      <c r="DOZ145" s="232"/>
      <c r="DPA145" s="95"/>
      <c r="DPB145" s="96"/>
      <c r="DPH145" s="232"/>
      <c r="DPI145" s="95"/>
      <c r="DPJ145" s="96"/>
      <c r="DPP145" s="232"/>
      <c r="DPQ145" s="95"/>
      <c r="DPR145" s="96"/>
      <c r="DPX145" s="232"/>
      <c r="DPY145" s="95"/>
      <c r="DPZ145" s="96"/>
      <c r="DQF145" s="232"/>
      <c r="DQG145" s="95"/>
      <c r="DQH145" s="96"/>
      <c r="DQN145" s="232"/>
      <c r="DQO145" s="95"/>
      <c r="DQP145" s="96"/>
      <c r="DQV145" s="232"/>
      <c r="DQW145" s="95"/>
      <c r="DQX145" s="96"/>
      <c r="DRD145" s="232"/>
      <c r="DRE145" s="95"/>
      <c r="DRF145" s="96"/>
      <c r="DRL145" s="232"/>
      <c r="DRM145" s="95"/>
      <c r="DRN145" s="96"/>
      <c r="DRT145" s="232"/>
      <c r="DRU145" s="95"/>
      <c r="DRV145" s="96"/>
      <c r="DSB145" s="232"/>
      <c r="DSC145" s="95"/>
      <c r="DSD145" s="96"/>
      <c r="DSJ145" s="232"/>
      <c r="DSK145" s="95"/>
      <c r="DSL145" s="96"/>
      <c r="DSR145" s="232"/>
      <c r="DSS145" s="95"/>
      <c r="DST145" s="96"/>
      <c r="DSZ145" s="232"/>
      <c r="DTA145" s="95"/>
      <c r="DTB145" s="96"/>
      <c r="DTH145" s="232"/>
      <c r="DTI145" s="95"/>
      <c r="DTJ145" s="96"/>
      <c r="DTP145" s="232"/>
      <c r="DTQ145" s="95"/>
      <c r="DTR145" s="96"/>
      <c r="DTX145" s="232"/>
      <c r="DTY145" s="95"/>
      <c r="DTZ145" s="96"/>
      <c r="DUF145" s="232"/>
      <c r="DUG145" s="95"/>
      <c r="DUH145" s="96"/>
      <c r="DUN145" s="232"/>
      <c r="DUO145" s="95"/>
      <c r="DUP145" s="96"/>
      <c r="DUV145" s="232"/>
      <c r="DUW145" s="95"/>
      <c r="DUX145" s="96"/>
      <c r="DVD145" s="232"/>
      <c r="DVE145" s="95"/>
      <c r="DVF145" s="96"/>
      <c r="DVL145" s="232"/>
      <c r="DVM145" s="95"/>
      <c r="DVN145" s="96"/>
      <c r="DVT145" s="232"/>
      <c r="DVU145" s="95"/>
      <c r="DVV145" s="96"/>
      <c r="DWB145" s="232"/>
      <c r="DWC145" s="95"/>
      <c r="DWD145" s="96"/>
      <c r="DWJ145" s="232"/>
      <c r="DWK145" s="95"/>
      <c r="DWL145" s="96"/>
      <c r="DWR145" s="232"/>
      <c r="DWS145" s="95"/>
      <c r="DWT145" s="96"/>
      <c r="DWZ145" s="232"/>
      <c r="DXA145" s="95"/>
      <c r="DXB145" s="96"/>
      <c r="DXH145" s="232"/>
      <c r="DXI145" s="95"/>
      <c r="DXJ145" s="96"/>
      <c r="DXP145" s="232"/>
      <c r="DXQ145" s="95"/>
      <c r="DXR145" s="96"/>
      <c r="DXX145" s="232"/>
      <c r="DXY145" s="95"/>
      <c r="DXZ145" s="96"/>
      <c r="DYF145" s="232"/>
      <c r="DYG145" s="95"/>
      <c r="DYH145" s="96"/>
      <c r="DYN145" s="232"/>
      <c r="DYO145" s="95"/>
      <c r="DYP145" s="96"/>
      <c r="DYV145" s="232"/>
      <c r="DYW145" s="95"/>
      <c r="DYX145" s="96"/>
      <c r="DZD145" s="232"/>
      <c r="DZE145" s="95"/>
      <c r="DZF145" s="96"/>
      <c r="DZL145" s="232"/>
      <c r="DZM145" s="95"/>
      <c r="DZN145" s="96"/>
      <c r="DZT145" s="232"/>
      <c r="DZU145" s="95"/>
      <c r="DZV145" s="96"/>
      <c r="EAB145" s="232"/>
      <c r="EAC145" s="95"/>
      <c r="EAD145" s="96"/>
      <c r="EAJ145" s="232"/>
      <c r="EAK145" s="95"/>
      <c r="EAL145" s="96"/>
      <c r="EAR145" s="232"/>
      <c r="EAS145" s="95"/>
      <c r="EAT145" s="96"/>
      <c r="EAZ145" s="232"/>
      <c r="EBA145" s="95"/>
      <c r="EBB145" s="96"/>
      <c r="EBH145" s="232"/>
      <c r="EBI145" s="95"/>
      <c r="EBJ145" s="96"/>
      <c r="EBP145" s="232"/>
      <c r="EBQ145" s="95"/>
      <c r="EBR145" s="96"/>
      <c r="EBX145" s="232"/>
      <c r="EBY145" s="95"/>
      <c r="EBZ145" s="96"/>
      <c r="ECF145" s="232"/>
      <c r="ECG145" s="95"/>
      <c r="ECH145" s="96"/>
      <c r="ECN145" s="232"/>
      <c r="ECO145" s="95"/>
      <c r="ECP145" s="96"/>
      <c r="ECV145" s="232"/>
      <c r="ECW145" s="95"/>
      <c r="ECX145" s="96"/>
      <c r="EDD145" s="232"/>
      <c r="EDE145" s="95"/>
      <c r="EDF145" s="96"/>
      <c r="EDL145" s="232"/>
      <c r="EDM145" s="95"/>
      <c r="EDN145" s="96"/>
      <c r="EDT145" s="232"/>
      <c r="EDU145" s="95"/>
      <c r="EDV145" s="96"/>
      <c r="EEB145" s="232"/>
      <c r="EEC145" s="95"/>
      <c r="EED145" s="96"/>
      <c r="EEJ145" s="232"/>
      <c r="EEK145" s="95"/>
      <c r="EEL145" s="96"/>
      <c r="EER145" s="232"/>
      <c r="EES145" s="95"/>
      <c r="EET145" s="96"/>
      <c r="EEZ145" s="232"/>
      <c r="EFA145" s="95"/>
      <c r="EFB145" s="96"/>
      <c r="EFH145" s="232"/>
      <c r="EFI145" s="95"/>
      <c r="EFJ145" s="96"/>
      <c r="EFP145" s="232"/>
      <c r="EFQ145" s="95"/>
      <c r="EFR145" s="96"/>
      <c r="EFX145" s="232"/>
      <c r="EFY145" s="95"/>
      <c r="EFZ145" s="96"/>
      <c r="EGF145" s="232"/>
      <c r="EGG145" s="95"/>
      <c r="EGH145" s="96"/>
      <c r="EGN145" s="232"/>
      <c r="EGO145" s="95"/>
      <c r="EGP145" s="96"/>
      <c r="EGV145" s="232"/>
      <c r="EGW145" s="95"/>
      <c r="EGX145" s="96"/>
      <c r="EHD145" s="232"/>
      <c r="EHE145" s="95"/>
      <c r="EHF145" s="96"/>
      <c r="EHL145" s="232"/>
      <c r="EHM145" s="95"/>
      <c r="EHN145" s="96"/>
      <c r="EHT145" s="232"/>
      <c r="EHU145" s="95"/>
      <c r="EHV145" s="96"/>
      <c r="EIB145" s="232"/>
      <c r="EIC145" s="95"/>
      <c r="EID145" s="96"/>
      <c r="EIJ145" s="232"/>
      <c r="EIK145" s="95"/>
      <c r="EIL145" s="96"/>
      <c r="EIR145" s="232"/>
      <c r="EIS145" s="95"/>
      <c r="EIT145" s="96"/>
      <c r="EIZ145" s="232"/>
      <c r="EJA145" s="95"/>
      <c r="EJB145" s="96"/>
      <c r="EJH145" s="232"/>
      <c r="EJI145" s="95"/>
      <c r="EJJ145" s="96"/>
      <c r="EJP145" s="232"/>
      <c r="EJQ145" s="95"/>
      <c r="EJR145" s="96"/>
      <c r="EJX145" s="232"/>
      <c r="EJY145" s="95"/>
      <c r="EJZ145" s="96"/>
      <c r="EKF145" s="232"/>
      <c r="EKG145" s="95"/>
      <c r="EKH145" s="96"/>
      <c r="EKN145" s="232"/>
      <c r="EKO145" s="95"/>
      <c r="EKP145" s="96"/>
      <c r="EKV145" s="232"/>
      <c r="EKW145" s="95"/>
      <c r="EKX145" s="96"/>
      <c r="ELD145" s="232"/>
      <c r="ELE145" s="95"/>
      <c r="ELF145" s="96"/>
      <c r="ELL145" s="232"/>
      <c r="ELM145" s="95"/>
      <c r="ELN145" s="96"/>
      <c r="ELT145" s="232"/>
      <c r="ELU145" s="95"/>
      <c r="ELV145" s="96"/>
      <c r="EMB145" s="232"/>
      <c r="EMC145" s="95"/>
      <c r="EMD145" s="96"/>
      <c r="EMJ145" s="232"/>
      <c r="EMK145" s="95"/>
      <c r="EML145" s="96"/>
      <c r="EMR145" s="232"/>
      <c r="EMS145" s="95"/>
      <c r="EMT145" s="96"/>
      <c r="EMZ145" s="232"/>
      <c r="ENA145" s="95"/>
      <c r="ENB145" s="96"/>
      <c r="ENH145" s="232"/>
      <c r="ENI145" s="95"/>
      <c r="ENJ145" s="96"/>
      <c r="ENP145" s="232"/>
      <c r="ENQ145" s="95"/>
      <c r="ENR145" s="96"/>
      <c r="ENX145" s="232"/>
      <c r="ENY145" s="95"/>
      <c r="ENZ145" s="96"/>
      <c r="EOF145" s="232"/>
      <c r="EOG145" s="95"/>
      <c r="EOH145" s="96"/>
      <c r="EON145" s="232"/>
      <c r="EOO145" s="95"/>
      <c r="EOP145" s="96"/>
      <c r="EOV145" s="232"/>
      <c r="EOW145" s="95"/>
      <c r="EOX145" s="96"/>
      <c r="EPD145" s="232"/>
      <c r="EPE145" s="95"/>
      <c r="EPF145" s="96"/>
      <c r="EPL145" s="232"/>
      <c r="EPM145" s="95"/>
      <c r="EPN145" s="96"/>
      <c r="EPT145" s="232"/>
      <c r="EPU145" s="95"/>
      <c r="EPV145" s="96"/>
      <c r="EQB145" s="232"/>
      <c r="EQC145" s="95"/>
      <c r="EQD145" s="96"/>
      <c r="EQJ145" s="232"/>
      <c r="EQK145" s="95"/>
      <c r="EQL145" s="96"/>
      <c r="EQR145" s="232"/>
      <c r="EQS145" s="95"/>
      <c r="EQT145" s="96"/>
      <c r="EQZ145" s="232"/>
      <c r="ERA145" s="95"/>
      <c r="ERB145" s="96"/>
      <c r="ERH145" s="232"/>
      <c r="ERI145" s="95"/>
      <c r="ERJ145" s="96"/>
      <c r="ERP145" s="232"/>
      <c r="ERQ145" s="95"/>
      <c r="ERR145" s="96"/>
      <c r="ERX145" s="232"/>
      <c r="ERY145" s="95"/>
      <c r="ERZ145" s="96"/>
      <c r="ESF145" s="232"/>
      <c r="ESG145" s="95"/>
      <c r="ESH145" s="96"/>
      <c r="ESN145" s="232"/>
      <c r="ESO145" s="95"/>
      <c r="ESP145" s="96"/>
      <c r="ESV145" s="232"/>
      <c r="ESW145" s="95"/>
      <c r="ESX145" s="96"/>
      <c r="ETD145" s="232"/>
      <c r="ETE145" s="95"/>
      <c r="ETF145" s="96"/>
      <c r="ETL145" s="232"/>
      <c r="ETM145" s="95"/>
      <c r="ETN145" s="96"/>
      <c r="ETT145" s="232"/>
      <c r="ETU145" s="95"/>
      <c r="ETV145" s="96"/>
      <c r="EUB145" s="232"/>
      <c r="EUC145" s="95"/>
      <c r="EUD145" s="96"/>
      <c r="EUJ145" s="232"/>
      <c r="EUK145" s="95"/>
      <c r="EUL145" s="96"/>
      <c r="EUR145" s="232"/>
      <c r="EUS145" s="95"/>
      <c r="EUT145" s="96"/>
      <c r="EUZ145" s="232"/>
      <c r="EVA145" s="95"/>
      <c r="EVB145" s="96"/>
      <c r="EVH145" s="232"/>
      <c r="EVI145" s="95"/>
      <c r="EVJ145" s="96"/>
      <c r="EVP145" s="232"/>
      <c r="EVQ145" s="95"/>
      <c r="EVR145" s="96"/>
      <c r="EVX145" s="232"/>
      <c r="EVY145" s="95"/>
      <c r="EVZ145" s="96"/>
      <c r="EWF145" s="232"/>
      <c r="EWG145" s="95"/>
      <c r="EWH145" s="96"/>
      <c r="EWN145" s="232"/>
      <c r="EWO145" s="95"/>
      <c r="EWP145" s="96"/>
      <c r="EWV145" s="232"/>
      <c r="EWW145" s="95"/>
      <c r="EWX145" s="96"/>
      <c r="EXD145" s="232"/>
      <c r="EXE145" s="95"/>
      <c r="EXF145" s="96"/>
      <c r="EXL145" s="232"/>
      <c r="EXM145" s="95"/>
      <c r="EXN145" s="96"/>
      <c r="EXT145" s="232"/>
      <c r="EXU145" s="95"/>
      <c r="EXV145" s="96"/>
      <c r="EYB145" s="232"/>
      <c r="EYC145" s="95"/>
      <c r="EYD145" s="96"/>
      <c r="EYJ145" s="232"/>
      <c r="EYK145" s="95"/>
      <c r="EYL145" s="96"/>
      <c r="EYR145" s="232"/>
      <c r="EYS145" s="95"/>
      <c r="EYT145" s="96"/>
      <c r="EYZ145" s="232"/>
      <c r="EZA145" s="95"/>
      <c r="EZB145" s="96"/>
      <c r="EZH145" s="232"/>
      <c r="EZI145" s="95"/>
      <c r="EZJ145" s="96"/>
      <c r="EZP145" s="232"/>
      <c r="EZQ145" s="95"/>
      <c r="EZR145" s="96"/>
      <c r="EZX145" s="232"/>
      <c r="EZY145" s="95"/>
      <c r="EZZ145" s="96"/>
      <c r="FAF145" s="232"/>
      <c r="FAG145" s="95"/>
      <c r="FAH145" s="96"/>
      <c r="FAN145" s="232"/>
      <c r="FAO145" s="95"/>
      <c r="FAP145" s="96"/>
      <c r="FAV145" s="232"/>
      <c r="FAW145" s="95"/>
      <c r="FAX145" s="96"/>
      <c r="FBD145" s="232"/>
      <c r="FBE145" s="95"/>
      <c r="FBF145" s="96"/>
      <c r="FBL145" s="232"/>
      <c r="FBM145" s="95"/>
      <c r="FBN145" s="96"/>
      <c r="FBT145" s="232"/>
      <c r="FBU145" s="95"/>
      <c r="FBV145" s="96"/>
      <c r="FCB145" s="232"/>
      <c r="FCC145" s="95"/>
      <c r="FCD145" s="96"/>
      <c r="FCJ145" s="232"/>
      <c r="FCK145" s="95"/>
      <c r="FCL145" s="96"/>
      <c r="FCR145" s="232"/>
      <c r="FCS145" s="95"/>
      <c r="FCT145" s="96"/>
      <c r="FCZ145" s="232"/>
      <c r="FDA145" s="95"/>
      <c r="FDB145" s="96"/>
      <c r="FDH145" s="232"/>
      <c r="FDI145" s="95"/>
      <c r="FDJ145" s="96"/>
      <c r="FDP145" s="232"/>
      <c r="FDQ145" s="95"/>
      <c r="FDR145" s="96"/>
      <c r="FDX145" s="232"/>
      <c r="FDY145" s="95"/>
      <c r="FDZ145" s="96"/>
      <c r="FEF145" s="232"/>
      <c r="FEG145" s="95"/>
      <c r="FEH145" s="96"/>
      <c r="FEN145" s="232"/>
      <c r="FEO145" s="95"/>
      <c r="FEP145" s="96"/>
      <c r="FEV145" s="232"/>
      <c r="FEW145" s="95"/>
      <c r="FEX145" s="96"/>
      <c r="FFD145" s="232"/>
      <c r="FFE145" s="95"/>
      <c r="FFF145" s="96"/>
      <c r="FFL145" s="232"/>
      <c r="FFM145" s="95"/>
      <c r="FFN145" s="96"/>
      <c r="FFT145" s="232"/>
      <c r="FFU145" s="95"/>
      <c r="FFV145" s="96"/>
      <c r="FGB145" s="232"/>
      <c r="FGC145" s="95"/>
      <c r="FGD145" s="96"/>
      <c r="FGJ145" s="232"/>
      <c r="FGK145" s="95"/>
      <c r="FGL145" s="96"/>
      <c r="FGR145" s="232"/>
      <c r="FGS145" s="95"/>
      <c r="FGT145" s="96"/>
      <c r="FGZ145" s="232"/>
      <c r="FHA145" s="95"/>
      <c r="FHB145" s="96"/>
      <c r="FHH145" s="232"/>
      <c r="FHI145" s="95"/>
      <c r="FHJ145" s="96"/>
      <c r="FHP145" s="232"/>
      <c r="FHQ145" s="95"/>
      <c r="FHR145" s="96"/>
      <c r="FHX145" s="232"/>
      <c r="FHY145" s="95"/>
      <c r="FHZ145" s="96"/>
      <c r="FIF145" s="232"/>
      <c r="FIG145" s="95"/>
      <c r="FIH145" s="96"/>
      <c r="FIN145" s="232"/>
      <c r="FIO145" s="95"/>
      <c r="FIP145" s="96"/>
      <c r="FIV145" s="232"/>
      <c r="FIW145" s="95"/>
      <c r="FIX145" s="96"/>
      <c r="FJD145" s="232"/>
      <c r="FJE145" s="95"/>
      <c r="FJF145" s="96"/>
      <c r="FJL145" s="232"/>
      <c r="FJM145" s="95"/>
      <c r="FJN145" s="96"/>
      <c r="FJT145" s="232"/>
      <c r="FJU145" s="95"/>
      <c r="FJV145" s="96"/>
      <c r="FKB145" s="232"/>
      <c r="FKC145" s="95"/>
      <c r="FKD145" s="96"/>
      <c r="FKJ145" s="232"/>
      <c r="FKK145" s="95"/>
      <c r="FKL145" s="96"/>
      <c r="FKR145" s="232"/>
      <c r="FKS145" s="95"/>
      <c r="FKT145" s="96"/>
      <c r="FKZ145" s="232"/>
      <c r="FLA145" s="95"/>
      <c r="FLB145" s="96"/>
      <c r="FLH145" s="232"/>
      <c r="FLI145" s="95"/>
      <c r="FLJ145" s="96"/>
      <c r="FLP145" s="232"/>
      <c r="FLQ145" s="95"/>
      <c r="FLR145" s="96"/>
      <c r="FLX145" s="232"/>
      <c r="FLY145" s="95"/>
      <c r="FLZ145" s="96"/>
      <c r="FMF145" s="232"/>
      <c r="FMG145" s="95"/>
      <c r="FMH145" s="96"/>
      <c r="FMN145" s="232"/>
      <c r="FMO145" s="95"/>
      <c r="FMP145" s="96"/>
      <c r="FMV145" s="232"/>
      <c r="FMW145" s="95"/>
      <c r="FMX145" s="96"/>
      <c r="FND145" s="232"/>
      <c r="FNE145" s="95"/>
      <c r="FNF145" s="96"/>
      <c r="FNL145" s="232"/>
      <c r="FNM145" s="95"/>
      <c r="FNN145" s="96"/>
      <c r="FNT145" s="232"/>
      <c r="FNU145" s="95"/>
      <c r="FNV145" s="96"/>
      <c r="FOB145" s="232"/>
      <c r="FOC145" s="95"/>
      <c r="FOD145" s="96"/>
      <c r="FOJ145" s="232"/>
      <c r="FOK145" s="95"/>
      <c r="FOL145" s="96"/>
      <c r="FOR145" s="232"/>
      <c r="FOS145" s="95"/>
      <c r="FOT145" s="96"/>
      <c r="FOZ145" s="232"/>
      <c r="FPA145" s="95"/>
      <c r="FPB145" s="96"/>
      <c r="FPH145" s="232"/>
      <c r="FPI145" s="95"/>
      <c r="FPJ145" s="96"/>
      <c r="FPP145" s="232"/>
      <c r="FPQ145" s="95"/>
      <c r="FPR145" s="96"/>
      <c r="FPX145" s="232"/>
      <c r="FPY145" s="95"/>
      <c r="FPZ145" s="96"/>
      <c r="FQF145" s="232"/>
      <c r="FQG145" s="95"/>
      <c r="FQH145" s="96"/>
      <c r="FQN145" s="232"/>
      <c r="FQO145" s="95"/>
      <c r="FQP145" s="96"/>
      <c r="FQV145" s="232"/>
      <c r="FQW145" s="95"/>
      <c r="FQX145" s="96"/>
      <c r="FRD145" s="232"/>
      <c r="FRE145" s="95"/>
      <c r="FRF145" s="96"/>
      <c r="FRL145" s="232"/>
      <c r="FRM145" s="95"/>
      <c r="FRN145" s="96"/>
      <c r="FRT145" s="232"/>
      <c r="FRU145" s="95"/>
      <c r="FRV145" s="96"/>
      <c r="FSB145" s="232"/>
      <c r="FSC145" s="95"/>
      <c r="FSD145" s="96"/>
      <c r="FSJ145" s="232"/>
      <c r="FSK145" s="95"/>
      <c r="FSL145" s="96"/>
      <c r="FSR145" s="232"/>
      <c r="FSS145" s="95"/>
      <c r="FST145" s="96"/>
      <c r="FSZ145" s="232"/>
      <c r="FTA145" s="95"/>
      <c r="FTB145" s="96"/>
      <c r="FTH145" s="232"/>
      <c r="FTI145" s="95"/>
      <c r="FTJ145" s="96"/>
      <c r="FTP145" s="232"/>
      <c r="FTQ145" s="95"/>
      <c r="FTR145" s="96"/>
      <c r="FTX145" s="232"/>
      <c r="FTY145" s="95"/>
      <c r="FTZ145" s="96"/>
      <c r="FUF145" s="232"/>
      <c r="FUG145" s="95"/>
      <c r="FUH145" s="96"/>
      <c r="FUN145" s="232"/>
      <c r="FUO145" s="95"/>
      <c r="FUP145" s="96"/>
      <c r="FUV145" s="232"/>
      <c r="FUW145" s="95"/>
      <c r="FUX145" s="96"/>
      <c r="FVD145" s="232"/>
      <c r="FVE145" s="95"/>
      <c r="FVF145" s="96"/>
      <c r="FVL145" s="232"/>
      <c r="FVM145" s="95"/>
      <c r="FVN145" s="96"/>
      <c r="FVT145" s="232"/>
      <c r="FVU145" s="95"/>
      <c r="FVV145" s="96"/>
      <c r="FWB145" s="232"/>
      <c r="FWC145" s="95"/>
      <c r="FWD145" s="96"/>
      <c r="FWJ145" s="232"/>
      <c r="FWK145" s="95"/>
      <c r="FWL145" s="96"/>
      <c r="FWR145" s="232"/>
      <c r="FWS145" s="95"/>
      <c r="FWT145" s="96"/>
      <c r="FWZ145" s="232"/>
      <c r="FXA145" s="95"/>
      <c r="FXB145" s="96"/>
      <c r="FXH145" s="232"/>
      <c r="FXI145" s="95"/>
      <c r="FXJ145" s="96"/>
      <c r="FXP145" s="232"/>
      <c r="FXQ145" s="95"/>
      <c r="FXR145" s="96"/>
      <c r="FXX145" s="232"/>
      <c r="FXY145" s="95"/>
      <c r="FXZ145" s="96"/>
      <c r="FYF145" s="232"/>
      <c r="FYG145" s="95"/>
      <c r="FYH145" s="96"/>
      <c r="FYN145" s="232"/>
      <c r="FYO145" s="95"/>
      <c r="FYP145" s="96"/>
      <c r="FYV145" s="232"/>
      <c r="FYW145" s="95"/>
      <c r="FYX145" s="96"/>
      <c r="FZD145" s="232"/>
      <c r="FZE145" s="95"/>
      <c r="FZF145" s="96"/>
      <c r="FZL145" s="232"/>
      <c r="FZM145" s="95"/>
      <c r="FZN145" s="96"/>
      <c r="FZT145" s="232"/>
      <c r="FZU145" s="95"/>
      <c r="FZV145" s="96"/>
      <c r="GAB145" s="232"/>
      <c r="GAC145" s="95"/>
      <c r="GAD145" s="96"/>
      <c r="GAJ145" s="232"/>
      <c r="GAK145" s="95"/>
      <c r="GAL145" s="96"/>
      <c r="GAR145" s="232"/>
      <c r="GAS145" s="95"/>
      <c r="GAT145" s="96"/>
      <c r="GAZ145" s="232"/>
      <c r="GBA145" s="95"/>
      <c r="GBB145" s="96"/>
      <c r="GBH145" s="232"/>
      <c r="GBI145" s="95"/>
      <c r="GBJ145" s="96"/>
      <c r="GBP145" s="232"/>
      <c r="GBQ145" s="95"/>
      <c r="GBR145" s="96"/>
      <c r="GBX145" s="232"/>
      <c r="GBY145" s="95"/>
      <c r="GBZ145" s="96"/>
      <c r="GCF145" s="232"/>
      <c r="GCG145" s="95"/>
      <c r="GCH145" s="96"/>
      <c r="GCN145" s="232"/>
      <c r="GCO145" s="95"/>
      <c r="GCP145" s="96"/>
      <c r="GCV145" s="232"/>
      <c r="GCW145" s="95"/>
      <c r="GCX145" s="96"/>
      <c r="GDD145" s="232"/>
      <c r="GDE145" s="95"/>
      <c r="GDF145" s="96"/>
      <c r="GDL145" s="232"/>
      <c r="GDM145" s="95"/>
      <c r="GDN145" s="96"/>
      <c r="GDT145" s="232"/>
      <c r="GDU145" s="95"/>
      <c r="GDV145" s="96"/>
      <c r="GEB145" s="232"/>
      <c r="GEC145" s="95"/>
      <c r="GED145" s="96"/>
      <c r="GEJ145" s="232"/>
      <c r="GEK145" s="95"/>
      <c r="GEL145" s="96"/>
      <c r="GER145" s="232"/>
      <c r="GES145" s="95"/>
      <c r="GET145" s="96"/>
      <c r="GEZ145" s="232"/>
      <c r="GFA145" s="95"/>
      <c r="GFB145" s="96"/>
      <c r="GFH145" s="232"/>
      <c r="GFI145" s="95"/>
      <c r="GFJ145" s="96"/>
      <c r="GFP145" s="232"/>
      <c r="GFQ145" s="95"/>
      <c r="GFR145" s="96"/>
      <c r="GFX145" s="232"/>
      <c r="GFY145" s="95"/>
      <c r="GFZ145" s="96"/>
      <c r="GGF145" s="232"/>
      <c r="GGG145" s="95"/>
      <c r="GGH145" s="96"/>
      <c r="GGN145" s="232"/>
      <c r="GGO145" s="95"/>
      <c r="GGP145" s="96"/>
      <c r="GGV145" s="232"/>
      <c r="GGW145" s="95"/>
      <c r="GGX145" s="96"/>
      <c r="GHD145" s="232"/>
      <c r="GHE145" s="95"/>
      <c r="GHF145" s="96"/>
      <c r="GHL145" s="232"/>
      <c r="GHM145" s="95"/>
      <c r="GHN145" s="96"/>
      <c r="GHT145" s="232"/>
      <c r="GHU145" s="95"/>
      <c r="GHV145" s="96"/>
      <c r="GIB145" s="232"/>
      <c r="GIC145" s="95"/>
      <c r="GID145" s="96"/>
      <c r="GIJ145" s="232"/>
      <c r="GIK145" s="95"/>
      <c r="GIL145" s="96"/>
      <c r="GIR145" s="232"/>
      <c r="GIS145" s="95"/>
      <c r="GIT145" s="96"/>
      <c r="GIZ145" s="232"/>
      <c r="GJA145" s="95"/>
      <c r="GJB145" s="96"/>
      <c r="GJH145" s="232"/>
      <c r="GJI145" s="95"/>
      <c r="GJJ145" s="96"/>
      <c r="GJP145" s="232"/>
      <c r="GJQ145" s="95"/>
      <c r="GJR145" s="96"/>
      <c r="GJX145" s="232"/>
      <c r="GJY145" s="95"/>
      <c r="GJZ145" s="96"/>
      <c r="GKF145" s="232"/>
      <c r="GKG145" s="95"/>
      <c r="GKH145" s="96"/>
      <c r="GKN145" s="232"/>
      <c r="GKO145" s="95"/>
      <c r="GKP145" s="96"/>
      <c r="GKV145" s="232"/>
      <c r="GKW145" s="95"/>
      <c r="GKX145" s="96"/>
      <c r="GLD145" s="232"/>
      <c r="GLE145" s="95"/>
      <c r="GLF145" s="96"/>
      <c r="GLL145" s="232"/>
      <c r="GLM145" s="95"/>
      <c r="GLN145" s="96"/>
      <c r="GLT145" s="232"/>
      <c r="GLU145" s="95"/>
      <c r="GLV145" s="96"/>
      <c r="GMB145" s="232"/>
      <c r="GMC145" s="95"/>
      <c r="GMD145" s="96"/>
      <c r="GMJ145" s="232"/>
      <c r="GMK145" s="95"/>
      <c r="GML145" s="96"/>
      <c r="GMR145" s="232"/>
      <c r="GMS145" s="95"/>
      <c r="GMT145" s="96"/>
      <c r="GMZ145" s="232"/>
      <c r="GNA145" s="95"/>
      <c r="GNB145" s="96"/>
      <c r="GNH145" s="232"/>
      <c r="GNI145" s="95"/>
      <c r="GNJ145" s="96"/>
      <c r="GNP145" s="232"/>
      <c r="GNQ145" s="95"/>
      <c r="GNR145" s="96"/>
      <c r="GNX145" s="232"/>
      <c r="GNY145" s="95"/>
      <c r="GNZ145" s="96"/>
      <c r="GOF145" s="232"/>
      <c r="GOG145" s="95"/>
      <c r="GOH145" s="96"/>
      <c r="GON145" s="232"/>
      <c r="GOO145" s="95"/>
      <c r="GOP145" s="96"/>
      <c r="GOV145" s="232"/>
      <c r="GOW145" s="95"/>
      <c r="GOX145" s="96"/>
      <c r="GPD145" s="232"/>
      <c r="GPE145" s="95"/>
      <c r="GPF145" s="96"/>
      <c r="GPL145" s="232"/>
      <c r="GPM145" s="95"/>
      <c r="GPN145" s="96"/>
      <c r="GPT145" s="232"/>
      <c r="GPU145" s="95"/>
      <c r="GPV145" s="96"/>
      <c r="GQB145" s="232"/>
      <c r="GQC145" s="95"/>
      <c r="GQD145" s="96"/>
      <c r="GQJ145" s="232"/>
      <c r="GQK145" s="95"/>
      <c r="GQL145" s="96"/>
      <c r="GQR145" s="232"/>
      <c r="GQS145" s="95"/>
      <c r="GQT145" s="96"/>
      <c r="GQZ145" s="232"/>
      <c r="GRA145" s="95"/>
      <c r="GRB145" s="96"/>
      <c r="GRH145" s="232"/>
      <c r="GRI145" s="95"/>
      <c r="GRJ145" s="96"/>
      <c r="GRP145" s="232"/>
      <c r="GRQ145" s="95"/>
      <c r="GRR145" s="96"/>
      <c r="GRX145" s="232"/>
      <c r="GRY145" s="95"/>
      <c r="GRZ145" s="96"/>
      <c r="GSF145" s="232"/>
      <c r="GSG145" s="95"/>
      <c r="GSH145" s="96"/>
      <c r="GSN145" s="232"/>
      <c r="GSO145" s="95"/>
      <c r="GSP145" s="96"/>
      <c r="GSV145" s="232"/>
      <c r="GSW145" s="95"/>
      <c r="GSX145" s="96"/>
      <c r="GTD145" s="232"/>
      <c r="GTE145" s="95"/>
      <c r="GTF145" s="96"/>
      <c r="GTL145" s="232"/>
      <c r="GTM145" s="95"/>
      <c r="GTN145" s="96"/>
      <c r="GTT145" s="232"/>
      <c r="GTU145" s="95"/>
      <c r="GTV145" s="96"/>
      <c r="GUB145" s="232"/>
      <c r="GUC145" s="95"/>
      <c r="GUD145" s="96"/>
      <c r="GUJ145" s="232"/>
      <c r="GUK145" s="95"/>
      <c r="GUL145" s="96"/>
      <c r="GUR145" s="232"/>
      <c r="GUS145" s="95"/>
      <c r="GUT145" s="96"/>
      <c r="GUZ145" s="232"/>
      <c r="GVA145" s="95"/>
      <c r="GVB145" s="96"/>
      <c r="GVH145" s="232"/>
      <c r="GVI145" s="95"/>
      <c r="GVJ145" s="96"/>
      <c r="GVP145" s="232"/>
      <c r="GVQ145" s="95"/>
      <c r="GVR145" s="96"/>
      <c r="GVX145" s="232"/>
      <c r="GVY145" s="95"/>
      <c r="GVZ145" s="96"/>
      <c r="GWF145" s="232"/>
      <c r="GWG145" s="95"/>
      <c r="GWH145" s="96"/>
      <c r="GWN145" s="232"/>
      <c r="GWO145" s="95"/>
      <c r="GWP145" s="96"/>
      <c r="GWV145" s="232"/>
      <c r="GWW145" s="95"/>
      <c r="GWX145" s="96"/>
      <c r="GXD145" s="232"/>
      <c r="GXE145" s="95"/>
      <c r="GXF145" s="96"/>
      <c r="GXL145" s="232"/>
      <c r="GXM145" s="95"/>
      <c r="GXN145" s="96"/>
      <c r="GXT145" s="232"/>
      <c r="GXU145" s="95"/>
      <c r="GXV145" s="96"/>
      <c r="GYB145" s="232"/>
      <c r="GYC145" s="95"/>
      <c r="GYD145" s="96"/>
      <c r="GYJ145" s="232"/>
      <c r="GYK145" s="95"/>
      <c r="GYL145" s="96"/>
      <c r="GYR145" s="232"/>
      <c r="GYS145" s="95"/>
      <c r="GYT145" s="96"/>
      <c r="GYZ145" s="232"/>
      <c r="GZA145" s="95"/>
      <c r="GZB145" s="96"/>
      <c r="GZH145" s="232"/>
      <c r="GZI145" s="95"/>
      <c r="GZJ145" s="96"/>
      <c r="GZP145" s="232"/>
      <c r="GZQ145" s="95"/>
      <c r="GZR145" s="96"/>
      <c r="GZX145" s="232"/>
      <c r="GZY145" s="95"/>
      <c r="GZZ145" s="96"/>
      <c r="HAF145" s="232"/>
      <c r="HAG145" s="95"/>
      <c r="HAH145" s="96"/>
      <c r="HAN145" s="232"/>
      <c r="HAO145" s="95"/>
      <c r="HAP145" s="96"/>
      <c r="HAV145" s="232"/>
      <c r="HAW145" s="95"/>
      <c r="HAX145" s="96"/>
      <c r="HBD145" s="232"/>
      <c r="HBE145" s="95"/>
      <c r="HBF145" s="96"/>
      <c r="HBL145" s="232"/>
      <c r="HBM145" s="95"/>
      <c r="HBN145" s="96"/>
      <c r="HBT145" s="232"/>
      <c r="HBU145" s="95"/>
      <c r="HBV145" s="96"/>
      <c r="HCB145" s="232"/>
      <c r="HCC145" s="95"/>
      <c r="HCD145" s="96"/>
      <c r="HCJ145" s="232"/>
      <c r="HCK145" s="95"/>
      <c r="HCL145" s="96"/>
      <c r="HCR145" s="232"/>
      <c r="HCS145" s="95"/>
      <c r="HCT145" s="96"/>
      <c r="HCZ145" s="232"/>
      <c r="HDA145" s="95"/>
      <c r="HDB145" s="96"/>
      <c r="HDH145" s="232"/>
      <c r="HDI145" s="95"/>
      <c r="HDJ145" s="96"/>
      <c r="HDP145" s="232"/>
      <c r="HDQ145" s="95"/>
      <c r="HDR145" s="96"/>
      <c r="HDX145" s="232"/>
      <c r="HDY145" s="95"/>
      <c r="HDZ145" s="96"/>
      <c r="HEF145" s="232"/>
      <c r="HEG145" s="95"/>
      <c r="HEH145" s="96"/>
      <c r="HEN145" s="232"/>
      <c r="HEO145" s="95"/>
      <c r="HEP145" s="96"/>
      <c r="HEV145" s="232"/>
      <c r="HEW145" s="95"/>
      <c r="HEX145" s="96"/>
      <c r="HFD145" s="232"/>
      <c r="HFE145" s="95"/>
      <c r="HFF145" s="96"/>
      <c r="HFL145" s="232"/>
      <c r="HFM145" s="95"/>
      <c r="HFN145" s="96"/>
      <c r="HFT145" s="232"/>
      <c r="HFU145" s="95"/>
      <c r="HFV145" s="96"/>
      <c r="HGB145" s="232"/>
      <c r="HGC145" s="95"/>
      <c r="HGD145" s="96"/>
      <c r="HGJ145" s="232"/>
      <c r="HGK145" s="95"/>
      <c r="HGL145" s="96"/>
      <c r="HGR145" s="232"/>
      <c r="HGS145" s="95"/>
      <c r="HGT145" s="96"/>
      <c r="HGZ145" s="232"/>
      <c r="HHA145" s="95"/>
      <c r="HHB145" s="96"/>
      <c r="HHH145" s="232"/>
      <c r="HHI145" s="95"/>
      <c r="HHJ145" s="96"/>
      <c r="HHP145" s="232"/>
      <c r="HHQ145" s="95"/>
      <c r="HHR145" s="96"/>
      <c r="HHX145" s="232"/>
      <c r="HHY145" s="95"/>
      <c r="HHZ145" s="96"/>
      <c r="HIF145" s="232"/>
      <c r="HIG145" s="95"/>
      <c r="HIH145" s="96"/>
      <c r="HIN145" s="232"/>
      <c r="HIO145" s="95"/>
      <c r="HIP145" s="96"/>
      <c r="HIV145" s="232"/>
      <c r="HIW145" s="95"/>
      <c r="HIX145" s="96"/>
      <c r="HJD145" s="232"/>
      <c r="HJE145" s="95"/>
      <c r="HJF145" s="96"/>
      <c r="HJL145" s="232"/>
      <c r="HJM145" s="95"/>
      <c r="HJN145" s="96"/>
      <c r="HJT145" s="232"/>
      <c r="HJU145" s="95"/>
      <c r="HJV145" s="96"/>
      <c r="HKB145" s="232"/>
      <c r="HKC145" s="95"/>
      <c r="HKD145" s="96"/>
      <c r="HKJ145" s="232"/>
      <c r="HKK145" s="95"/>
      <c r="HKL145" s="96"/>
      <c r="HKR145" s="232"/>
      <c r="HKS145" s="95"/>
      <c r="HKT145" s="96"/>
      <c r="HKZ145" s="232"/>
      <c r="HLA145" s="95"/>
      <c r="HLB145" s="96"/>
      <c r="HLH145" s="232"/>
      <c r="HLI145" s="95"/>
      <c r="HLJ145" s="96"/>
      <c r="HLP145" s="232"/>
      <c r="HLQ145" s="95"/>
      <c r="HLR145" s="96"/>
      <c r="HLX145" s="232"/>
      <c r="HLY145" s="95"/>
      <c r="HLZ145" s="96"/>
      <c r="HMF145" s="232"/>
      <c r="HMG145" s="95"/>
      <c r="HMH145" s="96"/>
      <c r="HMN145" s="232"/>
      <c r="HMO145" s="95"/>
      <c r="HMP145" s="96"/>
      <c r="HMV145" s="232"/>
      <c r="HMW145" s="95"/>
      <c r="HMX145" s="96"/>
      <c r="HND145" s="232"/>
      <c r="HNE145" s="95"/>
      <c r="HNF145" s="96"/>
      <c r="HNL145" s="232"/>
      <c r="HNM145" s="95"/>
      <c r="HNN145" s="96"/>
      <c r="HNT145" s="232"/>
      <c r="HNU145" s="95"/>
      <c r="HNV145" s="96"/>
      <c r="HOB145" s="232"/>
      <c r="HOC145" s="95"/>
      <c r="HOD145" s="96"/>
      <c r="HOJ145" s="232"/>
      <c r="HOK145" s="95"/>
      <c r="HOL145" s="96"/>
      <c r="HOR145" s="232"/>
      <c r="HOS145" s="95"/>
      <c r="HOT145" s="96"/>
      <c r="HOZ145" s="232"/>
      <c r="HPA145" s="95"/>
      <c r="HPB145" s="96"/>
      <c r="HPH145" s="232"/>
      <c r="HPI145" s="95"/>
      <c r="HPJ145" s="96"/>
      <c r="HPP145" s="232"/>
      <c r="HPQ145" s="95"/>
      <c r="HPR145" s="96"/>
      <c r="HPX145" s="232"/>
      <c r="HPY145" s="95"/>
      <c r="HPZ145" s="96"/>
      <c r="HQF145" s="232"/>
      <c r="HQG145" s="95"/>
      <c r="HQH145" s="96"/>
      <c r="HQN145" s="232"/>
      <c r="HQO145" s="95"/>
      <c r="HQP145" s="96"/>
      <c r="HQV145" s="232"/>
      <c r="HQW145" s="95"/>
      <c r="HQX145" s="96"/>
      <c r="HRD145" s="232"/>
      <c r="HRE145" s="95"/>
      <c r="HRF145" s="96"/>
      <c r="HRL145" s="232"/>
      <c r="HRM145" s="95"/>
      <c r="HRN145" s="96"/>
      <c r="HRT145" s="232"/>
      <c r="HRU145" s="95"/>
      <c r="HRV145" s="96"/>
      <c r="HSB145" s="232"/>
      <c r="HSC145" s="95"/>
      <c r="HSD145" s="96"/>
      <c r="HSJ145" s="232"/>
      <c r="HSK145" s="95"/>
      <c r="HSL145" s="96"/>
      <c r="HSR145" s="232"/>
      <c r="HSS145" s="95"/>
      <c r="HST145" s="96"/>
      <c r="HSZ145" s="232"/>
      <c r="HTA145" s="95"/>
      <c r="HTB145" s="96"/>
      <c r="HTH145" s="232"/>
      <c r="HTI145" s="95"/>
      <c r="HTJ145" s="96"/>
      <c r="HTP145" s="232"/>
      <c r="HTQ145" s="95"/>
      <c r="HTR145" s="96"/>
      <c r="HTX145" s="232"/>
      <c r="HTY145" s="95"/>
      <c r="HTZ145" s="96"/>
      <c r="HUF145" s="232"/>
      <c r="HUG145" s="95"/>
      <c r="HUH145" s="96"/>
      <c r="HUN145" s="232"/>
      <c r="HUO145" s="95"/>
      <c r="HUP145" s="96"/>
      <c r="HUV145" s="232"/>
      <c r="HUW145" s="95"/>
      <c r="HUX145" s="96"/>
      <c r="HVD145" s="232"/>
      <c r="HVE145" s="95"/>
      <c r="HVF145" s="96"/>
      <c r="HVL145" s="232"/>
      <c r="HVM145" s="95"/>
      <c r="HVN145" s="96"/>
      <c r="HVT145" s="232"/>
      <c r="HVU145" s="95"/>
      <c r="HVV145" s="96"/>
      <c r="HWB145" s="232"/>
      <c r="HWC145" s="95"/>
      <c r="HWD145" s="96"/>
      <c r="HWJ145" s="232"/>
      <c r="HWK145" s="95"/>
      <c r="HWL145" s="96"/>
      <c r="HWR145" s="232"/>
      <c r="HWS145" s="95"/>
      <c r="HWT145" s="96"/>
      <c r="HWZ145" s="232"/>
      <c r="HXA145" s="95"/>
      <c r="HXB145" s="96"/>
      <c r="HXH145" s="232"/>
      <c r="HXI145" s="95"/>
      <c r="HXJ145" s="96"/>
      <c r="HXP145" s="232"/>
      <c r="HXQ145" s="95"/>
      <c r="HXR145" s="96"/>
      <c r="HXX145" s="232"/>
      <c r="HXY145" s="95"/>
      <c r="HXZ145" s="96"/>
      <c r="HYF145" s="232"/>
      <c r="HYG145" s="95"/>
      <c r="HYH145" s="96"/>
      <c r="HYN145" s="232"/>
      <c r="HYO145" s="95"/>
      <c r="HYP145" s="96"/>
      <c r="HYV145" s="232"/>
      <c r="HYW145" s="95"/>
      <c r="HYX145" s="96"/>
      <c r="HZD145" s="232"/>
      <c r="HZE145" s="95"/>
      <c r="HZF145" s="96"/>
      <c r="HZL145" s="232"/>
      <c r="HZM145" s="95"/>
      <c r="HZN145" s="96"/>
      <c r="HZT145" s="232"/>
      <c r="HZU145" s="95"/>
      <c r="HZV145" s="96"/>
      <c r="IAB145" s="232"/>
      <c r="IAC145" s="95"/>
      <c r="IAD145" s="96"/>
      <c r="IAJ145" s="232"/>
      <c r="IAK145" s="95"/>
      <c r="IAL145" s="96"/>
      <c r="IAR145" s="232"/>
      <c r="IAS145" s="95"/>
      <c r="IAT145" s="96"/>
      <c r="IAZ145" s="232"/>
      <c r="IBA145" s="95"/>
      <c r="IBB145" s="96"/>
      <c r="IBH145" s="232"/>
      <c r="IBI145" s="95"/>
      <c r="IBJ145" s="96"/>
      <c r="IBP145" s="232"/>
      <c r="IBQ145" s="95"/>
      <c r="IBR145" s="96"/>
      <c r="IBX145" s="232"/>
      <c r="IBY145" s="95"/>
      <c r="IBZ145" s="96"/>
      <c r="ICF145" s="232"/>
      <c r="ICG145" s="95"/>
      <c r="ICH145" s="96"/>
      <c r="ICN145" s="232"/>
      <c r="ICO145" s="95"/>
      <c r="ICP145" s="96"/>
      <c r="ICV145" s="232"/>
      <c r="ICW145" s="95"/>
      <c r="ICX145" s="96"/>
      <c r="IDD145" s="232"/>
      <c r="IDE145" s="95"/>
      <c r="IDF145" s="96"/>
      <c r="IDL145" s="232"/>
      <c r="IDM145" s="95"/>
      <c r="IDN145" s="96"/>
      <c r="IDT145" s="232"/>
      <c r="IDU145" s="95"/>
      <c r="IDV145" s="96"/>
      <c r="IEB145" s="232"/>
      <c r="IEC145" s="95"/>
      <c r="IED145" s="96"/>
      <c r="IEJ145" s="232"/>
      <c r="IEK145" s="95"/>
      <c r="IEL145" s="96"/>
      <c r="IER145" s="232"/>
      <c r="IES145" s="95"/>
      <c r="IET145" s="96"/>
      <c r="IEZ145" s="232"/>
      <c r="IFA145" s="95"/>
      <c r="IFB145" s="96"/>
      <c r="IFH145" s="232"/>
      <c r="IFI145" s="95"/>
      <c r="IFJ145" s="96"/>
      <c r="IFP145" s="232"/>
      <c r="IFQ145" s="95"/>
      <c r="IFR145" s="96"/>
      <c r="IFX145" s="232"/>
      <c r="IFY145" s="95"/>
      <c r="IFZ145" s="96"/>
      <c r="IGF145" s="232"/>
      <c r="IGG145" s="95"/>
      <c r="IGH145" s="96"/>
      <c r="IGN145" s="232"/>
      <c r="IGO145" s="95"/>
      <c r="IGP145" s="96"/>
      <c r="IGV145" s="232"/>
      <c r="IGW145" s="95"/>
      <c r="IGX145" s="96"/>
      <c r="IHD145" s="232"/>
      <c r="IHE145" s="95"/>
      <c r="IHF145" s="96"/>
      <c r="IHL145" s="232"/>
      <c r="IHM145" s="95"/>
      <c r="IHN145" s="96"/>
      <c r="IHT145" s="232"/>
      <c r="IHU145" s="95"/>
      <c r="IHV145" s="96"/>
      <c r="IIB145" s="232"/>
      <c r="IIC145" s="95"/>
      <c r="IID145" s="96"/>
      <c r="IIJ145" s="232"/>
      <c r="IIK145" s="95"/>
      <c r="IIL145" s="96"/>
      <c r="IIR145" s="232"/>
      <c r="IIS145" s="95"/>
      <c r="IIT145" s="96"/>
      <c r="IIZ145" s="232"/>
      <c r="IJA145" s="95"/>
      <c r="IJB145" s="96"/>
      <c r="IJH145" s="232"/>
      <c r="IJI145" s="95"/>
      <c r="IJJ145" s="96"/>
      <c r="IJP145" s="232"/>
      <c r="IJQ145" s="95"/>
      <c r="IJR145" s="96"/>
      <c r="IJX145" s="232"/>
      <c r="IJY145" s="95"/>
      <c r="IJZ145" s="96"/>
      <c r="IKF145" s="232"/>
      <c r="IKG145" s="95"/>
      <c r="IKH145" s="96"/>
      <c r="IKN145" s="232"/>
      <c r="IKO145" s="95"/>
      <c r="IKP145" s="96"/>
      <c r="IKV145" s="232"/>
      <c r="IKW145" s="95"/>
      <c r="IKX145" s="96"/>
      <c r="ILD145" s="232"/>
      <c r="ILE145" s="95"/>
      <c r="ILF145" s="96"/>
      <c r="ILL145" s="232"/>
      <c r="ILM145" s="95"/>
      <c r="ILN145" s="96"/>
      <c r="ILT145" s="232"/>
      <c r="ILU145" s="95"/>
      <c r="ILV145" s="96"/>
      <c r="IMB145" s="232"/>
      <c r="IMC145" s="95"/>
      <c r="IMD145" s="96"/>
      <c r="IMJ145" s="232"/>
      <c r="IMK145" s="95"/>
      <c r="IML145" s="96"/>
      <c r="IMR145" s="232"/>
      <c r="IMS145" s="95"/>
      <c r="IMT145" s="96"/>
      <c r="IMZ145" s="232"/>
      <c r="INA145" s="95"/>
      <c r="INB145" s="96"/>
      <c r="INH145" s="232"/>
      <c r="INI145" s="95"/>
      <c r="INJ145" s="96"/>
      <c r="INP145" s="232"/>
      <c r="INQ145" s="95"/>
      <c r="INR145" s="96"/>
      <c r="INX145" s="232"/>
      <c r="INY145" s="95"/>
      <c r="INZ145" s="96"/>
      <c r="IOF145" s="232"/>
      <c r="IOG145" s="95"/>
      <c r="IOH145" s="96"/>
      <c r="ION145" s="232"/>
      <c r="IOO145" s="95"/>
      <c r="IOP145" s="96"/>
      <c r="IOV145" s="232"/>
      <c r="IOW145" s="95"/>
      <c r="IOX145" s="96"/>
      <c r="IPD145" s="232"/>
      <c r="IPE145" s="95"/>
      <c r="IPF145" s="96"/>
      <c r="IPL145" s="232"/>
      <c r="IPM145" s="95"/>
      <c r="IPN145" s="96"/>
      <c r="IPT145" s="232"/>
      <c r="IPU145" s="95"/>
      <c r="IPV145" s="96"/>
      <c r="IQB145" s="232"/>
      <c r="IQC145" s="95"/>
      <c r="IQD145" s="96"/>
      <c r="IQJ145" s="232"/>
      <c r="IQK145" s="95"/>
      <c r="IQL145" s="96"/>
      <c r="IQR145" s="232"/>
      <c r="IQS145" s="95"/>
      <c r="IQT145" s="96"/>
      <c r="IQZ145" s="232"/>
      <c r="IRA145" s="95"/>
      <c r="IRB145" s="96"/>
      <c r="IRH145" s="232"/>
      <c r="IRI145" s="95"/>
      <c r="IRJ145" s="96"/>
      <c r="IRP145" s="232"/>
      <c r="IRQ145" s="95"/>
      <c r="IRR145" s="96"/>
      <c r="IRX145" s="232"/>
      <c r="IRY145" s="95"/>
      <c r="IRZ145" s="96"/>
      <c r="ISF145" s="232"/>
      <c r="ISG145" s="95"/>
      <c r="ISH145" s="96"/>
      <c r="ISN145" s="232"/>
      <c r="ISO145" s="95"/>
      <c r="ISP145" s="96"/>
      <c r="ISV145" s="232"/>
      <c r="ISW145" s="95"/>
      <c r="ISX145" s="96"/>
      <c r="ITD145" s="232"/>
      <c r="ITE145" s="95"/>
      <c r="ITF145" s="96"/>
      <c r="ITL145" s="232"/>
      <c r="ITM145" s="95"/>
      <c r="ITN145" s="96"/>
      <c r="ITT145" s="232"/>
      <c r="ITU145" s="95"/>
      <c r="ITV145" s="96"/>
      <c r="IUB145" s="232"/>
      <c r="IUC145" s="95"/>
      <c r="IUD145" s="96"/>
      <c r="IUJ145" s="232"/>
      <c r="IUK145" s="95"/>
      <c r="IUL145" s="96"/>
      <c r="IUR145" s="232"/>
      <c r="IUS145" s="95"/>
      <c r="IUT145" s="96"/>
      <c r="IUZ145" s="232"/>
      <c r="IVA145" s="95"/>
      <c r="IVB145" s="96"/>
      <c r="IVH145" s="232"/>
      <c r="IVI145" s="95"/>
      <c r="IVJ145" s="96"/>
      <c r="IVP145" s="232"/>
      <c r="IVQ145" s="95"/>
      <c r="IVR145" s="96"/>
      <c r="IVX145" s="232"/>
      <c r="IVY145" s="95"/>
      <c r="IVZ145" s="96"/>
      <c r="IWF145" s="232"/>
      <c r="IWG145" s="95"/>
      <c r="IWH145" s="96"/>
      <c r="IWN145" s="232"/>
      <c r="IWO145" s="95"/>
      <c r="IWP145" s="96"/>
      <c r="IWV145" s="232"/>
      <c r="IWW145" s="95"/>
      <c r="IWX145" s="96"/>
      <c r="IXD145" s="232"/>
      <c r="IXE145" s="95"/>
      <c r="IXF145" s="96"/>
      <c r="IXL145" s="232"/>
      <c r="IXM145" s="95"/>
      <c r="IXN145" s="96"/>
      <c r="IXT145" s="232"/>
      <c r="IXU145" s="95"/>
      <c r="IXV145" s="96"/>
      <c r="IYB145" s="232"/>
      <c r="IYC145" s="95"/>
      <c r="IYD145" s="96"/>
      <c r="IYJ145" s="232"/>
      <c r="IYK145" s="95"/>
      <c r="IYL145" s="96"/>
      <c r="IYR145" s="232"/>
      <c r="IYS145" s="95"/>
      <c r="IYT145" s="96"/>
      <c r="IYZ145" s="232"/>
      <c r="IZA145" s="95"/>
      <c r="IZB145" s="96"/>
      <c r="IZH145" s="232"/>
      <c r="IZI145" s="95"/>
      <c r="IZJ145" s="96"/>
      <c r="IZP145" s="232"/>
      <c r="IZQ145" s="95"/>
      <c r="IZR145" s="96"/>
      <c r="IZX145" s="232"/>
      <c r="IZY145" s="95"/>
      <c r="IZZ145" s="96"/>
      <c r="JAF145" s="232"/>
      <c r="JAG145" s="95"/>
      <c r="JAH145" s="96"/>
      <c r="JAN145" s="232"/>
      <c r="JAO145" s="95"/>
      <c r="JAP145" s="96"/>
      <c r="JAV145" s="232"/>
      <c r="JAW145" s="95"/>
      <c r="JAX145" s="96"/>
      <c r="JBD145" s="232"/>
      <c r="JBE145" s="95"/>
      <c r="JBF145" s="96"/>
      <c r="JBL145" s="232"/>
      <c r="JBM145" s="95"/>
      <c r="JBN145" s="96"/>
      <c r="JBT145" s="232"/>
      <c r="JBU145" s="95"/>
      <c r="JBV145" s="96"/>
      <c r="JCB145" s="232"/>
      <c r="JCC145" s="95"/>
      <c r="JCD145" s="96"/>
      <c r="JCJ145" s="232"/>
      <c r="JCK145" s="95"/>
      <c r="JCL145" s="96"/>
      <c r="JCR145" s="232"/>
      <c r="JCS145" s="95"/>
      <c r="JCT145" s="96"/>
      <c r="JCZ145" s="232"/>
      <c r="JDA145" s="95"/>
      <c r="JDB145" s="96"/>
      <c r="JDH145" s="232"/>
      <c r="JDI145" s="95"/>
      <c r="JDJ145" s="96"/>
      <c r="JDP145" s="232"/>
      <c r="JDQ145" s="95"/>
      <c r="JDR145" s="96"/>
      <c r="JDX145" s="232"/>
      <c r="JDY145" s="95"/>
      <c r="JDZ145" s="96"/>
      <c r="JEF145" s="232"/>
      <c r="JEG145" s="95"/>
      <c r="JEH145" s="96"/>
      <c r="JEN145" s="232"/>
      <c r="JEO145" s="95"/>
      <c r="JEP145" s="96"/>
      <c r="JEV145" s="232"/>
      <c r="JEW145" s="95"/>
      <c r="JEX145" s="96"/>
      <c r="JFD145" s="232"/>
      <c r="JFE145" s="95"/>
      <c r="JFF145" s="96"/>
      <c r="JFL145" s="232"/>
      <c r="JFM145" s="95"/>
      <c r="JFN145" s="96"/>
      <c r="JFT145" s="232"/>
      <c r="JFU145" s="95"/>
      <c r="JFV145" s="96"/>
      <c r="JGB145" s="232"/>
      <c r="JGC145" s="95"/>
      <c r="JGD145" s="96"/>
      <c r="JGJ145" s="232"/>
      <c r="JGK145" s="95"/>
      <c r="JGL145" s="96"/>
      <c r="JGR145" s="232"/>
      <c r="JGS145" s="95"/>
      <c r="JGT145" s="96"/>
      <c r="JGZ145" s="232"/>
      <c r="JHA145" s="95"/>
      <c r="JHB145" s="96"/>
      <c r="JHH145" s="232"/>
      <c r="JHI145" s="95"/>
      <c r="JHJ145" s="96"/>
      <c r="JHP145" s="232"/>
      <c r="JHQ145" s="95"/>
      <c r="JHR145" s="96"/>
      <c r="JHX145" s="232"/>
      <c r="JHY145" s="95"/>
      <c r="JHZ145" s="96"/>
      <c r="JIF145" s="232"/>
      <c r="JIG145" s="95"/>
      <c r="JIH145" s="96"/>
      <c r="JIN145" s="232"/>
      <c r="JIO145" s="95"/>
      <c r="JIP145" s="96"/>
      <c r="JIV145" s="232"/>
      <c r="JIW145" s="95"/>
      <c r="JIX145" s="96"/>
      <c r="JJD145" s="232"/>
      <c r="JJE145" s="95"/>
      <c r="JJF145" s="96"/>
      <c r="JJL145" s="232"/>
      <c r="JJM145" s="95"/>
      <c r="JJN145" s="96"/>
      <c r="JJT145" s="232"/>
      <c r="JJU145" s="95"/>
      <c r="JJV145" s="96"/>
      <c r="JKB145" s="232"/>
      <c r="JKC145" s="95"/>
      <c r="JKD145" s="96"/>
      <c r="JKJ145" s="232"/>
      <c r="JKK145" s="95"/>
      <c r="JKL145" s="96"/>
      <c r="JKR145" s="232"/>
      <c r="JKS145" s="95"/>
      <c r="JKT145" s="96"/>
      <c r="JKZ145" s="232"/>
      <c r="JLA145" s="95"/>
      <c r="JLB145" s="96"/>
      <c r="JLH145" s="232"/>
      <c r="JLI145" s="95"/>
      <c r="JLJ145" s="96"/>
      <c r="JLP145" s="232"/>
      <c r="JLQ145" s="95"/>
      <c r="JLR145" s="96"/>
      <c r="JLX145" s="232"/>
      <c r="JLY145" s="95"/>
      <c r="JLZ145" s="96"/>
      <c r="JMF145" s="232"/>
      <c r="JMG145" s="95"/>
      <c r="JMH145" s="96"/>
      <c r="JMN145" s="232"/>
      <c r="JMO145" s="95"/>
      <c r="JMP145" s="96"/>
      <c r="JMV145" s="232"/>
      <c r="JMW145" s="95"/>
      <c r="JMX145" s="96"/>
      <c r="JND145" s="232"/>
      <c r="JNE145" s="95"/>
      <c r="JNF145" s="96"/>
      <c r="JNL145" s="232"/>
      <c r="JNM145" s="95"/>
      <c r="JNN145" s="96"/>
      <c r="JNT145" s="232"/>
      <c r="JNU145" s="95"/>
      <c r="JNV145" s="96"/>
      <c r="JOB145" s="232"/>
      <c r="JOC145" s="95"/>
      <c r="JOD145" s="96"/>
      <c r="JOJ145" s="232"/>
      <c r="JOK145" s="95"/>
      <c r="JOL145" s="96"/>
      <c r="JOR145" s="232"/>
      <c r="JOS145" s="95"/>
      <c r="JOT145" s="96"/>
      <c r="JOZ145" s="232"/>
      <c r="JPA145" s="95"/>
      <c r="JPB145" s="96"/>
      <c r="JPH145" s="232"/>
      <c r="JPI145" s="95"/>
      <c r="JPJ145" s="96"/>
      <c r="JPP145" s="232"/>
      <c r="JPQ145" s="95"/>
      <c r="JPR145" s="96"/>
      <c r="JPX145" s="232"/>
      <c r="JPY145" s="95"/>
      <c r="JPZ145" s="96"/>
      <c r="JQF145" s="232"/>
      <c r="JQG145" s="95"/>
      <c r="JQH145" s="96"/>
      <c r="JQN145" s="232"/>
      <c r="JQO145" s="95"/>
      <c r="JQP145" s="96"/>
      <c r="JQV145" s="232"/>
      <c r="JQW145" s="95"/>
      <c r="JQX145" s="96"/>
      <c r="JRD145" s="232"/>
      <c r="JRE145" s="95"/>
      <c r="JRF145" s="96"/>
      <c r="JRL145" s="232"/>
      <c r="JRM145" s="95"/>
      <c r="JRN145" s="96"/>
      <c r="JRT145" s="232"/>
      <c r="JRU145" s="95"/>
      <c r="JRV145" s="96"/>
      <c r="JSB145" s="232"/>
      <c r="JSC145" s="95"/>
      <c r="JSD145" s="96"/>
      <c r="JSJ145" s="232"/>
      <c r="JSK145" s="95"/>
      <c r="JSL145" s="96"/>
      <c r="JSR145" s="232"/>
      <c r="JSS145" s="95"/>
      <c r="JST145" s="96"/>
      <c r="JSZ145" s="232"/>
      <c r="JTA145" s="95"/>
      <c r="JTB145" s="96"/>
      <c r="JTH145" s="232"/>
      <c r="JTI145" s="95"/>
      <c r="JTJ145" s="96"/>
      <c r="JTP145" s="232"/>
      <c r="JTQ145" s="95"/>
      <c r="JTR145" s="96"/>
      <c r="JTX145" s="232"/>
      <c r="JTY145" s="95"/>
      <c r="JTZ145" s="96"/>
      <c r="JUF145" s="232"/>
      <c r="JUG145" s="95"/>
      <c r="JUH145" s="96"/>
      <c r="JUN145" s="232"/>
      <c r="JUO145" s="95"/>
      <c r="JUP145" s="96"/>
      <c r="JUV145" s="232"/>
      <c r="JUW145" s="95"/>
      <c r="JUX145" s="96"/>
      <c r="JVD145" s="232"/>
      <c r="JVE145" s="95"/>
      <c r="JVF145" s="96"/>
      <c r="JVL145" s="232"/>
      <c r="JVM145" s="95"/>
      <c r="JVN145" s="96"/>
      <c r="JVT145" s="232"/>
      <c r="JVU145" s="95"/>
      <c r="JVV145" s="96"/>
      <c r="JWB145" s="232"/>
      <c r="JWC145" s="95"/>
      <c r="JWD145" s="96"/>
      <c r="JWJ145" s="232"/>
      <c r="JWK145" s="95"/>
      <c r="JWL145" s="96"/>
      <c r="JWR145" s="232"/>
      <c r="JWS145" s="95"/>
      <c r="JWT145" s="96"/>
      <c r="JWZ145" s="232"/>
      <c r="JXA145" s="95"/>
      <c r="JXB145" s="96"/>
      <c r="JXH145" s="232"/>
      <c r="JXI145" s="95"/>
      <c r="JXJ145" s="96"/>
      <c r="JXP145" s="232"/>
      <c r="JXQ145" s="95"/>
      <c r="JXR145" s="96"/>
      <c r="JXX145" s="232"/>
      <c r="JXY145" s="95"/>
      <c r="JXZ145" s="96"/>
      <c r="JYF145" s="232"/>
      <c r="JYG145" s="95"/>
      <c r="JYH145" s="96"/>
      <c r="JYN145" s="232"/>
      <c r="JYO145" s="95"/>
      <c r="JYP145" s="96"/>
      <c r="JYV145" s="232"/>
      <c r="JYW145" s="95"/>
      <c r="JYX145" s="96"/>
      <c r="JZD145" s="232"/>
      <c r="JZE145" s="95"/>
      <c r="JZF145" s="96"/>
      <c r="JZL145" s="232"/>
      <c r="JZM145" s="95"/>
      <c r="JZN145" s="96"/>
      <c r="JZT145" s="232"/>
      <c r="JZU145" s="95"/>
      <c r="JZV145" s="96"/>
      <c r="KAB145" s="232"/>
      <c r="KAC145" s="95"/>
      <c r="KAD145" s="96"/>
      <c r="KAJ145" s="232"/>
      <c r="KAK145" s="95"/>
      <c r="KAL145" s="96"/>
      <c r="KAR145" s="232"/>
      <c r="KAS145" s="95"/>
      <c r="KAT145" s="96"/>
      <c r="KAZ145" s="232"/>
      <c r="KBA145" s="95"/>
      <c r="KBB145" s="96"/>
      <c r="KBH145" s="232"/>
      <c r="KBI145" s="95"/>
      <c r="KBJ145" s="96"/>
      <c r="KBP145" s="232"/>
      <c r="KBQ145" s="95"/>
      <c r="KBR145" s="96"/>
      <c r="KBX145" s="232"/>
      <c r="KBY145" s="95"/>
      <c r="KBZ145" s="96"/>
      <c r="KCF145" s="232"/>
      <c r="KCG145" s="95"/>
      <c r="KCH145" s="96"/>
      <c r="KCN145" s="232"/>
      <c r="KCO145" s="95"/>
      <c r="KCP145" s="96"/>
      <c r="KCV145" s="232"/>
      <c r="KCW145" s="95"/>
      <c r="KCX145" s="96"/>
      <c r="KDD145" s="232"/>
      <c r="KDE145" s="95"/>
      <c r="KDF145" s="96"/>
      <c r="KDL145" s="232"/>
      <c r="KDM145" s="95"/>
      <c r="KDN145" s="96"/>
      <c r="KDT145" s="232"/>
      <c r="KDU145" s="95"/>
      <c r="KDV145" s="96"/>
      <c r="KEB145" s="232"/>
      <c r="KEC145" s="95"/>
      <c r="KED145" s="96"/>
      <c r="KEJ145" s="232"/>
      <c r="KEK145" s="95"/>
      <c r="KEL145" s="96"/>
      <c r="KER145" s="232"/>
      <c r="KES145" s="95"/>
      <c r="KET145" s="96"/>
      <c r="KEZ145" s="232"/>
      <c r="KFA145" s="95"/>
      <c r="KFB145" s="96"/>
      <c r="KFH145" s="232"/>
      <c r="KFI145" s="95"/>
      <c r="KFJ145" s="96"/>
      <c r="KFP145" s="232"/>
      <c r="KFQ145" s="95"/>
      <c r="KFR145" s="96"/>
      <c r="KFX145" s="232"/>
      <c r="KFY145" s="95"/>
      <c r="KFZ145" s="96"/>
      <c r="KGF145" s="232"/>
      <c r="KGG145" s="95"/>
      <c r="KGH145" s="96"/>
      <c r="KGN145" s="232"/>
      <c r="KGO145" s="95"/>
      <c r="KGP145" s="96"/>
      <c r="KGV145" s="232"/>
      <c r="KGW145" s="95"/>
      <c r="KGX145" s="96"/>
      <c r="KHD145" s="232"/>
      <c r="KHE145" s="95"/>
      <c r="KHF145" s="96"/>
      <c r="KHL145" s="232"/>
      <c r="KHM145" s="95"/>
      <c r="KHN145" s="96"/>
      <c r="KHT145" s="232"/>
      <c r="KHU145" s="95"/>
      <c r="KHV145" s="96"/>
      <c r="KIB145" s="232"/>
      <c r="KIC145" s="95"/>
      <c r="KID145" s="96"/>
      <c r="KIJ145" s="232"/>
      <c r="KIK145" s="95"/>
      <c r="KIL145" s="96"/>
      <c r="KIR145" s="232"/>
      <c r="KIS145" s="95"/>
      <c r="KIT145" s="96"/>
      <c r="KIZ145" s="232"/>
      <c r="KJA145" s="95"/>
      <c r="KJB145" s="96"/>
      <c r="KJH145" s="232"/>
      <c r="KJI145" s="95"/>
      <c r="KJJ145" s="96"/>
      <c r="KJP145" s="232"/>
      <c r="KJQ145" s="95"/>
      <c r="KJR145" s="96"/>
      <c r="KJX145" s="232"/>
      <c r="KJY145" s="95"/>
      <c r="KJZ145" s="96"/>
      <c r="KKF145" s="232"/>
      <c r="KKG145" s="95"/>
      <c r="KKH145" s="96"/>
      <c r="KKN145" s="232"/>
      <c r="KKO145" s="95"/>
      <c r="KKP145" s="96"/>
      <c r="KKV145" s="232"/>
      <c r="KKW145" s="95"/>
      <c r="KKX145" s="96"/>
      <c r="KLD145" s="232"/>
      <c r="KLE145" s="95"/>
      <c r="KLF145" s="96"/>
      <c r="KLL145" s="232"/>
      <c r="KLM145" s="95"/>
      <c r="KLN145" s="96"/>
      <c r="KLT145" s="232"/>
      <c r="KLU145" s="95"/>
      <c r="KLV145" s="96"/>
      <c r="KMB145" s="232"/>
      <c r="KMC145" s="95"/>
      <c r="KMD145" s="96"/>
      <c r="KMJ145" s="232"/>
      <c r="KMK145" s="95"/>
      <c r="KML145" s="96"/>
      <c r="KMR145" s="232"/>
      <c r="KMS145" s="95"/>
      <c r="KMT145" s="96"/>
      <c r="KMZ145" s="232"/>
      <c r="KNA145" s="95"/>
      <c r="KNB145" s="96"/>
      <c r="KNH145" s="232"/>
      <c r="KNI145" s="95"/>
      <c r="KNJ145" s="96"/>
      <c r="KNP145" s="232"/>
      <c r="KNQ145" s="95"/>
      <c r="KNR145" s="96"/>
      <c r="KNX145" s="232"/>
      <c r="KNY145" s="95"/>
      <c r="KNZ145" s="96"/>
      <c r="KOF145" s="232"/>
      <c r="KOG145" s="95"/>
      <c r="KOH145" s="96"/>
      <c r="KON145" s="232"/>
      <c r="KOO145" s="95"/>
      <c r="KOP145" s="96"/>
      <c r="KOV145" s="232"/>
      <c r="KOW145" s="95"/>
      <c r="KOX145" s="96"/>
      <c r="KPD145" s="232"/>
      <c r="KPE145" s="95"/>
      <c r="KPF145" s="96"/>
      <c r="KPL145" s="232"/>
      <c r="KPM145" s="95"/>
      <c r="KPN145" s="96"/>
      <c r="KPT145" s="232"/>
      <c r="KPU145" s="95"/>
      <c r="KPV145" s="96"/>
      <c r="KQB145" s="232"/>
      <c r="KQC145" s="95"/>
      <c r="KQD145" s="96"/>
      <c r="KQJ145" s="232"/>
      <c r="KQK145" s="95"/>
      <c r="KQL145" s="96"/>
      <c r="KQR145" s="232"/>
      <c r="KQS145" s="95"/>
      <c r="KQT145" s="96"/>
      <c r="KQZ145" s="232"/>
      <c r="KRA145" s="95"/>
      <c r="KRB145" s="96"/>
      <c r="KRH145" s="232"/>
      <c r="KRI145" s="95"/>
      <c r="KRJ145" s="96"/>
      <c r="KRP145" s="232"/>
      <c r="KRQ145" s="95"/>
      <c r="KRR145" s="96"/>
      <c r="KRX145" s="232"/>
      <c r="KRY145" s="95"/>
      <c r="KRZ145" s="96"/>
      <c r="KSF145" s="232"/>
      <c r="KSG145" s="95"/>
      <c r="KSH145" s="96"/>
      <c r="KSN145" s="232"/>
      <c r="KSO145" s="95"/>
      <c r="KSP145" s="96"/>
      <c r="KSV145" s="232"/>
      <c r="KSW145" s="95"/>
      <c r="KSX145" s="96"/>
      <c r="KTD145" s="232"/>
      <c r="KTE145" s="95"/>
      <c r="KTF145" s="96"/>
      <c r="KTL145" s="232"/>
      <c r="KTM145" s="95"/>
      <c r="KTN145" s="96"/>
      <c r="KTT145" s="232"/>
      <c r="KTU145" s="95"/>
      <c r="KTV145" s="96"/>
      <c r="KUB145" s="232"/>
      <c r="KUC145" s="95"/>
      <c r="KUD145" s="96"/>
      <c r="KUJ145" s="232"/>
      <c r="KUK145" s="95"/>
      <c r="KUL145" s="96"/>
      <c r="KUR145" s="232"/>
      <c r="KUS145" s="95"/>
      <c r="KUT145" s="96"/>
      <c r="KUZ145" s="232"/>
      <c r="KVA145" s="95"/>
      <c r="KVB145" s="96"/>
      <c r="KVH145" s="232"/>
      <c r="KVI145" s="95"/>
      <c r="KVJ145" s="96"/>
      <c r="KVP145" s="232"/>
      <c r="KVQ145" s="95"/>
      <c r="KVR145" s="96"/>
      <c r="KVX145" s="232"/>
      <c r="KVY145" s="95"/>
      <c r="KVZ145" s="96"/>
      <c r="KWF145" s="232"/>
      <c r="KWG145" s="95"/>
      <c r="KWH145" s="96"/>
      <c r="KWN145" s="232"/>
      <c r="KWO145" s="95"/>
      <c r="KWP145" s="96"/>
      <c r="KWV145" s="232"/>
      <c r="KWW145" s="95"/>
      <c r="KWX145" s="96"/>
      <c r="KXD145" s="232"/>
      <c r="KXE145" s="95"/>
      <c r="KXF145" s="96"/>
      <c r="KXL145" s="232"/>
      <c r="KXM145" s="95"/>
      <c r="KXN145" s="96"/>
      <c r="KXT145" s="232"/>
      <c r="KXU145" s="95"/>
      <c r="KXV145" s="96"/>
      <c r="KYB145" s="232"/>
      <c r="KYC145" s="95"/>
      <c r="KYD145" s="96"/>
      <c r="KYJ145" s="232"/>
      <c r="KYK145" s="95"/>
      <c r="KYL145" s="96"/>
      <c r="KYR145" s="232"/>
      <c r="KYS145" s="95"/>
      <c r="KYT145" s="96"/>
      <c r="KYZ145" s="232"/>
      <c r="KZA145" s="95"/>
      <c r="KZB145" s="96"/>
      <c r="KZH145" s="232"/>
      <c r="KZI145" s="95"/>
      <c r="KZJ145" s="96"/>
      <c r="KZP145" s="232"/>
      <c r="KZQ145" s="95"/>
      <c r="KZR145" s="96"/>
      <c r="KZX145" s="232"/>
      <c r="KZY145" s="95"/>
      <c r="KZZ145" s="96"/>
      <c r="LAF145" s="232"/>
      <c r="LAG145" s="95"/>
      <c r="LAH145" s="96"/>
      <c r="LAN145" s="232"/>
      <c r="LAO145" s="95"/>
      <c r="LAP145" s="96"/>
      <c r="LAV145" s="232"/>
      <c r="LAW145" s="95"/>
      <c r="LAX145" s="96"/>
      <c r="LBD145" s="232"/>
      <c r="LBE145" s="95"/>
      <c r="LBF145" s="96"/>
      <c r="LBL145" s="232"/>
      <c r="LBM145" s="95"/>
      <c r="LBN145" s="96"/>
      <c r="LBT145" s="232"/>
      <c r="LBU145" s="95"/>
      <c r="LBV145" s="96"/>
      <c r="LCB145" s="232"/>
      <c r="LCC145" s="95"/>
      <c r="LCD145" s="96"/>
      <c r="LCJ145" s="232"/>
      <c r="LCK145" s="95"/>
      <c r="LCL145" s="96"/>
      <c r="LCR145" s="232"/>
      <c r="LCS145" s="95"/>
      <c r="LCT145" s="96"/>
      <c r="LCZ145" s="232"/>
      <c r="LDA145" s="95"/>
      <c r="LDB145" s="96"/>
      <c r="LDH145" s="232"/>
      <c r="LDI145" s="95"/>
      <c r="LDJ145" s="96"/>
      <c r="LDP145" s="232"/>
      <c r="LDQ145" s="95"/>
      <c r="LDR145" s="96"/>
      <c r="LDX145" s="232"/>
      <c r="LDY145" s="95"/>
      <c r="LDZ145" s="96"/>
      <c r="LEF145" s="232"/>
      <c r="LEG145" s="95"/>
      <c r="LEH145" s="96"/>
      <c r="LEN145" s="232"/>
      <c r="LEO145" s="95"/>
      <c r="LEP145" s="96"/>
      <c r="LEV145" s="232"/>
      <c r="LEW145" s="95"/>
      <c r="LEX145" s="96"/>
      <c r="LFD145" s="232"/>
      <c r="LFE145" s="95"/>
      <c r="LFF145" s="96"/>
      <c r="LFL145" s="232"/>
      <c r="LFM145" s="95"/>
      <c r="LFN145" s="96"/>
      <c r="LFT145" s="232"/>
      <c r="LFU145" s="95"/>
      <c r="LFV145" s="96"/>
      <c r="LGB145" s="232"/>
      <c r="LGC145" s="95"/>
      <c r="LGD145" s="96"/>
      <c r="LGJ145" s="232"/>
      <c r="LGK145" s="95"/>
      <c r="LGL145" s="96"/>
      <c r="LGR145" s="232"/>
      <c r="LGS145" s="95"/>
      <c r="LGT145" s="96"/>
      <c r="LGZ145" s="232"/>
      <c r="LHA145" s="95"/>
      <c r="LHB145" s="96"/>
      <c r="LHH145" s="232"/>
      <c r="LHI145" s="95"/>
      <c r="LHJ145" s="96"/>
      <c r="LHP145" s="232"/>
      <c r="LHQ145" s="95"/>
      <c r="LHR145" s="96"/>
      <c r="LHX145" s="232"/>
      <c r="LHY145" s="95"/>
      <c r="LHZ145" s="96"/>
      <c r="LIF145" s="232"/>
      <c r="LIG145" s="95"/>
      <c r="LIH145" s="96"/>
      <c r="LIN145" s="232"/>
      <c r="LIO145" s="95"/>
      <c r="LIP145" s="96"/>
      <c r="LIV145" s="232"/>
      <c r="LIW145" s="95"/>
      <c r="LIX145" s="96"/>
      <c r="LJD145" s="232"/>
      <c r="LJE145" s="95"/>
      <c r="LJF145" s="96"/>
      <c r="LJL145" s="232"/>
      <c r="LJM145" s="95"/>
      <c r="LJN145" s="96"/>
      <c r="LJT145" s="232"/>
      <c r="LJU145" s="95"/>
      <c r="LJV145" s="96"/>
      <c r="LKB145" s="232"/>
      <c r="LKC145" s="95"/>
      <c r="LKD145" s="96"/>
      <c r="LKJ145" s="232"/>
      <c r="LKK145" s="95"/>
      <c r="LKL145" s="96"/>
      <c r="LKR145" s="232"/>
      <c r="LKS145" s="95"/>
      <c r="LKT145" s="96"/>
      <c r="LKZ145" s="232"/>
      <c r="LLA145" s="95"/>
      <c r="LLB145" s="96"/>
      <c r="LLH145" s="232"/>
      <c r="LLI145" s="95"/>
      <c r="LLJ145" s="96"/>
      <c r="LLP145" s="232"/>
      <c r="LLQ145" s="95"/>
      <c r="LLR145" s="96"/>
      <c r="LLX145" s="232"/>
      <c r="LLY145" s="95"/>
      <c r="LLZ145" s="96"/>
      <c r="LMF145" s="232"/>
      <c r="LMG145" s="95"/>
      <c r="LMH145" s="96"/>
      <c r="LMN145" s="232"/>
      <c r="LMO145" s="95"/>
      <c r="LMP145" s="96"/>
      <c r="LMV145" s="232"/>
      <c r="LMW145" s="95"/>
      <c r="LMX145" s="96"/>
      <c r="LND145" s="232"/>
      <c r="LNE145" s="95"/>
      <c r="LNF145" s="96"/>
      <c r="LNL145" s="232"/>
      <c r="LNM145" s="95"/>
      <c r="LNN145" s="96"/>
      <c r="LNT145" s="232"/>
      <c r="LNU145" s="95"/>
      <c r="LNV145" s="96"/>
      <c r="LOB145" s="232"/>
      <c r="LOC145" s="95"/>
      <c r="LOD145" s="96"/>
      <c r="LOJ145" s="232"/>
      <c r="LOK145" s="95"/>
      <c r="LOL145" s="96"/>
      <c r="LOR145" s="232"/>
      <c r="LOS145" s="95"/>
      <c r="LOT145" s="96"/>
      <c r="LOZ145" s="232"/>
      <c r="LPA145" s="95"/>
      <c r="LPB145" s="96"/>
      <c r="LPH145" s="232"/>
      <c r="LPI145" s="95"/>
      <c r="LPJ145" s="96"/>
      <c r="LPP145" s="232"/>
      <c r="LPQ145" s="95"/>
      <c r="LPR145" s="96"/>
      <c r="LPX145" s="232"/>
      <c r="LPY145" s="95"/>
      <c r="LPZ145" s="96"/>
      <c r="LQF145" s="232"/>
      <c r="LQG145" s="95"/>
      <c r="LQH145" s="96"/>
      <c r="LQN145" s="232"/>
      <c r="LQO145" s="95"/>
      <c r="LQP145" s="96"/>
      <c r="LQV145" s="232"/>
      <c r="LQW145" s="95"/>
      <c r="LQX145" s="96"/>
      <c r="LRD145" s="232"/>
      <c r="LRE145" s="95"/>
      <c r="LRF145" s="96"/>
      <c r="LRL145" s="232"/>
      <c r="LRM145" s="95"/>
      <c r="LRN145" s="96"/>
      <c r="LRT145" s="232"/>
      <c r="LRU145" s="95"/>
      <c r="LRV145" s="96"/>
      <c r="LSB145" s="232"/>
      <c r="LSC145" s="95"/>
      <c r="LSD145" s="96"/>
      <c r="LSJ145" s="232"/>
      <c r="LSK145" s="95"/>
      <c r="LSL145" s="96"/>
      <c r="LSR145" s="232"/>
      <c r="LSS145" s="95"/>
      <c r="LST145" s="96"/>
      <c r="LSZ145" s="232"/>
      <c r="LTA145" s="95"/>
      <c r="LTB145" s="96"/>
      <c r="LTH145" s="232"/>
      <c r="LTI145" s="95"/>
      <c r="LTJ145" s="96"/>
      <c r="LTP145" s="232"/>
      <c r="LTQ145" s="95"/>
      <c r="LTR145" s="96"/>
      <c r="LTX145" s="232"/>
      <c r="LTY145" s="95"/>
      <c r="LTZ145" s="96"/>
      <c r="LUF145" s="232"/>
      <c r="LUG145" s="95"/>
      <c r="LUH145" s="96"/>
      <c r="LUN145" s="232"/>
      <c r="LUO145" s="95"/>
      <c r="LUP145" s="96"/>
      <c r="LUV145" s="232"/>
      <c r="LUW145" s="95"/>
      <c r="LUX145" s="96"/>
      <c r="LVD145" s="232"/>
      <c r="LVE145" s="95"/>
      <c r="LVF145" s="96"/>
      <c r="LVL145" s="232"/>
      <c r="LVM145" s="95"/>
      <c r="LVN145" s="96"/>
      <c r="LVT145" s="232"/>
      <c r="LVU145" s="95"/>
      <c r="LVV145" s="96"/>
      <c r="LWB145" s="232"/>
      <c r="LWC145" s="95"/>
      <c r="LWD145" s="96"/>
      <c r="LWJ145" s="232"/>
      <c r="LWK145" s="95"/>
      <c r="LWL145" s="96"/>
      <c r="LWR145" s="232"/>
      <c r="LWS145" s="95"/>
      <c r="LWT145" s="96"/>
      <c r="LWZ145" s="232"/>
      <c r="LXA145" s="95"/>
      <c r="LXB145" s="96"/>
      <c r="LXH145" s="232"/>
      <c r="LXI145" s="95"/>
      <c r="LXJ145" s="96"/>
      <c r="LXP145" s="232"/>
      <c r="LXQ145" s="95"/>
      <c r="LXR145" s="96"/>
      <c r="LXX145" s="232"/>
      <c r="LXY145" s="95"/>
      <c r="LXZ145" s="96"/>
      <c r="LYF145" s="232"/>
      <c r="LYG145" s="95"/>
      <c r="LYH145" s="96"/>
      <c r="LYN145" s="232"/>
      <c r="LYO145" s="95"/>
      <c r="LYP145" s="96"/>
      <c r="LYV145" s="232"/>
      <c r="LYW145" s="95"/>
      <c r="LYX145" s="96"/>
      <c r="LZD145" s="232"/>
      <c r="LZE145" s="95"/>
      <c r="LZF145" s="96"/>
      <c r="LZL145" s="232"/>
      <c r="LZM145" s="95"/>
      <c r="LZN145" s="96"/>
      <c r="LZT145" s="232"/>
      <c r="LZU145" s="95"/>
      <c r="LZV145" s="96"/>
      <c r="MAB145" s="232"/>
      <c r="MAC145" s="95"/>
      <c r="MAD145" s="96"/>
      <c r="MAJ145" s="232"/>
      <c r="MAK145" s="95"/>
      <c r="MAL145" s="96"/>
      <c r="MAR145" s="232"/>
      <c r="MAS145" s="95"/>
      <c r="MAT145" s="96"/>
      <c r="MAZ145" s="232"/>
      <c r="MBA145" s="95"/>
      <c r="MBB145" s="96"/>
      <c r="MBH145" s="232"/>
      <c r="MBI145" s="95"/>
      <c r="MBJ145" s="96"/>
      <c r="MBP145" s="232"/>
      <c r="MBQ145" s="95"/>
      <c r="MBR145" s="96"/>
      <c r="MBX145" s="232"/>
      <c r="MBY145" s="95"/>
      <c r="MBZ145" s="96"/>
      <c r="MCF145" s="232"/>
      <c r="MCG145" s="95"/>
      <c r="MCH145" s="96"/>
      <c r="MCN145" s="232"/>
      <c r="MCO145" s="95"/>
      <c r="MCP145" s="96"/>
      <c r="MCV145" s="232"/>
      <c r="MCW145" s="95"/>
      <c r="MCX145" s="96"/>
      <c r="MDD145" s="232"/>
      <c r="MDE145" s="95"/>
      <c r="MDF145" s="96"/>
      <c r="MDL145" s="232"/>
      <c r="MDM145" s="95"/>
      <c r="MDN145" s="96"/>
      <c r="MDT145" s="232"/>
      <c r="MDU145" s="95"/>
      <c r="MDV145" s="96"/>
      <c r="MEB145" s="232"/>
      <c r="MEC145" s="95"/>
      <c r="MED145" s="96"/>
      <c r="MEJ145" s="232"/>
      <c r="MEK145" s="95"/>
      <c r="MEL145" s="96"/>
      <c r="MER145" s="232"/>
      <c r="MES145" s="95"/>
      <c r="MET145" s="96"/>
      <c r="MEZ145" s="232"/>
      <c r="MFA145" s="95"/>
      <c r="MFB145" s="96"/>
      <c r="MFH145" s="232"/>
      <c r="MFI145" s="95"/>
      <c r="MFJ145" s="96"/>
      <c r="MFP145" s="232"/>
      <c r="MFQ145" s="95"/>
      <c r="MFR145" s="96"/>
      <c r="MFX145" s="232"/>
      <c r="MFY145" s="95"/>
      <c r="MFZ145" s="96"/>
      <c r="MGF145" s="232"/>
      <c r="MGG145" s="95"/>
      <c r="MGH145" s="96"/>
      <c r="MGN145" s="232"/>
      <c r="MGO145" s="95"/>
      <c r="MGP145" s="96"/>
      <c r="MGV145" s="232"/>
      <c r="MGW145" s="95"/>
      <c r="MGX145" s="96"/>
      <c r="MHD145" s="232"/>
      <c r="MHE145" s="95"/>
      <c r="MHF145" s="96"/>
      <c r="MHL145" s="232"/>
      <c r="MHM145" s="95"/>
      <c r="MHN145" s="96"/>
      <c r="MHT145" s="232"/>
      <c r="MHU145" s="95"/>
      <c r="MHV145" s="96"/>
      <c r="MIB145" s="232"/>
      <c r="MIC145" s="95"/>
      <c r="MID145" s="96"/>
      <c r="MIJ145" s="232"/>
      <c r="MIK145" s="95"/>
      <c r="MIL145" s="96"/>
      <c r="MIR145" s="232"/>
      <c r="MIS145" s="95"/>
      <c r="MIT145" s="96"/>
      <c r="MIZ145" s="232"/>
      <c r="MJA145" s="95"/>
      <c r="MJB145" s="96"/>
      <c r="MJH145" s="232"/>
      <c r="MJI145" s="95"/>
      <c r="MJJ145" s="96"/>
      <c r="MJP145" s="232"/>
      <c r="MJQ145" s="95"/>
      <c r="MJR145" s="96"/>
      <c r="MJX145" s="232"/>
      <c r="MJY145" s="95"/>
      <c r="MJZ145" s="96"/>
      <c r="MKF145" s="232"/>
      <c r="MKG145" s="95"/>
      <c r="MKH145" s="96"/>
      <c r="MKN145" s="232"/>
      <c r="MKO145" s="95"/>
      <c r="MKP145" s="96"/>
      <c r="MKV145" s="232"/>
      <c r="MKW145" s="95"/>
      <c r="MKX145" s="96"/>
      <c r="MLD145" s="232"/>
      <c r="MLE145" s="95"/>
      <c r="MLF145" s="96"/>
      <c r="MLL145" s="232"/>
      <c r="MLM145" s="95"/>
      <c r="MLN145" s="96"/>
      <c r="MLT145" s="232"/>
      <c r="MLU145" s="95"/>
      <c r="MLV145" s="96"/>
      <c r="MMB145" s="232"/>
      <c r="MMC145" s="95"/>
      <c r="MMD145" s="96"/>
      <c r="MMJ145" s="232"/>
      <c r="MMK145" s="95"/>
      <c r="MML145" s="96"/>
      <c r="MMR145" s="232"/>
      <c r="MMS145" s="95"/>
      <c r="MMT145" s="96"/>
      <c r="MMZ145" s="232"/>
      <c r="MNA145" s="95"/>
      <c r="MNB145" s="96"/>
      <c r="MNH145" s="232"/>
      <c r="MNI145" s="95"/>
      <c r="MNJ145" s="96"/>
      <c r="MNP145" s="232"/>
      <c r="MNQ145" s="95"/>
      <c r="MNR145" s="96"/>
      <c r="MNX145" s="232"/>
      <c r="MNY145" s="95"/>
      <c r="MNZ145" s="96"/>
      <c r="MOF145" s="232"/>
      <c r="MOG145" s="95"/>
      <c r="MOH145" s="96"/>
      <c r="MON145" s="232"/>
      <c r="MOO145" s="95"/>
      <c r="MOP145" s="96"/>
      <c r="MOV145" s="232"/>
      <c r="MOW145" s="95"/>
      <c r="MOX145" s="96"/>
      <c r="MPD145" s="232"/>
      <c r="MPE145" s="95"/>
      <c r="MPF145" s="96"/>
      <c r="MPL145" s="232"/>
      <c r="MPM145" s="95"/>
      <c r="MPN145" s="96"/>
      <c r="MPT145" s="232"/>
      <c r="MPU145" s="95"/>
      <c r="MPV145" s="96"/>
      <c r="MQB145" s="232"/>
      <c r="MQC145" s="95"/>
      <c r="MQD145" s="96"/>
      <c r="MQJ145" s="232"/>
      <c r="MQK145" s="95"/>
      <c r="MQL145" s="96"/>
      <c r="MQR145" s="232"/>
      <c r="MQS145" s="95"/>
      <c r="MQT145" s="96"/>
      <c r="MQZ145" s="232"/>
      <c r="MRA145" s="95"/>
      <c r="MRB145" s="96"/>
      <c r="MRH145" s="232"/>
      <c r="MRI145" s="95"/>
      <c r="MRJ145" s="96"/>
      <c r="MRP145" s="232"/>
      <c r="MRQ145" s="95"/>
      <c r="MRR145" s="96"/>
      <c r="MRX145" s="232"/>
      <c r="MRY145" s="95"/>
      <c r="MRZ145" s="96"/>
      <c r="MSF145" s="232"/>
      <c r="MSG145" s="95"/>
      <c r="MSH145" s="96"/>
      <c r="MSN145" s="232"/>
      <c r="MSO145" s="95"/>
      <c r="MSP145" s="96"/>
      <c r="MSV145" s="232"/>
      <c r="MSW145" s="95"/>
      <c r="MSX145" s="96"/>
      <c r="MTD145" s="232"/>
      <c r="MTE145" s="95"/>
      <c r="MTF145" s="96"/>
      <c r="MTL145" s="232"/>
      <c r="MTM145" s="95"/>
      <c r="MTN145" s="96"/>
      <c r="MTT145" s="232"/>
      <c r="MTU145" s="95"/>
      <c r="MTV145" s="96"/>
      <c r="MUB145" s="232"/>
      <c r="MUC145" s="95"/>
      <c r="MUD145" s="96"/>
      <c r="MUJ145" s="232"/>
      <c r="MUK145" s="95"/>
      <c r="MUL145" s="96"/>
      <c r="MUR145" s="232"/>
      <c r="MUS145" s="95"/>
      <c r="MUT145" s="96"/>
      <c r="MUZ145" s="232"/>
      <c r="MVA145" s="95"/>
      <c r="MVB145" s="96"/>
      <c r="MVH145" s="232"/>
      <c r="MVI145" s="95"/>
      <c r="MVJ145" s="96"/>
      <c r="MVP145" s="232"/>
      <c r="MVQ145" s="95"/>
      <c r="MVR145" s="96"/>
      <c r="MVX145" s="232"/>
      <c r="MVY145" s="95"/>
      <c r="MVZ145" s="96"/>
      <c r="MWF145" s="232"/>
      <c r="MWG145" s="95"/>
      <c r="MWH145" s="96"/>
      <c r="MWN145" s="232"/>
      <c r="MWO145" s="95"/>
      <c r="MWP145" s="96"/>
      <c r="MWV145" s="232"/>
      <c r="MWW145" s="95"/>
      <c r="MWX145" s="96"/>
      <c r="MXD145" s="232"/>
      <c r="MXE145" s="95"/>
      <c r="MXF145" s="96"/>
      <c r="MXL145" s="232"/>
      <c r="MXM145" s="95"/>
      <c r="MXN145" s="96"/>
      <c r="MXT145" s="232"/>
      <c r="MXU145" s="95"/>
      <c r="MXV145" s="96"/>
      <c r="MYB145" s="232"/>
      <c r="MYC145" s="95"/>
      <c r="MYD145" s="96"/>
      <c r="MYJ145" s="232"/>
      <c r="MYK145" s="95"/>
      <c r="MYL145" s="96"/>
      <c r="MYR145" s="232"/>
      <c r="MYS145" s="95"/>
      <c r="MYT145" s="96"/>
      <c r="MYZ145" s="232"/>
      <c r="MZA145" s="95"/>
      <c r="MZB145" s="96"/>
      <c r="MZH145" s="232"/>
      <c r="MZI145" s="95"/>
      <c r="MZJ145" s="96"/>
      <c r="MZP145" s="232"/>
      <c r="MZQ145" s="95"/>
      <c r="MZR145" s="96"/>
      <c r="MZX145" s="232"/>
      <c r="MZY145" s="95"/>
      <c r="MZZ145" s="96"/>
      <c r="NAF145" s="232"/>
      <c r="NAG145" s="95"/>
      <c r="NAH145" s="96"/>
      <c r="NAN145" s="232"/>
      <c r="NAO145" s="95"/>
      <c r="NAP145" s="96"/>
      <c r="NAV145" s="232"/>
      <c r="NAW145" s="95"/>
      <c r="NAX145" s="96"/>
      <c r="NBD145" s="232"/>
      <c r="NBE145" s="95"/>
      <c r="NBF145" s="96"/>
      <c r="NBL145" s="232"/>
      <c r="NBM145" s="95"/>
      <c r="NBN145" s="96"/>
      <c r="NBT145" s="232"/>
      <c r="NBU145" s="95"/>
      <c r="NBV145" s="96"/>
      <c r="NCB145" s="232"/>
      <c r="NCC145" s="95"/>
      <c r="NCD145" s="96"/>
      <c r="NCJ145" s="232"/>
      <c r="NCK145" s="95"/>
      <c r="NCL145" s="96"/>
      <c r="NCR145" s="232"/>
      <c r="NCS145" s="95"/>
      <c r="NCT145" s="96"/>
      <c r="NCZ145" s="232"/>
      <c r="NDA145" s="95"/>
      <c r="NDB145" s="96"/>
      <c r="NDH145" s="232"/>
      <c r="NDI145" s="95"/>
      <c r="NDJ145" s="96"/>
      <c r="NDP145" s="232"/>
      <c r="NDQ145" s="95"/>
      <c r="NDR145" s="96"/>
      <c r="NDX145" s="232"/>
      <c r="NDY145" s="95"/>
      <c r="NDZ145" s="96"/>
      <c r="NEF145" s="232"/>
      <c r="NEG145" s="95"/>
      <c r="NEH145" s="96"/>
      <c r="NEN145" s="232"/>
      <c r="NEO145" s="95"/>
      <c r="NEP145" s="96"/>
      <c r="NEV145" s="232"/>
      <c r="NEW145" s="95"/>
      <c r="NEX145" s="96"/>
      <c r="NFD145" s="232"/>
      <c r="NFE145" s="95"/>
      <c r="NFF145" s="96"/>
      <c r="NFL145" s="232"/>
      <c r="NFM145" s="95"/>
      <c r="NFN145" s="96"/>
      <c r="NFT145" s="232"/>
      <c r="NFU145" s="95"/>
      <c r="NFV145" s="96"/>
      <c r="NGB145" s="232"/>
      <c r="NGC145" s="95"/>
      <c r="NGD145" s="96"/>
      <c r="NGJ145" s="232"/>
      <c r="NGK145" s="95"/>
      <c r="NGL145" s="96"/>
      <c r="NGR145" s="232"/>
      <c r="NGS145" s="95"/>
      <c r="NGT145" s="96"/>
      <c r="NGZ145" s="232"/>
      <c r="NHA145" s="95"/>
      <c r="NHB145" s="96"/>
      <c r="NHH145" s="232"/>
      <c r="NHI145" s="95"/>
      <c r="NHJ145" s="96"/>
      <c r="NHP145" s="232"/>
      <c r="NHQ145" s="95"/>
      <c r="NHR145" s="96"/>
      <c r="NHX145" s="232"/>
      <c r="NHY145" s="95"/>
      <c r="NHZ145" s="96"/>
      <c r="NIF145" s="232"/>
      <c r="NIG145" s="95"/>
      <c r="NIH145" s="96"/>
      <c r="NIN145" s="232"/>
      <c r="NIO145" s="95"/>
      <c r="NIP145" s="96"/>
      <c r="NIV145" s="232"/>
      <c r="NIW145" s="95"/>
      <c r="NIX145" s="96"/>
      <c r="NJD145" s="232"/>
      <c r="NJE145" s="95"/>
      <c r="NJF145" s="96"/>
      <c r="NJL145" s="232"/>
      <c r="NJM145" s="95"/>
      <c r="NJN145" s="96"/>
      <c r="NJT145" s="232"/>
      <c r="NJU145" s="95"/>
      <c r="NJV145" s="96"/>
      <c r="NKB145" s="232"/>
      <c r="NKC145" s="95"/>
      <c r="NKD145" s="96"/>
      <c r="NKJ145" s="232"/>
      <c r="NKK145" s="95"/>
      <c r="NKL145" s="96"/>
      <c r="NKR145" s="232"/>
      <c r="NKS145" s="95"/>
      <c r="NKT145" s="96"/>
      <c r="NKZ145" s="232"/>
      <c r="NLA145" s="95"/>
      <c r="NLB145" s="96"/>
      <c r="NLH145" s="232"/>
      <c r="NLI145" s="95"/>
      <c r="NLJ145" s="96"/>
      <c r="NLP145" s="232"/>
      <c r="NLQ145" s="95"/>
      <c r="NLR145" s="96"/>
      <c r="NLX145" s="232"/>
      <c r="NLY145" s="95"/>
      <c r="NLZ145" s="96"/>
      <c r="NMF145" s="232"/>
      <c r="NMG145" s="95"/>
      <c r="NMH145" s="96"/>
      <c r="NMN145" s="232"/>
      <c r="NMO145" s="95"/>
      <c r="NMP145" s="96"/>
      <c r="NMV145" s="232"/>
      <c r="NMW145" s="95"/>
      <c r="NMX145" s="96"/>
      <c r="NND145" s="232"/>
      <c r="NNE145" s="95"/>
      <c r="NNF145" s="96"/>
      <c r="NNL145" s="232"/>
      <c r="NNM145" s="95"/>
      <c r="NNN145" s="96"/>
      <c r="NNT145" s="232"/>
      <c r="NNU145" s="95"/>
      <c r="NNV145" s="96"/>
      <c r="NOB145" s="232"/>
      <c r="NOC145" s="95"/>
      <c r="NOD145" s="96"/>
      <c r="NOJ145" s="232"/>
      <c r="NOK145" s="95"/>
      <c r="NOL145" s="96"/>
      <c r="NOR145" s="232"/>
      <c r="NOS145" s="95"/>
      <c r="NOT145" s="96"/>
      <c r="NOZ145" s="232"/>
      <c r="NPA145" s="95"/>
      <c r="NPB145" s="96"/>
      <c r="NPH145" s="232"/>
      <c r="NPI145" s="95"/>
      <c r="NPJ145" s="96"/>
      <c r="NPP145" s="232"/>
      <c r="NPQ145" s="95"/>
      <c r="NPR145" s="96"/>
      <c r="NPX145" s="232"/>
      <c r="NPY145" s="95"/>
      <c r="NPZ145" s="96"/>
      <c r="NQF145" s="232"/>
      <c r="NQG145" s="95"/>
      <c r="NQH145" s="96"/>
      <c r="NQN145" s="232"/>
      <c r="NQO145" s="95"/>
      <c r="NQP145" s="96"/>
      <c r="NQV145" s="232"/>
      <c r="NQW145" s="95"/>
      <c r="NQX145" s="96"/>
      <c r="NRD145" s="232"/>
      <c r="NRE145" s="95"/>
      <c r="NRF145" s="96"/>
      <c r="NRL145" s="232"/>
      <c r="NRM145" s="95"/>
      <c r="NRN145" s="96"/>
      <c r="NRT145" s="232"/>
      <c r="NRU145" s="95"/>
      <c r="NRV145" s="96"/>
      <c r="NSB145" s="232"/>
      <c r="NSC145" s="95"/>
      <c r="NSD145" s="96"/>
      <c r="NSJ145" s="232"/>
      <c r="NSK145" s="95"/>
      <c r="NSL145" s="96"/>
      <c r="NSR145" s="232"/>
      <c r="NSS145" s="95"/>
      <c r="NST145" s="96"/>
      <c r="NSZ145" s="232"/>
      <c r="NTA145" s="95"/>
      <c r="NTB145" s="96"/>
      <c r="NTH145" s="232"/>
      <c r="NTI145" s="95"/>
      <c r="NTJ145" s="96"/>
      <c r="NTP145" s="232"/>
      <c r="NTQ145" s="95"/>
      <c r="NTR145" s="96"/>
      <c r="NTX145" s="232"/>
      <c r="NTY145" s="95"/>
      <c r="NTZ145" s="96"/>
      <c r="NUF145" s="232"/>
      <c r="NUG145" s="95"/>
      <c r="NUH145" s="96"/>
      <c r="NUN145" s="232"/>
      <c r="NUO145" s="95"/>
      <c r="NUP145" s="96"/>
      <c r="NUV145" s="232"/>
      <c r="NUW145" s="95"/>
      <c r="NUX145" s="96"/>
      <c r="NVD145" s="232"/>
      <c r="NVE145" s="95"/>
      <c r="NVF145" s="96"/>
      <c r="NVL145" s="232"/>
      <c r="NVM145" s="95"/>
      <c r="NVN145" s="96"/>
      <c r="NVT145" s="232"/>
      <c r="NVU145" s="95"/>
      <c r="NVV145" s="96"/>
      <c r="NWB145" s="232"/>
      <c r="NWC145" s="95"/>
      <c r="NWD145" s="96"/>
      <c r="NWJ145" s="232"/>
      <c r="NWK145" s="95"/>
      <c r="NWL145" s="96"/>
      <c r="NWR145" s="232"/>
      <c r="NWS145" s="95"/>
      <c r="NWT145" s="96"/>
      <c r="NWZ145" s="232"/>
      <c r="NXA145" s="95"/>
      <c r="NXB145" s="96"/>
      <c r="NXH145" s="232"/>
      <c r="NXI145" s="95"/>
      <c r="NXJ145" s="96"/>
      <c r="NXP145" s="232"/>
      <c r="NXQ145" s="95"/>
      <c r="NXR145" s="96"/>
      <c r="NXX145" s="232"/>
      <c r="NXY145" s="95"/>
      <c r="NXZ145" s="96"/>
      <c r="NYF145" s="232"/>
      <c r="NYG145" s="95"/>
      <c r="NYH145" s="96"/>
      <c r="NYN145" s="232"/>
      <c r="NYO145" s="95"/>
      <c r="NYP145" s="96"/>
      <c r="NYV145" s="232"/>
      <c r="NYW145" s="95"/>
      <c r="NYX145" s="96"/>
      <c r="NZD145" s="232"/>
      <c r="NZE145" s="95"/>
      <c r="NZF145" s="96"/>
      <c r="NZL145" s="232"/>
      <c r="NZM145" s="95"/>
      <c r="NZN145" s="96"/>
      <c r="NZT145" s="232"/>
      <c r="NZU145" s="95"/>
      <c r="NZV145" s="96"/>
      <c r="OAB145" s="232"/>
      <c r="OAC145" s="95"/>
      <c r="OAD145" s="96"/>
      <c r="OAJ145" s="232"/>
      <c r="OAK145" s="95"/>
      <c r="OAL145" s="96"/>
      <c r="OAR145" s="232"/>
      <c r="OAS145" s="95"/>
      <c r="OAT145" s="96"/>
      <c r="OAZ145" s="232"/>
      <c r="OBA145" s="95"/>
      <c r="OBB145" s="96"/>
      <c r="OBH145" s="232"/>
      <c r="OBI145" s="95"/>
      <c r="OBJ145" s="96"/>
      <c r="OBP145" s="232"/>
      <c r="OBQ145" s="95"/>
      <c r="OBR145" s="96"/>
      <c r="OBX145" s="232"/>
      <c r="OBY145" s="95"/>
      <c r="OBZ145" s="96"/>
      <c r="OCF145" s="232"/>
      <c r="OCG145" s="95"/>
      <c r="OCH145" s="96"/>
      <c r="OCN145" s="232"/>
      <c r="OCO145" s="95"/>
      <c r="OCP145" s="96"/>
      <c r="OCV145" s="232"/>
      <c r="OCW145" s="95"/>
      <c r="OCX145" s="96"/>
      <c r="ODD145" s="232"/>
      <c r="ODE145" s="95"/>
      <c r="ODF145" s="96"/>
      <c r="ODL145" s="232"/>
      <c r="ODM145" s="95"/>
      <c r="ODN145" s="96"/>
      <c r="ODT145" s="232"/>
      <c r="ODU145" s="95"/>
      <c r="ODV145" s="96"/>
      <c r="OEB145" s="232"/>
      <c r="OEC145" s="95"/>
      <c r="OED145" s="96"/>
      <c r="OEJ145" s="232"/>
      <c r="OEK145" s="95"/>
      <c r="OEL145" s="96"/>
      <c r="OER145" s="232"/>
      <c r="OES145" s="95"/>
      <c r="OET145" s="96"/>
      <c r="OEZ145" s="232"/>
      <c r="OFA145" s="95"/>
      <c r="OFB145" s="96"/>
      <c r="OFH145" s="232"/>
      <c r="OFI145" s="95"/>
      <c r="OFJ145" s="96"/>
      <c r="OFP145" s="232"/>
      <c r="OFQ145" s="95"/>
      <c r="OFR145" s="96"/>
      <c r="OFX145" s="232"/>
      <c r="OFY145" s="95"/>
      <c r="OFZ145" s="96"/>
      <c r="OGF145" s="232"/>
      <c r="OGG145" s="95"/>
      <c r="OGH145" s="96"/>
      <c r="OGN145" s="232"/>
      <c r="OGO145" s="95"/>
      <c r="OGP145" s="96"/>
      <c r="OGV145" s="232"/>
      <c r="OGW145" s="95"/>
      <c r="OGX145" s="96"/>
      <c r="OHD145" s="232"/>
      <c r="OHE145" s="95"/>
      <c r="OHF145" s="96"/>
      <c r="OHL145" s="232"/>
      <c r="OHM145" s="95"/>
      <c r="OHN145" s="96"/>
      <c r="OHT145" s="232"/>
      <c r="OHU145" s="95"/>
      <c r="OHV145" s="96"/>
      <c r="OIB145" s="232"/>
      <c r="OIC145" s="95"/>
      <c r="OID145" s="96"/>
      <c r="OIJ145" s="232"/>
      <c r="OIK145" s="95"/>
      <c r="OIL145" s="96"/>
      <c r="OIR145" s="232"/>
      <c r="OIS145" s="95"/>
      <c r="OIT145" s="96"/>
      <c r="OIZ145" s="232"/>
      <c r="OJA145" s="95"/>
      <c r="OJB145" s="96"/>
      <c r="OJH145" s="232"/>
      <c r="OJI145" s="95"/>
      <c r="OJJ145" s="96"/>
      <c r="OJP145" s="232"/>
      <c r="OJQ145" s="95"/>
      <c r="OJR145" s="96"/>
      <c r="OJX145" s="232"/>
      <c r="OJY145" s="95"/>
      <c r="OJZ145" s="96"/>
      <c r="OKF145" s="232"/>
      <c r="OKG145" s="95"/>
      <c r="OKH145" s="96"/>
      <c r="OKN145" s="232"/>
      <c r="OKO145" s="95"/>
      <c r="OKP145" s="96"/>
      <c r="OKV145" s="232"/>
      <c r="OKW145" s="95"/>
      <c r="OKX145" s="96"/>
      <c r="OLD145" s="232"/>
      <c r="OLE145" s="95"/>
      <c r="OLF145" s="96"/>
      <c r="OLL145" s="232"/>
      <c r="OLM145" s="95"/>
      <c r="OLN145" s="96"/>
      <c r="OLT145" s="232"/>
      <c r="OLU145" s="95"/>
      <c r="OLV145" s="96"/>
      <c r="OMB145" s="232"/>
      <c r="OMC145" s="95"/>
      <c r="OMD145" s="96"/>
      <c r="OMJ145" s="232"/>
      <c r="OMK145" s="95"/>
      <c r="OML145" s="96"/>
      <c r="OMR145" s="232"/>
      <c r="OMS145" s="95"/>
      <c r="OMT145" s="96"/>
      <c r="OMZ145" s="232"/>
      <c r="ONA145" s="95"/>
      <c r="ONB145" s="96"/>
      <c r="ONH145" s="232"/>
      <c r="ONI145" s="95"/>
      <c r="ONJ145" s="96"/>
      <c r="ONP145" s="232"/>
      <c r="ONQ145" s="95"/>
      <c r="ONR145" s="96"/>
      <c r="ONX145" s="232"/>
      <c r="ONY145" s="95"/>
      <c r="ONZ145" s="96"/>
      <c r="OOF145" s="232"/>
      <c r="OOG145" s="95"/>
      <c r="OOH145" s="96"/>
      <c r="OON145" s="232"/>
      <c r="OOO145" s="95"/>
      <c r="OOP145" s="96"/>
      <c r="OOV145" s="232"/>
      <c r="OOW145" s="95"/>
      <c r="OOX145" s="96"/>
      <c r="OPD145" s="232"/>
      <c r="OPE145" s="95"/>
      <c r="OPF145" s="96"/>
      <c r="OPL145" s="232"/>
      <c r="OPM145" s="95"/>
      <c r="OPN145" s="96"/>
      <c r="OPT145" s="232"/>
      <c r="OPU145" s="95"/>
      <c r="OPV145" s="96"/>
      <c r="OQB145" s="232"/>
      <c r="OQC145" s="95"/>
      <c r="OQD145" s="96"/>
      <c r="OQJ145" s="232"/>
      <c r="OQK145" s="95"/>
      <c r="OQL145" s="96"/>
      <c r="OQR145" s="232"/>
      <c r="OQS145" s="95"/>
      <c r="OQT145" s="96"/>
      <c r="OQZ145" s="232"/>
      <c r="ORA145" s="95"/>
      <c r="ORB145" s="96"/>
      <c r="ORH145" s="232"/>
      <c r="ORI145" s="95"/>
      <c r="ORJ145" s="96"/>
      <c r="ORP145" s="232"/>
      <c r="ORQ145" s="95"/>
      <c r="ORR145" s="96"/>
      <c r="ORX145" s="232"/>
      <c r="ORY145" s="95"/>
      <c r="ORZ145" s="96"/>
      <c r="OSF145" s="232"/>
      <c r="OSG145" s="95"/>
      <c r="OSH145" s="96"/>
      <c r="OSN145" s="232"/>
      <c r="OSO145" s="95"/>
      <c r="OSP145" s="96"/>
      <c r="OSV145" s="232"/>
      <c r="OSW145" s="95"/>
      <c r="OSX145" s="96"/>
      <c r="OTD145" s="232"/>
      <c r="OTE145" s="95"/>
      <c r="OTF145" s="96"/>
      <c r="OTL145" s="232"/>
      <c r="OTM145" s="95"/>
      <c r="OTN145" s="96"/>
      <c r="OTT145" s="232"/>
      <c r="OTU145" s="95"/>
      <c r="OTV145" s="96"/>
      <c r="OUB145" s="232"/>
      <c r="OUC145" s="95"/>
      <c r="OUD145" s="96"/>
      <c r="OUJ145" s="232"/>
      <c r="OUK145" s="95"/>
      <c r="OUL145" s="96"/>
      <c r="OUR145" s="232"/>
      <c r="OUS145" s="95"/>
      <c r="OUT145" s="96"/>
      <c r="OUZ145" s="232"/>
      <c r="OVA145" s="95"/>
      <c r="OVB145" s="96"/>
      <c r="OVH145" s="232"/>
      <c r="OVI145" s="95"/>
      <c r="OVJ145" s="96"/>
      <c r="OVP145" s="232"/>
      <c r="OVQ145" s="95"/>
      <c r="OVR145" s="96"/>
      <c r="OVX145" s="232"/>
      <c r="OVY145" s="95"/>
      <c r="OVZ145" s="96"/>
      <c r="OWF145" s="232"/>
      <c r="OWG145" s="95"/>
      <c r="OWH145" s="96"/>
      <c r="OWN145" s="232"/>
      <c r="OWO145" s="95"/>
      <c r="OWP145" s="96"/>
      <c r="OWV145" s="232"/>
      <c r="OWW145" s="95"/>
      <c r="OWX145" s="96"/>
      <c r="OXD145" s="232"/>
      <c r="OXE145" s="95"/>
      <c r="OXF145" s="96"/>
      <c r="OXL145" s="232"/>
      <c r="OXM145" s="95"/>
      <c r="OXN145" s="96"/>
      <c r="OXT145" s="232"/>
      <c r="OXU145" s="95"/>
      <c r="OXV145" s="96"/>
      <c r="OYB145" s="232"/>
      <c r="OYC145" s="95"/>
      <c r="OYD145" s="96"/>
      <c r="OYJ145" s="232"/>
      <c r="OYK145" s="95"/>
      <c r="OYL145" s="96"/>
      <c r="OYR145" s="232"/>
      <c r="OYS145" s="95"/>
      <c r="OYT145" s="96"/>
      <c r="OYZ145" s="232"/>
      <c r="OZA145" s="95"/>
      <c r="OZB145" s="96"/>
      <c r="OZH145" s="232"/>
      <c r="OZI145" s="95"/>
      <c r="OZJ145" s="96"/>
      <c r="OZP145" s="232"/>
      <c r="OZQ145" s="95"/>
      <c r="OZR145" s="96"/>
      <c r="OZX145" s="232"/>
      <c r="OZY145" s="95"/>
      <c r="OZZ145" s="96"/>
      <c r="PAF145" s="232"/>
      <c r="PAG145" s="95"/>
      <c r="PAH145" s="96"/>
      <c r="PAN145" s="232"/>
      <c r="PAO145" s="95"/>
      <c r="PAP145" s="96"/>
      <c r="PAV145" s="232"/>
      <c r="PAW145" s="95"/>
      <c r="PAX145" s="96"/>
      <c r="PBD145" s="232"/>
      <c r="PBE145" s="95"/>
      <c r="PBF145" s="96"/>
      <c r="PBL145" s="232"/>
      <c r="PBM145" s="95"/>
      <c r="PBN145" s="96"/>
      <c r="PBT145" s="232"/>
      <c r="PBU145" s="95"/>
      <c r="PBV145" s="96"/>
      <c r="PCB145" s="232"/>
      <c r="PCC145" s="95"/>
      <c r="PCD145" s="96"/>
      <c r="PCJ145" s="232"/>
      <c r="PCK145" s="95"/>
      <c r="PCL145" s="96"/>
      <c r="PCR145" s="232"/>
      <c r="PCS145" s="95"/>
      <c r="PCT145" s="96"/>
      <c r="PCZ145" s="232"/>
      <c r="PDA145" s="95"/>
      <c r="PDB145" s="96"/>
      <c r="PDH145" s="232"/>
      <c r="PDI145" s="95"/>
      <c r="PDJ145" s="96"/>
      <c r="PDP145" s="232"/>
      <c r="PDQ145" s="95"/>
      <c r="PDR145" s="96"/>
      <c r="PDX145" s="232"/>
      <c r="PDY145" s="95"/>
      <c r="PDZ145" s="96"/>
      <c r="PEF145" s="232"/>
      <c r="PEG145" s="95"/>
      <c r="PEH145" s="96"/>
      <c r="PEN145" s="232"/>
      <c r="PEO145" s="95"/>
      <c r="PEP145" s="96"/>
      <c r="PEV145" s="232"/>
      <c r="PEW145" s="95"/>
      <c r="PEX145" s="96"/>
      <c r="PFD145" s="232"/>
      <c r="PFE145" s="95"/>
      <c r="PFF145" s="96"/>
      <c r="PFL145" s="232"/>
      <c r="PFM145" s="95"/>
      <c r="PFN145" s="96"/>
      <c r="PFT145" s="232"/>
      <c r="PFU145" s="95"/>
      <c r="PFV145" s="96"/>
      <c r="PGB145" s="232"/>
      <c r="PGC145" s="95"/>
      <c r="PGD145" s="96"/>
      <c r="PGJ145" s="232"/>
      <c r="PGK145" s="95"/>
      <c r="PGL145" s="96"/>
      <c r="PGR145" s="232"/>
      <c r="PGS145" s="95"/>
      <c r="PGT145" s="96"/>
      <c r="PGZ145" s="232"/>
      <c r="PHA145" s="95"/>
      <c r="PHB145" s="96"/>
      <c r="PHH145" s="232"/>
      <c r="PHI145" s="95"/>
      <c r="PHJ145" s="96"/>
      <c r="PHP145" s="232"/>
      <c r="PHQ145" s="95"/>
      <c r="PHR145" s="96"/>
      <c r="PHX145" s="232"/>
      <c r="PHY145" s="95"/>
      <c r="PHZ145" s="96"/>
      <c r="PIF145" s="232"/>
      <c r="PIG145" s="95"/>
      <c r="PIH145" s="96"/>
      <c r="PIN145" s="232"/>
      <c r="PIO145" s="95"/>
      <c r="PIP145" s="96"/>
      <c r="PIV145" s="232"/>
      <c r="PIW145" s="95"/>
      <c r="PIX145" s="96"/>
      <c r="PJD145" s="232"/>
      <c r="PJE145" s="95"/>
      <c r="PJF145" s="96"/>
      <c r="PJL145" s="232"/>
      <c r="PJM145" s="95"/>
      <c r="PJN145" s="96"/>
      <c r="PJT145" s="232"/>
      <c r="PJU145" s="95"/>
      <c r="PJV145" s="96"/>
      <c r="PKB145" s="232"/>
      <c r="PKC145" s="95"/>
      <c r="PKD145" s="96"/>
      <c r="PKJ145" s="232"/>
      <c r="PKK145" s="95"/>
      <c r="PKL145" s="96"/>
      <c r="PKR145" s="232"/>
      <c r="PKS145" s="95"/>
      <c r="PKT145" s="96"/>
      <c r="PKZ145" s="232"/>
      <c r="PLA145" s="95"/>
      <c r="PLB145" s="96"/>
      <c r="PLH145" s="232"/>
      <c r="PLI145" s="95"/>
      <c r="PLJ145" s="96"/>
      <c r="PLP145" s="232"/>
      <c r="PLQ145" s="95"/>
      <c r="PLR145" s="96"/>
      <c r="PLX145" s="232"/>
      <c r="PLY145" s="95"/>
      <c r="PLZ145" s="96"/>
      <c r="PMF145" s="232"/>
      <c r="PMG145" s="95"/>
      <c r="PMH145" s="96"/>
      <c r="PMN145" s="232"/>
      <c r="PMO145" s="95"/>
      <c r="PMP145" s="96"/>
      <c r="PMV145" s="232"/>
      <c r="PMW145" s="95"/>
      <c r="PMX145" s="96"/>
      <c r="PND145" s="232"/>
      <c r="PNE145" s="95"/>
      <c r="PNF145" s="96"/>
      <c r="PNL145" s="232"/>
      <c r="PNM145" s="95"/>
      <c r="PNN145" s="96"/>
      <c r="PNT145" s="232"/>
      <c r="PNU145" s="95"/>
      <c r="PNV145" s="96"/>
      <c r="POB145" s="232"/>
      <c r="POC145" s="95"/>
      <c r="POD145" s="96"/>
      <c r="POJ145" s="232"/>
      <c r="POK145" s="95"/>
      <c r="POL145" s="96"/>
      <c r="POR145" s="232"/>
      <c r="POS145" s="95"/>
      <c r="POT145" s="96"/>
      <c r="POZ145" s="232"/>
      <c r="PPA145" s="95"/>
      <c r="PPB145" s="96"/>
      <c r="PPH145" s="232"/>
      <c r="PPI145" s="95"/>
      <c r="PPJ145" s="96"/>
      <c r="PPP145" s="232"/>
      <c r="PPQ145" s="95"/>
      <c r="PPR145" s="96"/>
      <c r="PPX145" s="232"/>
      <c r="PPY145" s="95"/>
      <c r="PPZ145" s="96"/>
      <c r="PQF145" s="232"/>
      <c r="PQG145" s="95"/>
      <c r="PQH145" s="96"/>
      <c r="PQN145" s="232"/>
      <c r="PQO145" s="95"/>
      <c r="PQP145" s="96"/>
      <c r="PQV145" s="232"/>
      <c r="PQW145" s="95"/>
      <c r="PQX145" s="96"/>
      <c r="PRD145" s="232"/>
      <c r="PRE145" s="95"/>
      <c r="PRF145" s="96"/>
      <c r="PRL145" s="232"/>
      <c r="PRM145" s="95"/>
      <c r="PRN145" s="96"/>
      <c r="PRT145" s="232"/>
      <c r="PRU145" s="95"/>
      <c r="PRV145" s="96"/>
      <c r="PSB145" s="232"/>
      <c r="PSC145" s="95"/>
      <c r="PSD145" s="96"/>
      <c r="PSJ145" s="232"/>
      <c r="PSK145" s="95"/>
      <c r="PSL145" s="96"/>
      <c r="PSR145" s="232"/>
      <c r="PSS145" s="95"/>
      <c r="PST145" s="96"/>
      <c r="PSZ145" s="232"/>
      <c r="PTA145" s="95"/>
      <c r="PTB145" s="96"/>
      <c r="PTH145" s="232"/>
      <c r="PTI145" s="95"/>
      <c r="PTJ145" s="96"/>
      <c r="PTP145" s="232"/>
      <c r="PTQ145" s="95"/>
      <c r="PTR145" s="96"/>
      <c r="PTX145" s="232"/>
      <c r="PTY145" s="95"/>
      <c r="PTZ145" s="96"/>
      <c r="PUF145" s="232"/>
      <c r="PUG145" s="95"/>
      <c r="PUH145" s="96"/>
      <c r="PUN145" s="232"/>
      <c r="PUO145" s="95"/>
      <c r="PUP145" s="96"/>
      <c r="PUV145" s="232"/>
      <c r="PUW145" s="95"/>
      <c r="PUX145" s="96"/>
      <c r="PVD145" s="232"/>
      <c r="PVE145" s="95"/>
      <c r="PVF145" s="96"/>
      <c r="PVL145" s="232"/>
      <c r="PVM145" s="95"/>
      <c r="PVN145" s="96"/>
      <c r="PVT145" s="232"/>
      <c r="PVU145" s="95"/>
      <c r="PVV145" s="96"/>
      <c r="PWB145" s="232"/>
      <c r="PWC145" s="95"/>
      <c r="PWD145" s="96"/>
      <c r="PWJ145" s="232"/>
      <c r="PWK145" s="95"/>
      <c r="PWL145" s="96"/>
      <c r="PWR145" s="232"/>
      <c r="PWS145" s="95"/>
      <c r="PWT145" s="96"/>
      <c r="PWZ145" s="232"/>
      <c r="PXA145" s="95"/>
      <c r="PXB145" s="96"/>
      <c r="PXH145" s="232"/>
      <c r="PXI145" s="95"/>
      <c r="PXJ145" s="96"/>
      <c r="PXP145" s="232"/>
      <c r="PXQ145" s="95"/>
      <c r="PXR145" s="96"/>
      <c r="PXX145" s="232"/>
      <c r="PXY145" s="95"/>
      <c r="PXZ145" s="96"/>
      <c r="PYF145" s="232"/>
      <c r="PYG145" s="95"/>
      <c r="PYH145" s="96"/>
      <c r="PYN145" s="232"/>
      <c r="PYO145" s="95"/>
      <c r="PYP145" s="96"/>
      <c r="PYV145" s="232"/>
      <c r="PYW145" s="95"/>
      <c r="PYX145" s="96"/>
      <c r="PZD145" s="232"/>
      <c r="PZE145" s="95"/>
      <c r="PZF145" s="96"/>
      <c r="PZL145" s="232"/>
      <c r="PZM145" s="95"/>
      <c r="PZN145" s="96"/>
      <c r="PZT145" s="232"/>
      <c r="PZU145" s="95"/>
      <c r="PZV145" s="96"/>
      <c r="QAB145" s="232"/>
      <c r="QAC145" s="95"/>
      <c r="QAD145" s="96"/>
      <c r="QAJ145" s="232"/>
      <c r="QAK145" s="95"/>
      <c r="QAL145" s="96"/>
      <c r="QAR145" s="232"/>
      <c r="QAS145" s="95"/>
      <c r="QAT145" s="96"/>
      <c r="QAZ145" s="232"/>
      <c r="QBA145" s="95"/>
      <c r="QBB145" s="96"/>
      <c r="QBH145" s="232"/>
      <c r="QBI145" s="95"/>
      <c r="QBJ145" s="96"/>
      <c r="QBP145" s="232"/>
      <c r="QBQ145" s="95"/>
      <c r="QBR145" s="96"/>
      <c r="QBX145" s="232"/>
      <c r="QBY145" s="95"/>
      <c r="QBZ145" s="96"/>
      <c r="QCF145" s="232"/>
      <c r="QCG145" s="95"/>
      <c r="QCH145" s="96"/>
      <c r="QCN145" s="232"/>
      <c r="QCO145" s="95"/>
      <c r="QCP145" s="96"/>
      <c r="QCV145" s="232"/>
      <c r="QCW145" s="95"/>
      <c r="QCX145" s="96"/>
      <c r="QDD145" s="232"/>
      <c r="QDE145" s="95"/>
      <c r="QDF145" s="96"/>
      <c r="QDL145" s="232"/>
      <c r="QDM145" s="95"/>
      <c r="QDN145" s="96"/>
      <c r="QDT145" s="232"/>
      <c r="QDU145" s="95"/>
      <c r="QDV145" s="96"/>
      <c r="QEB145" s="232"/>
      <c r="QEC145" s="95"/>
      <c r="QED145" s="96"/>
      <c r="QEJ145" s="232"/>
      <c r="QEK145" s="95"/>
      <c r="QEL145" s="96"/>
      <c r="QER145" s="232"/>
      <c r="QES145" s="95"/>
      <c r="QET145" s="96"/>
      <c r="QEZ145" s="232"/>
      <c r="QFA145" s="95"/>
      <c r="QFB145" s="96"/>
      <c r="QFH145" s="232"/>
      <c r="QFI145" s="95"/>
      <c r="QFJ145" s="96"/>
      <c r="QFP145" s="232"/>
      <c r="QFQ145" s="95"/>
      <c r="QFR145" s="96"/>
      <c r="QFX145" s="232"/>
      <c r="QFY145" s="95"/>
      <c r="QFZ145" s="96"/>
      <c r="QGF145" s="232"/>
      <c r="QGG145" s="95"/>
      <c r="QGH145" s="96"/>
      <c r="QGN145" s="232"/>
      <c r="QGO145" s="95"/>
      <c r="QGP145" s="96"/>
      <c r="QGV145" s="232"/>
      <c r="QGW145" s="95"/>
      <c r="QGX145" s="96"/>
      <c r="QHD145" s="232"/>
      <c r="QHE145" s="95"/>
      <c r="QHF145" s="96"/>
      <c r="QHL145" s="232"/>
      <c r="QHM145" s="95"/>
      <c r="QHN145" s="96"/>
      <c r="QHT145" s="232"/>
      <c r="QHU145" s="95"/>
      <c r="QHV145" s="96"/>
      <c r="QIB145" s="232"/>
      <c r="QIC145" s="95"/>
      <c r="QID145" s="96"/>
      <c r="QIJ145" s="232"/>
      <c r="QIK145" s="95"/>
      <c r="QIL145" s="96"/>
      <c r="QIR145" s="232"/>
      <c r="QIS145" s="95"/>
      <c r="QIT145" s="96"/>
      <c r="QIZ145" s="232"/>
      <c r="QJA145" s="95"/>
      <c r="QJB145" s="96"/>
      <c r="QJH145" s="232"/>
      <c r="QJI145" s="95"/>
      <c r="QJJ145" s="96"/>
      <c r="QJP145" s="232"/>
      <c r="QJQ145" s="95"/>
      <c r="QJR145" s="96"/>
      <c r="QJX145" s="232"/>
      <c r="QJY145" s="95"/>
      <c r="QJZ145" s="96"/>
      <c r="QKF145" s="232"/>
      <c r="QKG145" s="95"/>
      <c r="QKH145" s="96"/>
      <c r="QKN145" s="232"/>
      <c r="QKO145" s="95"/>
      <c r="QKP145" s="96"/>
      <c r="QKV145" s="232"/>
      <c r="QKW145" s="95"/>
      <c r="QKX145" s="96"/>
      <c r="QLD145" s="232"/>
      <c r="QLE145" s="95"/>
      <c r="QLF145" s="96"/>
      <c r="QLL145" s="232"/>
      <c r="QLM145" s="95"/>
      <c r="QLN145" s="96"/>
      <c r="QLT145" s="232"/>
      <c r="QLU145" s="95"/>
      <c r="QLV145" s="96"/>
      <c r="QMB145" s="232"/>
      <c r="QMC145" s="95"/>
      <c r="QMD145" s="96"/>
      <c r="QMJ145" s="232"/>
      <c r="QMK145" s="95"/>
      <c r="QML145" s="96"/>
      <c r="QMR145" s="232"/>
      <c r="QMS145" s="95"/>
      <c r="QMT145" s="96"/>
      <c r="QMZ145" s="232"/>
      <c r="QNA145" s="95"/>
      <c r="QNB145" s="96"/>
      <c r="QNH145" s="232"/>
      <c r="QNI145" s="95"/>
      <c r="QNJ145" s="96"/>
      <c r="QNP145" s="232"/>
      <c r="QNQ145" s="95"/>
      <c r="QNR145" s="96"/>
      <c r="QNX145" s="232"/>
      <c r="QNY145" s="95"/>
      <c r="QNZ145" s="96"/>
      <c r="QOF145" s="232"/>
      <c r="QOG145" s="95"/>
      <c r="QOH145" s="96"/>
      <c r="QON145" s="232"/>
      <c r="QOO145" s="95"/>
      <c r="QOP145" s="96"/>
      <c r="QOV145" s="232"/>
      <c r="QOW145" s="95"/>
      <c r="QOX145" s="96"/>
      <c r="QPD145" s="232"/>
      <c r="QPE145" s="95"/>
      <c r="QPF145" s="96"/>
      <c r="QPL145" s="232"/>
      <c r="QPM145" s="95"/>
      <c r="QPN145" s="96"/>
      <c r="QPT145" s="232"/>
      <c r="QPU145" s="95"/>
      <c r="QPV145" s="96"/>
      <c r="QQB145" s="232"/>
      <c r="QQC145" s="95"/>
      <c r="QQD145" s="96"/>
      <c r="QQJ145" s="232"/>
      <c r="QQK145" s="95"/>
      <c r="QQL145" s="96"/>
      <c r="QQR145" s="232"/>
      <c r="QQS145" s="95"/>
      <c r="QQT145" s="96"/>
      <c r="QQZ145" s="232"/>
      <c r="QRA145" s="95"/>
      <c r="QRB145" s="96"/>
      <c r="QRH145" s="232"/>
      <c r="QRI145" s="95"/>
      <c r="QRJ145" s="96"/>
      <c r="QRP145" s="232"/>
      <c r="QRQ145" s="95"/>
      <c r="QRR145" s="96"/>
      <c r="QRX145" s="232"/>
      <c r="QRY145" s="95"/>
      <c r="QRZ145" s="96"/>
      <c r="QSF145" s="232"/>
      <c r="QSG145" s="95"/>
      <c r="QSH145" s="96"/>
      <c r="QSN145" s="232"/>
      <c r="QSO145" s="95"/>
      <c r="QSP145" s="96"/>
      <c r="QSV145" s="232"/>
      <c r="QSW145" s="95"/>
      <c r="QSX145" s="96"/>
      <c r="QTD145" s="232"/>
      <c r="QTE145" s="95"/>
      <c r="QTF145" s="96"/>
      <c r="QTL145" s="232"/>
      <c r="QTM145" s="95"/>
      <c r="QTN145" s="96"/>
      <c r="QTT145" s="232"/>
      <c r="QTU145" s="95"/>
      <c r="QTV145" s="96"/>
      <c r="QUB145" s="232"/>
      <c r="QUC145" s="95"/>
      <c r="QUD145" s="96"/>
      <c r="QUJ145" s="232"/>
      <c r="QUK145" s="95"/>
      <c r="QUL145" s="96"/>
      <c r="QUR145" s="232"/>
      <c r="QUS145" s="95"/>
      <c r="QUT145" s="96"/>
      <c r="QUZ145" s="232"/>
      <c r="QVA145" s="95"/>
      <c r="QVB145" s="96"/>
      <c r="QVH145" s="232"/>
      <c r="QVI145" s="95"/>
      <c r="QVJ145" s="96"/>
      <c r="QVP145" s="232"/>
      <c r="QVQ145" s="95"/>
      <c r="QVR145" s="96"/>
      <c r="QVX145" s="232"/>
      <c r="QVY145" s="95"/>
      <c r="QVZ145" s="96"/>
      <c r="QWF145" s="232"/>
      <c r="QWG145" s="95"/>
      <c r="QWH145" s="96"/>
      <c r="QWN145" s="232"/>
      <c r="QWO145" s="95"/>
      <c r="QWP145" s="96"/>
      <c r="QWV145" s="232"/>
      <c r="QWW145" s="95"/>
      <c r="QWX145" s="96"/>
      <c r="QXD145" s="232"/>
      <c r="QXE145" s="95"/>
      <c r="QXF145" s="96"/>
      <c r="QXL145" s="232"/>
      <c r="QXM145" s="95"/>
      <c r="QXN145" s="96"/>
      <c r="QXT145" s="232"/>
      <c r="QXU145" s="95"/>
      <c r="QXV145" s="96"/>
      <c r="QYB145" s="232"/>
      <c r="QYC145" s="95"/>
      <c r="QYD145" s="96"/>
      <c r="QYJ145" s="232"/>
      <c r="QYK145" s="95"/>
      <c r="QYL145" s="96"/>
      <c r="QYR145" s="232"/>
      <c r="QYS145" s="95"/>
      <c r="QYT145" s="96"/>
      <c r="QYZ145" s="232"/>
      <c r="QZA145" s="95"/>
      <c r="QZB145" s="96"/>
      <c r="QZH145" s="232"/>
      <c r="QZI145" s="95"/>
      <c r="QZJ145" s="96"/>
      <c r="QZP145" s="232"/>
      <c r="QZQ145" s="95"/>
      <c r="QZR145" s="96"/>
      <c r="QZX145" s="232"/>
      <c r="QZY145" s="95"/>
      <c r="QZZ145" s="96"/>
      <c r="RAF145" s="232"/>
      <c r="RAG145" s="95"/>
      <c r="RAH145" s="96"/>
      <c r="RAN145" s="232"/>
      <c r="RAO145" s="95"/>
      <c r="RAP145" s="96"/>
      <c r="RAV145" s="232"/>
      <c r="RAW145" s="95"/>
      <c r="RAX145" s="96"/>
      <c r="RBD145" s="232"/>
      <c r="RBE145" s="95"/>
      <c r="RBF145" s="96"/>
      <c r="RBL145" s="232"/>
      <c r="RBM145" s="95"/>
      <c r="RBN145" s="96"/>
      <c r="RBT145" s="232"/>
      <c r="RBU145" s="95"/>
      <c r="RBV145" s="96"/>
      <c r="RCB145" s="232"/>
      <c r="RCC145" s="95"/>
      <c r="RCD145" s="96"/>
      <c r="RCJ145" s="232"/>
      <c r="RCK145" s="95"/>
      <c r="RCL145" s="96"/>
      <c r="RCR145" s="232"/>
      <c r="RCS145" s="95"/>
      <c r="RCT145" s="96"/>
      <c r="RCZ145" s="232"/>
      <c r="RDA145" s="95"/>
      <c r="RDB145" s="96"/>
      <c r="RDH145" s="232"/>
      <c r="RDI145" s="95"/>
      <c r="RDJ145" s="96"/>
      <c r="RDP145" s="232"/>
      <c r="RDQ145" s="95"/>
      <c r="RDR145" s="96"/>
      <c r="RDX145" s="232"/>
      <c r="RDY145" s="95"/>
      <c r="RDZ145" s="96"/>
      <c r="REF145" s="232"/>
      <c r="REG145" s="95"/>
      <c r="REH145" s="96"/>
      <c r="REN145" s="232"/>
      <c r="REO145" s="95"/>
      <c r="REP145" s="96"/>
      <c r="REV145" s="232"/>
      <c r="REW145" s="95"/>
      <c r="REX145" s="96"/>
      <c r="RFD145" s="232"/>
      <c r="RFE145" s="95"/>
      <c r="RFF145" s="96"/>
      <c r="RFL145" s="232"/>
      <c r="RFM145" s="95"/>
      <c r="RFN145" s="96"/>
      <c r="RFT145" s="232"/>
      <c r="RFU145" s="95"/>
      <c r="RFV145" s="96"/>
      <c r="RGB145" s="232"/>
      <c r="RGC145" s="95"/>
      <c r="RGD145" s="96"/>
      <c r="RGJ145" s="232"/>
      <c r="RGK145" s="95"/>
      <c r="RGL145" s="96"/>
      <c r="RGR145" s="232"/>
      <c r="RGS145" s="95"/>
      <c r="RGT145" s="96"/>
      <c r="RGZ145" s="232"/>
      <c r="RHA145" s="95"/>
      <c r="RHB145" s="96"/>
      <c r="RHH145" s="232"/>
      <c r="RHI145" s="95"/>
      <c r="RHJ145" s="96"/>
      <c r="RHP145" s="232"/>
      <c r="RHQ145" s="95"/>
      <c r="RHR145" s="96"/>
      <c r="RHX145" s="232"/>
      <c r="RHY145" s="95"/>
      <c r="RHZ145" s="96"/>
      <c r="RIF145" s="232"/>
      <c r="RIG145" s="95"/>
      <c r="RIH145" s="96"/>
      <c r="RIN145" s="232"/>
      <c r="RIO145" s="95"/>
      <c r="RIP145" s="96"/>
      <c r="RIV145" s="232"/>
      <c r="RIW145" s="95"/>
      <c r="RIX145" s="96"/>
      <c r="RJD145" s="232"/>
      <c r="RJE145" s="95"/>
      <c r="RJF145" s="96"/>
      <c r="RJL145" s="232"/>
      <c r="RJM145" s="95"/>
      <c r="RJN145" s="96"/>
      <c r="RJT145" s="232"/>
      <c r="RJU145" s="95"/>
      <c r="RJV145" s="96"/>
      <c r="RKB145" s="232"/>
      <c r="RKC145" s="95"/>
      <c r="RKD145" s="96"/>
      <c r="RKJ145" s="232"/>
      <c r="RKK145" s="95"/>
      <c r="RKL145" s="96"/>
      <c r="RKR145" s="232"/>
      <c r="RKS145" s="95"/>
      <c r="RKT145" s="96"/>
      <c r="RKZ145" s="232"/>
      <c r="RLA145" s="95"/>
      <c r="RLB145" s="96"/>
      <c r="RLH145" s="232"/>
      <c r="RLI145" s="95"/>
      <c r="RLJ145" s="96"/>
      <c r="RLP145" s="232"/>
      <c r="RLQ145" s="95"/>
      <c r="RLR145" s="96"/>
      <c r="RLX145" s="232"/>
      <c r="RLY145" s="95"/>
      <c r="RLZ145" s="96"/>
      <c r="RMF145" s="232"/>
      <c r="RMG145" s="95"/>
      <c r="RMH145" s="96"/>
      <c r="RMN145" s="232"/>
      <c r="RMO145" s="95"/>
      <c r="RMP145" s="96"/>
      <c r="RMV145" s="232"/>
      <c r="RMW145" s="95"/>
      <c r="RMX145" s="96"/>
      <c r="RND145" s="232"/>
      <c r="RNE145" s="95"/>
      <c r="RNF145" s="96"/>
      <c r="RNL145" s="232"/>
      <c r="RNM145" s="95"/>
      <c r="RNN145" s="96"/>
      <c r="RNT145" s="232"/>
      <c r="RNU145" s="95"/>
      <c r="RNV145" s="96"/>
      <c r="ROB145" s="232"/>
      <c r="ROC145" s="95"/>
      <c r="ROD145" s="96"/>
      <c r="ROJ145" s="232"/>
      <c r="ROK145" s="95"/>
      <c r="ROL145" s="96"/>
      <c r="ROR145" s="232"/>
      <c r="ROS145" s="95"/>
      <c r="ROT145" s="96"/>
      <c r="ROZ145" s="232"/>
      <c r="RPA145" s="95"/>
      <c r="RPB145" s="96"/>
      <c r="RPH145" s="232"/>
      <c r="RPI145" s="95"/>
      <c r="RPJ145" s="96"/>
      <c r="RPP145" s="232"/>
      <c r="RPQ145" s="95"/>
      <c r="RPR145" s="96"/>
      <c r="RPX145" s="232"/>
      <c r="RPY145" s="95"/>
      <c r="RPZ145" s="96"/>
      <c r="RQF145" s="232"/>
      <c r="RQG145" s="95"/>
      <c r="RQH145" s="96"/>
      <c r="RQN145" s="232"/>
      <c r="RQO145" s="95"/>
      <c r="RQP145" s="96"/>
      <c r="RQV145" s="232"/>
      <c r="RQW145" s="95"/>
      <c r="RQX145" s="96"/>
      <c r="RRD145" s="232"/>
      <c r="RRE145" s="95"/>
      <c r="RRF145" s="96"/>
      <c r="RRL145" s="232"/>
      <c r="RRM145" s="95"/>
      <c r="RRN145" s="96"/>
      <c r="RRT145" s="232"/>
      <c r="RRU145" s="95"/>
      <c r="RRV145" s="96"/>
      <c r="RSB145" s="232"/>
      <c r="RSC145" s="95"/>
      <c r="RSD145" s="96"/>
      <c r="RSJ145" s="232"/>
      <c r="RSK145" s="95"/>
      <c r="RSL145" s="96"/>
      <c r="RSR145" s="232"/>
      <c r="RSS145" s="95"/>
      <c r="RST145" s="96"/>
      <c r="RSZ145" s="232"/>
      <c r="RTA145" s="95"/>
      <c r="RTB145" s="96"/>
      <c r="RTH145" s="232"/>
      <c r="RTI145" s="95"/>
      <c r="RTJ145" s="96"/>
      <c r="RTP145" s="232"/>
      <c r="RTQ145" s="95"/>
      <c r="RTR145" s="96"/>
      <c r="RTX145" s="232"/>
      <c r="RTY145" s="95"/>
      <c r="RTZ145" s="96"/>
      <c r="RUF145" s="232"/>
      <c r="RUG145" s="95"/>
      <c r="RUH145" s="96"/>
      <c r="RUN145" s="232"/>
      <c r="RUO145" s="95"/>
      <c r="RUP145" s="96"/>
      <c r="RUV145" s="232"/>
      <c r="RUW145" s="95"/>
      <c r="RUX145" s="96"/>
      <c r="RVD145" s="232"/>
      <c r="RVE145" s="95"/>
      <c r="RVF145" s="96"/>
      <c r="RVL145" s="232"/>
      <c r="RVM145" s="95"/>
      <c r="RVN145" s="96"/>
      <c r="RVT145" s="232"/>
      <c r="RVU145" s="95"/>
      <c r="RVV145" s="96"/>
      <c r="RWB145" s="232"/>
      <c r="RWC145" s="95"/>
      <c r="RWD145" s="96"/>
      <c r="RWJ145" s="232"/>
      <c r="RWK145" s="95"/>
      <c r="RWL145" s="96"/>
      <c r="RWR145" s="232"/>
      <c r="RWS145" s="95"/>
      <c r="RWT145" s="96"/>
      <c r="RWZ145" s="232"/>
      <c r="RXA145" s="95"/>
      <c r="RXB145" s="96"/>
      <c r="RXH145" s="232"/>
      <c r="RXI145" s="95"/>
      <c r="RXJ145" s="96"/>
      <c r="RXP145" s="232"/>
      <c r="RXQ145" s="95"/>
      <c r="RXR145" s="96"/>
      <c r="RXX145" s="232"/>
      <c r="RXY145" s="95"/>
      <c r="RXZ145" s="96"/>
      <c r="RYF145" s="232"/>
      <c r="RYG145" s="95"/>
      <c r="RYH145" s="96"/>
      <c r="RYN145" s="232"/>
      <c r="RYO145" s="95"/>
      <c r="RYP145" s="96"/>
      <c r="RYV145" s="232"/>
      <c r="RYW145" s="95"/>
      <c r="RYX145" s="96"/>
      <c r="RZD145" s="232"/>
      <c r="RZE145" s="95"/>
      <c r="RZF145" s="96"/>
      <c r="RZL145" s="232"/>
      <c r="RZM145" s="95"/>
      <c r="RZN145" s="96"/>
      <c r="RZT145" s="232"/>
      <c r="RZU145" s="95"/>
      <c r="RZV145" s="96"/>
      <c r="SAB145" s="232"/>
      <c r="SAC145" s="95"/>
      <c r="SAD145" s="96"/>
      <c r="SAJ145" s="232"/>
      <c r="SAK145" s="95"/>
      <c r="SAL145" s="96"/>
      <c r="SAR145" s="232"/>
      <c r="SAS145" s="95"/>
      <c r="SAT145" s="96"/>
      <c r="SAZ145" s="232"/>
      <c r="SBA145" s="95"/>
      <c r="SBB145" s="96"/>
      <c r="SBH145" s="232"/>
      <c r="SBI145" s="95"/>
      <c r="SBJ145" s="96"/>
      <c r="SBP145" s="232"/>
      <c r="SBQ145" s="95"/>
      <c r="SBR145" s="96"/>
      <c r="SBX145" s="232"/>
      <c r="SBY145" s="95"/>
      <c r="SBZ145" s="96"/>
      <c r="SCF145" s="232"/>
      <c r="SCG145" s="95"/>
      <c r="SCH145" s="96"/>
      <c r="SCN145" s="232"/>
      <c r="SCO145" s="95"/>
      <c r="SCP145" s="96"/>
      <c r="SCV145" s="232"/>
      <c r="SCW145" s="95"/>
      <c r="SCX145" s="96"/>
      <c r="SDD145" s="232"/>
      <c r="SDE145" s="95"/>
      <c r="SDF145" s="96"/>
      <c r="SDL145" s="232"/>
      <c r="SDM145" s="95"/>
      <c r="SDN145" s="96"/>
      <c r="SDT145" s="232"/>
      <c r="SDU145" s="95"/>
      <c r="SDV145" s="96"/>
      <c r="SEB145" s="232"/>
      <c r="SEC145" s="95"/>
      <c r="SED145" s="96"/>
      <c r="SEJ145" s="232"/>
      <c r="SEK145" s="95"/>
      <c r="SEL145" s="96"/>
      <c r="SER145" s="232"/>
      <c r="SES145" s="95"/>
      <c r="SET145" s="96"/>
      <c r="SEZ145" s="232"/>
      <c r="SFA145" s="95"/>
      <c r="SFB145" s="96"/>
      <c r="SFH145" s="232"/>
      <c r="SFI145" s="95"/>
      <c r="SFJ145" s="96"/>
      <c r="SFP145" s="232"/>
      <c r="SFQ145" s="95"/>
      <c r="SFR145" s="96"/>
      <c r="SFX145" s="232"/>
      <c r="SFY145" s="95"/>
      <c r="SFZ145" s="96"/>
      <c r="SGF145" s="232"/>
      <c r="SGG145" s="95"/>
      <c r="SGH145" s="96"/>
      <c r="SGN145" s="232"/>
      <c r="SGO145" s="95"/>
      <c r="SGP145" s="96"/>
      <c r="SGV145" s="232"/>
      <c r="SGW145" s="95"/>
      <c r="SGX145" s="96"/>
      <c r="SHD145" s="232"/>
      <c r="SHE145" s="95"/>
      <c r="SHF145" s="96"/>
      <c r="SHL145" s="232"/>
      <c r="SHM145" s="95"/>
      <c r="SHN145" s="96"/>
      <c r="SHT145" s="232"/>
      <c r="SHU145" s="95"/>
      <c r="SHV145" s="96"/>
      <c r="SIB145" s="232"/>
      <c r="SIC145" s="95"/>
      <c r="SID145" s="96"/>
      <c r="SIJ145" s="232"/>
      <c r="SIK145" s="95"/>
      <c r="SIL145" s="96"/>
      <c r="SIR145" s="232"/>
      <c r="SIS145" s="95"/>
      <c r="SIT145" s="96"/>
      <c r="SIZ145" s="232"/>
      <c r="SJA145" s="95"/>
      <c r="SJB145" s="96"/>
      <c r="SJH145" s="232"/>
      <c r="SJI145" s="95"/>
      <c r="SJJ145" s="96"/>
      <c r="SJP145" s="232"/>
      <c r="SJQ145" s="95"/>
      <c r="SJR145" s="96"/>
      <c r="SJX145" s="232"/>
      <c r="SJY145" s="95"/>
      <c r="SJZ145" s="96"/>
      <c r="SKF145" s="232"/>
      <c r="SKG145" s="95"/>
      <c r="SKH145" s="96"/>
      <c r="SKN145" s="232"/>
      <c r="SKO145" s="95"/>
      <c r="SKP145" s="96"/>
      <c r="SKV145" s="232"/>
      <c r="SKW145" s="95"/>
      <c r="SKX145" s="96"/>
      <c r="SLD145" s="232"/>
      <c r="SLE145" s="95"/>
      <c r="SLF145" s="96"/>
      <c r="SLL145" s="232"/>
      <c r="SLM145" s="95"/>
      <c r="SLN145" s="96"/>
      <c r="SLT145" s="232"/>
      <c r="SLU145" s="95"/>
      <c r="SLV145" s="96"/>
      <c r="SMB145" s="232"/>
      <c r="SMC145" s="95"/>
      <c r="SMD145" s="96"/>
      <c r="SMJ145" s="232"/>
      <c r="SMK145" s="95"/>
      <c r="SML145" s="96"/>
      <c r="SMR145" s="232"/>
      <c r="SMS145" s="95"/>
      <c r="SMT145" s="96"/>
      <c r="SMZ145" s="232"/>
      <c r="SNA145" s="95"/>
      <c r="SNB145" s="96"/>
      <c r="SNH145" s="232"/>
      <c r="SNI145" s="95"/>
      <c r="SNJ145" s="96"/>
      <c r="SNP145" s="232"/>
      <c r="SNQ145" s="95"/>
      <c r="SNR145" s="96"/>
      <c r="SNX145" s="232"/>
      <c r="SNY145" s="95"/>
      <c r="SNZ145" s="96"/>
      <c r="SOF145" s="232"/>
      <c r="SOG145" s="95"/>
      <c r="SOH145" s="96"/>
      <c r="SON145" s="232"/>
      <c r="SOO145" s="95"/>
      <c r="SOP145" s="96"/>
      <c r="SOV145" s="232"/>
      <c r="SOW145" s="95"/>
      <c r="SOX145" s="96"/>
      <c r="SPD145" s="232"/>
      <c r="SPE145" s="95"/>
      <c r="SPF145" s="96"/>
      <c r="SPL145" s="232"/>
      <c r="SPM145" s="95"/>
      <c r="SPN145" s="96"/>
      <c r="SPT145" s="232"/>
      <c r="SPU145" s="95"/>
      <c r="SPV145" s="96"/>
      <c r="SQB145" s="232"/>
      <c r="SQC145" s="95"/>
      <c r="SQD145" s="96"/>
      <c r="SQJ145" s="232"/>
      <c r="SQK145" s="95"/>
      <c r="SQL145" s="96"/>
      <c r="SQR145" s="232"/>
      <c r="SQS145" s="95"/>
      <c r="SQT145" s="96"/>
      <c r="SQZ145" s="232"/>
      <c r="SRA145" s="95"/>
      <c r="SRB145" s="96"/>
      <c r="SRH145" s="232"/>
      <c r="SRI145" s="95"/>
      <c r="SRJ145" s="96"/>
      <c r="SRP145" s="232"/>
      <c r="SRQ145" s="95"/>
      <c r="SRR145" s="96"/>
      <c r="SRX145" s="232"/>
      <c r="SRY145" s="95"/>
      <c r="SRZ145" s="96"/>
      <c r="SSF145" s="232"/>
      <c r="SSG145" s="95"/>
      <c r="SSH145" s="96"/>
      <c r="SSN145" s="232"/>
      <c r="SSO145" s="95"/>
      <c r="SSP145" s="96"/>
      <c r="SSV145" s="232"/>
      <c r="SSW145" s="95"/>
      <c r="SSX145" s="96"/>
      <c r="STD145" s="232"/>
      <c r="STE145" s="95"/>
      <c r="STF145" s="96"/>
      <c r="STL145" s="232"/>
      <c r="STM145" s="95"/>
      <c r="STN145" s="96"/>
      <c r="STT145" s="232"/>
      <c r="STU145" s="95"/>
      <c r="STV145" s="96"/>
      <c r="SUB145" s="232"/>
      <c r="SUC145" s="95"/>
      <c r="SUD145" s="96"/>
      <c r="SUJ145" s="232"/>
      <c r="SUK145" s="95"/>
      <c r="SUL145" s="96"/>
      <c r="SUR145" s="232"/>
      <c r="SUS145" s="95"/>
      <c r="SUT145" s="96"/>
      <c r="SUZ145" s="232"/>
      <c r="SVA145" s="95"/>
      <c r="SVB145" s="96"/>
      <c r="SVH145" s="232"/>
      <c r="SVI145" s="95"/>
      <c r="SVJ145" s="96"/>
      <c r="SVP145" s="232"/>
      <c r="SVQ145" s="95"/>
      <c r="SVR145" s="96"/>
      <c r="SVX145" s="232"/>
      <c r="SVY145" s="95"/>
      <c r="SVZ145" s="96"/>
      <c r="SWF145" s="232"/>
      <c r="SWG145" s="95"/>
      <c r="SWH145" s="96"/>
      <c r="SWN145" s="232"/>
      <c r="SWO145" s="95"/>
      <c r="SWP145" s="96"/>
      <c r="SWV145" s="232"/>
      <c r="SWW145" s="95"/>
      <c r="SWX145" s="96"/>
      <c r="SXD145" s="232"/>
      <c r="SXE145" s="95"/>
      <c r="SXF145" s="96"/>
      <c r="SXL145" s="232"/>
      <c r="SXM145" s="95"/>
      <c r="SXN145" s="96"/>
      <c r="SXT145" s="232"/>
      <c r="SXU145" s="95"/>
      <c r="SXV145" s="96"/>
      <c r="SYB145" s="232"/>
      <c r="SYC145" s="95"/>
      <c r="SYD145" s="96"/>
      <c r="SYJ145" s="232"/>
      <c r="SYK145" s="95"/>
      <c r="SYL145" s="96"/>
      <c r="SYR145" s="232"/>
      <c r="SYS145" s="95"/>
      <c r="SYT145" s="96"/>
      <c r="SYZ145" s="232"/>
      <c r="SZA145" s="95"/>
      <c r="SZB145" s="96"/>
      <c r="SZH145" s="232"/>
      <c r="SZI145" s="95"/>
      <c r="SZJ145" s="96"/>
      <c r="SZP145" s="232"/>
      <c r="SZQ145" s="95"/>
      <c r="SZR145" s="96"/>
      <c r="SZX145" s="232"/>
      <c r="SZY145" s="95"/>
      <c r="SZZ145" s="96"/>
      <c r="TAF145" s="232"/>
      <c r="TAG145" s="95"/>
      <c r="TAH145" s="96"/>
      <c r="TAN145" s="232"/>
      <c r="TAO145" s="95"/>
      <c r="TAP145" s="96"/>
      <c r="TAV145" s="232"/>
      <c r="TAW145" s="95"/>
      <c r="TAX145" s="96"/>
      <c r="TBD145" s="232"/>
      <c r="TBE145" s="95"/>
      <c r="TBF145" s="96"/>
      <c r="TBL145" s="232"/>
      <c r="TBM145" s="95"/>
      <c r="TBN145" s="96"/>
      <c r="TBT145" s="232"/>
      <c r="TBU145" s="95"/>
      <c r="TBV145" s="96"/>
      <c r="TCB145" s="232"/>
      <c r="TCC145" s="95"/>
      <c r="TCD145" s="96"/>
      <c r="TCJ145" s="232"/>
      <c r="TCK145" s="95"/>
      <c r="TCL145" s="96"/>
      <c r="TCR145" s="232"/>
      <c r="TCS145" s="95"/>
      <c r="TCT145" s="96"/>
      <c r="TCZ145" s="232"/>
      <c r="TDA145" s="95"/>
      <c r="TDB145" s="96"/>
      <c r="TDH145" s="232"/>
      <c r="TDI145" s="95"/>
      <c r="TDJ145" s="96"/>
      <c r="TDP145" s="232"/>
      <c r="TDQ145" s="95"/>
      <c r="TDR145" s="96"/>
      <c r="TDX145" s="232"/>
      <c r="TDY145" s="95"/>
      <c r="TDZ145" s="96"/>
      <c r="TEF145" s="232"/>
      <c r="TEG145" s="95"/>
      <c r="TEH145" s="96"/>
      <c r="TEN145" s="232"/>
      <c r="TEO145" s="95"/>
      <c r="TEP145" s="96"/>
      <c r="TEV145" s="232"/>
      <c r="TEW145" s="95"/>
      <c r="TEX145" s="96"/>
      <c r="TFD145" s="232"/>
      <c r="TFE145" s="95"/>
      <c r="TFF145" s="96"/>
      <c r="TFL145" s="232"/>
      <c r="TFM145" s="95"/>
      <c r="TFN145" s="96"/>
      <c r="TFT145" s="232"/>
      <c r="TFU145" s="95"/>
      <c r="TFV145" s="96"/>
      <c r="TGB145" s="232"/>
      <c r="TGC145" s="95"/>
      <c r="TGD145" s="96"/>
      <c r="TGJ145" s="232"/>
      <c r="TGK145" s="95"/>
      <c r="TGL145" s="96"/>
      <c r="TGR145" s="232"/>
      <c r="TGS145" s="95"/>
      <c r="TGT145" s="96"/>
      <c r="TGZ145" s="232"/>
      <c r="THA145" s="95"/>
      <c r="THB145" s="96"/>
      <c r="THH145" s="232"/>
      <c r="THI145" s="95"/>
      <c r="THJ145" s="96"/>
      <c r="THP145" s="232"/>
      <c r="THQ145" s="95"/>
      <c r="THR145" s="96"/>
      <c r="THX145" s="232"/>
      <c r="THY145" s="95"/>
      <c r="THZ145" s="96"/>
      <c r="TIF145" s="232"/>
      <c r="TIG145" s="95"/>
      <c r="TIH145" s="96"/>
      <c r="TIN145" s="232"/>
      <c r="TIO145" s="95"/>
      <c r="TIP145" s="96"/>
      <c r="TIV145" s="232"/>
      <c r="TIW145" s="95"/>
      <c r="TIX145" s="96"/>
      <c r="TJD145" s="232"/>
      <c r="TJE145" s="95"/>
      <c r="TJF145" s="96"/>
      <c r="TJL145" s="232"/>
      <c r="TJM145" s="95"/>
      <c r="TJN145" s="96"/>
      <c r="TJT145" s="232"/>
      <c r="TJU145" s="95"/>
      <c r="TJV145" s="96"/>
      <c r="TKB145" s="232"/>
      <c r="TKC145" s="95"/>
      <c r="TKD145" s="96"/>
      <c r="TKJ145" s="232"/>
      <c r="TKK145" s="95"/>
      <c r="TKL145" s="96"/>
      <c r="TKR145" s="232"/>
      <c r="TKS145" s="95"/>
      <c r="TKT145" s="96"/>
      <c r="TKZ145" s="232"/>
      <c r="TLA145" s="95"/>
      <c r="TLB145" s="96"/>
      <c r="TLH145" s="232"/>
      <c r="TLI145" s="95"/>
      <c r="TLJ145" s="96"/>
      <c r="TLP145" s="232"/>
      <c r="TLQ145" s="95"/>
      <c r="TLR145" s="96"/>
      <c r="TLX145" s="232"/>
      <c r="TLY145" s="95"/>
      <c r="TLZ145" s="96"/>
      <c r="TMF145" s="232"/>
      <c r="TMG145" s="95"/>
      <c r="TMH145" s="96"/>
      <c r="TMN145" s="232"/>
      <c r="TMO145" s="95"/>
      <c r="TMP145" s="96"/>
      <c r="TMV145" s="232"/>
      <c r="TMW145" s="95"/>
      <c r="TMX145" s="96"/>
      <c r="TND145" s="232"/>
      <c r="TNE145" s="95"/>
      <c r="TNF145" s="96"/>
      <c r="TNL145" s="232"/>
      <c r="TNM145" s="95"/>
      <c r="TNN145" s="96"/>
      <c r="TNT145" s="232"/>
      <c r="TNU145" s="95"/>
      <c r="TNV145" s="96"/>
      <c r="TOB145" s="232"/>
      <c r="TOC145" s="95"/>
      <c r="TOD145" s="96"/>
      <c r="TOJ145" s="232"/>
      <c r="TOK145" s="95"/>
      <c r="TOL145" s="96"/>
      <c r="TOR145" s="232"/>
      <c r="TOS145" s="95"/>
      <c r="TOT145" s="96"/>
      <c r="TOZ145" s="232"/>
      <c r="TPA145" s="95"/>
      <c r="TPB145" s="96"/>
      <c r="TPH145" s="232"/>
      <c r="TPI145" s="95"/>
      <c r="TPJ145" s="96"/>
      <c r="TPP145" s="232"/>
      <c r="TPQ145" s="95"/>
      <c r="TPR145" s="96"/>
      <c r="TPX145" s="232"/>
      <c r="TPY145" s="95"/>
      <c r="TPZ145" s="96"/>
      <c r="TQF145" s="232"/>
      <c r="TQG145" s="95"/>
      <c r="TQH145" s="96"/>
      <c r="TQN145" s="232"/>
      <c r="TQO145" s="95"/>
      <c r="TQP145" s="96"/>
      <c r="TQV145" s="232"/>
      <c r="TQW145" s="95"/>
      <c r="TQX145" s="96"/>
      <c r="TRD145" s="232"/>
      <c r="TRE145" s="95"/>
      <c r="TRF145" s="96"/>
      <c r="TRL145" s="232"/>
      <c r="TRM145" s="95"/>
      <c r="TRN145" s="96"/>
      <c r="TRT145" s="232"/>
      <c r="TRU145" s="95"/>
      <c r="TRV145" s="96"/>
      <c r="TSB145" s="232"/>
      <c r="TSC145" s="95"/>
      <c r="TSD145" s="96"/>
      <c r="TSJ145" s="232"/>
      <c r="TSK145" s="95"/>
      <c r="TSL145" s="96"/>
      <c r="TSR145" s="232"/>
      <c r="TSS145" s="95"/>
      <c r="TST145" s="96"/>
      <c r="TSZ145" s="232"/>
      <c r="TTA145" s="95"/>
      <c r="TTB145" s="96"/>
      <c r="TTH145" s="232"/>
      <c r="TTI145" s="95"/>
      <c r="TTJ145" s="96"/>
      <c r="TTP145" s="232"/>
      <c r="TTQ145" s="95"/>
      <c r="TTR145" s="96"/>
      <c r="TTX145" s="232"/>
      <c r="TTY145" s="95"/>
      <c r="TTZ145" s="96"/>
      <c r="TUF145" s="232"/>
      <c r="TUG145" s="95"/>
      <c r="TUH145" s="96"/>
      <c r="TUN145" s="232"/>
      <c r="TUO145" s="95"/>
      <c r="TUP145" s="96"/>
      <c r="TUV145" s="232"/>
      <c r="TUW145" s="95"/>
      <c r="TUX145" s="96"/>
      <c r="TVD145" s="232"/>
      <c r="TVE145" s="95"/>
      <c r="TVF145" s="96"/>
      <c r="TVL145" s="232"/>
      <c r="TVM145" s="95"/>
      <c r="TVN145" s="96"/>
      <c r="TVT145" s="232"/>
      <c r="TVU145" s="95"/>
      <c r="TVV145" s="96"/>
      <c r="TWB145" s="232"/>
      <c r="TWC145" s="95"/>
      <c r="TWD145" s="96"/>
      <c r="TWJ145" s="232"/>
      <c r="TWK145" s="95"/>
      <c r="TWL145" s="96"/>
      <c r="TWR145" s="232"/>
      <c r="TWS145" s="95"/>
      <c r="TWT145" s="96"/>
      <c r="TWZ145" s="232"/>
      <c r="TXA145" s="95"/>
      <c r="TXB145" s="96"/>
      <c r="TXH145" s="232"/>
      <c r="TXI145" s="95"/>
      <c r="TXJ145" s="96"/>
      <c r="TXP145" s="232"/>
      <c r="TXQ145" s="95"/>
      <c r="TXR145" s="96"/>
      <c r="TXX145" s="232"/>
      <c r="TXY145" s="95"/>
      <c r="TXZ145" s="96"/>
      <c r="TYF145" s="232"/>
      <c r="TYG145" s="95"/>
      <c r="TYH145" s="96"/>
      <c r="TYN145" s="232"/>
      <c r="TYO145" s="95"/>
      <c r="TYP145" s="96"/>
      <c r="TYV145" s="232"/>
      <c r="TYW145" s="95"/>
      <c r="TYX145" s="96"/>
      <c r="TZD145" s="232"/>
      <c r="TZE145" s="95"/>
      <c r="TZF145" s="96"/>
      <c r="TZL145" s="232"/>
      <c r="TZM145" s="95"/>
      <c r="TZN145" s="96"/>
      <c r="TZT145" s="232"/>
      <c r="TZU145" s="95"/>
      <c r="TZV145" s="96"/>
      <c r="UAB145" s="232"/>
      <c r="UAC145" s="95"/>
      <c r="UAD145" s="96"/>
      <c r="UAJ145" s="232"/>
      <c r="UAK145" s="95"/>
      <c r="UAL145" s="96"/>
      <c r="UAR145" s="232"/>
      <c r="UAS145" s="95"/>
      <c r="UAT145" s="96"/>
      <c r="UAZ145" s="232"/>
      <c r="UBA145" s="95"/>
      <c r="UBB145" s="96"/>
      <c r="UBH145" s="232"/>
      <c r="UBI145" s="95"/>
      <c r="UBJ145" s="96"/>
      <c r="UBP145" s="232"/>
      <c r="UBQ145" s="95"/>
      <c r="UBR145" s="96"/>
      <c r="UBX145" s="232"/>
      <c r="UBY145" s="95"/>
      <c r="UBZ145" s="96"/>
      <c r="UCF145" s="232"/>
      <c r="UCG145" s="95"/>
      <c r="UCH145" s="96"/>
      <c r="UCN145" s="232"/>
      <c r="UCO145" s="95"/>
      <c r="UCP145" s="96"/>
      <c r="UCV145" s="232"/>
      <c r="UCW145" s="95"/>
      <c r="UCX145" s="96"/>
      <c r="UDD145" s="232"/>
      <c r="UDE145" s="95"/>
      <c r="UDF145" s="96"/>
      <c r="UDL145" s="232"/>
      <c r="UDM145" s="95"/>
      <c r="UDN145" s="96"/>
      <c r="UDT145" s="232"/>
      <c r="UDU145" s="95"/>
      <c r="UDV145" s="96"/>
      <c r="UEB145" s="232"/>
      <c r="UEC145" s="95"/>
      <c r="UED145" s="96"/>
      <c r="UEJ145" s="232"/>
      <c r="UEK145" s="95"/>
      <c r="UEL145" s="96"/>
      <c r="UER145" s="232"/>
      <c r="UES145" s="95"/>
      <c r="UET145" s="96"/>
      <c r="UEZ145" s="232"/>
      <c r="UFA145" s="95"/>
      <c r="UFB145" s="96"/>
      <c r="UFH145" s="232"/>
      <c r="UFI145" s="95"/>
      <c r="UFJ145" s="96"/>
      <c r="UFP145" s="232"/>
      <c r="UFQ145" s="95"/>
      <c r="UFR145" s="96"/>
      <c r="UFX145" s="232"/>
      <c r="UFY145" s="95"/>
      <c r="UFZ145" s="96"/>
      <c r="UGF145" s="232"/>
      <c r="UGG145" s="95"/>
      <c r="UGH145" s="96"/>
      <c r="UGN145" s="232"/>
      <c r="UGO145" s="95"/>
      <c r="UGP145" s="96"/>
      <c r="UGV145" s="232"/>
      <c r="UGW145" s="95"/>
      <c r="UGX145" s="96"/>
      <c r="UHD145" s="232"/>
      <c r="UHE145" s="95"/>
      <c r="UHF145" s="96"/>
      <c r="UHL145" s="232"/>
      <c r="UHM145" s="95"/>
      <c r="UHN145" s="96"/>
      <c r="UHT145" s="232"/>
      <c r="UHU145" s="95"/>
      <c r="UHV145" s="96"/>
      <c r="UIB145" s="232"/>
      <c r="UIC145" s="95"/>
      <c r="UID145" s="96"/>
      <c r="UIJ145" s="232"/>
      <c r="UIK145" s="95"/>
      <c r="UIL145" s="96"/>
      <c r="UIR145" s="232"/>
      <c r="UIS145" s="95"/>
      <c r="UIT145" s="96"/>
      <c r="UIZ145" s="232"/>
      <c r="UJA145" s="95"/>
      <c r="UJB145" s="96"/>
      <c r="UJH145" s="232"/>
      <c r="UJI145" s="95"/>
      <c r="UJJ145" s="96"/>
      <c r="UJP145" s="232"/>
      <c r="UJQ145" s="95"/>
      <c r="UJR145" s="96"/>
      <c r="UJX145" s="232"/>
      <c r="UJY145" s="95"/>
      <c r="UJZ145" s="96"/>
      <c r="UKF145" s="232"/>
      <c r="UKG145" s="95"/>
      <c r="UKH145" s="96"/>
      <c r="UKN145" s="232"/>
      <c r="UKO145" s="95"/>
      <c r="UKP145" s="96"/>
      <c r="UKV145" s="232"/>
      <c r="UKW145" s="95"/>
      <c r="UKX145" s="96"/>
      <c r="ULD145" s="232"/>
      <c r="ULE145" s="95"/>
      <c r="ULF145" s="96"/>
      <c r="ULL145" s="232"/>
      <c r="ULM145" s="95"/>
      <c r="ULN145" s="96"/>
      <c r="ULT145" s="232"/>
      <c r="ULU145" s="95"/>
      <c r="ULV145" s="96"/>
      <c r="UMB145" s="232"/>
      <c r="UMC145" s="95"/>
      <c r="UMD145" s="96"/>
      <c r="UMJ145" s="232"/>
      <c r="UMK145" s="95"/>
      <c r="UML145" s="96"/>
      <c r="UMR145" s="232"/>
      <c r="UMS145" s="95"/>
      <c r="UMT145" s="96"/>
      <c r="UMZ145" s="232"/>
      <c r="UNA145" s="95"/>
      <c r="UNB145" s="96"/>
      <c r="UNH145" s="232"/>
      <c r="UNI145" s="95"/>
      <c r="UNJ145" s="96"/>
      <c r="UNP145" s="232"/>
      <c r="UNQ145" s="95"/>
      <c r="UNR145" s="96"/>
      <c r="UNX145" s="232"/>
      <c r="UNY145" s="95"/>
      <c r="UNZ145" s="96"/>
      <c r="UOF145" s="232"/>
      <c r="UOG145" s="95"/>
      <c r="UOH145" s="96"/>
      <c r="UON145" s="232"/>
      <c r="UOO145" s="95"/>
      <c r="UOP145" s="96"/>
      <c r="UOV145" s="232"/>
      <c r="UOW145" s="95"/>
      <c r="UOX145" s="96"/>
      <c r="UPD145" s="232"/>
      <c r="UPE145" s="95"/>
      <c r="UPF145" s="96"/>
      <c r="UPL145" s="232"/>
      <c r="UPM145" s="95"/>
      <c r="UPN145" s="96"/>
      <c r="UPT145" s="232"/>
      <c r="UPU145" s="95"/>
      <c r="UPV145" s="96"/>
      <c r="UQB145" s="232"/>
      <c r="UQC145" s="95"/>
      <c r="UQD145" s="96"/>
      <c r="UQJ145" s="232"/>
      <c r="UQK145" s="95"/>
      <c r="UQL145" s="96"/>
      <c r="UQR145" s="232"/>
      <c r="UQS145" s="95"/>
      <c r="UQT145" s="96"/>
      <c r="UQZ145" s="232"/>
      <c r="URA145" s="95"/>
      <c r="URB145" s="96"/>
      <c r="URH145" s="232"/>
      <c r="URI145" s="95"/>
      <c r="URJ145" s="96"/>
      <c r="URP145" s="232"/>
      <c r="URQ145" s="95"/>
      <c r="URR145" s="96"/>
      <c r="URX145" s="232"/>
      <c r="URY145" s="95"/>
      <c r="URZ145" s="96"/>
      <c r="USF145" s="232"/>
      <c r="USG145" s="95"/>
      <c r="USH145" s="96"/>
      <c r="USN145" s="232"/>
      <c r="USO145" s="95"/>
      <c r="USP145" s="96"/>
      <c r="USV145" s="232"/>
      <c r="USW145" s="95"/>
      <c r="USX145" s="96"/>
      <c r="UTD145" s="232"/>
      <c r="UTE145" s="95"/>
      <c r="UTF145" s="96"/>
      <c r="UTL145" s="232"/>
      <c r="UTM145" s="95"/>
      <c r="UTN145" s="96"/>
      <c r="UTT145" s="232"/>
      <c r="UTU145" s="95"/>
      <c r="UTV145" s="96"/>
      <c r="UUB145" s="232"/>
      <c r="UUC145" s="95"/>
      <c r="UUD145" s="96"/>
      <c r="UUJ145" s="232"/>
      <c r="UUK145" s="95"/>
      <c r="UUL145" s="96"/>
      <c r="UUR145" s="232"/>
      <c r="UUS145" s="95"/>
      <c r="UUT145" s="96"/>
      <c r="UUZ145" s="232"/>
      <c r="UVA145" s="95"/>
      <c r="UVB145" s="96"/>
      <c r="UVH145" s="232"/>
      <c r="UVI145" s="95"/>
      <c r="UVJ145" s="96"/>
      <c r="UVP145" s="232"/>
      <c r="UVQ145" s="95"/>
      <c r="UVR145" s="96"/>
      <c r="UVX145" s="232"/>
      <c r="UVY145" s="95"/>
      <c r="UVZ145" s="96"/>
      <c r="UWF145" s="232"/>
      <c r="UWG145" s="95"/>
      <c r="UWH145" s="96"/>
      <c r="UWN145" s="232"/>
      <c r="UWO145" s="95"/>
      <c r="UWP145" s="96"/>
      <c r="UWV145" s="232"/>
      <c r="UWW145" s="95"/>
      <c r="UWX145" s="96"/>
      <c r="UXD145" s="232"/>
      <c r="UXE145" s="95"/>
      <c r="UXF145" s="96"/>
      <c r="UXL145" s="232"/>
      <c r="UXM145" s="95"/>
      <c r="UXN145" s="96"/>
      <c r="UXT145" s="232"/>
      <c r="UXU145" s="95"/>
      <c r="UXV145" s="96"/>
      <c r="UYB145" s="232"/>
      <c r="UYC145" s="95"/>
      <c r="UYD145" s="96"/>
      <c r="UYJ145" s="232"/>
      <c r="UYK145" s="95"/>
      <c r="UYL145" s="96"/>
      <c r="UYR145" s="232"/>
      <c r="UYS145" s="95"/>
      <c r="UYT145" s="96"/>
      <c r="UYZ145" s="232"/>
      <c r="UZA145" s="95"/>
      <c r="UZB145" s="96"/>
      <c r="UZH145" s="232"/>
      <c r="UZI145" s="95"/>
      <c r="UZJ145" s="96"/>
      <c r="UZP145" s="232"/>
      <c r="UZQ145" s="95"/>
      <c r="UZR145" s="96"/>
      <c r="UZX145" s="232"/>
      <c r="UZY145" s="95"/>
      <c r="UZZ145" s="96"/>
      <c r="VAF145" s="232"/>
      <c r="VAG145" s="95"/>
      <c r="VAH145" s="96"/>
      <c r="VAN145" s="232"/>
      <c r="VAO145" s="95"/>
      <c r="VAP145" s="96"/>
      <c r="VAV145" s="232"/>
      <c r="VAW145" s="95"/>
      <c r="VAX145" s="96"/>
      <c r="VBD145" s="232"/>
      <c r="VBE145" s="95"/>
      <c r="VBF145" s="96"/>
      <c r="VBL145" s="232"/>
      <c r="VBM145" s="95"/>
      <c r="VBN145" s="96"/>
      <c r="VBT145" s="232"/>
      <c r="VBU145" s="95"/>
      <c r="VBV145" s="96"/>
      <c r="VCB145" s="232"/>
      <c r="VCC145" s="95"/>
      <c r="VCD145" s="96"/>
      <c r="VCJ145" s="232"/>
      <c r="VCK145" s="95"/>
      <c r="VCL145" s="96"/>
      <c r="VCR145" s="232"/>
      <c r="VCS145" s="95"/>
      <c r="VCT145" s="96"/>
      <c r="VCZ145" s="232"/>
      <c r="VDA145" s="95"/>
      <c r="VDB145" s="96"/>
      <c r="VDH145" s="232"/>
      <c r="VDI145" s="95"/>
      <c r="VDJ145" s="96"/>
      <c r="VDP145" s="232"/>
      <c r="VDQ145" s="95"/>
      <c r="VDR145" s="96"/>
      <c r="VDX145" s="232"/>
      <c r="VDY145" s="95"/>
      <c r="VDZ145" s="96"/>
      <c r="VEF145" s="232"/>
      <c r="VEG145" s="95"/>
      <c r="VEH145" s="96"/>
      <c r="VEN145" s="232"/>
      <c r="VEO145" s="95"/>
      <c r="VEP145" s="96"/>
      <c r="VEV145" s="232"/>
      <c r="VEW145" s="95"/>
      <c r="VEX145" s="96"/>
      <c r="VFD145" s="232"/>
      <c r="VFE145" s="95"/>
      <c r="VFF145" s="96"/>
      <c r="VFL145" s="232"/>
      <c r="VFM145" s="95"/>
      <c r="VFN145" s="96"/>
      <c r="VFT145" s="232"/>
      <c r="VFU145" s="95"/>
      <c r="VFV145" s="96"/>
      <c r="VGB145" s="232"/>
      <c r="VGC145" s="95"/>
      <c r="VGD145" s="96"/>
      <c r="VGJ145" s="232"/>
      <c r="VGK145" s="95"/>
      <c r="VGL145" s="96"/>
      <c r="VGR145" s="232"/>
      <c r="VGS145" s="95"/>
      <c r="VGT145" s="96"/>
      <c r="VGZ145" s="232"/>
      <c r="VHA145" s="95"/>
      <c r="VHB145" s="96"/>
      <c r="VHH145" s="232"/>
      <c r="VHI145" s="95"/>
      <c r="VHJ145" s="96"/>
      <c r="VHP145" s="232"/>
      <c r="VHQ145" s="95"/>
      <c r="VHR145" s="96"/>
      <c r="VHX145" s="232"/>
      <c r="VHY145" s="95"/>
      <c r="VHZ145" s="96"/>
      <c r="VIF145" s="232"/>
      <c r="VIG145" s="95"/>
      <c r="VIH145" s="96"/>
      <c r="VIN145" s="232"/>
      <c r="VIO145" s="95"/>
      <c r="VIP145" s="96"/>
      <c r="VIV145" s="232"/>
      <c r="VIW145" s="95"/>
      <c r="VIX145" s="96"/>
      <c r="VJD145" s="232"/>
      <c r="VJE145" s="95"/>
      <c r="VJF145" s="96"/>
      <c r="VJL145" s="232"/>
      <c r="VJM145" s="95"/>
      <c r="VJN145" s="96"/>
      <c r="VJT145" s="232"/>
      <c r="VJU145" s="95"/>
      <c r="VJV145" s="96"/>
      <c r="VKB145" s="232"/>
      <c r="VKC145" s="95"/>
      <c r="VKD145" s="96"/>
      <c r="VKJ145" s="232"/>
      <c r="VKK145" s="95"/>
      <c r="VKL145" s="96"/>
      <c r="VKR145" s="232"/>
      <c r="VKS145" s="95"/>
      <c r="VKT145" s="96"/>
      <c r="VKZ145" s="232"/>
      <c r="VLA145" s="95"/>
      <c r="VLB145" s="96"/>
      <c r="VLH145" s="232"/>
      <c r="VLI145" s="95"/>
      <c r="VLJ145" s="96"/>
      <c r="VLP145" s="232"/>
      <c r="VLQ145" s="95"/>
      <c r="VLR145" s="96"/>
      <c r="VLX145" s="232"/>
      <c r="VLY145" s="95"/>
      <c r="VLZ145" s="96"/>
      <c r="VMF145" s="232"/>
      <c r="VMG145" s="95"/>
      <c r="VMH145" s="96"/>
      <c r="VMN145" s="232"/>
      <c r="VMO145" s="95"/>
      <c r="VMP145" s="96"/>
      <c r="VMV145" s="232"/>
      <c r="VMW145" s="95"/>
      <c r="VMX145" s="96"/>
      <c r="VND145" s="232"/>
      <c r="VNE145" s="95"/>
      <c r="VNF145" s="96"/>
      <c r="VNL145" s="232"/>
      <c r="VNM145" s="95"/>
      <c r="VNN145" s="96"/>
      <c r="VNT145" s="232"/>
      <c r="VNU145" s="95"/>
      <c r="VNV145" s="96"/>
      <c r="VOB145" s="232"/>
      <c r="VOC145" s="95"/>
      <c r="VOD145" s="96"/>
      <c r="VOJ145" s="232"/>
      <c r="VOK145" s="95"/>
      <c r="VOL145" s="96"/>
      <c r="VOR145" s="232"/>
      <c r="VOS145" s="95"/>
      <c r="VOT145" s="96"/>
      <c r="VOZ145" s="232"/>
      <c r="VPA145" s="95"/>
      <c r="VPB145" s="96"/>
      <c r="VPH145" s="232"/>
      <c r="VPI145" s="95"/>
      <c r="VPJ145" s="96"/>
      <c r="VPP145" s="232"/>
      <c r="VPQ145" s="95"/>
      <c r="VPR145" s="96"/>
      <c r="VPX145" s="232"/>
      <c r="VPY145" s="95"/>
      <c r="VPZ145" s="96"/>
      <c r="VQF145" s="232"/>
      <c r="VQG145" s="95"/>
      <c r="VQH145" s="96"/>
      <c r="VQN145" s="232"/>
      <c r="VQO145" s="95"/>
      <c r="VQP145" s="96"/>
      <c r="VQV145" s="232"/>
      <c r="VQW145" s="95"/>
      <c r="VQX145" s="96"/>
      <c r="VRD145" s="232"/>
      <c r="VRE145" s="95"/>
      <c r="VRF145" s="96"/>
      <c r="VRL145" s="232"/>
      <c r="VRM145" s="95"/>
      <c r="VRN145" s="96"/>
      <c r="VRT145" s="232"/>
      <c r="VRU145" s="95"/>
      <c r="VRV145" s="96"/>
      <c r="VSB145" s="232"/>
      <c r="VSC145" s="95"/>
      <c r="VSD145" s="96"/>
      <c r="VSJ145" s="232"/>
      <c r="VSK145" s="95"/>
      <c r="VSL145" s="96"/>
      <c r="VSR145" s="232"/>
      <c r="VSS145" s="95"/>
      <c r="VST145" s="96"/>
      <c r="VSZ145" s="232"/>
      <c r="VTA145" s="95"/>
      <c r="VTB145" s="96"/>
      <c r="VTH145" s="232"/>
      <c r="VTI145" s="95"/>
      <c r="VTJ145" s="96"/>
      <c r="VTP145" s="232"/>
      <c r="VTQ145" s="95"/>
      <c r="VTR145" s="96"/>
      <c r="VTX145" s="232"/>
      <c r="VTY145" s="95"/>
      <c r="VTZ145" s="96"/>
      <c r="VUF145" s="232"/>
      <c r="VUG145" s="95"/>
      <c r="VUH145" s="96"/>
      <c r="VUN145" s="232"/>
      <c r="VUO145" s="95"/>
      <c r="VUP145" s="96"/>
      <c r="VUV145" s="232"/>
      <c r="VUW145" s="95"/>
      <c r="VUX145" s="96"/>
      <c r="VVD145" s="232"/>
      <c r="VVE145" s="95"/>
      <c r="VVF145" s="96"/>
      <c r="VVL145" s="232"/>
      <c r="VVM145" s="95"/>
      <c r="VVN145" s="96"/>
      <c r="VVT145" s="232"/>
      <c r="VVU145" s="95"/>
      <c r="VVV145" s="96"/>
      <c r="VWB145" s="232"/>
      <c r="VWC145" s="95"/>
      <c r="VWD145" s="96"/>
      <c r="VWJ145" s="232"/>
      <c r="VWK145" s="95"/>
      <c r="VWL145" s="96"/>
      <c r="VWR145" s="232"/>
      <c r="VWS145" s="95"/>
      <c r="VWT145" s="96"/>
      <c r="VWZ145" s="232"/>
      <c r="VXA145" s="95"/>
      <c r="VXB145" s="96"/>
      <c r="VXH145" s="232"/>
      <c r="VXI145" s="95"/>
      <c r="VXJ145" s="96"/>
      <c r="VXP145" s="232"/>
      <c r="VXQ145" s="95"/>
      <c r="VXR145" s="96"/>
      <c r="VXX145" s="232"/>
      <c r="VXY145" s="95"/>
      <c r="VXZ145" s="96"/>
      <c r="VYF145" s="232"/>
      <c r="VYG145" s="95"/>
      <c r="VYH145" s="96"/>
      <c r="VYN145" s="232"/>
      <c r="VYO145" s="95"/>
      <c r="VYP145" s="96"/>
      <c r="VYV145" s="232"/>
      <c r="VYW145" s="95"/>
      <c r="VYX145" s="96"/>
      <c r="VZD145" s="232"/>
      <c r="VZE145" s="95"/>
      <c r="VZF145" s="96"/>
      <c r="VZL145" s="232"/>
      <c r="VZM145" s="95"/>
      <c r="VZN145" s="96"/>
      <c r="VZT145" s="232"/>
      <c r="VZU145" s="95"/>
      <c r="VZV145" s="96"/>
      <c r="WAB145" s="232"/>
      <c r="WAC145" s="95"/>
      <c r="WAD145" s="96"/>
      <c r="WAJ145" s="232"/>
      <c r="WAK145" s="95"/>
      <c r="WAL145" s="96"/>
      <c r="WAR145" s="232"/>
      <c r="WAS145" s="95"/>
      <c r="WAT145" s="96"/>
      <c r="WAZ145" s="232"/>
      <c r="WBA145" s="95"/>
      <c r="WBB145" s="96"/>
      <c r="WBH145" s="232"/>
      <c r="WBI145" s="95"/>
      <c r="WBJ145" s="96"/>
      <c r="WBP145" s="232"/>
      <c r="WBQ145" s="95"/>
      <c r="WBR145" s="96"/>
      <c r="WBX145" s="232"/>
      <c r="WBY145" s="95"/>
      <c r="WBZ145" s="96"/>
      <c r="WCF145" s="232"/>
      <c r="WCG145" s="95"/>
      <c r="WCH145" s="96"/>
      <c r="WCN145" s="232"/>
      <c r="WCO145" s="95"/>
      <c r="WCP145" s="96"/>
      <c r="WCV145" s="232"/>
      <c r="WCW145" s="95"/>
      <c r="WCX145" s="96"/>
      <c r="WDD145" s="232"/>
      <c r="WDE145" s="95"/>
      <c r="WDF145" s="96"/>
      <c r="WDL145" s="232"/>
      <c r="WDM145" s="95"/>
      <c r="WDN145" s="96"/>
      <c r="WDT145" s="232"/>
      <c r="WDU145" s="95"/>
      <c r="WDV145" s="96"/>
      <c r="WEB145" s="232"/>
      <c r="WEC145" s="95"/>
      <c r="WED145" s="96"/>
      <c r="WEJ145" s="232"/>
      <c r="WEK145" s="95"/>
      <c r="WEL145" s="96"/>
      <c r="WER145" s="232"/>
      <c r="WES145" s="95"/>
      <c r="WET145" s="96"/>
      <c r="WEZ145" s="232"/>
      <c r="WFA145" s="95"/>
      <c r="WFB145" s="96"/>
      <c r="WFH145" s="232"/>
      <c r="WFI145" s="95"/>
      <c r="WFJ145" s="96"/>
      <c r="WFP145" s="232"/>
      <c r="WFQ145" s="95"/>
      <c r="WFR145" s="96"/>
      <c r="WFX145" s="232"/>
      <c r="WFY145" s="95"/>
      <c r="WFZ145" s="96"/>
      <c r="WGF145" s="232"/>
      <c r="WGG145" s="95"/>
      <c r="WGH145" s="96"/>
      <c r="WGN145" s="232"/>
      <c r="WGO145" s="95"/>
      <c r="WGP145" s="96"/>
      <c r="WGV145" s="232"/>
      <c r="WGW145" s="95"/>
      <c r="WGX145" s="96"/>
      <c r="WHD145" s="232"/>
      <c r="WHE145" s="95"/>
      <c r="WHF145" s="96"/>
      <c r="WHL145" s="232"/>
      <c r="WHM145" s="95"/>
      <c r="WHN145" s="96"/>
      <c r="WHT145" s="232"/>
      <c r="WHU145" s="95"/>
      <c r="WHV145" s="96"/>
      <c r="WIB145" s="232"/>
      <c r="WIC145" s="95"/>
      <c r="WID145" s="96"/>
      <c r="WIJ145" s="232"/>
      <c r="WIK145" s="95"/>
      <c r="WIL145" s="96"/>
      <c r="WIR145" s="232"/>
      <c r="WIS145" s="95"/>
      <c r="WIT145" s="96"/>
      <c r="WIZ145" s="232"/>
      <c r="WJA145" s="95"/>
      <c r="WJB145" s="96"/>
      <c r="WJH145" s="232"/>
      <c r="WJI145" s="95"/>
      <c r="WJJ145" s="96"/>
      <c r="WJP145" s="232"/>
      <c r="WJQ145" s="95"/>
      <c r="WJR145" s="96"/>
      <c r="WJX145" s="232"/>
      <c r="WJY145" s="95"/>
      <c r="WJZ145" s="96"/>
      <c r="WKF145" s="232"/>
      <c r="WKG145" s="95"/>
      <c r="WKH145" s="96"/>
      <c r="WKN145" s="232"/>
      <c r="WKO145" s="95"/>
      <c r="WKP145" s="96"/>
      <c r="WKV145" s="232"/>
      <c r="WKW145" s="95"/>
      <c r="WKX145" s="96"/>
      <c r="WLD145" s="232"/>
      <c r="WLE145" s="95"/>
      <c r="WLF145" s="96"/>
      <c r="WLL145" s="232"/>
      <c r="WLM145" s="95"/>
      <c r="WLN145" s="96"/>
      <c r="WLT145" s="232"/>
      <c r="WLU145" s="95"/>
      <c r="WLV145" s="96"/>
      <c r="WMB145" s="232"/>
      <c r="WMC145" s="95"/>
      <c r="WMD145" s="96"/>
      <c r="WMJ145" s="232"/>
      <c r="WMK145" s="95"/>
      <c r="WML145" s="96"/>
      <c r="WMR145" s="232"/>
      <c r="WMS145" s="95"/>
      <c r="WMT145" s="96"/>
      <c r="WMZ145" s="232"/>
      <c r="WNA145" s="95"/>
      <c r="WNB145" s="96"/>
      <c r="WNH145" s="232"/>
      <c r="WNI145" s="95"/>
      <c r="WNJ145" s="96"/>
      <c r="WNP145" s="232"/>
      <c r="WNQ145" s="95"/>
      <c r="WNR145" s="96"/>
      <c r="WNX145" s="232"/>
      <c r="WNY145" s="95"/>
      <c r="WNZ145" s="96"/>
      <c r="WOF145" s="232"/>
      <c r="WOG145" s="95"/>
      <c r="WOH145" s="96"/>
      <c r="WON145" s="232"/>
      <c r="WOO145" s="95"/>
      <c r="WOP145" s="96"/>
      <c r="WOV145" s="232"/>
      <c r="WOW145" s="95"/>
      <c r="WOX145" s="96"/>
      <c r="WPD145" s="232"/>
      <c r="WPE145" s="95"/>
      <c r="WPF145" s="96"/>
      <c r="WPL145" s="232"/>
      <c r="WPM145" s="95"/>
      <c r="WPN145" s="96"/>
      <c r="WPT145" s="232"/>
      <c r="WPU145" s="95"/>
      <c r="WPV145" s="96"/>
      <c r="WQB145" s="232"/>
      <c r="WQC145" s="95"/>
      <c r="WQD145" s="96"/>
      <c r="WQJ145" s="232"/>
      <c r="WQK145" s="95"/>
      <c r="WQL145" s="96"/>
      <c r="WQR145" s="232"/>
      <c r="WQS145" s="95"/>
      <c r="WQT145" s="96"/>
      <c r="WQZ145" s="232"/>
      <c r="WRA145" s="95"/>
      <c r="WRB145" s="96"/>
      <c r="WRH145" s="232"/>
      <c r="WRI145" s="95"/>
      <c r="WRJ145" s="96"/>
      <c r="WRP145" s="232"/>
      <c r="WRQ145" s="95"/>
      <c r="WRR145" s="96"/>
      <c r="WRX145" s="232"/>
      <c r="WRY145" s="95"/>
      <c r="WRZ145" s="96"/>
      <c r="WSF145" s="232"/>
      <c r="WSG145" s="95"/>
      <c r="WSH145" s="96"/>
      <c r="WSN145" s="232"/>
      <c r="WSO145" s="95"/>
      <c r="WSP145" s="96"/>
      <c r="WSV145" s="232"/>
      <c r="WSW145" s="95"/>
      <c r="WSX145" s="96"/>
      <c r="WTD145" s="232"/>
      <c r="WTE145" s="95"/>
      <c r="WTF145" s="96"/>
      <c r="WTL145" s="232"/>
      <c r="WTM145" s="95"/>
      <c r="WTN145" s="96"/>
      <c r="WTT145" s="232"/>
      <c r="WTU145" s="95"/>
      <c r="WTV145" s="96"/>
      <c r="WUB145" s="232"/>
      <c r="WUC145" s="95"/>
      <c r="WUD145" s="96"/>
      <c r="WUJ145" s="232"/>
      <c r="WUK145" s="95"/>
      <c r="WUL145" s="96"/>
      <c r="WUR145" s="232"/>
      <c r="WUS145" s="95"/>
      <c r="WUT145" s="96"/>
      <c r="WUZ145" s="232"/>
      <c r="WVA145" s="95"/>
      <c r="WVB145" s="96"/>
      <c r="WVH145" s="232"/>
      <c r="WVI145" s="95"/>
      <c r="WVJ145" s="96"/>
      <c r="WVP145" s="232"/>
      <c r="WVQ145" s="95"/>
      <c r="WVR145" s="96"/>
      <c r="WVX145" s="232"/>
      <c r="WVY145" s="95"/>
      <c r="WVZ145" s="96"/>
      <c r="WWF145" s="232"/>
      <c r="WWG145" s="95"/>
      <c r="WWH145" s="96"/>
      <c r="WWN145" s="232"/>
      <c r="WWO145" s="95"/>
      <c r="WWP145" s="96"/>
      <c r="WWV145" s="232"/>
      <c r="WWW145" s="95"/>
      <c r="WWX145" s="96"/>
      <c r="WXD145" s="232"/>
      <c r="WXE145" s="95"/>
      <c r="WXF145" s="96"/>
      <c r="WXL145" s="232"/>
      <c r="WXM145" s="95"/>
      <c r="WXN145" s="96"/>
      <c r="WXT145" s="232"/>
      <c r="WXU145" s="95"/>
      <c r="WXV145" s="96"/>
      <c r="WYB145" s="232"/>
      <c r="WYC145" s="95"/>
      <c r="WYD145" s="96"/>
      <c r="WYJ145" s="232"/>
      <c r="WYK145" s="95"/>
      <c r="WYL145" s="96"/>
      <c r="WYR145" s="232"/>
      <c r="WYS145" s="95"/>
      <c r="WYT145" s="96"/>
      <c r="WYZ145" s="232"/>
      <c r="WZA145" s="95"/>
      <c r="WZB145" s="96"/>
      <c r="WZH145" s="232"/>
      <c r="WZI145" s="95"/>
      <c r="WZJ145" s="96"/>
      <c r="WZP145" s="232"/>
      <c r="WZQ145" s="95"/>
      <c r="WZR145" s="96"/>
      <c r="WZX145" s="232"/>
      <c r="WZY145" s="95"/>
      <c r="WZZ145" s="96"/>
      <c r="XAF145" s="232"/>
      <c r="XAG145" s="95"/>
      <c r="XAH145" s="96"/>
      <c r="XAN145" s="232"/>
      <c r="XAO145" s="95"/>
      <c r="XAP145" s="96"/>
      <c r="XAV145" s="232"/>
      <c r="XAW145" s="95"/>
      <c r="XAX145" s="96"/>
      <c r="XBD145" s="232"/>
      <c r="XBE145" s="95"/>
      <c r="XBF145" s="96"/>
      <c r="XBL145" s="232"/>
      <c r="XBM145" s="95"/>
      <c r="XBN145" s="96"/>
      <c r="XBT145" s="232"/>
      <c r="XBU145" s="95"/>
      <c r="XBV145" s="96"/>
      <c r="XCB145" s="232"/>
      <c r="XCC145" s="95"/>
      <c r="XCD145" s="96"/>
      <c r="XCJ145" s="232"/>
      <c r="XCK145" s="95"/>
      <c r="XCL145" s="96"/>
      <c r="XCR145" s="232"/>
      <c r="XCS145" s="95"/>
      <c r="XCT145" s="96"/>
      <c r="XCZ145" s="232"/>
      <c r="XDA145" s="95"/>
      <c r="XDB145" s="96"/>
      <c r="XDH145" s="232"/>
      <c r="XDI145" s="95"/>
      <c r="XDJ145" s="96"/>
      <c r="XDP145" s="232"/>
      <c r="XDQ145" s="95"/>
      <c r="XDR145" s="96"/>
      <c r="XDX145" s="232"/>
      <c r="XDY145" s="95"/>
      <c r="XDZ145" s="96"/>
      <c r="XEF145" s="232"/>
      <c r="XEG145" s="95"/>
      <c r="XEH145" s="96"/>
      <c r="XEN145" s="232"/>
      <c r="XEO145" s="95"/>
      <c r="XEP145" s="96"/>
      <c r="XEV145" s="232"/>
      <c r="XEW145" s="95"/>
      <c r="XEX145" s="96"/>
    </row>
    <row r="146" spans="1:16378" s="66" customFormat="1" ht="20.149999999999999" customHeight="1" x14ac:dyDescent="0.3">
      <c r="A146" s="243" t="s">
        <v>1123</v>
      </c>
      <c r="B146" s="67"/>
    </row>
    <row r="147" spans="1:16378" s="66" customFormat="1" ht="13" x14ac:dyDescent="0.3">
      <c r="A147" s="243" t="s">
        <v>1124</v>
      </c>
      <c r="B147" s="67"/>
    </row>
    <row r="148" spans="1:16378" s="66" customFormat="1" ht="13" x14ac:dyDescent="0.3">
      <c r="A148" s="244" t="s">
        <v>1125</v>
      </c>
      <c r="B148" s="67"/>
    </row>
    <row r="149" spans="1:16378" s="66" customFormat="1" ht="13" x14ac:dyDescent="0.3">
      <c r="A149" s="7" t="s">
        <v>1356</v>
      </c>
      <c r="B149" s="67"/>
    </row>
  </sheetData>
  <mergeCells count="40">
    <mergeCell ref="A124:G124"/>
    <mergeCell ref="A125:G125"/>
    <mergeCell ref="A127:A128"/>
    <mergeCell ref="B127:B128"/>
    <mergeCell ref="C127:C128"/>
    <mergeCell ref="D127:D128"/>
    <mergeCell ref="E127:E128"/>
    <mergeCell ref="F127:G127"/>
    <mergeCell ref="A92:G92"/>
    <mergeCell ref="A93:G93"/>
    <mergeCell ref="A95:A96"/>
    <mergeCell ref="B95:B96"/>
    <mergeCell ref="C95:C96"/>
    <mergeCell ref="D95:D96"/>
    <mergeCell ref="E95:E96"/>
    <mergeCell ref="F95:G95"/>
    <mergeCell ref="A60:G60"/>
    <mergeCell ref="A61:G61"/>
    <mergeCell ref="A63:A64"/>
    <mergeCell ref="B63:B64"/>
    <mergeCell ref="C63:C64"/>
    <mergeCell ref="D63:D64"/>
    <mergeCell ref="E63:E64"/>
    <mergeCell ref="F63:G63"/>
    <mergeCell ref="A32:G32"/>
    <mergeCell ref="A33:G33"/>
    <mergeCell ref="A35:A36"/>
    <mergeCell ref="B35:B36"/>
    <mergeCell ref="C35:C36"/>
    <mergeCell ref="D35:D36"/>
    <mergeCell ref="E35:E36"/>
    <mergeCell ref="F35:G35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51181102362204722" header="0.19685039370078741" footer="0.23622047244094491"/>
  <pageSetup paperSize="9" scale="91" fitToWidth="0" fitToHeight="0" orientation="landscape" useFirstPageNumber="1" r:id="rId1"/>
  <headerFooter alignWithMargins="0">
    <oddFooter>&amp;C&amp;"Arial,Regular"&amp;10&amp;P</oddFooter>
  </headerFooter>
  <rowBreaks count="4" manualBreakCount="4">
    <brk id="31" max="7" man="1"/>
    <brk id="59" max="16383" man="1"/>
    <brk id="91" max="16383" man="1"/>
    <brk id="12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4F70B-6400-4CF9-9F13-96DF55BFD93E}">
  <dimension ref="A1:XEX151"/>
  <sheetViews>
    <sheetView zoomScaleNormal="100" zoomScaleSheetLayoutView="100" zoomScalePageLayoutView="70" workbookViewId="0">
      <selection activeCell="C30" sqref="C30:G30"/>
    </sheetView>
  </sheetViews>
  <sheetFormatPr defaultColWidth="9.1796875" defaultRowHeight="14" x14ac:dyDescent="0.3"/>
  <cols>
    <col min="1" max="1" width="15.7265625" style="271" customWidth="1"/>
    <col min="2" max="2" width="51.453125" style="282" customWidth="1"/>
    <col min="3" max="7" width="13.26953125" style="271" customWidth="1"/>
    <col min="8" max="16384" width="9.1796875" style="271"/>
  </cols>
  <sheetData>
    <row r="1" spans="1:11" s="270" customFormat="1" ht="30" customHeight="1" x14ac:dyDescent="0.3">
      <c r="A1" s="428" t="s">
        <v>1359</v>
      </c>
      <c r="B1" s="428"/>
      <c r="C1" s="428"/>
      <c r="D1" s="428"/>
      <c r="E1" s="428"/>
      <c r="F1" s="428"/>
      <c r="G1" s="428"/>
    </row>
    <row r="2" spans="1:11" ht="12.75" customHeight="1" x14ac:dyDescent="0.3">
      <c r="A2" s="431" t="s">
        <v>1337</v>
      </c>
      <c r="B2" s="431"/>
      <c r="C2" s="431"/>
      <c r="D2" s="431"/>
      <c r="E2" s="431"/>
      <c r="F2" s="431"/>
      <c r="G2" s="431"/>
    </row>
    <row r="3" spans="1:11" ht="12.75" customHeight="1" x14ac:dyDescent="0.3">
      <c r="A3" s="272"/>
      <c r="B3" s="352"/>
      <c r="C3" s="272"/>
      <c r="D3" s="272"/>
      <c r="E3" s="272"/>
      <c r="F3" s="272"/>
      <c r="G3" s="272"/>
    </row>
    <row r="4" spans="1:11" ht="15" customHeight="1" x14ac:dyDescent="0.3">
      <c r="A4" s="432" t="s">
        <v>1038</v>
      </c>
      <c r="B4" s="432" t="s">
        <v>1037</v>
      </c>
      <c r="C4" s="433" t="s">
        <v>1371</v>
      </c>
      <c r="D4" s="433" t="s">
        <v>90</v>
      </c>
      <c r="E4" s="433" t="s">
        <v>89</v>
      </c>
      <c r="F4" s="433" t="s">
        <v>1186</v>
      </c>
      <c r="G4" s="433"/>
    </row>
    <row r="5" spans="1:11" ht="50.15" customHeight="1" x14ac:dyDescent="0.3">
      <c r="A5" s="432"/>
      <c r="B5" s="432"/>
      <c r="C5" s="433"/>
      <c r="D5" s="433"/>
      <c r="E5" s="433"/>
      <c r="F5" s="273" t="s">
        <v>88</v>
      </c>
      <c r="G5" s="273" t="s">
        <v>87</v>
      </c>
    </row>
    <row r="6" spans="1:11" x14ac:dyDescent="0.3">
      <c r="A6" s="274"/>
      <c r="B6" s="275"/>
      <c r="C6" s="275"/>
      <c r="D6" s="276"/>
      <c r="E6" s="276"/>
      <c r="F6" s="276"/>
      <c r="G6" s="365"/>
    </row>
    <row r="7" spans="1:11" s="279" customFormat="1" ht="18" customHeight="1" x14ac:dyDescent="0.3">
      <c r="A7" s="277"/>
      <c r="B7" s="368" t="s">
        <v>1073</v>
      </c>
      <c r="C7" s="248">
        <v>19861.87</v>
      </c>
      <c r="D7" s="248">
        <v>262.68900000000002</v>
      </c>
      <c r="E7" s="249">
        <f>IF(C7&lt;&gt;"",D7/C7*100,"")</f>
        <v>1.3225793945887272</v>
      </c>
      <c r="F7" s="248">
        <v>19429.75</v>
      </c>
      <c r="G7" s="250">
        <v>20293.990000000002</v>
      </c>
      <c r="H7" s="278"/>
    </row>
    <row r="8" spans="1:11" s="279" customFormat="1" ht="9.75" customHeight="1" x14ac:dyDescent="0.3">
      <c r="A8" s="277"/>
      <c r="B8" s="369"/>
      <c r="C8" s="370"/>
      <c r="D8" s="287"/>
      <c r="E8" s="287"/>
      <c r="F8" s="287"/>
      <c r="G8" s="371"/>
    </row>
    <row r="9" spans="1:11" s="279" customFormat="1" ht="14.25" customHeight="1" x14ac:dyDescent="0.3">
      <c r="A9" s="280" t="s">
        <v>1071</v>
      </c>
      <c r="B9" s="325" t="s">
        <v>1072</v>
      </c>
      <c r="C9" s="248">
        <v>13900.17</v>
      </c>
      <c r="D9" s="248">
        <v>942.03700000000003</v>
      </c>
      <c r="E9" s="249">
        <f>IF(C9&lt;&gt;"",D9/C9*100,"")</f>
        <v>6.7771617181660373</v>
      </c>
      <c r="F9" s="248">
        <v>12350.54</v>
      </c>
      <c r="G9" s="250">
        <v>15449.81</v>
      </c>
      <c r="H9" s="278"/>
    </row>
    <row r="10" spans="1:11" s="279" customFormat="1" ht="27.75" customHeight="1" x14ac:dyDescent="0.3">
      <c r="A10" s="281" t="s">
        <v>992</v>
      </c>
      <c r="B10" s="295" t="s">
        <v>1070</v>
      </c>
      <c r="C10" s="254">
        <v>14002.35</v>
      </c>
      <c r="D10" s="254">
        <v>1100.806</v>
      </c>
      <c r="E10" s="255">
        <f>IF(C10&lt;&gt;"",D10/C10*100,"")</f>
        <v>7.861580377579477</v>
      </c>
      <c r="F10" s="254">
        <v>12191.54</v>
      </c>
      <c r="G10" s="256">
        <v>15813.15</v>
      </c>
      <c r="H10" s="278"/>
    </row>
    <row r="11" spans="1:11" x14ac:dyDescent="0.3">
      <c r="A11" s="281" t="s">
        <v>704</v>
      </c>
      <c r="B11" s="296" t="s">
        <v>990</v>
      </c>
      <c r="C11" s="254">
        <v>13333.37</v>
      </c>
      <c r="D11" s="254">
        <v>361.9794</v>
      </c>
      <c r="E11" s="255">
        <f>IF(C11&lt;&gt;"",D11/C11*100,"")</f>
        <v>2.7148380341954059</v>
      </c>
      <c r="F11" s="254">
        <v>12737.92</v>
      </c>
      <c r="G11" s="256">
        <v>13928.82</v>
      </c>
      <c r="H11" s="278"/>
    </row>
    <row r="12" spans="1:11" x14ac:dyDescent="0.3">
      <c r="A12" s="283"/>
      <c r="B12" s="296"/>
      <c r="C12" s="372"/>
      <c r="D12" s="287"/>
      <c r="E12" s="287"/>
      <c r="F12" s="287"/>
      <c r="G12" s="371"/>
    </row>
    <row r="13" spans="1:11" s="279" customFormat="1" x14ac:dyDescent="0.3">
      <c r="A13" s="284" t="s">
        <v>1068</v>
      </c>
      <c r="B13" s="325" t="s">
        <v>1069</v>
      </c>
      <c r="C13" s="248">
        <v>19129.68</v>
      </c>
      <c r="D13" s="248">
        <v>1124.1579999999999</v>
      </c>
      <c r="E13" s="249">
        <f>IF(C13&lt;&gt;"",D13/C13*100,"")</f>
        <v>5.8765123096674898</v>
      </c>
      <c r="F13" s="248">
        <v>17280.46</v>
      </c>
      <c r="G13" s="250">
        <v>20978.9</v>
      </c>
      <c r="H13" s="278"/>
    </row>
    <row r="14" spans="1:11" s="279" customFormat="1" ht="45.75" customHeight="1" x14ac:dyDescent="0.3">
      <c r="A14" s="281" t="s">
        <v>1106</v>
      </c>
      <c r="B14" s="296" t="s">
        <v>1361</v>
      </c>
      <c r="C14" s="254">
        <v>17437.91</v>
      </c>
      <c r="D14" s="254">
        <v>420.48779999999999</v>
      </c>
      <c r="E14" s="255">
        <f>IF(C14&lt;&gt;"",D14/C14*100,"")</f>
        <v>2.4113428730851347</v>
      </c>
      <c r="F14" s="254">
        <v>16746.21</v>
      </c>
      <c r="G14" s="256">
        <v>18129.599999999999</v>
      </c>
      <c r="H14" s="278"/>
      <c r="K14" s="279" t="s">
        <v>1107</v>
      </c>
    </row>
    <row r="15" spans="1:11" ht="12" customHeight="1" x14ac:dyDescent="0.3">
      <c r="A15" s="281" t="s">
        <v>506</v>
      </c>
      <c r="B15" s="296" t="s">
        <v>1066</v>
      </c>
      <c r="C15" s="254">
        <v>19825.400000000001</v>
      </c>
      <c r="D15" s="254">
        <v>1491.076</v>
      </c>
      <c r="E15" s="255">
        <f>IF(C15&lt;&gt;"",D15/C15*100,"")</f>
        <v>7.5210386675678667</v>
      </c>
      <c r="F15" s="254">
        <v>17372.599999999999</v>
      </c>
      <c r="G15" s="256">
        <v>22278.19</v>
      </c>
      <c r="H15" s="278"/>
    </row>
    <row r="16" spans="1:11" x14ac:dyDescent="0.3">
      <c r="A16" s="281" t="s">
        <v>1064</v>
      </c>
      <c r="B16" s="296" t="s">
        <v>1065</v>
      </c>
      <c r="C16" s="254">
        <v>16614.64</v>
      </c>
      <c r="D16" s="254">
        <v>841.46050000000002</v>
      </c>
      <c r="E16" s="255">
        <f>IF(C16&lt;&gt;"",D16/C16*100,"")</f>
        <v>5.0645725697336808</v>
      </c>
      <c r="F16" s="254">
        <v>15230.45</v>
      </c>
      <c r="G16" s="256">
        <v>17998.82</v>
      </c>
      <c r="H16" s="278"/>
    </row>
    <row r="17" spans="1:16378" x14ac:dyDescent="0.3">
      <c r="A17" s="285"/>
      <c r="B17" s="296"/>
      <c r="C17" s="296"/>
      <c r="D17" s="287"/>
      <c r="E17" s="287"/>
      <c r="F17" s="287"/>
      <c r="G17" s="371"/>
    </row>
    <row r="18" spans="1:16378" s="279" customFormat="1" x14ac:dyDescent="0.3">
      <c r="A18" s="284" t="s">
        <v>1062</v>
      </c>
      <c r="B18" s="325" t="s">
        <v>1063</v>
      </c>
      <c r="C18" s="254">
        <v>18878.8</v>
      </c>
      <c r="D18" s="254">
        <v>374.00790000000001</v>
      </c>
      <c r="E18" s="255">
        <f t="shared" ref="E18:E29" si="0">IF(C18&lt;&gt;"",D18/C18*100,"")</f>
        <v>1.9810999639807616</v>
      </c>
      <c r="F18" s="254">
        <v>18263.560000000001</v>
      </c>
      <c r="G18" s="256">
        <v>19494.03</v>
      </c>
      <c r="H18" s="278"/>
    </row>
    <row r="19" spans="1:16378" x14ac:dyDescent="0.3">
      <c r="A19" s="281" t="s">
        <v>330</v>
      </c>
      <c r="B19" s="286" t="s">
        <v>977</v>
      </c>
      <c r="C19" s="254">
        <v>17254.52</v>
      </c>
      <c r="D19" s="254">
        <v>541.07539999999995</v>
      </c>
      <c r="E19" s="255">
        <f t="shared" si="0"/>
        <v>3.1358473026198346</v>
      </c>
      <c r="F19" s="254">
        <v>16364.46</v>
      </c>
      <c r="G19" s="256">
        <v>18144.580000000002</v>
      </c>
      <c r="H19" s="278"/>
    </row>
    <row r="20" spans="1:16378" x14ac:dyDescent="0.3">
      <c r="A20" s="281" t="s">
        <v>443</v>
      </c>
      <c r="B20" s="286" t="s">
        <v>973</v>
      </c>
      <c r="C20" s="254">
        <v>23192.02</v>
      </c>
      <c r="D20" s="254">
        <v>1409.4949999999999</v>
      </c>
      <c r="E20" s="255">
        <f t="shared" si="0"/>
        <v>6.0774999331666661</v>
      </c>
      <c r="F20" s="254">
        <v>20873.43</v>
      </c>
      <c r="G20" s="256">
        <v>25510.62</v>
      </c>
      <c r="H20" s="278"/>
    </row>
    <row r="21" spans="1:16378" x14ac:dyDescent="0.3">
      <c r="A21" s="281" t="s">
        <v>1059</v>
      </c>
      <c r="B21" s="286" t="s">
        <v>1060</v>
      </c>
      <c r="C21" s="254">
        <v>34877.11</v>
      </c>
      <c r="D21" s="254">
        <v>5478.4809999999998</v>
      </c>
      <c r="E21" s="255">
        <f t="shared" si="0"/>
        <v>15.707955733717615</v>
      </c>
      <c r="F21" s="254">
        <v>25865.1</v>
      </c>
      <c r="G21" s="256">
        <v>43889.11</v>
      </c>
      <c r="H21" s="278"/>
    </row>
    <row r="22" spans="1:16378" ht="14.25" customHeight="1" x14ac:dyDescent="0.3">
      <c r="A22" s="281" t="s">
        <v>571</v>
      </c>
      <c r="B22" s="286" t="s">
        <v>970</v>
      </c>
      <c r="C22" s="254">
        <v>15898.07</v>
      </c>
      <c r="D22" s="254">
        <v>469.04059999999998</v>
      </c>
      <c r="E22" s="255">
        <f t="shared" si="0"/>
        <v>2.9502989985576864</v>
      </c>
      <c r="F22" s="254">
        <v>15126.51</v>
      </c>
      <c r="G22" s="256">
        <v>16669.64</v>
      </c>
      <c r="H22" s="278"/>
    </row>
    <row r="23" spans="1:16378" ht="13.5" customHeight="1" x14ac:dyDescent="0.3">
      <c r="A23" s="281" t="s">
        <v>784</v>
      </c>
      <c r="B23" s="286" t="s">
        <v>964</v>
      </c>
      <c r="C23" s="254">
        <v>15946.08</v>
      </c>
      <c r="D23" s="254">
        <v>1583.04</v>
      </c>
      <c r="E23" s="255">
        <f t="shared" si="0"/>
        <v>9.9274555251196528</v>
      </c>
      <c r="F23" s="254">
        <v>13342.01</v>
      </c>
      <c r="G23" s="256">
        <v>18550.150000000001</v>
      </c>
      <c r="H23" s="278"/>
    </row>
    <row r="24" spans="1:16378" x14ac:dyDescent="0.3">
      <c r="A24" s="281" t="s">
        <v>667</v>
      </c>
      <c r="B24" s="286" t="s">
        <v>947</v>
      </c>
      <c r="C24" s="254">
        <v>14746.6</v>
      </c>
      <c r="D24" s="254">
        <v>827.00810000000001</v>
      </c>
      <c r="E24" s="255">
        <f t="shared" si="0"/>
        <v>5.6081272971396796</v>
      </c>
      <c r="F24" s="254">
        <v>13386.18</v>
      </c>
      <c r="G24" s="256">
        <v>16107.01</v>
      </c>
      <c r="H24" s="278"/>
    </row>
    <row r="25" spans="1:16378" ht="59.25" customHeight="1" x14ac:dyDescent="0.3">
      <c r="A25" s="281" t="s">
        <v>1348</v>
      </c>
      <c r="B25" s="286" t="s">
        <v>1362</v>
      </c>
      <c r="C25" s="254">
        <v>14497.08</v>
      </c>
      <c r="D25" s="254">
        <v>551.71619999999996</v>
      </c>
      <c r="E25" s="255">
        <f t="shared" si="0"/>
        <v>3.8057057007342165</v>
      </c>
      <c r="F25" s="254">
        <v>13589.52</v>
      </c>
      <c r="G25" s="256">
        <v>15404.65</v>
      </c>
      <c r="H25" s="278"/>
    </row>
    <row r="26" spans="1:16378" ht="13.5" customHeight="1" x14ac:dyDescent="0.3">
      <c r="A26" s="281" t="s">
        <v>405</v>
      </c>
      <c r="B26" s="286" t="s">
        <v>921</v>
      </c>
      <c r="C26" s="254">
        <v>18822.11</v>
      </c>
      <c r="D26" s="254">
        <v>589.94870000000003</v>
      </c>
      <c r="E26" s="255">
        <f t="shared" si="0"/>
        <v>3.1343388174864559</v>
      </c>
      <c r="F26" s="254">
        <v>17851.650000000001</v>
      </c>
      <c r="G26" s="256">
        <v>19792.560000000001</v>
      </c>
      <c r="H26" s="278"/>
    </row>
    <row r="27" spans="1:16378" ht="25.5" customHeight="1" x14ac:dyDescent="0.3">
      <c r="A27" s="281" t="s">
        <v>568</v>
      </c>
      <c r="B27" s="286" t="s">
        <v>913</v>
      </c>
      <c r="C27" s="254">
        <v>16942.169999999998</v>
      </c>
      <c r="D27" s="254">
        <v>664.70680000000004</v>
      </c>
      <c r="E27" s="255">
        <f t="shared" si="0"/>
        <v>3.9233864375106622</v>
      </c>
      <c r="F27" s="254">
        <v>15848.74</v>
      </c>
      <c r="G27" s="256">
        <v>18035.599999999999</v>
      </c>
      <c r="H27" s="278"/>
    </row>
    <row r="28" spans="1:16378" x14ac:dyDescent="0.3">
      <c r="A28" s="281" t="s">
        <v>305</v>
      </c>
      <c r="B28" s="286" t="s">
        <v>906</v>
      </c>
      <c r="C28" s="254">
        <v>18104.29</v>
      </c>
      <c r="D28" s="254">
        <v>449.12040000000002</v>
      </c>
      <c r="E28" s="255">
        <f t="shared" si="0"/>
        <v>2.4807402002508798</v>
      </c>
      <c r="F28" s="254">
        <v>17365.490000000002</v>
      </c>
      <c r="G28" s="256">
        <v>18843.09</v>
      </c>
      <c r="H28" s="278"/>
    </row>
    <row r="29" spans="1:16378" x14ac:dyDescent="0.3">
      <c r="A29" s="281" t="s">
        <v>349</v>
      </c>
      <c r="B29" s="286" t="s">
        <v>897</v>
      </c>
      <c r="C29" s="254">
        <v>21182.19</v>
      </c>
      <c r="D29" s="254">
        <v>1150.5719999999999</v>
      </c>
      <c r="E29" s="255">
        <f t="shared" si="0"/>
        <v>5.4317896308172093</v>
      </c>
      <c r="F29" s="254">
        <v>19289.52</v>
      </c>
      <c r="G29" s="256">
        <v>23074.86</v>
      </c>
      <c r="H29" s="278"/>
    </row>
    <row r="30" spans="1:16378" x14ac:dyDescent="0.3">
      <c r="A30" s="373"/>
      <c r="B30" s="296"/>
      <c r="C30" s="294"/>
      <c r="D30" s="287"/>
      <c r="E30" s="287"/>
      <c r="F30" s="287"/>
      <c r="G30" s="371"/>
      <c r="H30" s="278"/>
    </row>
    <row r="31" spans="1:16378" x14ac:dyDescent="0.3">
      <c r="A31" s="373"/>
      <c r="B31" s="296"/>
      <c r="C31" s="372"/>
      <c r="D31" s="372"/>
      <c r="E31" s="372"/>
      <c r="F31" s="372"/>
      <c r="G31" s="374"/>
      <c r="H31" s="278"/>
    </row>
    <row r="32" spans="1:16378" s="287" customFormat="1" ht="5.5" customHeight="1" x14ac:dyDescent="0.3">
      <c r="A32" s="288"/>
      <c r="B32" s="289"/>
      <c r="C32" s="290"/>
      <c r="D32" s="291"/>
      <c r="E32" s="291"/>
      <c r="F32" s="291"/>
      <c r="G32" s="339"/>
      <c r="H32" s="292"/>
      <c r="I32" s="293"/>
      <c r="J32" s="294"/>
      <c r="P32" s="292"/>
      <c r="Q32" s="293"/>
      <c r="R32" s="294"/>
      <c r="X32" s="292"/>
      <c r="Y32" s="293"/>
      <c r="Z32" s="294"/>
      <c r="AF32" s="292"/>
      <c r="AG32" s="293"/>
      <c r="AH32" s="294"/>
      <c r="AN32" s="292"/>
      <c r="AO32" s="293"/>
      <c r="AP32" s="294"/>
      <c r="AV32" s="292"/>
      <c r="AW32" s="293"/>
      <c r="AX32" s="294"/>
      <c r="BD32" s="292"/>
      <c r="BE32" s="293"/>
      <c r="BF32" s="294"/>
      <c r="BL32" s="292"/>
      <c r="BM32" s="293"/>
      <c r="BN32" s="294"/>
      <c r="BT32" s="292"/>
      <c r="BU32" s="293"/>
      <c r="BV32" s="294"/>
      <c r="CB32" s="292"/>
      <c r="CC32" s="293"/>
      <c r="CD32" s="294"/>
      <c r="CJ32" s="292"/>
      <c r="CK32" s="293"/>
      <c r="CL32" s="294"/>
      <c r="CR32" s="292"/>
      <c r="CS32" s="293"/>
      <c r="CT32" s="294"/>
      <c r="CZ32" s="292"/>
      <c r="DA32" s="293"/>
      <c r="DB32" s="294"/>
      <c r="DH32" s="292"/>
      <c r="DI32" s="293"/>
      <c r="DJ32" s="294"/>
      <c r="DP32" s="292"/>
      <c r="DQ32" s="293"/>
      <c r="DR32" s="294"/>
      <c r="DX32" s="292"/>
      <c r="DY32" s="293"/>
      <c r="DZ32" s="294"/>
      <c r="EF32" s="292"/>
      <c r="EG32" s="293"/>
      <c r="EH32" s="294"/>
      <c r="EN32" s="292"/>
      <c r="EO32" s="293"/>
      <c r="EP32" s="294"/>
      <c r="EV32" s="292"/>
      <c r="EW32" s="293"/>
      <c r="EX32" s="294"/>
      <c r="FD32" s="292"/>
      <c r="FE32" s="293"/>
      <c r="FF32" s="294"/>
      <c r="FL32" s="292"/>
      <c r="FM32" s="293"/>
      <c r="FN32" s="294"/>
      <c r="FT32" s="292"/>
      <c r="FU32" s="293"/>
      <c r="FV32" s="294"/>
      <c r="GB32" s="292"/>
      <c r="GC32" s="293"/>
      <c r="GD32" s="294"/>
      <c r="GJ32" s="292"/>
      <c r="GK32" s="293"/>
      <c r="GL32" s="294"/>
      <c r="GR32" s="292"/>
      <c r="GS32" s="293"/>
      <c r="GT32" s="294"/>
      <c r="GZ32" s="292"/>
      <c r="HA32" s="293"/>
      <c r="HB32" s="294"/>
      <c r="HH32" s="292"/>
      <c r="HI32" s="293"/>
      <c r="HJ32" s="294"/>
      <c r="HP32" s="292"/>
      <c r="HQ32" s="293"/>
      <c r="HR32" s="294"/>
      <c r="HX32" s="292"/>
      <c r="HY32" s="293"/>
      <c r="HZ32" s="294"/>
      <c r="IF32" s="292"/>
      <c r="IG32" s="293"/>
      <c r="IH32" s="294"/>
      <c r="IN32" s="292"/>
      <c r="IO32" s="293"/>
      <c r="IP32" s="294"/>
      <c r="IV32" s="292"/>
      <c r="IW32" s="293"/>
      <c r="IX32" s="294"/>
      <c r="JD32" s="292"/>
      <c r="JE32" s="293"/>
      <c r="JF32" s="294"/>
      <c r="JL32" s="292"/>
      <c r="JM32" s="293"/>
      <c r="JN32" s="294"/>
      <c r="JT32" s="292"/>
      <c r="JU32" s="293"/>
      <c r="JV32" s="294"/>
      <c r="KB32" s="292"/>
      <c r="KC32" s="293"/>
      <c r="KD32" s="294"/>
      <c r="KJ32" s="292"/>
      <c r="KK32" s="293"/>
      <c r="KL32" s="294"/>
      <c r="KR32" s="292"/>
      <c r="KS32" s="293"/>
      <c r="KT32" s="294"/>
      <c r="KZ32" s="292"/>
      <c r="LA32" s="293"/>
      <c r="LB32" s="294"/>
      <c r="LH32" s="292"/>
      <c r="LI32" s="293"/>
      <c r="LJ32" s="294"/>
      <c r="LP32" s="292"/>
      <c r="LQ32" s="293"/>
      <c r="LR32" s="294"/>
      <c r="LX32" s="292"/>
      <c r="LY32" s="293"/>
      <c r="LZ32" s="294"/>
      <c r="MF32" s="292"/>
      <c r="MG32" s="293"/>
      <c r="MH32" s="294"/>
      <c r="MN32" s="292"/>
      <c r="MO32" s="293"/>
      <c r="MP32" s="294"/>
      <c r="MV32" s="292"/>
      <c r="MW32" s="293"/>
      <c r="MX32" s="294"/>
      <c r="ND32" s="292"/>
      <c r="NE32" s="293"/>
      <c r="NF32" s="294"/>
      <c r="NL32" s="292"/>
      <c r="NM32" s="293"/>
      <c r="NN32" s="294"/>
      <c r="NT32" s="292"/>
      <c r="NU32" s="293"/>
      <c r="NV32" s="294"/>
      <c r="OB32" s="292"/>
      <c r="OC32" s="293"/>
      <c r="OD32" s="294"/>
      <c r="OJ32" s="292"/>
      <c r="OK32" s="293"/>
      <c r="OL32" s="294"/>
      <c r="OR32" s="292"/>
      <c r="OS32" s="293"/>
      <c r="OT32" s="294"/>
      <c r="OZ32" s="292"/>
      <c r="PA32" s="293"/>
      <c r="PB32" s="294"/>
      <c r="PH32" s="292"/>
      <c r="PI32" s="293"/>
      <c r="PJ32" s="294"/>
      <c r="PP32" s="292"/>
      <c r="PQ32" s="293"/>
      <c r="PR32" s="294"/>
      <c r="PX32" s="292"/>
      <c r="PY32" s="293"/>
      <c r="PZ32" s="294"/>
      <c r="QF32" s="292"/>
      <c r="QG32" s="293"/>
      <c r="QH32" s="294"/>
      <c r="QN32" s="292"/>
      <c r="QO32" s="293"/>
      <c r="QP32" s="294"/>
      <c r="QV32" s="292"/>
      <c r="QW32" s="293"/>
      <c r="QX32" s="294"/>
      <c r="RD32" s="292"/>
      <c r="RE32" s="293"/>
      <c r="RF32" s="294"/>
      <c r="RL32" s="292"/>
      <c r="RM32" s="293"/>
      <c r="RN32" s="294"/>
      <c r="RT32" s="292"/>
      <c r="RU32" s="293"/>
      <c r="RV32" s="294"/>
      <c r="SB32" s="292"/>
      <c r="SC32" s="293"/>
      <c r="SD32" s="294"/>
      <c r="SJ32" s="292"/>
      <c r="SK32" s="293"/>
      <c r="SL32" s="294"/>
      <c r="SR32" s="292"/>
      <c r="SS32" s="293"/>
      <c r="ST32" s="294"/>
      <c r="SZ32" s="292"/>
      <c r="TA32" s="293"/>
      <c r="TB32" s="294"/>
      <c r="TH32" s="292"/>
      <c r="TI32" s="293"/>
      <c r="TJ32" s="294"/>
      <c r="TP32" s="292"/>
      <c r="TQ32" s="293"/>
      <c r="TR32" s="294"/>
      <c r="TX32" s="292"/>
      <c r="TY32" s="293"/>
      <c r="TZ32" s="294"/>
      <c r="UF32" s="292"/>
      <c r="UG32" s="293"/>
      <c r="UH32" s="294"/>
      <c r="UN32" s="292"/>
      <c r="UO32" s="293"/>
      <c r="UP32" s="294"/>
      <c r="UV32" s="292"/>
      <c r="UW32" s="293"/>
      <c r="UX32" s="294"/>
      <c r="VD32" s="292"/>
      <c r="VE32" s="293"/>
      <c r="VF32" s="294"/>
      <c r="VL32" s="292"/>
      <c r="VM32" s="293"/>
      <c r="VN32" s="294"/>
      <c r="VT32" s="292"/>
      <c r="VU32" s="293"/>
      <c r="VV32" s="294"/>
      <c r="WB32" s="292"/>
      <c r="WC32" s="293"/>
      <c r="WD32" s="294"/>
      <c r="WJ32" s="292"/>
      <c r="WK32" s="293"/>
      <c r="WL32" s="294"/>
      <c r="WR32" s="292"/>
      <c r="WS32" s="293"/>
      <c r="WT32" s="294"/>
      <c r="WZ32" s="292"/>
      <c r="XA32" s="293"/>
      <c r="XB32" s="294"/>
      <c r="XH32" s="292"/>
      <c r="XI32" s="293"/>
      <c r="XJ32" s="294"/>
      <c r="XP32" s="292"/>
      <c r="XQ32" s="293"/>
      <c r="XR32" s="294"/>
      <c r="XX32" s="292"/>
      <c r="XY32" s="293"/>
      <c r="XZ32" s="294"/>
      <c r="YF32" s="292"/>
      <c r="YG32" s="293"/>
      <c r="YH32" s="294"/>
      <c r="YN32" s="292"/>
      <c r="YO32" s="293"/>
      <c r="YP32" s="294"/>
      <c r="YV32" s="292"/>
      <c r="YW32" s="293"/>
      <c r="YX32" s="294"/>
      <c r="ZD32" s="292"/>
      <c r="ZE32" s="293"/>
      <c r="ZF32" s="294"/>
      <c r="ZL32" s="292"/>
      <c r="ZM32" s="293"/>
      <c r="ZN32" s="294"/>
      <c r="ZT32" s="292"/>
      <c r="ZU32" s="293"/>
      <c r="ZV32" s="294"/>
      <c r="AAB32" s="292"/>
      <c r="AAC32" s="293"/>
      <c r="AAD32" s="294"/>
      <c r="AAJ32" s="292"/>
      <c r="AAK32" s="293"/>
      <c r="AAL32" s="294"/>
      <c r="AAR32" s="292"/>
      <c r="AAS32" s="293"/>
      <c r="AAT32" s="294"/>
      <c r="AAZ32" s="292"/>
      <c r="ABA32" s="293"/>
      <c r="ABB32" s="294"/>
      <c r="ABH32" s="292"/>
      <c r="ABI32" s="293"/>
      <c r="ABJ32" s="294"/>
      <c r="ABP32" s="292"/>
      <c r="ABQ32" s="293"/>
      <c r="ABR32" s="294"/>
      <c r="ABX32" s="292"/>
      <c r="ABY32" s="293"/>
      <c r="ABZ32" s="294"/>
      <c r="ACF32" s="292"/>
      <c r="ACG32" s="293"/>
      <c r="ACH32" s="294"/>
      <c r="ACN32" s="292"/>
      <c r="ACO32" s="293"/>
      <c r="ACP32" s="294"/>
      <c r="ACV32" s="292"/>
      <c r="ACW32" s="293"/>
      <c r="ACX32" s="294"/>
      <c r="ADD32" s="292"/>
      <c r="ADE32" s="293"/>
      <c r="ADF32" s="294"/>
      <c r="ADL32" s="292"/>
      <c r="ADM32" s="293"/>
      <c r="ADN32" s="294"/>
      <c r="ADT32" s="292"/>
      <c r="ADU32" s="293"/>
      <c r="ADV32" s="294"/>
      <c r="AEB32" s="292"/>
      <c r="AEC32" s="293"/>
      <c r="AED32" s="294"/>
      <c r="AEJ32" s="292"/>
      <c r="AEK32" s="293"/>
      <c r="AEL32" s="294"/>
      <c r="AER32" s="292"/>
      <c r="AES32" s="293"/>
      <c r="AET32" s="294"/>
      <c r="AEZ32" s="292"/>
      <c r="AFA32" s="293"/>
      <c r="AFB32" s="294"/>
      <c r="AFH32" s="292"/>
      <c r="AFI32" s="293"/>
      <c r="AFJ32" s="294"/>
      <c r="AFP32" s="292"/>
      <c r="AFQ32" s="293"/>
      <c r="AFR32" s="294"/>
      <c r="AFX32" s="292"/>
      <c r="AFY32" s="293"/>
      <c r="AFZ32" s="294"/>
      <c r="AGF32" s="292"/>
      <c r="AGG32" s="293"/>
      <c r="AGH32" s="294"/>
      <c r="AGN32" s="292"/>
      <c r="AGO32" s="293"/>
      <c r="AGP32" s="294"/>
      <c r="AGV32" s="292"/>
      <c r="AGW32" s="293"/>
      <c r="AGX32" s="294"/>
      <c r="AHD32" s="292"/>
      <c r="AHE32" s="293"/>
      <c r="AHF32" s="294"/>
      <c r="AHL32" s="292"/>
      <c r="AHM32" s="293"/>
      <c r="AHN32" s="294"/>
      <c r="AHT32" s="292"/>
      <c r="AHU32" s="293"/>
      <c r="AHV32" s="294"/>
      <c r="AIB32" s="292"/>
      <c r="AIC32" s="293"/>
      <c r="AID32" s="294"/>
      <c r="AIJ32" s="292"/>
      <c r="AIK32" s="293"/>
      <c r="AIL32" s="294"/>
      <c r="AIR32" s="292"/>
      <c r="AIS32" s="293"/>
      <c r="AIT32" s="294"/>
      <c r="AIZ32" s="292"/>
      <c r="AJA32" s="293"/>
      <c r="AJB32" s="294"/>
      <c r="AJH32" s="292"/>
      <c r="AJI32" s="293"/>
      <c r="AJJ32" s="294"/>
      <c r="AJP32" s="292"/>
      <c r="AJQ32" s="293"/>
      <c r="AJR32" s="294"/>
      <c r="AJX32" s="292"/>
      <c r="AJY32" s="293"/>
      <c r="AJZ32" s="294"/>
      <c r="AKF32" s="292"/>
      <c r="AKG32" s="293"/>
      <c r="AKH32" s="294"/>
      <c r="AKN32" s="292"/>
      <c r="AKO32" s="293"/>
      <c r="AKP32" s="294"/>
      <c r="AKV32" s="292"/>
      <c r="AKW32" s="293"/>
      <c r="AKX32" s="294"/>
      <c r="ALD32" s="292"/>
      <c r="ALE32" s="293"/>
      <c r="ALF32" s="294"/>
      <c r="ALL32" s="292"/>
      <c r="ALM32" s="293"/>
      <c r="ALN32" s="294"/>
      <c r="ALT32" s="292"/>
      <c r="ALU32" s="293"/>
      <c r="ALV32" s="294"/>
      <c r="AMB32" s="292"/>
      <c r="AMC32" s="293"/>
      <c r="AMD32" s="294"/>
      <c r="AMJ32" s="292"/>
      <c r="AMK32" s="293"/>
      <c r="AML32" s="294"/>
      <c r="AMR32" s="292"/>
      <c r="AMS32" s="293"/>
      <c r="AMT32" s="294"/>
      <c r="AMZ32" s="292"/>
      <c r="ANA32" s="293"/>
      <c r="ANB32" s="294"/>
      <c r="ANH32" s="292"/>
      <c r="ANI32" s="293"/>
      <c r="ANJ32" s="294"/>
      <c r="ANP32" s="292"/>
      <c r="ANQ32" s="293"/>
      <c r="ANR32" s="294"/>
      <c r="ANX32" s="292"/>
      <c r="ANY32" s="293"/>
      <c r="ANZ32" s="294"/>
      <c r="AOF32" s="292"/>
      <c r="AOG32" s="293"/>
      <c r="AOH32" s="294"/>
      <c r="AON32" s="292"/>
      <c r="AOO32" s="293"/>
      <c r="AOP32" s="294"/>
      <c r="AOV32" s="292"/>
      <c r="AOW32" s="293"/>
      <c r="AOX32" s="294"/>
      <c r="APD32" s="292"/>
      <c r="APE32" s="293"/>
      <c r="APF32" s="294"/>
      <c r="APL32" s="292"/>
      <c r="APM32" s="293"/>
      <c r="APN32" s="294"/>
      <c r="APT32" s="292"/>
      <c r="APU32" s="293"/>
      <c r="APV32" s="294"/>
      <c r="AQB32" s="292"/>
      <c r="AQC32" s="293"/>
      <c r="AQD32" s="294"/>
      <c r="AQJ32" s="292"/>
      <c r="AQK32" s="293"/>
      <c r="AQL32" s="294"/>
      <c r="AQR32" s="292"/>
      <c r="AQS32" s="293"/>
      <c r="AQT32" s="294"/>
      <c r="AQZ32" s="292"/>
      <c r="ARA32" s="293"/>
      <c r="ARB32" s="294"/>
      <c r="ARH32" s="292"/>
      <c r="ARI32" s="293"/>
      <c r="ARJ32" s="294"/>
      <c r="ARP32" s="292"/>
      <c r="ARQ32" s="293"/>
      <c r="ARR32" s="294"/>
      <c r="ARX32" s="292"/>
      <c r="ARY32" s="293"/>
      <c r="ARZ32" s="294"/>
      <c r="ASF32" s="292"/>
      <c r="ASG32" s="293"/>
      <c r="ASH32" s="294"/>
      <c r="ASN32" s="292"/>
      <c r="ASO32" s="293"/>
      <c r="ASP32" s="294"/>
      <c r="ASV32" s="292"/>
      <c r="ASW32" s="293"/>
      <c r="ASX32" s="294"/>
      <c r="ATD32" s="292"/>
      <c r="ATE32" s="293"/>
      <c r="ATF32" s="294"/>
      <c r="ATL32" s="292"/>
      <c r="ATM32" s="293"/>
      <c r="ATN32" s="294"/>
      <c r="ATT32" s="292"/>
      <c r="ATU32" s="293"/>
      <c r="ATV32" s="294"/>
      <c r="AUB32" s="292"/>
      <c r="AUC32" s="293"/>
      <c r="AUD32" s="294"/>
      <c r="AUJ32" s="292"/>
      <c r="AUK32" s="293"/>
      <c r="AUL32" s="294"/>
      <c r="AUR32" s="292"/>
      <c r="AUS32" s="293"/>
      <c r="AUT32" s="294"/>
      <c r="AUZ32" s="292"/>
      <c r="AVA32" s="293"/>
      <c r="AVB32" s="294"/>
      <c r="AVH32" s="292"/>
      <c r="AVI32" s="293"/>
      <c r="AVJ32" s="294"/>
      <c r="AVP32" s="292"/>
      <c r="AVQ32" s="293"/>
      <c r="AVR32" s="294"/>
      <c r="AVX32" s="292"/>
      <c r="AVY32" s="293"/>
      <c r="AVZ32" s="294"/>
      <c r="AWF32" s="292"/>
      <c r="AWG32" s="293"/>
      <c r="AWH32" s="294"/>
      <c r="AWN32" s="292"/>
      <c r="AWO32" s="293"/>
      <c r="AWP32" s="294"/>
      <c r="AWV32" s="292"/>
      <c r="AWW32" s="293"/>
      <c r="AWX32" s="294"/>
      <c r="AXD32" s="292"/>
      <c r="AXE32" s="293"/>
      <c r="AXF32" s="294"/>
      <c r="AXL32" s="292"/>
      <c r="AXM32" s="293"/>
      <c r="AXN32" s="294"/>
      <c r="AXT32" s="292"/>
      <c r="AXU32" s="293"/>
      <c r="AXV32" s="294"/>
      <c r="AYB32" s="292"/>
      <c r="AYC32" s="293"/>
      <c r="AYD32" s="294"/>
      <c r="AYJ32" s="292"/>
      <c r="AYK32" s="293"/>
      <c r="AYL32" s="294"/>
      <c r="AYR32" s="292"/>
      <c r="AYS32" s="293"/>
      <c r="AYT32" s="294"/>
      <c r="AYZ32" s="292"/>
      <c r="AZA32" s="293"/>
      <c r="AZB32" s="294"/>
      <c r="AZH32" s="292"/>
      <c r="AZI32" s="293"/>
      <c r="AZJ32" s="294"/>
      <c r="AZP32" s="292"/>
      <c r="AZQ32" s="293"/>
      <c r="AZR32" s="294"/>
      <c r="AZX32" s="292"/>
      <c r="AZY32" s="293"/>
      <c r="AZZ32" s="294"/>
      <c r="BAF32" s="292"/>
      <c r="BAG32" s="293"/>
      <c r="BAH32" s="294"/>
      <c r="BAN32" s="292"/>
      <c r="BAO32" s="293"/>
      <c r="BAP32" s="294"/>
      <c r="BAV32" s="292"/>
      <c r="BAW32" s="293"/>
      <c r="BAX32" s="294"/>
      <c r="BBD32" s="292"/>
      <c r="BBE32" s="293"/>
      <c r="BBF32" s="294"/>
      <c r="BBL32" s="292"/>
      <c r="BBM32" s="293"/>
      <c r="BBN32" s="294"/>
      <c r="BBT32" s="292"/>
      <c r="BBU32" s="293"/>
      <c r="BBV32" s="294"/>
      <c r="BCB32" s="292"/>
      <c r="BCC32" s="293"/>
      <c r="BCD32" s="294"/>
      <c r="BCJ32" s="292"/>
      <c r="BCK32" s="293"/>
      <c r="BCL32" s="294"/>
      <c r="BCR32" s="292"/>
      <c r="BCS32" s="293"/>
      <c r="BCT32" s="294"/>
      <c r="BCZ32" s="292"/>
      <c r="BDA32" s="293"/>
      <c r="BDB32" s="294"/>
      <c r="BDH32" s="292"/>
      <c r="BDI32" s="293"/>
      <c r="BDJ32" s="294"/>
      <c r="BDP32" s="292"/>
      <c r="BDQ32" s="293"/>
      <c r="BDR32" s="294"/>
      <c r="BDX32" s="292"/>
      <c r="BDY32" s="293"/>
      <c r="BDZ32" s="294"/>
      <c r="BEF32" s="292"/>
      <c r="BEG32" s="293"/>
      <c r="BEH32" s="294"/>
      <c r="BEN32" s="292"/>
      <c r="BEO32" s="293"/>
      <c r="BEP32" s="294"/>
      <c r="BEV32" s="292"/>
      <c r="BEW32" s="293"/>
      <c r="BEX32" s="294"/>
      <c r="BFD32" s="292"/>
      <c r="BFE32" s="293"/>
      <c r="BFF32" s="294"/>
      <c r="BFL32" s="292"/>
      <c r="BFM32" s="293"/>
      <c r="BFN32" s="294"/>
      <c r="BFT32" s="292"/>
      <c r="BFU32" s="293"/>
      <c r="BFV32" s="294"/>
      <c r="BGB32" s="292"/>
      <c r="BGC32" s="293"/>
      <c r="BGD32" s="294"/>
      <c r="BGJ32" s="292"/>
      <c r="BGK32" s="293"/>
      <c r="BGL32" s="294"/>
      <c r="BGR32" s="292"/>
      <c r="BGS32" s="293"/>
      <c r="BGT32" s="294"/>
      <c r="BGZ32" s="292"/>
      <c r="BHA32" s="293"/>
      <c r="BHB32" s="294"/>
      <c r="BHH32" s="292"/>
      <c r="BHI32" s="293"/>
      <c r="BHJ32" s="294"/>
      <c r="BHP32" s="292"/>
      <c r="BHQ32" s="293"/>
      <c r="BHR32" s="294"/>
      <c r="BHX32" s="292"/>
      <c r="BHY32" s="293"/>
      <c r="BHZ32" s="294"/>
      <c r="BIF32" s="292"/>
      <c r="BIG32" s="293"/>
      <c r="BIH32" s="294"/>
      <c r="BIN32" s="292"/>
      <c r="BIO32" s="293"/>
      <c r="BIP32" s="294"/>
      <c r="BIV32" s="292"/>
      <c r="BIW32" s="293"/>
      <c r="BIX32" s="294"/>
      <c r="BJD32" s="292"/>
      <c r="BJE32" s="293"/>
      <c r="BJF32" s="294"/>
      <c r="BJL32" s="292"/>
      <c r="BJM32" s="293"/>
      <c r="BJN32" s="294"/>
      <c r="BJT32" s="292"/>
      <c r="BJU32" s="293"/>
      <c r="BJV32" s="294"/>
      <c r="BKB32" s="292"/>
      <c r="BKC32" s="293"/>
      <c r="BKD32" s="294"/>
      <c r="BKJ32" s="292"/>
      <c r="BKK32" s="293"/>
      <c r="BKL32" s="294"/>
      <c r="BKR32" s="292"/>
      <c r="BKS32" s="293"/>
      <c r="BKT32" s="294"/>
      <c r="BKZ32" s="292"/>
      <c r="BLA32" s="293"/>
      <c r="BLB32" s="294"/>
      <c r="BLH32" s="292"/>
      <c r="BLI32" s="293"/>
      <c r="BLJ32" s="294"/>
      <c r="BLP32" s="292"/>
      <c r="BLQ32" s="293"/>
      <c r="BLR32" s="294"/>
      <c r="BLX32" s="292"/>
      <c r="BLY32" s="293"/>
      <c r="BLZ32" s="294"/>
      <c r="BMF32" s="292"/>
      <c r="BMG32" s="293"/>
      <c r="BMH32" s="294"/>
      <c r="BMN32" s="292"/>
      <c r="BMO32" s="293"/>
      <c r="BMP32" s="294"/>
      <c r="BMV32" s="292"/>
      <c r="BMW32" s="293"/>
      <c r="BMX32" s="294"/>
      <c r="BND32" s="292"/>
      <c r="BNE32" s="293"/>
      <c r="BNF32" s="294"/>
      <c r="BNL32" s="292"/>
      <c r="BNM32" s="293"/>
      <c r="BNN32" s="294"/>
      <c r="BNT32" s="292"/>
      <c r="BNU32" s="293"/>
      <c r="BNV32" s="294"/>
      <c r="BOB32" s="292"/>
      <c r="BOC32" s="293"/>
      <c r="BOD32" s="294"/>
      <c r="BOJ32" s="292"/>
      <c r="BOK32" s="293"/>
      <c r="BOL32" s="294"/>
      <c r="BOR32" s="292"/>
      <c r="BOS32" s="293"/>
      <c r="BOT32" s="294"/>
      <c r="BOZ32" s="292"/>
      <c r="BPA32" s="293"/>
      <c r="BPB32" s="294"/>
      <c r="BPH32" s="292"/>
      <c r="BPI32" s="293"/>
      <c r="BPJ32" s="294"/>
      <c r="BPP32" s="292"/>
      <c r="BPQ32" s="293"/>
      <c r="BPR32" s="294"/>
      <c r="BPX32" s="292"/>
      <c r="BPY32" s="293"/>
      <c r="BPZ32" s="294"/>
      <c r="BQF32" s="292"/>
      <c r="BQG32" s="293"/>
      <c r="BQH32" s="294"/>
      <c r="BQN32" s="292"/>
      <c r="BQO32" s="293"/>
      <c r="BQP32" s="294"/>
      <c r="BQV32" s="292"/>
      <c r="BQW32" s="293"/>
      <c r="BQX32" s="294"/>
      <c r="BRD32" s="292"/>
      <c r="BRE32" s="293"/>
      <c r="BRF32" s="294"/>
      <c r="BRL32" s="292"/>
      <c r="BRM32" s="293"/>
      <c r="BRN32" s="294"/>
      <c r="BRT32" s="292"/>
      <c r="BRU32" s="293"/>
      <c r="BRV32" s="294"/>
      <c r="BSB32" s="292"/>
      <c r="BSC32" s="293"/>
      <c r="BSD32" s="294"/>
      <c r="BSJ32" s="292"/>
      <c r="BSK32" s="293"/>
      <c r="BSL32" s="294"/>
      <c r="BSR32" s="292"/>
      <c r="BSS32" s="293"/>
      <c r="BST32" s="294"/>
      <c r="BSZ32" s="292"/>
      <c r="BTA32" s="293"/>
      <c r="BTB32" s="294"/>
      <c r="BTH32" s="292"/>
      <c r="BTI32" s="293"/>
      <c r="BTJ32" s="294"/>
      <c r="BTP32" s="292"/>
      <c r="BTQ32" s="293"/>
      <c r="BTR32" s="294"/>
      <c r="BTX32" s="292"/>
      <c r="BTY32" s="293"/>
      <c r="BTZ32" s="294"/>
      <c r="BUF32" s="292"/>
      <c r="BUG32" s="293"/>
      <c r="BUH32" s="294"/>
      <c r="BUN32" s="292"/>
      <c r="BUO32" s="293"/>
      <c r="BUP32" s="294"/>
      <c r="BUV32" s="292"/>
      <c r="BUW32" s="293"/>
      <c r="BUX32" s="294"/>
      <c r="BVD32" s="292"/>
      <c r="BVE32" s="293"/>
      <c r="BVF32" s="294"/>
      <c r="BVL32" s="292"/>
      <c r="BVM32" s="293"/>
      <c r="BVN32" s="294"/>
      <c r="BVT32" s="292"/>
      <c r="BVU32" s="293"/>
      <c r="BVV32" s="294"/>
      <c r="BWB32" s="292"/>
      <c r="BWC32" s="293"/>
      <c r="BWD32" s="294"/>
      <c r="BWJ32" s="292"/>
      <c r="BWK32" s="293"/>
      <c r="BWL32" s="294"/>
      <c r="BWR32" s="292"/>
      <c r="BWS32" s="293"/>
      <c r="BWT32" s="294"/>
      <c r="BWZ32" s="292"/>
      <c r="BXA32" s="293"/>
      <c r="BXB32" s="294"/>
      <c r="BXH32" s="292"/>
      <c r="BXI32" s="293"/>
      <c r="BXJ32" s="294"/>
      <c r="BXP32" s="292"/>
      <c r="BXQ32" s="293"/>
      <c r="BXR32" s="294"/>
      <c r="BXX32" s="292"/>
      <c r="BXY32" s="293"/>
      <c r="BXZ32" s="294"/>
      <c r="BYF32" s="292"/>
      <c r="BYG32" s="293"/>
      <c r="BYH32" s="294"/>
      <c r="BYN32" s="292"/>
      <c r="BYO32" s="293"/>
      <c r="BYP32" s="294"/>
      <c r="BYV32" s="292"/>
      <c r="BYW32" s="293"/>
      <c r="BYX32" s="294"/>
      <c r="BZD32" s="292"/>
      <c r="BZE32" s="293"/>
      <c r="BZF32" s="294"/>
      <c r="BZL32" s="292"/>
      <c r="BZM32" s="293"/>
      <c r="BZN32" s="294"/>
      <c r="BZT32" s="292"/>
      <c r="BZU32" s="293"/>
      <c r="BZV32" s="294"/>
      <c r="CAB32" s="292"/>
      <c r="CAC32" s="293"/>
      <c r="CAD32" s="294"/>
      <c r="CAJ32" s="292"/>
      <c r="CAK32" s="293"/>
      <c r="CAL32" s="294"/>
      <c r="CAR32" s="292"/>
      <c r="CAS32" s="293"/>
      <c r="CAT32" s="294"/>
      <c r="CAZ32" s="292"/>
      <c r="CBA32" s="293"/>
      <c r="CBB32" s="294"/>
      <c r="CBH32" s="292"/>
      <c r="CBI32" s="293"/>
      <c r="CBJ32" s="294"/>
      <c r="CBP32" s="292"/>
      <c r="CBQ32" s="293"/>
      <c r="CBR32" s="294"/>
      <c r="CBX32" s="292"/>
      <c r="CBY32" s="293"/>
      <c r="CBZ32" s="294"/>
      <c r="CCF32" s="292"/>
      <c r="CCG32" s="293"/>
      <c r="CCH32" s="294"/>
      <c r="CCN32" s="292"/>
      <c r="CCO32" s="293"/>
      <c r="CCP32" s="294"/>
      <c r="CCV32" s="292"/>
      <c r="CCW32" s="293"/>
      <c r="CCX32" s="294"/>
      <c r="CDD32" s="292"/>
      <c r="CDE32" s="293"/>
      <c r="CDF32" s="294"/>
      <c r="CDL32" s="292"/>
      <c r="CDM32" s="293"/>
      <c r="CDN32" s="294"/>
      <c r="CDT32" s="292"/>
      <c r="CDU32" s="293"/>
      <c r="CDV32" s="294"/>
      <c r="CEB32" s="292"/>
      <c r="CEC32" s="293"/>
      <c r="CED32" s="294"/>
      <c r="CEJ32" s="292"/>
      <c r="CEK32" s="293"/>
      <c r="CEL32" s="294"/>
      <c r="CER32" s="292"/>
      <c r="CES32" s="293"/>
      <c r="CET32" s="294"/>
      <c r="CEZ32" s="292"/>
      <c r="CFA32" s="293"/>
      <c r="CFB32" s="294"/>
      <c r="CFH32" s="292"/>
      <c r="CFI32" s="293"/>
      <c r="CFJ32" s="294"/>
      <c r="CFP32" s="292"/>
      <c r="CFQ32" s="293"/>
      <c r="CFR32" s="294"/>
      <c r="CFX32" s="292"/>
      <c r="CFY32" s="293"/>
      <c r="CFZ32" s="294"/>
      <c r="CGF32" s="292"/>
      <c r="CGG32" s="293"/>
      <c r="CGH32" s="294"/>
      <c r="CGN32" s="292"/>
      <c r="CGO32" s="293"/>
      <c r="CGP32" s="294"/>
      <c r="CGV32" s="292"/>
      <c r="CGW32" s="293"/>
      <c r="CGX32" s="294"/>
      <c r="CHD32" s="292"/>
      <c r="CHE32" s="293"/>
      <c r="CHF32" s="294"/>
      <c r="CHL32" s="292"/>
      <c r="CHM32" s="293"/>
      <c r="CHN32" s="294"/>
      <c r="CHT32" s="292"/>
      <c r="CHU32" s="293"/>
      <c r="CHV32" s="294"/>
      <c r="CIB32" s="292"/>
      <c r="CIC32" s="293"/>
      <c r="CID32" s="294"/>
      <c r="CIJ32" s="292"/>
      <c r="CIK32" s="293"/>
      <c r="CIL32" s="294"/>
      <c r="CIR32" s="292"/>
      <c r="CIS32" s="293"/>
      <c r="CIT32" s="294"/>
      <c r="CIZ32" s="292"/>
      <c r="CJA32" s="293"/>
      <c r="CJB32" s="294"/>
      <c r="CJH32" s="292"/>
      <c r="CJI32" s="293"/>
      <c r="CJJ32" s="294"/>
      <c r="CJP32" s="292"/>
      <c r="CJQ32" s="293"/>
      <c r="CJR32" s="294"/>
      <c r="CJX32" s="292"/>
      <c r="CJY32" s="293"/>
      <c r="CJZ32" s="294"/>
      <c r="CKF32" s="292"/>
      <c r="CKG32" s="293"/>
      <c r="CKH32" s="294"/>
      <c r="CKN32" s="292"/>
      <c r="CKO32" s="293"/>
      <c r="CKP32" s="294"/>
      <c r="CKV32" s="292"/>
      <c r="CKW32" s="293"/>
      <c r="CKX32" s="294"/>
      <c r="CLD32" s="292"/>
      <c r="CLE32" s="293"/>
      <c r="CLF32" s="294"/>
      <c r="CLL32" s="292"/>
      <c r="CLM32" s="293"/>
      <c r="CLN32" s="294"/>
      <c r="CLT32" s="292"/>
      <c r="CLU32" s="293"/>
      <c r="CLV32" s="294"/>
      <c r="CMB32" s="292"/>
      <c r="CMC32" s="293"/>
      <c r="CMD32" s="294"/>
      <c r="CMJ32" s="292"/>
      <c r="CMK32" s="293"/>
      <c r="CML32" s="294"/>
      <c r="CMR32" s="292"/>
      <c r="CMS32" s="293"/>
      <c r="CMT32" s="294"/>
      <c r="CMZ32" s="292"/>
      <c r="CNA32" s="293"/>
      <c r="CNB32" s="294"/>
      <c r="CNH32" s="292"/>
      <c r="CNI32" s="293"/>
      <c r="CNJ32" s="294"/>
      <c r="CNP32" s="292"/>
      <c r="CNQ32" s="293"/>
      <c r="CNR32" s="294"/>
      <c r="CNX32" s="292"/>
      <c r="CNY32" s="293"/>
      <c r="CNZ32" s="294"/>
      <c r="COF32" s="292"/>
      <c r="COG32" s="293"/>
      <c r="COH32" s="294"/>
      <c r="CON32" s="292"/>
      <c r="COO32" s="293"/>
      <c r="COP32" s="294"/>
      <c r="COV32" s="292"/>
      <c r="COW32" s="293"/>
      <c r="COX32" s="294"/>
      <c r="CPD32" s="292"/>
      <c r="CPE32" s="293"/>
      <c r="CPF32" s="294"/>
      <c r="CPL32" s="292"/>
      <c r="CPM32" s="293"/>
      <c r="CPN32" s="294"/>
      <c r="CPT32" s="292"/>
      <c r="CPU32" s="293"/>
      <c r="CPV32" s="294"/>
      <c r="CQB32" s="292"/>
      <c r="CQC32" s="293"/>
      <c r="CQD32" s="294"/>
      <c r="CQJ32" s="292"/>
      <c r="CQK32" s="293"/>
      <c r="CQL32" s="294"/>
      <c r="CQR32" s="292"/>
      <c r="CQS32" s="293"/>
      <c r="CQT32" s="294"/>
      <c r="CQZ32" s="292"/>
      <c r="CRA32" s="293"/>
      <c r="CRB32" s="294"/>
      <c r="CRH32" s="292"/>
      <c r="CRI32" s="293"/>
      <c r="CRJ32" s="294"/>
      <c r="CRP32" s="292"/>
      <c r="CRQ32" s="293"/>
      <c r="CRR32" s="294"/>
      <c r="CRX32" s="292"/>
      <c r="CRY32" s="293"/>
      <c r="CRZ32" s="294"/>
      <c r="CSF32" s="292"/>
      <c r="CSG32" s="293"/>
      <c r="CSH32" s="294"/>
      <c r="CSN32" s="292"/>
      <c r="CSO32" s="293"/>
      <c r="CSP32" s="294"/>
      <c r="CSV32" s="292"/>
      <c r="CSW32" s="293"/>
      <c r="CSX32" s="294"/>
      <c r="CTD32" s="292"/>
      <c r="CTE32" s="293"/>
      <c r="CTF32" s="294"/>
      <c r="CTL32" s="292"/>
      <c r="CTM32" s="293"/>
      <c r="CTN32" s="294"/>
      <c r="CTT32" s="292"/>
      <c r="CTU32" s="293"/>
      <c r="CTV32" s="294"/>
      <c r="CUB32" s="292"/>
      <c r="CUC32" s="293"/>
      <c r="CUD32" s="294"/>
      <c r="CUJ32" s="292"/>
      <c r="CUK32" s="293"/>
      <c r="CUL32" s="294"/>
      <c r="CUR32" s="292"/>
      <c r="CUS32" s="293"/>
      <c r="CUT32" s="294"/>
      <c r="CUZ32" s="292"/>
      <c r="CVA32" s="293"/>
      <c r="CVB32" s="294"/>
      <c r="CVH32" s="292"/>
      <c r="CVI32" s="293"/>
      <c r="CVJ32" s="294"/>
      <c r="CVP32" s="292"/>
      <c r="CVQ32" s="293"/>
      <c r="CVR32" s="294"/>
      <c r="CVX32" s="292"/>
      <c r="CVY32" s="293"/>
      <c r="CVZ32" s="294"/>
      <c r="CWF32" s="292"/>
      <c r="CWG32" s="293"/>
      <c r="CWH32" s="294"/>
      <c r="CWN32" s="292"/>
      <c r="CWO32" s="293"/>
      <c r="CWP32" s="294"/>
      <c r="CWV32" s="292"/>
      <c r="CWW32" s="293"/>
      <c r="CWX32" s="294"/>
      <c r="CXD32" s="292"/>
      <c r="CXE32" s="293"/>
      <c r="CXF32" s="294"/>
      <c r="CXL32" s="292"/>
      <c r="CXM32" s="293"/>
      <c r="CXN32" s="294"/>
      <c r="CXT32" s="292"/>
      <c r="CXU32" s="293"/>
      <c r="CXV32" s="294"/>
      <c r="CYB32" s="292"/>
      <c r="CYC32" s="293"/>
      <c r="CYD32" s="294"/>
      <c r="CYJ32" s="292"/>
      <c r="CYK32" s="293"/>
      <c r="CYL32" s="294"/>
      <c r="CYR32" s="292"/>
      <c r="CYS32" s="293"/>
      <c r="CYT32" s="294"/>
      <c r="CYZ32" s="292"/>
      <c r="CZA32" s="293"/>
      <c r="CZB32" s="294"/>
      <c r="CZH32" s="292"/>
      <c r="CZI32" s="293"/>
      <c r="CZJ32" s="294"/>
      <c r="CZP32" s="292"/>
      <c r="CZQ32" s="293"/>
      <c r="CZR32" s="294"/>
      <c r="CZX32" s="292"/>
      <c r="CZY32" s="293"/>
      <c r="CZZ32" s="294"/>
      <c r="DAF32" s="292"/>
      <c r="DAG32" s="293"/>
      <c r="DAH32" s="294"/>
      <c r="DAN32" s="292"/>
      <c r="DAO32" s="293"/>
      <c r="DAP32" s="294"/>
      <c r="DAV32" s="292"/>
      <c r="DAW32" s="293"/>
      <c r="DAX32" s="294"/>
      <c r="DBD32" s="292"/>
      <c r="DBE32" s="293"/>
      <c r="DBF32" s="294"/>
      <c r="DBL32" s="292"/>
      <c r="DBM32" s="293"/>
      <c r="DBN32" s="294"/>
      <c r="DBT32" s="292"/>
      <c r="DBU32" s="293"/>
      <c r="DBV32" s="294"/>
      <c r="DCB32" s="292"/>
      <c r="DCC32" s="293"/>
      <c r="DCD32" s="294"/>
      <c r="DCJ32" s="292"/>
      <c r="DCK32" s="293"/>
      <c r="DCL32" s="294"/>
      <c r="DCR32" s="292"/>
      <c r="DCS32" s="293"/>
      <c r="DCT32" s="294"/>
      <c r="DCZ32" s="292"/>
      <c r="DDA32" s="293"/>
      <c r="DDB32" s="294"/>
      <c r="DDH32" s="292"/>
      <c r="DDI32" s="293"/>
      <c r="DDJ32" s="294"/>
      <c r="DDP32" s="292"/>
      <c r="DDQ32" s="293"/>
      <c r="DDR32" s="294"/>
      <c r="DDX32" s="292"/>
      <c r="DDY32" s="293"/>
      <c r="DDZ32" s="294"/>
      <c r="DEF32" s="292"/>
      <c r="DEG32" s="293"/>
      <c r="DEH32" s="294"/>
      <c r="DEN32" s="292"/>
      <c r="DEO32" s="293"/>
      <c r="DEP32" s="294"/>
      <c r="DEV32" s="292"/>
      <c r="DEW32" s="293"/>
      <c r="DEX32" s="294"/>
      <c r="DFD32" s="292"/>
      <c r="DFE32" s="293"/>
      <c r="DFF32" s="294"/>
      <c r="DFL32" s="292"/>
      <c r="DFM32" s="293"/>
      <c r="DFN32" s="294"/>
      <c r="DFT32" s="292"/>
      <c r="DFU32" s="293"/>
      <c r="DFV32" s="294"/>
      <c r="DGB32" s="292"/>
      <c r="DGC32" s="293"/>
      <c r="DGD32" s="294"/>
      <c r="DGJ32" s="292"/>
      <c r="DGK32" s="293"/>
      <c r="DGL32" s="294"/>
      <c r="DGR32" s="292"/>
      <c r="DGS32" s="293"/>
      <c r="DGT32" s="294"/>
      <c r="DGZ32" s="292"/>
      <c r="DHA32" s="293"/>
      <c r="DHB32" s="294"/>
      <c r="DHH32" s="292"/>
      <c r="DHI32" s="293"/>
      <c r="DHJ32" s="294"/>
      <c r="DHP32" s="292"/>
      <c r="DHQ32" s="293"/>
      <c r="DHR32" s="294"/>
      <c r="DHX32" s="292"/>
      <c r="DHY32" s="293"/>
      <c r="DHZ32" s="294"/>
      <c r="DIF32" s="292"/>
      <c r="DIG32" s="293"/>
      <c r="DIH32" s="294"/>
      <c r="DIN32" s="292"/>
      <c r="DIO32" s="293"/>
      <c r="DIP32" s="294"/>
      <c r="DIV32" s="292"/>
      <c r="DIW32" s="293"/>
      <c r="DIX32" s="294"/>
      <c r="DJD32" s="292"/>
      <c r="DJE32" s="293"/>
      <c r="DJF32" s="294"/>
      <c r="DJL32" s="292"/>
      <c r="DJM32" s="293"/>
      <c r="DJN32" s="294"/>
      <c r="DJT32" s="292"/>
      <c r="DJU32" s="293"/>
      <c r="DJV32" s="294"/>
      <c r="DKB32" s="292"/>
      <c r="DKC32" s="293"/>
      <c r="DKD32" s="294"/>
      <c r="DKJ32" s="292"/>
      <c r="DKK32" s="293"/>
      <c r="DKL32" s="294"/>
      <c r="DKR32" s="292"/>
      <c r="DKS32" s="293"/>
      <c r="DKT32" s="294"/>
      <c r="DKZ32" s="292"/>
      <c r="DLA32" s="293"/>
      <c r="DLB32" s="294"/>
      <c r="DLH32" s="292"/>
      <c r="DLI32" s="293"/>
      <c r="DLJ32" s="294"/>
      <c r="DLP32" s="292"/>
      <c r="DLQ32" s="293"/>
      <c r="DLR32" s="294"/>
      <c r="DLX32" s="292"/>
      <c r="DLY32" s="293"/>
      <c r="DLZ32" s="294"/>
      <c r="DMF32" s="292"/>
      <c r="DMG32" s="293"/>
      <c r="DMH32" s="294"/>
      <c r="DMN32" s="292"/>
      <c r="DMO32" s="293"/>
      <c r="DMP32" s="294"/>
      <c r="DMV32" s="292"/>
      <c r="DMW32" s="293"/>
      <c r="DMX32" s="294"/>
      <c r="DND32" s="292"/>
      <c r="DNE32" s="293"/>
      <c r="DNF32" s="294"/>
      <c r="DNL32" s="292"/>
      <c r="DNM32" s="293"/>
      <c r="DNN32" s="294"/>
      <c r="DNT32" s="292"/>
      <c r="DNU32" s="293"/>
      <c r="DNV32" s="294"/>
      <c r="DOB32" s="292"/>
      <c r="DOC32" s="293"/>
      <c r="DOD32" s="294"/>
      <c r="DOJ32" s="292"/>
      <c r="DOK32" s="293"/>
      <c r="DOL32" s="294"/>
      <c r="DOR32" s="292"/>
      <c r="DOS32" s="293"/>
      <c r="DOT32" s="294"/>
      <c r="DOZ32" s="292"/>
      <c r="DPA32" s="293"/>
      <c r="DPB32" s="294"/>
      <c r="DPH32" s="292"/>
      <c r="DPI32" s="293"/>
      <c r="DPJ32" s="294"/>
      <c r="DPP32" s="292"/>
      <c r="DPQ32" s="293"/>
      <c r="DPR32" s="294"/>
      <c r="DPX32" s="292"/>
      <c r="DPY32" s="293"/>
      <c r="DPZ32" s="294"/>
      <c r="DQF32" s="292"/>
      <c r="DQG32" s="293"/>
      <c r="DQH32" s="294"/>
      <c r="DQN32" s="292"/>
      <c r="DQO32" s="293"/>
      <c r="DQP32" s="294"/>
      <c r="DQV32" s="292"/>
      <c r="DQW32" s="293"/>
      <c r="DQX32" s="294"/>
      <c r="DRD32" s="292"/>
      <c r="DRE32" s="293"/>
      <c r="DRF32" s="294"/>
      <c r="DRL32" s="292"/>
      <c r="DRM32" s="293"/>
      <c r="DRN32" s="294"/>
      <c r="DRT32" s="292"/>
      <c r="DRU32" s="293"/>
      <c r="DRV32" s="294"/>
      <c r="DSB32" s="292"/>
      <c r="DSC32" s="293"/>
      <c r="DSD32" s="294"/>
      <c r="DSJ32" s="292"/>
      <c r="DSK32" s="293"/>
      <c r="DSL32" s="294"/>
      <c r="DSR32" s="292"/>
      <c r="DSS32" s="293"/>
      <c r="DST32" s="294"/>
      <c r="DSZ32" s="292"/>
      <c r="DTA32" s="293"/>
      <c r="DTB32" s="294"/>
      <c r="DTH32" s="292"/>
      <c r="DTI32" s="293"/>
      <c r="DTJ32" s="294"/>
      <c r="DTP32" s="292"/>
      <c r="DTQ32" s="293"/>
      <c r="DTR32" s="294"/>
      <c r="DTX32" s="292"/>
      <c r="DTY32" s="293"/>
      <c r="DTZ32" s="294"/>
      <c r="DUF32" s="292"/>
      <c r="DUG32" s="293"/>
      <c r="DUH32" s="294"/>
      <c r="DUN32" s="292"/>
      <c r="DUO32" s="293"/>
      <c r="DUP32" s="294"/>
      <c r="DUV32" s="292"/>
      <c r="DUW32" s="293"/>
      <c r="DUX32" s="294"/>
      <c r="DVD32" s="292"/>
      <c r="DVE32" s="293"/>
      <c r="DVF32" s="294"/>
      <c r="DVL32" s="292"/>
      <c r="DVM32" s="293"/>
      <c r="DVN32" s="294"/>
      <c r="DVT32" s="292"/>
      <c r="DVU32" s="293"/>
      <c r="DVV32" s="294"/>
      <c r="DWB32" s="292"/>
      <c r="DWC32" s="293"/>
      <c r="DWD32" s="294"/>
      <c r="DWJ32" s="292"/>
      <c r="DWK32" s="293"/>
      <c r="DWL32" s="294"/>
      <c r="DWR32" s="292"/>
      <c r="DWS32" s="293"/>
      <c r="DWT32" s="294"/>
      <c r="DWZ32" s="292"/>
      <c r="DXA32" s="293"/>
      <c r="DXB32" s="294"/>
      <c r="DXH32" s="292"/>
      <c r="DXI32" s="293"/>
      <c r="DXJ32" s="294"/>
      <c r="DXP32" s="292"/>
      <c r="DXQ32" s="293"/>
      <c r="DXR32" s="294"/>
      <c r="DXX32" s="292"/>
      <c r="DXY32" s="293"/>
      <c r="DXZ32" s="294"/>
      <c r="DYF32" s="292"/>
      <c r="DYG32" s="293"/>
      <c r="DYH32" s="294"/>
      <c r="DYN32" s="292"/>
      <c r="DYO32" s="293"/>
      <c r="DYP32" s="294"/>
      <c r="DYV32" s="292"/>
      <c r="DYW32" s="293"/>
      <c r="DYX32" s="294"/>
      <c r="DZD32" s="292"/>
      <c r="DZE32" s="293"/>
      <c r="DZF32" s="294"/>
      <c r="DZL32" s="292"/>
      <c r="DZM32" s="293"/>
      <c r="DZN32" s="294"/>
      <c r="DZT32" s="292"/>
      <c r="DZU32" s="293"/>
      <c r="DZV32" s="294"/>
      <c r="EAB32" s="292"/>
      <c r="EAC32" s="293"/>
      <c r="EAD32" s="294"/>
      <c r="EAJ32" s="292"/>
      <c r="EAK32" s="293"/>
      <c r="EAL32" s="294"/>
      <c r="EAR32" s="292"/>
      <c r="EAS32" s="293"/>
      <c r="EAT32" s="294"/>
      <c r="EAZ32" s="292"/>
      <c r="EBA32" s="293"/>
      <c r="EBB32" s="294"/>
      <c r="EBH32" s="292"/>
      <c r="EBI32" s="293"/>
      <c r="EBJ32" s="294"/>
      <c r="EBP32" s="292"/>
      <c r="EBQ32" s="293"/>
      <c r="EBR32" s="294"/>
      <c r="EBX32" s="292"/>
      <c r="EBY32" s="293"/>
      <c r="EBZ32" s="294"/>
      <c r="ECF32" s="292"/>
      <c r="ECG32" s="293"/>
      <c r="ECH32" s="294"/>
      <c r="ECN32" s="292"/>
      <c r="ECO32" s="293"/>
      <c r="ECP32" s="294"/>
      <c r="ECV32" s="292"/>
      <c r="ECW32" s="293"/>
      <c r="ECX32" s="294"/>
      <c r="EDD32" s="292"/>
      <c r="EDE32" s="293"/>
      <c r="EDF32" s="294"/>
      <c r="EDL32" s="292"/>
      <c r="EDM32" s="293"/>
      <c r="EDN32" s="294"/>
      <c r="EDT32" s="292"/>
      <c r="EDU32" s="293"/>
      <c r="EDV32" s="294"/>
      <c r="EEB32" s="292"/>
      <c r="EEC32" s="293"/>
      <c r="EED32" s="294"/>
      <c r="EEJ32" s="292"/>
      <c r="EEK32" s="293"/>
      <c r="EEL32" s="294"/>
      <c r="EER32" s="292"/>
      <c r="EES32" s="293"/>
      <c r="EET32" s="294"/>
      <c r="EEZ32" s="292"/>
      <c r="EFA32" s="293"/>
      <c r="EFB32" s="294"/>
      <c r="EFH32" s="292"/>
      <c r="EFI32" s="293"/>
      <c r="EFJ32" s="294"/>
      <c r="EFP32" s="292"/>
      <c r="EFQ32" s="293"/>
      <c r="EFR32" s="294"/>
      <c r="EFX32" s="292"/>
      <c r="EFY32" s="293"/>
      <c r="EFZ32" s="294"/>
      <c r="EGF32" s="292"/>
      <c r="EGG32" s="293"/>
      <c r="EGH32" s="294"/>
      <c r="EGN32" s="292"/>
      <c r="EGO32" s="293"/>
      <c r="EGP32" s="294"/>
      <c r="EGV32" s="292"/>
      <c r="EGW32" s="293"/>
      <c r="EGX32" s="294"/>
      <c r="EHD32" s="292"/>
      <c r="EHE32" s="293"/>
      <c r="EHF32" s="294"/>
      <c r="EHL32" s="292"/>
      <c r="EHM32" s="293"/>
      <c r="EHN32" s="294"/>
      <c r="EHT32" s="292"/>
      <c r="EHU32" s="293"/>
      <c r="EHV32" s="294"/>
      <c r="EIB32" s="292"/>
      <c r="EIC32" s="293"/>
      <c r="EID32" s="294"/>
      <c r="EIJ32" s="292"/>
      <c r="EIK32" s="293"/>
      <c r="EIL32" s="294"/>
      <c r="EIR32" s="292"/>
      <c r="EIS32" s="293"/>
      <c r="EIT32" s="294"/>
      <c r="EIZ32" s="292"/>
      <c r="EJA32" s="293"/>
      <c r="EJB32" s="294"/>
      <c r="EJH32" s="292"/>
      <c r="EJI32" s="293"/>
      <c r="EJJ32" s="294"/>
      <c r="EJP32" s="292"/>
      <c r="EJQ32" s="293"/>
      <c r="EJR32" s="294"/>
      <c r="EJX32" s="292"/>
      <c r="EJY32" s="293"/>
      <c r="EJZ32" s="294"/>
      <c r="EKF32" s="292"/>
      <c r="EKG32" s="293"/>
      <c r="EKH32" s="294"/>
      <c r="EKN32" s="292"/>
      <c r="EKO32" s="293"/>
      <c r="EKP32" s="294"/>
      <c r="EKV32" s="292"/>
      <c r="EKW32" s="293"/>
      <c r="EKX32" s="294"/>
      <c r="ELD32" s="292"/>
      <c r="ELE32" s="293"/>
      <c r="ELF32" s="294"/>
      <c r="ELL32" s="292"/>
      <c r="ELM32" s="293"/>
      <c r="ELN32" s="294"/>
      <c r="ELT32" s="292"/>
      <c r="ELU32" s="293"/>
      <c r="ELV32" s="294"/>
      <c r="EMB32" s="292"/>
      <c r="EMC32" s="293"/>
      <c r="EMD32" s="294"/>
      <c r="EMJ32" s="292"/>
      <c r="EMK32" s="293"/>
      <c r="EML32" s="294"/>
      <c r="EMR32" s="292"/>
      <c r="EMS32" s="293"/>
      <c r="EMT32" s="294"/>
      <c r="EMZ32" s="292"/>
      <c r="ENA32" s="293"/>
      <c r="ENB32" s="294"/>
      <c r="ENH32" s="292"/>
      <c r="ENI32" s="293"/>
      <c r="ENJ32" s="294"/>
      <c r="ENP32" s="292"/>
      <c r="ENQ32" s="293"/>
      <c r="ENR32" s="294"/>
      <c r="ENX32" s="292"/>
      <c r="ENY32" s="293"/>
      <c r="ENZ32" s="294"/>
      <c r="EOF32" s="292"/>
      <c r="EOG32" s="293"/>
      <c r="EOH32" s="294"/>
      <c r="EON32" s="292"/>
      <c r="EOO32" s="293"/>
      <c r="EOP32" s="294"/>
      <c r="EOV32" s="292"/>
      <c r="EOW32" s="293"/>
      <c r="EOX32" s="294"/>
      <c r="EPD32" s="292"/>
      <c r="EPE32" s="293"/>
      <c r="EPF32" s="294"/>
      <c r="EPL32" s="292"/>
      <c r="EPM32" s="293"/>
      <c r="EPN32" s="294"/>
      <c r="EPT32" s="292"/>
      <c r="EPU32" s="293"/>
      <c r="EPV32" s="294"/>
      <c r="EQB32" s="292"/>
      <c r="EQC32" s="293"/>
      <c r="EQD32" s="294"/>
      <c r="EQJ32" s="292"/>
      <c r="EQK32" s="293"/>
      <c r="EQL32" s="294"/>
      <c r="EQR32" s="292"/>
      <c r="EQS32" s="293"/>
      <c r="EQT32" s="294"/>
      <c r="EQZ32" s="292"/>
      <c r="ERA32" s="293"/>
      <c r="ERB32" s="294"/>
      <c r="ERH32" s="292"/>
      <c r="ERI32" s="293"/>
      <c r="ERJ32" s="294"/>
      <c r="ERP32" s="292"/>
      <c r="ERQ32" s="293"/>
      <c r="ERR32" s="294"/>
      <c r="ERX32" s="292"/>
      <c r="ERY32" s="293"/>
      <c r="ERZ32" s="294"/>
      <c r="ESF32" s="292"/>
      <c r="ESG32" s="293"/>
      <c r="ESH32" s="294"/>
      <c r="ESN32" s="292"/>
      <c r="ESO32" s="293"/>
      <c r="ESP32" s="294"/>
      <c r="ESV32" s="292"/>
      <c r="ESW32" s="293"/>
      <c r="ESX32" s="294"/>
      <c r="ETD32" s="292"/>
      <c r="ETE32" s="293"/>
      <c r="ETF32" s="294"/>
      <c r="ETL32" s="292"/>
      <c r="ETM32" s="293"/>
      <c r="ETN32" s="294"/>
      <c r="ETT32" s="292"/>
      <c r="ETU32" s="293"/>
      <c r="ETV32" s="294"/>
      <c r="EUB32" s="292"/>
      <c r="EUC32" s="293"/>
      <c r="EUD32" s="294"/>
      <c r="EUJ32" s="292"/>
      <c r="EUK32" s="293"/>
      <c r="EUL32" s="294"/>
      <c r="EUR32" s="292"/>
      <c r="EUS32" s="293"/>
      <c r="EUT32" s="294"/>
      <c r="EUZ32" s="292"/>
      <c r="EVA32" s="293"/>
      <c r="EVB32" s="294"/>
      <c r="EVH32" s="292"/>
      <c r="EVI32" s="293"/>
      <c r="EVJ32" s="294"/>
      <c r="EVP32" s="292"/>
      <c r="EVQ32" s="293"/>
      <c r="EVR32" s="294"/>
      <c r="EVX32" s="292"/>
      <c r="EVY32" s="293"/>
      <c r="EVZ32" s="294"/>
      <c r="EWF32" s="292"/>
      <c r="EWG32" s="293"/>
      <c r="EWH32" s="294"/>
      <c r="EWN32" s="292"/>
      <c r="EWO32" s="293"/>
      <c r="EWP32" s="294"/>
      <c r="EWV32" s="292"/>
      <c r="EWW32" s="293"/>
      <c r="EWX32" s="294"/>
      <c r="EXD32" s="292"/>
      <c r="EXE32" s="293"/>
      <c r="EXF32" s="294"/>
      <c r="EXL32" s="292"/>
      <c r="EXM32" s="293"/>
      <c r="EXN32" s="294"/>
      <c r="EXT32" s="292"/>
      <c r="EXU32" s="293"/>
      <c r="EXV32" s="294"/>
      <c r="EYB32" s="292"/>
      <c r="EYC32" s="293"/>
      <c r="EYD32" s="294"/>
      <c r="EYJ32" s="292"/>
      <c r="EYK32" s="293"/>
      <c r="EYL32" s="294"/>
      <c r="EYR32" s="292"/>
      <c r="EYS32" s="293"/>
      <c r="EYT32" s="294"/>
      <c r="EYZ32" s="292"/>
      <c r="EZA32" s="293"/>
      <c r="EZB32" s="294"/>
      <c r="EZH32" s="292"/>
      <c r="EZI32" s="293"/>
      <c r="EZJ32" s="294"/>
      <c r="EZP32" s="292"/>
      <c r="EZQ32" s="293"/>
      <c r="EZR32" s="294"/>
      <c r="EZX32" s="292"/>
      <c r="EZY32" s="293"/>
      <c r="EZZ32" s="294"/>
      <c r="FAF32" s="292"/>
      <c r="FAG32" s="293"/>
      <c r="FAH32" s="294"/>
      <c r="FAN32" s="292"/>
      <c r="FAO32" s="293"/>
      <c r="FAP32" s="294"/>
      <c r="FAV32" s="292"/>
      <c r="FAW32" s="293"/>
      <c r="FAX32" s="294"/>
      <c r="FBD32" s="292"/>
      <c r="FBE32" s="293"/>
      <c r="FBF32" s="294"/>
      <c r="FBL32" s="292"/>
      <c r="FBM32" s="293"/>
      <c r="FBN32" s="294"/>
      <c r="FBT32" s="292"/>
      <c r="FBU32" s="293"/>
      <c r="FBV32" s="294"/>
      <c r="FCB32" s="292"/>
      <c r="FCC32" s="293"/>
      <c r="FCD32" s="294"/>
      <c r="FCJ32" s="292"/>
      <c r="FCK32" s="293"/>
      <c r="FCL32" s="294"/>
      <c r="FCR32" s="292"/>
      <c r="FCS32" s="293"/>
      <c r="FCT32" s="294"/>
      <c r="FCZ32" s="292"/>
      <c r="FDA32" s="293"/>
      <c r="FDB32" s="294"/>
      <c r="FDH32" s="292"/>
      <c r="FDI32" s="293"/>
      <c r="FDJ32" s="294"/>
      <c r="FDP32" s="292"/>
      <c r="FDQ32" s="293"/>
      <c r="FDR32" s="294"/>
      <c r="FDX32" s="292"/>
      <c r="FDY32" s="293"/>
      <c r="FDZ32" s="294"/>
      <c r="FEF32" s="292"/>
      <c r="FEG32" s="293"/>
      <c r="FEH32" s="294"/>
      <c r="FEN32" s="292"/>
      <c r="FEO32" s="293"/>
      <c r="FEP32" s="294"/>
      <c r="FEV32" s="292"/>
      <c r="FEW32" s="293"/>
      <c r="FEX32" s="294"/>
      <c r="FFD32" s="292"/>
      <c r="FFE32" s="293"/>
      <c r="FFF32" s="294"/>
      <c r="FFL32" s="292"/>
      <c r="FFM32" s="293"/>
      <c r="FFN32" s="294"/>
      <c r="FFT32" s="292"/>
      <c r="FFU32" s="293"/>
      <c r="FFV32" s="294"/>
      <c r="FGB32" s="292"/>
      <c r="FGC32" s="293"/>
      <c r="FGD32" s="294"/>
      <c r="FGJ32" s="292"/>
      <c r="FGK32" s="293"/>
      <c r="FGL32" s="294"/>
      <c r="FGR32" s="292"/>
      <c r="FGS32" s="293"/>
      <c r="FGT32" s="294"/>
      <c r="FGZ32" s="292"/>
      <c r="FHA32" s="293"/>
      <c r="FHB32" s="294"/>
      <c r="FHH32" s="292"/>
      <c r="FHI32" s="293"/>
      <c r="FHJ32" s="294"/>
      <c r="FHP32" s="292"/>
      <c r="FHQ32" s="293"/>
      <c r="FHR32" s="294"/>
      <c r="FHX32" s="292"/>
      <c r="FHY32" s="293"/>
      <c r="FHZ32" s="294"/>
      <c r="FIF32" s="292"/>
      <c r="FIG32" s="293"/>
      <c r="FIH32" s="294"/>
      <c r="FIN32" s="292"/>
      <c r="FIO32" s="293"/>
      <c r="FIP32" s="294"/>
      <c r="FIV32" s="292"/>
      <c r="FIW32" s="293"/>
      <c r="FIX32" s="294"/>
      <c r="FJD32" s="292"/>
      <c r="FJE32" s="293"/>
      <c r="FJF32" s="294"/>
      <c r="FJL32" s="292"/>
      <c r="FJM32" s="293"/>
      <c r="FJN32" s="294"/>
      <c r="FJT32" s="292"/>
      <c r="FJU32" s="293"/>
      <c r="FJV32" s="294"/>
      <c r="FKB32" s="292"/>
      <c r="FKC32" s="293"/>
      <c r="FKD32" s="294"/>
      <c r="FKJ32" s="292"/>
      <c r="FKK32" s="293"/>
      <c r="FKL32" s="294"/>
      <c r="FKR32" s="292"/>
      <c r="FKS32" s="293"/>
      <c r="FKT32" s="294"/>
      <c r="FKZ32" s="292"/>
      <c r="FLA32" s="293"/>
      <c r="FLB32" s="294"/>
      <c r="FLH32" s="292"/>
      <c r="FLI32" s="293"/>
      <c r="FLJ32" s="294"/>
      <c r="FLP32" s="292"/>
      <c r="FLQ32" s="293"/>
      <c r="FLR32" s="294"/>
      <c r="FLX32" s="292"/>
      <c r="FLY32" s="293"/>
      <c r="FLZ32" s="294"/>
      <c r="FMF32" s="292"/>
      <c r="FMG32" s="293"/>
      <c r="FMH32" s="294"/>
      <c r="FMN32" s="292"/>
      <c r="FMO32" s="293"/>
      <c r="FMP32" s="294"/>
      <c r="FMV32" s="292"/>
      <c r="FMW32" s="293"/>
      <c r="FMX32" s="294"/>
      <c r="FND32" s="292"/>
      <c r="FNE32" s="293"/>
      <c r="FNF32" s="294"/>
      <c r="FNL32" s="292"/>
      <c r="FNM32" s="293"/>
      <c r="FNN32" s="294"/>
      <c r="FNT32" s="292"/>
      <c r="FNU32" s="293"/>
      <c r="FNV32" s="294"/>
      <c r="FOB32" s="292"/>
      <c r="FOC32" s="293"/>
      <c r="FOD32" s="294"/>
      <c r="FOJ32" s="292"/>
      <c r="FOK32" s="293"/>
      <c r="FOL32" s="294"/>
      <c r="FOR32" s="292"/>
      <c r="FOS32" s="293"/>
      <c r="FOT32" s="294"/>
      <c r="FOZ32" s="292"/>
      <c r="FPA32" s="293"/>
      <c r="FPB32" s="294"/>
      <c r="FPH32" s="292"/>
      <c r="FPI32" s="293"/>
      <c r="FPJ32" s="294"/>
      <c r="FPP32" s="292"/>
      <c r="FPQ32" s="293"/>
      <c r="FPR32" s="294"/>
      <c r="FPX32" s="292"/>
      <c r="FPY32" s="293"/>
      <c r="FPZ32" s="294"/>
      <c r="FQF32" s="292"/>
      <c r="FQG32" s="293"/>
      <c r="FQH32" s="294"/>
      <c r="FQN32" s="292"/>
      <c r="FQO32" s="293"/>
      <c r="FQP32" s="294"/>
      <c r="FQV32" s="292"/>
      <c r="FQW32" s="293"/>
      <c r="FQX32" s="294"/>
      <c r="FRD32" s="292"/>
      <c r="FRE32" s="293"/>
      <c r="FRF32" s="294"/>
      <c r="FRL32" s="292"/>
      <c r="FRM32" s="293"/>
      <c r="FRN32" s="294"/>
      <c r="FRT32" s="292"/>
      <c r="FRU32" s="293"/>
      <c r="FRV32" s="294"/>
      <c r="FSB32" s="292"/>
      <c r="FSC32" s="293"/>
      <c r="FSD32" s="294"/>
      <c r="FSJ32" s="292"/>
      <c r="FSK32" s="293"/>
      <c r="FSL32" s="294"/>
      <c r="FSR32" s="292"/>
      <c r="FSS32" s="293"/>
      <c r="FST32" s="294"/>
      <c r="FSZ32" s="292"/>
      <c r="FTA32" s="293"/>
      <c r="FTB32" s="294"/>
      <c r="FTH32" s="292"/>
      <c r="FTI32" s="293"/>
      <c r="FTJ32" s="294"/>
      <c r="FTP32" s="292"/>
      <c r="FTQ32" s="293"/>
      <c r="FTR32" s="294"/>
      <c r="FTX32" s="292"/>
      <c r="FTY32" s="293"/>
      <c r="FTZ32" s="294"/>
      <c r="FUF32" s="292"/>
      <c r="FUG32" s="293"/>
      <c r="FUH32" s="294"/>
      <c r="FUN32" s="292"/>
      <c r="FUO32" s="293"/>
      <c r="FUP32" s="294"/>
      <c r="FUV32" s="292"/>
      <c r="FUW32" s="293"/>
      <c r="FUX32" s="294"/>
      <c r="FVD32" s="292"/>
      <c r="FVE32" s="293"/>
      <c r="FVF32" s="294"/>
      <c r="FVL32" s="292"/>
      <c r="FVM32" s="293"/>
      <c r="FVN32" s="294"/>
      <c r="FVT32" s="292"/>
      <c r="FVU32" s="293"/>
      <c r="FVV32" s="294"/>
      <c r="FWB32" s="292"/>
      <c r="FWC32" s="293"/>
      <c r="FWD32" s="294"/>
      <c r="FWJ32" s="292"/>
      <c r="FWK32" s="293"/>
      <c r="FWL32" s="294"/>
      <c r="FWR32" s="292"/>
      <c r="FWS32" s="293"/>
      <c r="FWT32" s="294"/>
      <c r="FWZ32" s="292"/>
      <c r="FXA32" s="293"/>
      <c r="FXB32" s="294"/>
      <c r="FXH32" s="292"/>
      <c r="FXI32" s="293"/>
      <c r="FXJ32" s="294"/>
      <c r="FXP32" s="292"/>
      <c r="FXQ32" s="293"/>
      <c r="FXR32" s="294"/>
      <c r="FXX32" s="292"/>
      <c r="FXY32" s="293"/>
      <c r="FXZ32" s="294"/>
      <c r="FYF32" s="292"/>
      <c r="FYG32" s="293"/>
      <c r="FYH32" s="294"/>
      <c r="FYN32" s="292"/>
      <c r="FYO32" s="293"/>
      <c r="FYP32" s="294"/>
      <c r="FYV32" s="292"/>
      <c r="FYW32" s="293"/>
      <c r="FYX32" s="294"/>
      <c r="FZD32" s="292"/>
      <c r="FZE32" s="293"/>
      <c r="FZF32" s="294"/>
      <c r="FZL32" s="292"/>
      <c r="FZM32" s="293"/>
      <c r="FZN32" s="294"/>
      <c r="FZT32" s="292"/>
      <c r="FZU32" s="293"/>
      <c r="FZV32" s="294"/>
      <c r="GAB32" s="292"/>
      <c r="GAC32" s="293"/>
      <c r="GAD32" s="294"/>
      <c r="GAJ32" s="292"/>
      <c r="GAK32" s="293"/>
      <c r="GAL32" s="294"/>
      <c r="GAR32" s="292"/>
      <c r="GAS32" s="293"/>
      <c r="GAT32" s="294"/>
      <c r="GAZ32" s="292"/>
      <c r="GBA32" s="293"/>
      <c r="GBB32" s="294"/>
      <c r="GBH32" s="292"/>
      <c r="GBI32" s="293"/>
      <c r="GBJ32" s="294"/>
      <c r="GBP32" s="292"/>
      <c r="GBQ32" s="293"/>
      <c r="GBR32" s="294"/>
      <c r="GBX32" s="292"/>
      <c r="GBY32" s="293"/>
      <c r="GBZ32" s="294"/>
      <c r="GCF32" s="292"/>
      <c r="GCG32" s="293"/>
      <c r="GCH32" s="294"/>
      <c r="GCN32" s="292"/>
      <c r="GCO32" s="293"/>
      <c r="GCP32" s="294"/>
      <c r="GCV32" s="292"/>
      <c r="GCW32" s="293"/>
      <c r="GCX32" s="294"/>
      <c r="GDD32" s="292"/>
      <c r="GDE32" s="293"/>
      <c r="GDF32" s="294"/>
      <c r="GDL32" s="292"/>
      <c r="GDM32" s="293"/>
      <c r="GDN32" s="294"/>
      <c r="GDT32" s="292"/>
      <c r="GDU32" s="293"/>
      <c r="GDV32" s="294"/>
      <c r="GEB32" s="292"/>
      <c r="GEC32" s="293"/>
      <c r="GED32" s="294"/>
      <c r="GEJ32" s="292"/>
      <c r="GEK32" s="293"/>
      <c r="GEL32" s="294"/>
      <c r="GER32" s="292"/>
      <c r="GES32" s="293"/>
      <c r="GET32" s="294"/>
      <c r="GEZ32" s="292"/>
      <c r="GFA32" s="293"/>
      <c r="GFB32" s="294"/>
      <c r="GFH32" s="292"/>
      <c r="GFI32" s="293"/>
      <c r="GFJ32" s="294"/>
      <c r="GFP32" s="292"/>
      <c r="GFQ32" s="293"/>
      <c r="GFR32" s="294"/>
      <c r="GFX32" s="292"/>
      <c r="GFY32" s="293"/>
      <c r="GFZ32" s="294"/>
      <c r="GGF32" s="292"/>
      <c r="GGG32" s="293"/>
      <c r="GGH32" s="294"/>
      <c r="GGN32" s="292"/>
      <c r="GGO32" s="293"/>
      <c r="GGP32" s="294"/>
      <c r="GGV32" s="292"/>
      <c r="GGW32" s="293"/>
      <c r="GGX32" s="294"/>
      <c r="GHD32" s="292"/>
      <c r="GHE32" s="293"/>
      <c r="GHF32" s="294"/>
      <c r="GHL32" s="292"/>
      <c r="GHM32" s="293"/>
      <c r="GHN32" s="294"/>
      <c r="GHT32" s="292"/>
      <c r="GHU32" s="293"/>
      <c r="GHV32" s="294"/>
      <c r="GIB32" s="292"/>
      <c r="GIC32" s="293"/>
      <c r="GID32" s="294"/>
      <c r="GIJ32" s="292"/>
      <c r="GIK32" s="293"/>
      <c r="GIL32" s="294"/>
      <c r="GIR32" s="292"/>
      <c r="GIS32" s="293"/>
      <c r="GIT32" s="294"/>
      <c r="GIZ32" s="292"/>
      <c r="GJA32" s="293"/>
      <c r="GJB32" s="294"/>
      <c r="GJH32" s="292"/>
      <c r="GJI32" s="293"/>
      <c r="GJJ32" s="294"/>
      <c r="GJP32" s="292"/>
      <c r="GJQ32" s="293"/>
      <c r="GJR32" s="294"/>
      <c r="GJX32" s="292"/>
      <c r="GJY32" s="293"/>
      <c r="GJZ32" s="294"/>
      <c r="GKF32" s="292"/>
      <c r="GKG32" s="293"/>
      <c r="GKH32" s="294"/>
      <c r="GKN32" s="292"/>
      <c r="GKO32" s="293"/>
      <c r="GKP32" s="294"/>
      <c r="GKV32" s="292"/>
      <c r="GKW32" s="293"/>
      <c r="GKX32" s="294"/>
      <c r="GLD32" s="292"/>
      <c r="GLE32" s="293"/>
      <c r="GLF32" s="294"/>
      <c r="GLL32" s="292"/>
      <c r="GLM32" s="293"/>
      <c r="GLN32" s="294"/>
      <c r="GLT32" s="292"/>
      <c r="GLU32" s="293"/>
      <c r="GLV32" s="294"/>
      <c r="GMB32" s="292"/>
      <c r="GMC32" s="293"/>
      <c r="GMD32" s="294"/>
      <c r="GMJ32" s="292"/>
      <c r="GMK32" s="293"/>
      <c r="GML32" s="294"/>
      <c r="GMR32" s="292"/>
      <c r="GMS32" s="293"/>
      <c r="GMT32" s="294"/>
      <c r="GMZ32" s="292"/>
      <c r="GNA32" s="293"/>
      <c r="GNB32" s="294"/>
      <c r="GNH32" s="292"/>
      <c r="GNI32" s="293"/>
      <c r="GNJ32" s="294"/>
      <c r="GNP32" s="292"/>
      <c r="GNQ32" s="293"/>
      <c r="GNR32" s="294"/>
      <c r="GNX32" s="292"/>
      <c r="GNY32" s="293"/>
      <c r="GNZ32" s="294"/>
      <c r="GOF32" s="292"/>
      <c r="GOG32" s="293"/>
      <c r="GOH32" s="294"/>
      <c r="GON32" s="292"/>
      <c r="GOO32" s="293"/>
      <c r="GOP32" s="294"/>
      <c r="GOV32" s="292"/>
      <c r="GOW32" s="293"/>
      <c r="GOX32" s="294"/>
      <c r="GPD32" s="292"/>
      <c r="GPE32" s="293"/>
      <c r="GPF32" s="294"/>
      <c r="GPL32" s="292"/>
      <c r="GPM32" s="293"/>
      <c r="GPN32" s="294"/>
      <c r="GPT32" s="292"/>
      <c r="GPU32" s="293"/>
      <c r="GPV32" s="294"/>
      <c r="GQB32" s="292"/>
      <c r="GQC32" s="293"/>
      <c r="GQD32" s="294"/>
      <c r="GQJ32" s="292"/>
      <c r="GQK32" s="293"/>
      <c r="GQL32" s="294"/>
      <c r="GQR32" s="292"/>
      <c r="GQS32" s="293"/>
      <c r="GQT32" s="294"/>
      <c r="GQZ32" s="292"/>
      <c r="GRA32" s="293"/>
      <c r="GRB32" s="294"/>
      <c r="GRH32" s="292"/>
      <c r="GRI32" s="293"/>
      <c r="GRJ32" s="294"/>
      <c r="GRP32" s="292"/>
      <c r="GRQ32" s="293"/>
      <c r="GRR32" s="294"/>
      <c r="GRX32" s="292"/>
      <c r="GRY32" s="293"/>
      <c r="GRZ32" s="294"/>
      <c r="GSF32" s="292"/>
      <c r="GSG32" s="293"/>
      <c r="GSH32" s="294"/>
      <c r="GSN32" s="292"/>
      <c r="GSO32" s="293"/>
      <c r="GSP32" s="294"/>
      <c r="GSV32" s="292"/>
      <c r="GSW32" s="293"/>
      <c r="GSX32" s="294"/>
      <c r="GTD32" s="292"/>
      <c r="GTE32" s="293"/>
      <c r="GTF32" s="294"/>
      <c r="GTL32" s="292"/>
      <c r="GTM32" s="293"/>
      <c r="GTN32" s="294"/>
      <c r="GTT32" s="292"/>
      <c r="GTU32" s="293"/>
      <c r="GTV32" s="294"/>
      <c r="GUB32" s="292"/>
      <c r="GUC32" s="293"/>
      <c r="GUD32" s="294"/>
      <c r="GUJ32" s="292"/>
      <c r="GUK32" s="293"/>
      <c r="GUL32" s="294"/>
      <c r="GUR32" s="292"/>
      <c r="GUS32" s="293"/>
      <c r="GUT32" s="294"/>
      <c r="GUZ32" s="292"/>
      <c r="GVA32" s="293"/>
      <c r="GVB32" s="294"/>
      <c r="GVH32" s="292"/>
      <c r="GVI32" s="293"/>
      <c r="GVJ32" s="294"/>
      <c r="GVP32" s="292"/>
      <c r="GVQ32" s="293"/>
      <c r="GVR32" s="294"/>
      <c r="GVX32" s="292"/>
      <c r="GVY32" s="293"/>
      <c r="GVZ32" s="294"/>
      <c r="GWF32" s="292"/>
      <c r="GWG32" s="293"/>
      <c r="GWH32" s="294"/>
      <c r="GWN32" s="292"/>
      <c r="GWO32" s="293"/>
      <c r="GWP32" s="294"/>
      <c r="GWV32" s="292"/>
      <c r="GWW32" s="293"/>
      <c r="GWX32" s="294"/>
      <c r="GXD32" s="292"/>
      <c r="GXE32" s="293"/>
      <c r="GXF32" s="294"/>
      <c r="GXL32" s="292"/>
      <c r="GXM32" s="293"/>
      <c r="GXN32" s="294"/>
      <c r="GXT32" s="292"/>
      <c r="GXU32" s="293"/>
      <c r="GXV32" s="294"/>
      <c r="GYB32" s="292"/>
      <c r="GYC32" s="293"/>
      <c r="GYD32" s="294"/>
      <c r="GYJ32" s="292"/>
      <c r="GYK32" s="293"/>
      <c r="GYL32" s="294"/>
      <c r="GYR32" s="292"/>
      <c r="GYS32" s="293"/>
      <c r="GYT32" s="294"/>
      <c r="GYZ32" s="292"/>
      <c r="GZA32" s="293"/>
      <c r="GZB32" s="294"/>
      <c r="GZH32" s="292"/>
      <c r="GZI32" s="293"/>
      <c r="GZJ32" s="294"/>
      <c r="GZP32" s="292"/>
      <c r="GZQ32" s="293"/>
      <c r="GZR32" s="294"/>
      <c r="GZX32" s="292"/>
      <c r="GZY32" s="293"/>
      <c r="GZZ32" s="294"/>
      <c r="HAF32" s="292"/>
      <c r="HAG32" s="293"/>
      <c r="HAH32" s="294"/>
      <c r="HAN32" s="292"/>
      <c r="HAO32" s="293"/>
      <c r="HAP32" s="294"/>
      <c r="HAV32" s="292"/>
      <c r="HAW32" s="293"/>
      <c r="HAX32" s="294"/>
      <c r="HBD32" s="292"/>
      <c r="HBE32" s="293"/>
      <c r="HBF32" s="294"/>
      <c r="HBL32" s="292"/>
      <c r="HBM32" s="293"/>
      <c r="HBN32" s="294"/>
      <c r="HBT32" s="292"/>
      <c r="HBU32" s="293"/>
      <c r="HBV32" s="294"/>
      <c r="HCB32" s="292"/>
      <c r="HCC32" s="293"/>
      <c r="HCD32" s="294"/>
      <c r="HCJ32" s="292"/>
      <c r="HCK32" s="293"/>
      <c r="HCL32" s="294"/>
      <c r="HCR32" s="292"/>
      <c r="HCS32" s="293"/>
      <c r="HCT32" s="294"/>
      <c r="HCZ32" s="292"/>
      <c r="HDA32" s="293"/>
      <c r="HDB32" s="294"/>
      <c r="HDH32" s="292"/>
      <c r="HDI32" s="293"/>
      <c r="HDJ32" s="294"/>
      <c r="HDP32" s="292"/>
      <c r="HDQ32" s="293"/>
      <c r="HDR32" s="294"/>
      <c r="HDX32" s="292"/>
      <c r="HDY32" s="293"/>
      <c r="HDZ32" s="294"/>
      <c r="HEF32" s="292"/>
      <c r="HEG32" s="293"/>
      <c r="HEH32" s="294"/>
      <c r="HEN32" s="292"/>
      <c r="HEO32" s="293"/>
      <c r="HEP32" s="294"/>
      <c r="HEV32" s="292"/>
      <c r="HEW32" s="293"/>
      <c r="HEX32" s="294"/>
      <c r="HFD32" s="292"/>
      <c r="HFE32" s="293"/>
      <c r="HFF32" s="294"/>
      <c r="HFL32" s="292"/>
      <c r="HFM32" s="293"/>
      <c r="HFN32" s="294"/>
      <c r="HFT32" s="292"/>
      <c r="HFU32" s="293"/>
      <c r="HFV32" s="294"/>
      <c r="HGB32" s="292"/>
      <c r="HGC32" s="293"/>
      <c r="HGD32" s="294"/>
      <c r="HGJ32" s="292"/>
      <c r="HGK32" s="293"/>
      <c r="HGL32" s="294"/>
      <c r="HGR32" s="292"/>
      <c r="HGS32" s="293"/>
      <c r="HGT32" s="294"/>
      <c r="HGZ32" s="292"/>
      <c r="HHA32" s="293"/>
      <c r="HHB32" s="294"/>
      <c r="HHH32" s="292"/>
      <c r="HHI32" s="293"/>
      <c r="HHJ32" s="294"/>
      <c r="HHP32" s="292"/>
      <c r="HHQ32" s="293"/>
      <c r="HHR32" s="294"/>
      <c r="HHX32" s="292"/>
      <c r="HHY32" s="293"/>
      <c r="HHZ32" s="294"/>
      <c r="HIF32" s="292"/>
      <c r="HIG32" s="293"/>
      <c r="HIH32" s="294"/>
      <c r="HIN32" s="292"/>
      <c r="HIO32" s="293"/>
      <c r="HIP32" s="294"/>
      <c r="HIV32" s="292"/>
      <c r="HIW32" s="293"/>
      <c r="HIX32" s="294"/>
      <c r="HJD32" s="292"/>
      <c r="HJE32" s="293"/>
      <c r="HJF32" s="294"/>
      <c r="HJL32" s="292"/>
      <c r="HJM32" s="293"/>
      <c r="HJN32" s="294"/>
      <c r="HJT32" s="292"/>
      <c r="HJU32" s="293"/>
      <c r="HJV32" s="294"/>
      <c r="HKB32" s="292"/>
      <c r="HKC32" s="293"/>
      <c r="HKD32" s="294"/>
      <c r="HKJ32" s="292"/>
      <c r="HKK32" s="293"/>
      <c r="HKL32" s="294"/>
      <c r="HKR32" s="292"/>
      <c r="HKS32" s="293"/>
      <c r="HKT32" s="294"/>
      <c r="HKZ32" s="292"/>
      <c r="HLA32" s="293"/>
      <c r="HLB32" s="294"/>
      <c r="HLH32" s="292"/>
      <c r="HLI32" s="293"/>
      <c r="HLJ32" s="294"/>
      <c r="HLP32" s="292"/>
      <c r="HLQ32" s="293"/>
      <c r="HLR32" s="294"/>
      <c r="HLX32" s="292"/>
      <c r="HLY32" s="293"/>
      <c r="HLZ32" s="294"/>
      <c r="HMF32" s="292"/>
      <c r="HMG32" s="293"/>
      <c r="HMH32" s="294"/>
      <c r="HMN32" s="292"/>
      <c r="HMO32" s="293"/>
      <c r="HMP32" s="294"/>
      <c r="HMV32" s="292"/>
      <c r="HMW32" s="293"/>
      <c r="HMX32" s="294"/>
      <c r="HND32" s="292"/>
      <c r="HNE32" s="293"/>
      <c r="HNF32" s="294"/>
      <c r="HNL32" s="292"/>
      <c r="HNM32" s="293"/>
      <c r="HNN32" s="294"/>
      <c r="HNT32" s="292"/>
      <c r="HNU32" s="293"/>
      <c r="HNV32" s="294"/>
      <c r="HOB32" s="292"/>
      <c r="HOC32" s="293"/>
      <c r="HOD32" s="294"/>
      <c r="HOJ32" s="292"/>
      <c r="HOK32" s="293"/>
      <c r="HOL32" s="294"/>
      <c r="HOR32" s="292"/>
      <c r="HOS32" s="293"/>
      <c r="HOT32" s="294"/>
      <c r="HOZ32" s="292"/>
      <c r="HPA32" s="293"/>
      <c r="HPB32" s="294"/>
      <c r="HPH32" s="292"/>
      <c r="HPI32" s="293"/>
      <c r="HPJ32" s="294"/>
      <c r="HPP32" s="292"/>
      <c r="HPQ32" s="293"/>
      <c r="HPR32" s="294"/>
      <c r="HPX32" s="292"/>
      <c r="HPY32" s="293"/>
      <c r="HPZ32" s="294"/>
      <c r="HQF32" s="292"/>
      <c r="HQG32" s="293"/>
      <c r="HQH32" s="294"/>
      <c r="HQN32" s="292"/>
      <c r="HQO32" s="293"/>
      <c r="HQP32" s="294"/>
      <c r="HQV32" s="292"/>
      <c r="HQW32" s="293"/>
      <c r="HQX32" s="294"/>
      <c r="HRD32" s="292"/>
      <c r="HRE32" s="293"/>
      <c r="HRF32" s="294"/>
      <c r="HRL32" s="292"/>
      <c r="HRM32" s="293"/>
      <c r="HRN32" s="294"/>
      <c r="HRT32" s="292"/>
      <c r="HRU32" s="293"/>
      <c r="HRV32" s="294"/>
      <c r="HSB32" s="292"/>
      <c r="HSC32" s="293"/>
      <c r="HSD32" s="294"/>
      <c r="HSJ32" s="292"/>
      <c r="HSK32" s="293"/>
      <c r="HSL32" s="294"/>
      <c r="HSR32" s="292"/>
      <c r="HSS32" s="293"/>
      <c r="HST32" s="294"/>
      <c r="HSZ32" s="292"/>
      <c r="HTA32" s="293"/>
      <c r="HTB32" s="294"/>
      <c r="HTH32" s="292"/>
      <c r="HTI32" s="293"/>
      <c r="HTJ32" s="294"/>
      <c r="HTP32" s="292"/>
      <c r="HTQ32" s="293"/>
      <c r="HTR32" s="294"/>
      <c r="HTX32" s="292"/>
      <c r="HTY32" s="293"/>
      <c r="HTZ32" s="294"/>
      <c r="HUF32" s="292"/>
      <c r="HUG32" s="293"/>
      <c r="HUH32" s="294"/>
      <c r="HUN32" s="292"/>
      <c r="HUO32" s="293"/>
      <c r="HUP32" s="294"/>
      <c r="HUV32" s="292"/>
      <c r="HUW32" s="293"/>
      <c r="HUX32" s="294"/>
      <c r="HVD32" s="292"/>
      <c r="HVE32" s="293"/>
      <c r="HVF32" s="294"/>
      <c r="HVL32" s="292"/>
      <c r="HVM32" s="293"/>
      <c r="HVN32" s="294"/>
      <c r="HVT32" s="292"/>
      <c r="HVU32" s="293"/>
      <c r="HVV32" s="294"/>
      <c r="HWB32" s="292"/>
      <c r="HWC32" s="293"/>
      <c r="HWD32" s="294"/>
      <c r="HWJ32" s="292"/>
      <c r="HWK32" s="293"/>
      <c r="HWL32" s="294"/>
      <c r="HWR32" s="292"/>
      <c r="HWS32" s="293"/>
      <c r="HWT32" s="294"/>
      <c r="HWZ32" s="292"/>
      <c r="HXA32" s="293"/>
      <c r="HXB32" s="294"/>
      <c r="HXH32" s="292"/>
      <c r="HXI32" s="293"/>
      <c r="HXJ32" s="294"/>
      <c r="HXP32" s="292"/>
      <c r="HXQ32" s="293"/>
      <c r="HXR32" s="294"/>
      <c r="HXX32" s="292"/>
      <c r="HXY32" s="293"/>
      <c r="HXZ32" s="294"/>
      <c r="HYF32" s="292"/>
      <c r="HYG32" s="293"/>
      <c r="HYH32" s="294"/>
      <c r="HYN32" s="292"/>
      <c r="HYO32" s="293"/>
      <c r="HYP32" s="294"/>
      <c r="HYV32" s="292"/>
      <c r="HYW32" s="293"/>
      <c r="HYX32" s="294"/>
      <c r="HZD32" s="292"/>
      <c r="HZE32" s="293"/>
      <c r="HZF32" s="294"/>
      <c r="HZL32" s="292"/>
      <c r="HZM32" s="293"/>
      <c r="HZN32" s="294"/>
      <c r="HZT32" s="292"/>
      <c r="HZU32" s="293"/>
      <c r="HZV32" s="294"/>
      <c r="IAB32" s="292"/>
      <c r="IAC32" s="293"/>
      <c r="IAD32" s="294"/>
      <c r="IAJ32" s="292"/>
      <c r="IAK32" s="293"/>
      <c r="IAL32" s="294"/>
      <c r="IAR32" s="292"/>
      <c r="IAS32" s="293"/>
      <c r="IAT32" s="294"/>
      <c r="IAZ32" s="292"/>
      <c r="IBA32" s="293"/>
      <c r="IBB32" s="294"/>
      <c r="IBH32" s="292"/>
      <c r="IBI32" s="293"/>
      <c r="IBJ32" s="294"/>
      <c r="IBP32" s="292"/>
      <c r="IBQ32" s="293"/>
      <c r="IBR32" s="294"/>
      <c r="IBX32" s="292"/>
      <c r="IBY32" s="293"/>
      <c r="IBZ32" s="294"/>
      <c r="ICF32" s="292"/>
      <c r="ICG32" s="293"/>
      <c r="ICH32" s="294"/>
      <c r="ICN32" s="292"/>
      <c r="ICO32" s="293"/>
      <c r="ICP32" s="294"/>
      <c r="ICV32" s="292"/>
      <c r="ICW32" s="293"/>
      <c r="ICX32" s="294"/>
      <c r="IDD32" s="292"/>
      <c r="IDE32" s="293"/>
      <c r="IDF32" s="294"/>
      <c r="IDL32" s="292"/>
      <c r="IDM32" s="293"/>
      <c r="IDN32" s="294"/>
      <c r="IDT32" s="292"/>
      <c r="IDU32" s="293"/>
      <c r="IDV32" s="294"/>
      <c r="IEB32" s="292"/>
      <c r="IEC32" s="293"/>
      <c r="IED32" s="294"/>
      <c r="IEJ32" s="292"/>
      <c r="IEK32" s="293"/>
      <c r="IEL32" s="294"/>
      <c r="IER32" s="292"/>
      <c r="IES32" s="293"/>
      <c r="IET32" s="294"/>
      <c r="IEZ32" s="292"/>
      <c r="IFA32" s="293"/>
      <c r="IFB32" s="294"/>
      <c r="IFH32" s="292"/>
      <c r="IFI32" s="293"/>
      <c r="IFJ32" s="294"/>
      <c r="IFP32" s="292"/>
      <c r="IFQ32" s="293"/>
      <c r="IFR32" s="294"/>
      <c r="IFX32" s="292"/>
      <c r="IFY32" s="293"/>
      <c r="IFZ32" s="294"/>
      <c r="IGF32" s="292"/>
      <c r="IGG32" s="293"/>
      <c r="IGH32" s="294"/>
      <c r="IGN32" s="292"/>
      <c r="IGO32" s="293"/>
      <c r="IGP32" s="294"/>
      <c r="IGV32" s="292"/>
      <c r="IGW32" s="293"/>
      <c r="IGX32" s="294"/>
      <c r="IHD32" s="292"/>
      <c r="IHE32" s="293"/>
      <c r="IHF32" s="294"/>
      <c r="IHL32" s="292"/>
      <c r="IHM32" s="293"/>
      <c r="IHN32" s="294"/>
      <c r="IHT32" s="292"/>
      <c r="IHU32" s="293"/>
      <c r="IHV32" s="294"/>
      <c r="IIB32" s="292"/>
      <c r="IIC32" s="293"/>
      <c r="IID32" s="294"/>
      <c r="IIJ32" s="292"/>
      <c r="IIK32" s="293"/>
      <c r="IIL32" s="294"/>
      <c r="IIR32" s="292"/>
      <c r="IIS32" s="293"/>
      <c r="IIT32" s="294"/>
      <c r="IIZ32" s="292"/>
      <c r="IJA32" s="293"/>
      <c r="IJB32" s="294"/>
      <c r="IJH32" s="292"/>
      <c r="IJI32" s="293"/>
      <c r="IJJ32" s="294"/>
      <c r="IJP32" s="292"/>
      <c r="IJQ32" s="293"/>
      <c r="IJR32" s="294"/>
      <c r="IJX32" s="292"/>
      <c r="IJY32" s="293"/>
      <c r="IJZ32" s="294"/>
      <c r="IKF32" s="292"/>
      <c r="IKG32" s="293"/>
      <c r="IKH32" s="294"/>
      <c r="IKN32" s="292"/>
      <c r="IKO32" s="293"/>
      <c r="IKP32" s="294"/>
      <c r="IKV32" s="292"/>
      <c r="IKW32" s="293"/>
      <c r="IKX32" s="294"/>
      <c r="ILD32" s="292"/>
      <c r="ILE32" s="293"/>
      <c r="ILF32" s="294"/>
      <c r="ILL32" s="292"/>
      <c r="ILM32" s="293"/>
      <c r="ILN32" s="294"/>
      <c r="ILT32" s="292"/>
      <c r="ILU32" s="293"/>
      <c r="ILV32" s="294"/>
      <c r="IMB32" s="292"/>
      <c r="IMC32" s="293"/>
      <c r="IMD32" s="294"/>
      <c r="IMJ32" s="292"/>
      <c r="IMK32" s="293"/>
      <c r="IML32" s="294"/>
      <c r="IMR32" s="292"/>
      <c r="IMS32" s="293"/>
      <c r="IMT32" s="294"/>
      <c r="IMZ32" s="292"/>
      <c r="INA32" s="293"/>
      <c r="INB32" s="294"/>
      <c r="INH32" s="292"/>
      <c r="INI32" s="293"/>
      <c r="INJ32" s="294"/>
      <c r="INP32" s="292"/>
      <c r="INQ32" s="293"/>
      <c r="INR32" s="294"/>
      <c r="INX32" s="292"/>
      <c r="INY32" s="293"/>
      <c r="INZ32" s="294"/>
      <c r="IOF32" s="292"/>
      <c r="IOG32" s="293"/>
      <c r="IOH32" s="294"/>
      <c r="ION32" s="292"/>
      <c r="IOO32" s="293"/>
      <c r="IOP32" s="294"/>
      <c r="IOV32" s="292"/>
      <c r="IOW32" s="293"/>
      <c r="IOX32" s="294"/>
      <c r="IPD32" s="292"/>
      <c r="IPE32" s="293"/>
      <c r="IPF32" s="294"/>
      <c r="IPL32" s="292"/>
      <c r="IPM32" s="293"/>
      <c r="IPN32" s="294"/>
      <c r="IPT32" s="292"/>
      <c r="IPU32" s="293"/>
      <c r="IPV32" s="294"/>
      <c r="IQB32" s="292"/>
      <c r="IQC32" s="293"/>
      <c r="IQD32" s="294"/>
      <c r="IQJ32" s="292"/>
      <c r="IQK32" s="293"/>
      <c r="IQL32" s="294"/>
      <c r="IQR32" s="292"/>
      <c r="IQS32" s="293"/>
      <c r="IQT32" s="294"/>
      <c r="IQZ32" s="292"/>
      <c r="IRA32" s="293"/>
      <c r="IRB32" s="294"/>
      <c r="IRH32" s="292"/>
      <c r="IRI32" s="293"/>
      <c r="IRJ32" s="294"/>
      <c r="IRP32" s="292"/>
      <c r="IRQ32" s="293"/>
      <c r="IRR32" s="294"/>
      <c r="IRX32" s="292"/>
      <c r="IRY32" s="293"/>
      <c r="IRZ32" s="294"/>
      <c r="ISF32" s="292"/>
      <c r="ISG32" s="293"/>
      <c r="ISH32" s="294"/>
      <c r="ISN32" s="292"/>
      <c r="ISO32" s="293"/>
      <c r="ISP32" s="294"/>
      <c r="ISV32" s="292"/>
      <c r="ISW32" s="293"/>
      <c r="ISX32" s="294"/>
      <c r="ITD32" s="292"/>
      <c r="ITE32" s="293"/>
      <c r="ITF32" s="294"/>
      <c r="ITL32" s="292"/>
      <c r="ITM32" s="293"/>
      <c r="ITN32" s="294"/>
      <c r="ITT32" s="292"/>
      <c r="ITU32" s="293"/>
      <c r="ITV32" s="294"/>
      <c r="IUB32" s="292"/>
      <c r="IUC32" s="293"/>
      <c r="IUD32" s="294"/>
      <c r="IUJ32" s="292"/>
      <c r="IUK32" s="293"/>
      <c r="IUL32" s="294"/>
      <c r="IUR32" s="292"/>
      <c r="IUS32" s="293"/>
      <c r="IUT32" s="294"/>
      <c r="IUZ32" s="292"/>
      <c r="IVA32" s="293"/>
      <c r="IVB32" s="294"/>
      <c r="IVH32" s="292"/>
      <c r="IVI32" s="293"/>
      <c r="IVJ32" s="294"/>
      <c r="IVP32" s="292"/>
      <c r="IVQ32" s="293"/>
      <c r="IVR32" s="294"/>
      <c r="IVX32" s="292"/>
      <c r="IVY32" s="293"/>
      <c r="IVZ32" s="294"/>
      <c r="IWF32" s="292"/>
      <c r="IWG32" s="293"/>
      <c r="IWH32" s="294"/>
      <c r="IWN32" s="292"/>
      <c r="IWO32" s="293"/>
      <c r="IWP32" s="294"/>
      <c r="IWV32" s="292"/>
      <c r="IWW32" s="293"/>
      <c r="IWX32" s="294"/>
      <c r="IXD32" s="292"/>
      <c r="IXE32" s="293"/>
      <c r="IXF32" s="294"/>
      <c r="IXL32" s="292"/>
      <c r="IXM32" s="293"/>
      <c r="IXN32" s="294"/>
      <c r="IXT32" s="292"/>
      <c r="IXU32" s="293"/>
      <c r="IXV32" s="294"/>
      <c r="IYB32" s="292"/>
      <c r="IYC32" s="293"/>
      <c r="IYD32" s="294"/>
      <c r="IYJ32" s="292"/>
      <c r="IYK32" s="293"/>
      <c r="IYL32" s="294"/>
      <c r="IYR32" s="292"/>
      <c r="IYS32" s="293"/>
      <c r="IYT32" s="294"/>
      <c r="IYZ32" s="292"/>
      <c r="IZA32" s="293"/>
      <c r="IZB32" s="294"/>
      <c r="IZH32" s="292"/>
      <c r="IZI32" s="293"/>
      <c r="IZJ32" s="294"/>
      <c r="IZP32" s="292"/>
      <c r="IZQ32" s="293"/>
      <c r="IZR32" s="294"/>
      <c r="IZX32" s="292"/>
      <c r="IZY32" s="293"/>
      <c r="IZZ32" s="294"/>
      <c r="JAF32" s="292"/>
      <c r="JAG32" s="293"/>
      <c r="JAH32" s="294"/>
      <c r="JAN32" s="292"/>
      <c r="JAO32" s="293"/>
      <c r="JAP32" s="294"/>
      <c r="JAV32" s="292"/>
      <c r="JAW32" s="293"/>
      <c r="JAX32" s="294"/>
      <c r="JBD32" s="292"/>
      <c r="JBE32" s="293"/>
      <c r="JBF32" s="294"/>
      <c r="JBL32" s="292"/>
      <c r="JBM32" s="293"/>
      <c r="JBN32" s="294"/>
      <c r="JBT32" s="292"/>
      <c r="JBU32" s="293"/>
      <c r="JBV32" s="294"/>
      <c r="JCB32" s="292"/>
      <c r="JCC32" s="293"/>
      <c r="JCD32" s="294"/>
      <c r="JCJ32" s="292"/>
      <c r="JCK32" s="293"/>
      <c r="JCL32" s="294"/>
      <c r="JCR32" s="292"/>
      <c r="JCS32" s="293"/>
      <c r="JCT32" s="294"/>
      <c r="JCZ32" s="292"/>
      <c r="JDA32" s="293"/>
      <c r="JDB32" s="294"/>
      <c r="JDH32" s="292"/>
      <c r="JDI32" s="293"/>
      <c r="JDJ32" s="294"/>
      <c r="JDP32" s="292"/>
      <c r="JDQ32" s="293"/>
      <c r="JDR32" s="294"/>
      <c r="JDX32" s="292"/>
      <c r="JDY32" s="293"/>
      <c r="JDZ32" s="294"/>
      <c r="JEF32" s="292"/>
      <c r="JEG32" s="293"/>
      <c r="JEH32" s="294"/>
      <c r="JEN32" s="292"/>
      <c r="JEO32" s="293"/>
      <c r="JEP32" s="294"/>
      <c r="JEV32" s="292"/>
      <c r="JEW32" s="293"/>
      <c r="JEX32" s="294"/>
      <c r="JFD32" s="292"/>
      <c r="JFE32" s="293"/>
      <c r="JFF32" s="294"/>
      <c r="JFL32" s="292"/>
      <c r="JFM32" s="293"/>
      <c r="JFN32" s="294"/>
      <c r="JFT32" s="292"/>
      <c r="JFU32" s="293"/>
      <c r="JFV32" s="294"/>
      <c r="JGB32" s="292"/>
      <c r="JGC32" s="293"/>
      <c r="JGD32" s="294"/>
      <c r="JGJ32" s="292"/>
      <c r="JGK32" s="293"/>
      <c r="JGL32" s="294"/>
      <c r="JGR32" s="292"/>
      <c r="JGS32" s="293"/>
      <c r="JGT32" s="294"/>
      <c r="JGZ32" s="292"/>
      <c r="JHA32" s="293"/>
      <c r="JHB32" s="294"/>
      <c r="JHH32" s="292"/>
      <c r="JHI32" s="293"/>
      <c r="JHJ32" s="294"/>
      <c r="JHP32" s="292"/>
      <c r="JHQ32" s="293"/>
      <c r="JHR32" s="294"/>
      <c r="JHX32" s="292"/>
      <c r="JHY32" s="293"/>
      <c r="JHZ32" s="294"/>
      <c r="JIF32" s="292"/>
      <c r="JIG32" s="293"/>
      <c r="JIH32" s="294"/>
      <c r="JIN32" s="292"/>
      <c r="JIO32" s="293"/>
      <c r="JIP32" s="294"/>
      <c r="JIV32" s="292"/>
      <c r="JIW32" s="293"/>
      <c r="JIX32" s="294"/>
      <c r="JJD32" s="292"/>
      <c r="JJE32" s="293"/>
      <c r="JJF32" s="294"/>
      <c r="JJL32" s="292"/>
      <c r="JJM32" s="293"/>
      <c r="JJN32" s="294"/>
      <c r="JJT32" s="292"/>
      <c r="JJU32" s="293"/>
      <c r="JJV32" s="294"/>
      <c r="JKB32" s="292"/>
      <c r="JKC32" s="293"/>
      <c r="JKD32" s="294"/>
      <c r="JKJ32" s="292"/>
      <c r="JKK32" s="293"/>
      <c r="JKL32" s="294"/>
      <c r="JKR32" s="292"/>
      <c r="JKS32" s="293"/>
      <c r="JKT32" s="294"/>
      <c r="JKZ32" s="292"/>
      <c r="JLA32" s="293"/>
      <c r="JLB32" s="294"/>
      <c r="JLH32" s="292"/>
      <c r="JLI32" s="293"/>
      <c r="JLJ32" s="294"/>
      <c r="JLP32" s="292"/>
      <c r="JLQ32" s="293"/>
      <c r="JLR32" s="294"/>
      <c r="JLX32" s="292"/>
      <c r="JLY32" s="293"/>
      <c r="JLZ32" s="294"/>
      <c r="JMF32" s="292"/>
      <c r="JMG32" s="293"/>
      <c r="JMH32" s="294"/>
      <c r="JMN32" s="292"/>
      <c r="JMO32" s="293"/>
      <c r="JMP32" s="294"/>
      <c r="JMV32" s="292"/>
      <c r="JMW32" s="293"/>
      <c r="JMX32" s="294"/>
      <c r="JND32" s="292"/>
      <c r="JNE32" s="293"/>
      <c r="JNF32" s="294"/>
      <c r="JNL32" s="292"/>
      <c r="JNM32" s="293"/>
      <c r="JNN32" s="294"/>
      <c r="JNT32" s="292"/>
      <c r="JNU32" s="293"/>
      <c r="JNV32" s="294"/>
      <c r="JOB32" s="292"/>
      <c r="JOC32" s="293"/>
      <c r="JOD32" s="294"/>
      <c r="JOJ32" s="292"/>
      <c r="JOK32" s="293"/>
      <c r="JOL32" s="294"/>
      <c r="JOR32" s="292"/>
      <c r="JOS32" s="293"/>
      <c r="JOT32" s="294"/>
      <c r="JOZ32" s="292"/>
      <c r="JPA32" s="293"/>
      <c r="JPB32" s="294"/>
      <c r="JPH32" s="292"/>
      <c r="JPI32" s="293"/>
      <c r="JPJ32" s="294"/>
      <c r="JPP32" s="292"/>
      <c r="JPQ32" s="293"/>
      <c r="JPR32" s="294"/>
      <c r="JPX32" s="292"/>
      <c r="JPY32" s="293"/>
      <c r="JPZ32" s="294"/>
      <c r="JQF32" s="292"/>
      <c r="JQG32" s="293"/>
      <c r="JQH32" s="294"/>
      <c r="JQN32" s="292"/>
      <c r="JQO32" s="293"/>
      <c r="JQP32" s="294"/>
      <c r="JQV32" s="292"/>
      <c r="JQW32" s="293"/>
      <c r="JQX32" s="294"/>
      <c r="JRD32" s="292"/>
      <c r="JRE32" s="293"/>
      <c r="JRF32" s="294"/>
      <c r="JRL32" s="292"/>
      <c r="JRM32" s="293"/>
      <c r="JRN32" s="294"/>
      <c r="JRT32" s="292"/>
      <c r="JRU32" s="293"/>
      <c r="JRV32" s="294"/>
      <c r="JSB32" s="292"/>
      <c r="JSC32" s="293"/>
      <c r="JSD32" s="294"/>
      <c r="JSJ32" s="292"/>
      <c r="JSK32" s="293"/>
      <c r="JSL32" s="294"/>
      <c r="JSR32" s="292"/>
      <c r="JSS32" s="293"/>
      <c r="JST32" s="294"/>
      <c r="JSZ32" s="292"/>
      <c r="JTA32" s="293"/>
      <c r="JTB32" s="294"/>
      <c r="JTH32" s="292"/>
      <c r="JTI32" s="293"/>
      <c r="JTJ32" s="294"/>
      <c r="JTP32" s="292"/>
      <c r="JTQ32" s="293"/>
      <c r="JTR32" s="294"/>
      <c r="JTX32" s="292"/>
      <c r="JTY32" s="293"/>
      <c r="JTZ32" s="294"/>
      <c r="JUF32" s="292"/>
      <c r="JUG32" s="293"/>
      <c r="JUH32" s="294"/>
      <c r="JUN32" s="292"/>
      <c r="JUO32" s="293"/>
      <c r="JUP32" s="294"/>
      <c r="JUV32" s="292"/>
      <c r="JUW32" s="293"/>
      <c r="JUX32" s="294"/>
      <c r="JVD32" s="292"/>
      <c r="JVE32" s="293"/>
      <c r="JVF32" s="294"/>
      <c r="JVL32" s="292"/>
      <c r="JVM32" s="293"/>
      <c r="JVN32" s="294"/>
      <c r="JVT32" s="292"/>
      <c r="JVU32" s="293"/>
      <c r="JVV32" s="294"/>
      <c r="JWB32" s="292"/>
      <c r="JWC32" s="293"/>
      <c r="JWD32" s="294"/>
      <c r="JWJ32" s="292"/>
      <c r="JWK32" s="293"/>
      <c r="JWL32" s="294"/>
      <c r="JWR32" s="292"/>
      <c r="JWS32" s="293"/>
      <c r="JWT32" s="294"/>
      <c r="JWZ32" s="292"/>
      <c r="JXA32" s="293"/>
      <c r="JXB32" s="294"/>
      <c r="JXH32" s="292"/>
      <c r="JXI32" s="293"/>
      <c r="JXJ32" s="294"/>
      <c r="JXP32" s="292"/>
      <c r="JXQ32" s="293"/>
      <c r="JXR32" s="294"/>
      <c r="JXX32" s="292"/>
      <c r="JXY32" s="293"/>
      <c r="JXZ32" s="294"/>
      <c r="JYF32" s="292"/>
      <c r="JYG32" s="293"/>
      <c r="JYH32" s="294"/>
      <c r="JYN32" s="292"/>
      <c r="JYO32" s="293"/>
      <c r="JYP32" s="294"/>
      <c r="JYV32" s="292"/>
      <c r="JYW32" s="293"/>
      <c r="JYX32" s="294"/>
      <c r="JZD32" s="292"/>
      <c r="JZE32" s="293"/>
      <c r="JZF32" s="294"/>
      <c r="JZL32" s="292"/>
      <c r="JZM32" s="293"/>
      <c r="JZN32" s="294"/>
      <c r="JZT32" s="292"/>
      <c r="JZU32" s="293"/>
      <c r="JZV32" s="294"/>
      <c r="KAB32" s="292"/>
      <c r="KAC32" s="293"/>
      <c r="KAD32" s="294"/>
      <c r="KAJ32" s="292"/>
      <c r="KAK32" s="293"/>
      <c r="KAL32" s="294"/>
      <c r="KAR32" s="292"/>
      <c r="KAS32" s="293"/>
      <c r="KAT32" s="294"/>
      <c r="KAZ32" s="292"/>
      <c r="KBA32" s="293"/>
      <c r="KBB32" s="294"/>
      <c r="KBH32" s="292"/>
      <c r="KBI32" s="293"/>
      <c r="KBJ32" s="294"/>
      <c r="KBP32" s="292"/>
      <c r="KBQ32" s="293"/>
      <c r="KBR32" s="294"/>
      <c r="KBX32" s="292"/>
      <c r="KBY32" s="293"/>
      <c r="KBZ32" s="294"/>
      <c r="KCF32" s="292"/>
      <c r="KCG32" s="293"/>
      <c r="KCH32" s="294"/>
      <c r="KCN32" s="292"/>
      <c r="KCO32" s="293"/>
      <c r="KCP32" s="294"/>
      <c r="KCV32" s="292"/>
      <c r="KCW32" s="293"/>
      <c r="KCX32" s="294"/>
      <c r="KDD32" s="292"/>
      <c r="KDE32" s="293"/>
      <c r="KDF32" s="294"/>
      <c r="KDL32" s="292"/>
      <c r="KDM32" s="293"/>
      <c r="KDN32" s="294"/>
      <c r="KDT32" s="292"/>
      <c r="KDU32" s="293"/>
      <c r="KDV32" s="294"/>
      <c r="KEB32" s="292"/>
      <c r="KEC32" s="293"/>
      <c r="KED32" s="294"/>
      <c r="KEJ32" s="292"/>
      <c r="KEK32" s="293"/>
      <c r="KEL32" s="294"/>
      <c r="KER32" s="292"/>
      <c r="KES32" s="293"/>
      <c r="KET32" s="294"/>
      <c r="KEZ32" s="292"/>
      <c r="KFA32" s="293"/>
      <c r="KFB32" s="294"/>
      <c r="KFH32" s="292"/>
      <c r="KFI32" s="293"/>
      <c r="KFJ32" s="294"/>
      <c r="KFP32" s="292"/>
      <c r="KFQ32" s="293"/>
      <c r="KFR32" s="294"/>
      <c r="KFX32" s="292"/>
      <c r="KFY32" s="293"/>
      <c r="KFZ32" s="294"/>
      <c r="KGF32" s="292"/>
      <c r="KGG32" s="293"/>
      <c r="KGH32" s="294"/>
      <c r="KGN32" s="292"/>
      <c r="KGO32" s="293"/>
      <c r="KGP32" s="294"/>
      <c r="KGV32" s="292"/>
      <c r="KGW32" s="293"/>
      <c r="KGX32" s="294"/>
      <c r="KHD32" s="292"/>
      <c r="KHE32" s="293"/>
      <c r="KHF32" s="294"/>
      <c r="KHL32" s="292"/>
      <c r="KHM32" s="293"/>
      <c r="KHN32" s="294"/>
      <c r="KHT32" s="292"/>
      <c r="KHU32" s="293"/>
      <c r="KHV32" s="294"/>
      <c r="KIB32" s="292"/>
      <c r="KIC32" s="293"/>
      <c r="KID32" s="294"/>
      <c r="KIJ32" s="292"/>
      <c r="KIK32" s="293"/>
      <c r="KIL32" s="294"/>
      <c r="KIR32" s="292"/>
      <c r="KIS32" s="293"/>
      <c r="KIT32" s="294"/>
      <c r="KIZ32" s="292"/>
      <c r="KJA32" s="293"/>
      <c r="KJB32" s="294"/>
      <c r="KJH32" s="292"/>
      <c r="KJI32" s="293"/>
      <c r="KJJ32" s="294"/>
      <c r="KJP32" s="292"/>
      <c r="KJQ32" s="293"/>
      <c r="KJR32" s="294"/>
      <c r="KJX32" s="292"/>
      <c r="KJY32" s="293"/>
      <c r="KJZ32" s="294"/>
      <c r="KKF32" s="292"/>
      <c r="KKG32" s="293"/>
      <c r="KKH32" s="294"/>
      <c r="KKN32" s="292"/>
      <c r="KKO32" s="293"/>
      <c r="KKP32" s="294"/>
      <c r="KKV32" s="292"/>
      <c r="KKW32" s="293"/>
      <c r="KKX32" s="294"/>
      <c r="KLD32" s="292"/>
      <c r="KLE32" s="293"/>
      <c r="KLF32" s="294"/>
      <c r="KLL32" s="292"/>
      <c r="KLM32" s="293"/>
      <c r="KLN32" s="294"/>
      <c r="KLT32" s="292"/>
      <c r="KLU32" s="293"/>
      <c r="KLV32" s="294"/>
      <c r="KMB32" s="292"/>
      <c r="KMC32" s="293"/>
      <c r="KMD32" s="294"/>
      <c r="KMJ32" s="292"/>
      <c r="KMK32" s="293"/>
      <c r="KML32" s="294"/>
      <c r="KMR32" s="292"/>
      <c r="KMS32" s="293"/>
      <c r="KMT32" s="294"/>
      <c r="KMZ32" s="292"/>
      <c r="KNA32" s="293"/>
      <c r="KNB32" s="294"/>
      <c r="KNH32" s="292"/>
      <c r="KNI32" s="293"/>
      <c r="KNJ32" s="294"/>
      <c r="KNP32" s="292"/>
      <c r="KNQ32" s="293"/>
      <c r="KNR32" s="294"/>
      <c r="KNX32" s="292"/>
      <c r="KNY32" s="293"/>
      <c r="KNZ32" s="294"/>
      <c r="KOF32" s="292"/>
      <c r="KOG32" s="293"/>
      <c r="KOH32" s="294"/>
      <c r="KON32" s="292"/>
      <c r="KOO32" s="293"/>
      <c r="KOP32" s="294"/>
      <c r="KOV32" s="292"/>
      <c r="KOW32" s="293"/>
      <c r="KOX32" s="294"/>
      <c r="KPD32" s="292"/>
      <c r="KPE32" s="293"/>
      <c r="KPF32" s="294"/>
      <c r="KPL32" s="292"/>
      <c r="KPM32" s="293"/>
      <c r="KPN32" s="294"/>
      <c r="KPT32" s="292"/>
      <c r="KPU32" s="293"/>
      <c r="KPV32" s="294"/>
      <c r="KQB32" s="292"/>
      <c r="KQC32" s="293"/>
      <c r="KQD32" s="294"/>
      <c r="KQJ32" s="292"/>
      <c r="KQK32" s="293"/>
      <c r="KQL32" s="294"/>
      <c r="KQR32" s="292"/>
      <c r="KQS32" s="293"/>
      <c r="KQT32" s="294"/>
      <c r="KQZ32" s="292"/>
      <c r="KRA32" s="293"/>
      <c r="KRB32" s="294"/>
      <c r="KRH32" s="292"/>
      <c r="KRI32" s="293"/>
      <c r="KRJ32" s="294"/>
      <c r="KRP32" s="292"/>
      <c r="KRQ32" s="293"/>
      <c r="KRR32" s="294"/>
      <c r="KRX32" s="292"/>
      <c r="KRY32" s="293"/>
      <c r="KRZ32" s="294"/>
      <c r="KSF32" s="292"/>
      <c r="KSG32" s="293"/>
      <c r="KSH32" s="294"/>
      <c r="KSN32" s="292"/>
      <c r="KSO32" s="293"/>
      <c r="KSP32" s="294"/>
      <c r="KSV32" s="292"/>
      <c r="KSW32" s="293"/>
      <c r="KSX32" s="294"/>
      <c r="KTD32" s="292"/>
      <c r="KTE32" s="293"/>
      <c r="KTF32" s="294"/>
      <c r="KTL32" s="292"/>
      <c r="KTM32" s="293"/>
      <c r="KTN32" s="294"/>
      <c r="KTT32" s="292"/>
      <c r="KTU32" s="293"/>
      <c r="KTV32" s="294"/>
      <c r="KUB32" s="292"/>
      <c r="KUC32" s="293"/>
      <c r="KUD32" s="294"/>
      <c r="KUJ32" s="292"/>
      <c r="KUK32" s="293"/>
      <c r="KUL32" s="294"/>
      <c r="KUR32" s="292"/>
      <c r="KUS32" s="293"/>
      <c r="KUT32" s="294"/>
      <c r="KUZ32" s="292"/>
      <c r="KVA32" s="293"/>
      <c r="KVB32" s="294"/>
      <c r="KVH32" s="292"/>
      <c r="KVI32" s="293"/>
      <c r="KVJ32" s="294"/>
      <c r="KVP32" s="292"/>
      <c r="KVQ32" s="293"/>
      <c r="KVR32" s="294"/>
      <c r="KVX32" s="292"/>
      <c r="KVY32" s="293"/>
      <c r="KVZ32" s="294"/>
      <c r="KWF32" s="292"/>
      <c r="KWG32" s="293"/>
      <c r="KWH32" s="294"/>
      <c r="KWN32" s="292"/>
      <c r="KWO32" s="293"/>
      <c r="KWP32" s="294"/>
      <c r="KWV32" s="292"/>
      <c r="KWW32" s="293"/>
      <c r="KWX32" s="294"/>
      <c r="KXD32" s="292"/>
      <c r="KXE32" s="293"/>
      <c r="KXF32" s="294"/>
      <c r="KXL32" s="292"/>
      <c r="KXM32" s="293"/>
      <c r="KXN32" s="294"/>
      <c r="KXT32" s="292"/>
      <c r="KXU32" s="293"/>
      <c r="KXV32" s="294"/>
      <c r="KYB32" s="292"/>
      <c r="KYC32" s="293"/>
      <c r="KYD32" s="294"/>
      <c r="KYJ32" s="292"/>
      <c r="KYK32" s="293"/>
      <c r="KYL32" s="294"/>
      <c r="KYR32" s="292"/>
      <c r="KYS32" s="293"/>
      <c r="KYT32" s="294"/>
      <c r="KYZ32" s="292"/>
      <c r="KZA32" s="293"/>
      <c r="KZB32" s="294"/>
      <c r="KZH32" s="292"/>
      <c r="KZI32" s="293"/>
      <c r="KZJ32" s="294"/>
      <c r="KZP32" s="292"/>
      <c r="KZQ32" s="293"/>
      <c r="KZR32" s="294"/>
      <c r="KZX32" s="292"/>
      <c r="KZY32" s="293"/>
      <c r="KZZ32" s="294"/>
      <c r="LAF32" s="292"/>
      <c r="LAG32" s="293"/>
      <c r="LAH32" s="294"/>
      <c r="LAN32" s="292"/>
      <c r="LAO32" s="293"/>
      <c r="LAP32" s="294"/>
      <c r="LAV32" s="292"/>
      <c r="LAW32" s="293"/>
      <c r="LAX32" s="294"/>
      <c r="LBD32" s="292"/>
      <c r="LBE32" s="293"/>
      <c r="LBF32" s="294"/>
      <c r="LBL32" s="292"/>
      <c r="LBM32" s="293"/>
      <c r="LBN32" s="294"/>
      <c r="LBT32" s="292"/>
      <c r="LBU32" s="293"/>
      <c r="LBV32" s="294"/>
      <c r="LCB32" s="292"/>
      <c r="LCC32" s="293"/>
      <c r="LCD32" s="294"/>
      <c r="LCJ32" s="292"/>
      <c r="LCK32" s="293"/>
      <c r="LCL32" s="294"/>
      <c r="LCR32" s="292"/>
      <c r="LCS32" s="293"/>
      <c r="LCT32" s="294"/>
      <c r="LCZ32" s="292"/>
      <c r="LDA32" s="293"/>
      <c r="LDB32" s="294"/>
      <c r="LDH32" s="292"/>
      <c r="LDI32" s="293"/>
      <c r="LDJ32" s="294"/>
      <c r="LDP32" s="292"/>
      <c r="LDQ32" s="293"/>
      <c r="LDR32" s="294"/>
      <c r="LDX32" s="292"/>
      <c r="LDY32" s="293"/>
      <c r="LDZ32" s="294"/>
      <c r="LEF32" s="292"/>
      <c r="LEG32" s="293"/>
      <c r="LEH32" s="294"/>
      <c r="LEN32" s="292"/>
      <c r="LEO32" s="293"/>
      <c r="LEP32" s="294"/>
      <c r="LEV32" s="292"/>
      <c r="LEW32" s="293"/>
      <c r="LEX32" s="294"/>
      <c r="LFD32" s="292"/>
      <c r="LFE32" s="293"/>
      <c r="LFF32" s="294"/>
      <c r="LFL32" s="292"/>
      <c r="LFM32" s="293"/>
      <c r="LFN32" s="294"/>
      <c r="LFT32" s="292"/>
      <c r="LFU32" s="293"/>
      <c r="LFV32" s="294"/>
      <c r="LGB32" s="292"/>
      <c r="LGC32" s="293"/>
      <c r="LGD32" s="294"/>
      <c r="LGJ32" s="292"/>
      <c r="LGK32" s="293"/>
      <c r="LGL32" s="294"/>
      <c r="LGR32" s="292"/>
      <c r="LGS32" s="293"/>
      <c r="LGT32" s="294"/>
      <c r="LGZ32" s="292"/>
      <c r="LHA32" s="293"/>
      <c r="LHB32" s="294"/>
      <c r="LHH32" s="292"/>
      <c r="LHI32" s="293"/>
      <c r="LHJ32" s="294"/>
      <c r="LHP32" s="292"/>
      <c r="LHQ32" s="293"/>
      <c r="LHR32" s="294"/>
      <c r="LHX32" s="292"/>
      <c r="LHY32" s="293"/>
      <c r="LHZ32" s="294"/>
      <c r="LIF32" s="292"/>
      <c r="LIG32" s="293"/>
      <c r="LIH32" s="294"/>
      <c r="LIN32" s="292"/>
      <c r="LIO32" s="293"/>
      <c r="LIP32" s="294"/>
      <c r="LIV32" s="292"/>
      <c r="LIW32" s="293"/>
      <c r="LIX32" s="294"/>
      <c r="LJD32" s="292"/>
      <c r="LJE32" s="293"/>
      <c r="LJF32" s="294"/>
      <c r="LJL32" s="292"/>
      <c r="LJM32" s="293"/>
      <c r="LJN32" s="294"/>
      <c r="LJT32" s="292"/>
      <c r="LJU32" s="293"/>
      <c r="LJV32" s="294"/>
      <c r="LKB32" s="292"/>
      <c r="LKC32" s="293"/>
      <c r="LKD32" s="294"/>
      <c r="LKJ32" s="292"/>
      <c r="LKK32" s="293"/>
      <c r="LKL32" s="294"/>
      <c r="LKR32" s="292"/>
      <c r="LKS32" s="293"/>
      <c r="LKT32" s="294"/>
      <c r="LKZ32" s="292"/>
      <c r="LLA32" s="293"/>
      <c r="LLB32" s="294"/>
      <c r="LLH32" s="292"/>
      <c r="LLI32" s="293"/>
      <c r="LLJ32" s="294"/>
      <c r="LLP32" s="292"/>
      <c r="LLQ32" s="293"/>
      <c r="LLR32" s="294"/>
      <c r="LLX32" s="292"/>
      <c r="LLY32" s="293"/>
      <c r="LLZ32" s="294"/>
      <c r="LMF32" s="292"/>
      <c r="LMG32" s="293"/>
      <c r="LMH32" s="294"/>
      <c r="LMN32" s="292"/>
      <c r="LMO32" s="293"/>
      <c r="LMP32" s="294"/>
      <c r="LMV32" s="292"/>
      <c r="LMW32" s="293"/>
      <c r="LMX32" s="294"/>
      <c r="LND32" s="292"/>
      <c r="LNE32" s="293"/>
      <c r="LNF32" s="294"/>
      <c r="LNL32" s="292"/>
      <c r="LNM32" s="293"/>
      <c r="LNN32" s="294"/>
      <c r="LNT32" s="292"/>
      <c r="LNU32" s="293"/>
      <c r="LNV32" s="294"/>
      <c r="LOB32" s="292"/>
      <c r="LOC32" s="293"/>
      <c r="LOD32" s="294"/>
      <c r="LOJ32" s="292"/>
      <c r="LOK32" s="293"/>
      <c r="LOL32" s="294"/>
      <c r="LOR32" s="292"/>
      <c r="LOS32" s="293"/>
      <c r="LOT32" s="294"/>
      <c r="LOZ32" s="292"/>
      <c r="LPA32" s="293"/>
      <c r="LPB32" s="294"/>
      <c r="LPH32" s="292"/>
      <c r="LPI32" s="293"/>
      <c r="LPJ32" s="294"/>
      <c r="LPP32" s="292"/>
      <c r="LPQ32" s="293"/>
      <c r="LPR32" s="294"/>
      <c r="LPX32" s="292"/>
      <c r="LPY32" s="293"/>
      <c r="LPZ32" s="294"/>
      <c r="LQF32" s="292"/>
      <c r="LQG32" s="293"/>
      <c r="LQH32" s="294"/>
      <c r="LQN32" s="292"/>
      <c r="LQO32" s="293"/>
      <c r="LQP32" s="294"/>
      <c r="LQV32" s="292"/>
      <c r="LQW32" s="293"/>
      <c r="LQX32" s="294"/>
      <c r="LRD32" s="292"/>
      <c r="LRE32" s="293"/>
      <c r="LRF32" s="294"/>
      <c r="LRL32" s="292"/>
      <c r="LRM32" s="293"/>
      <c r="LRN32" s="294"/>
      <c r="LRT32" s="292"/>
      <c r="LRU32" s="293"/>
      <c r="LRV32" s="294"/>
      <c r="LSB32" s="292"/>
      <c r="LSC32" s="293"/>
      <c r="LSD32" s="294"/>
      <c r="LSJ32" s="292"/>
      <c r="LSK32" s="293"/>
      <c r="LSL32" s="294"/>
      <c r="LSR32" s="292"/>
      <c r="LSS32" s="293"/>
      <c r="LST32" s="294"/>
      <c r="LSZ32" s="292"/>
      <c r="LTA32" s="293"/>
      <c r="LTB32" s="294"/>
      <c r="LTH32" s="292"/>
      <c r="LTI32" s="293"/>
      <c r="LTJ32" s="294"/>
      <c r="LTP32" s="292"/>
      <c r="LTQ32" s="293"/>
      <c r="LTR32" s="294"/>
      <c r="LTX32" s="292"/>
      <c r="LTY32" s="293"/>
      <c r="LTZ32" s="294"/>
      <c r="LUF32" s="292"/>
      <c r="LUG32" s="293"/>
      <c r="LUH32" s="294"/>
      <c r="LUN32" s="292"/>
      <c r="LUO32" s="293"/>
      <c r="LUP32" s="294"/>
      <c r="LUV32" s="292"/>
      <c r="LUW32" s="293"/>
      <c r="LUX32" s="294"/>
      <c r="LVD32" s="292"/>
      <c r="LVE32" s="293"/>
      <c r="LVF32" s="294"/>
      <c r="LVL32" s="292"/>
      <c r="LVM32" s="293"/>
      <c r="LVN32" s="294"/>
      <c r="LVT32" s="292"/>
      <c r="LVU32" s="293"/>
      <c r="LVV32" s="294"/>
      <c r="LWB32" s="292"/>
      <c r="LWC32" s="293"/>
      <c r="LWD32" s="294"/>
      <c r="LWJ32" s="292"/>
      <c r="LWK32" s="293"/>
      <c r="LWL32" s="294"/>
      <c r="LWR32" s="292"/>
      <c r="LWS32" s="293"/>
      <c r="LWT32" s="294"/>
      <c r="LWZ32" s="292"/>
      <c r="LXA32" s="293"/>
      <c r="LXB32" s="294"/>
      <c r="LXH32" s="292"/>
      <c r="LXI32" s="293"/>
      <c r="LXJ32" s="294"/>
      <c r="LXP32" s="292"/>
      <c r="LXQ32" s="293"/>
      <c r="LXR32" s="294"/>
      <c r="LXX32" s="292"/>
      <c r="LXY32" s="293"/>
      <c r="LXZ32" s="294"/>
      <c r="LYF32" s="292"/>
      <c r="LYG32" s="293"/>
      <c r="LYH32" s="294"/>
      <c r="LYN32" s="292"/>
      <c r="LYO32" s="293"/>
      <c r="LYP32" s="294"/>
      <c r="LYV32" s="292"/>
      <c r="LYW32" s="293"/>
      <c r="LYX32" s="294"/>
      <c r="LZD32" s="292"/>
      <c r="LZE32" s="293"/>
      <c r="LZF32" s="294"/>
      <c r="LZL32" s="292"/>
      <c r="LZM32" s="293"/>
      <c r="LZN32" s="294"/>
      <c r="LZT32" s="292"/>
      <c r="LZU32" s="293"/>
      <c r="LZV32" s="294"/>
      <c r="MAB32" s="292"/>
      <c r="MAC32" s="293"/>
      <c r="MAD32" s="294"/>
      <c r="MAJ32" s="292"/>
      <c r="MAK32" s="293"/>
      <c r="MAL32" s="294"/>
      <c r="MAR32" s="292"/>
      <c r="MAS32" s="293"/>
      <c r="MAT32" s="294"/>
      <c r="MAZ32" s="292"/>
      <c r="MBA32" s="293"/>
      <c r="MBB32" s="294"/>
      <c r="MBH32" s="292"/>
      <c r="MBI32" s="293"/>
      <c r="MBJ32" s="294"/>
      <c r="MBP32" s="292"/>
      <c r="MBQ32" s="293"/>
      <c r="MBR32" s="294"/>
      <c r="MBX32" s="292"/>
      <c r="MBY32" s="293"/>
      <c r="MBZ32" s="294"/>
      <c r="MCF32" s="292"/>
      <c r="MCG32" s="293"/>
      <c r="MCH32" s="294"/>
      <c r="MCN32" s="292"/>
      <c r="MCO32" s="293"/>
      <c r="MCP32" s="294"/>
      <c r="MCV32" s="292"/>
      <c r="MCW32" s="293"/>
      <c r="MCX32" s="294"/>
      <c r="MDD32" s="292"/>
      <c r="MDE32" s="293"/>
      <c r="MDF32" s="294"/>
      <c r="MDL32" s="292"/>
      <c r="MDM32" s="293"/>
      <c r="MDN32" s="294"/>
      <c r="MDT32" s="292"/>
      <c r="MDU32" s="293"/>
      <c r="MDV32" s="294"/>
      <c r="MEB32" s="292"/>
      <c r="MEC32" s="293"/>
      <c r="MED32" s="294"/>
      <c r="MEJ32" s="292"/>
      <c r="MEK32" s="293"/>
      <c r="MEL32" s="294"/>
      <c r="MER32" s="292"/>
      <c r="MES32" s="293"/>
      <c r="MET32" s="294"/>
      <c r="MEZ32" s="292"/>
      <c r="MFA32" s="293"/>
      <c r="MFB32" s="294"/>
      <c r="MFH32" s="292"/>
      <c r="MFI32" s="293"/>
      <c r="MFJ32" s="294"/>
      <c r="MFP32" s="292"/>
      <c r="MFQ32" s="293"/>
      <c r="MFR32" s="294"/>
      <c r="MFX32" s="292"/>
      <c r="MFY32" s="293"/>
      <c r="MFZ32" s="294"/>
      <c r="MGF32" s="292"/>
      <c r="MGG32" s="293"/>
      <c r="MGH32" s="294"/>
      <c r="MGN32" s="292"/>
      <c r="MGO32" s="293"/>
      <c r="MGP32" s="294"/>
      <c r="MGV32" s="292"/>
      <c r="MGW32" s="293"/>
      <c r="MGX32" s="294"/>
      <c r="MHD32" s="292"/>
      <c r="MHE32" s="293"/>
      <c r="MHF32" s="294"/>
      <c r="MHL32" s="292"/>
      <c r="MHM32" s="293"/>
      <c r="MHN32" s="294"/>
      <c r="MHT32" s="292"/>
      <c r="MHU32" s="293"/>
      <c r="MHV32" s="294"/>
      <c r="MIB32" s="292"/>
      <c r="MIC32" s="293"/>
      <c r="MID32" s="294"/>
      <c r="MIJ32" s="292"/>
      <c r="MIK32" s="293"/>
      <c r="MIL32" s="294"/>
      <c r="MIR32" s="292"/>
      <c r="MIS32" s="293"/>
      <c r="MIT32" s="294"/>
      <c r="MIZ32" s="292"/>
      <c r="MJA32" s="293"/>
      <c r="MJB32" s="294"/>
      <c r="MJH32" s="292"/>
      <c r="MJI32" s="293"/>
      <c r="MJJ32" s="294"/>
      <c r="MJP32" s="292"/>
      <c r="MJQ32" s="293"/>
      <c r="MJR32" s="294"/>
      <c r="MJX32" s="292"/>
      <c r="MJY32" s="293"/>
      <c r="MJZ32" s="294"/>
      <c r="MKF32" s="292"/>
      <c r="MKG32" s="293"/>
      <c r="MKH32" s="294"/>
      <c r="MKN32" s="292"/>
      <c r="MKO32" s="293"/>
      <c r="MKP32" s="294"/>
      <c r="MKV32" s="292"/>
      <c r="MKW32" s="293"/>
      <c r="MKX32" s="294"/>
      <c r="MLD32" s="292"/>
      <c r="MLE32" s="293"/>
      <c r="MLF32" s="294"/>
      <c r="MLL32" s="292"/>
      <c r="MLM32" s="293"/>
      <c r="MLN32" s="294"/>
      <c r="MLT32" s="292"/>
      <c r="MLU32" s="293"/>
      <c r="MLV32" s="294"/>
      <c r="MMB32" s="292"/>
      <c r="MMC32" s="293"/>
      <c r="MMD32" s="294"/>
      <c r="MMJ32" s="292"/>
      <c r="MMK32" s="293"/>
      <c r="MML32" s="294"/>
      <c r="MMR32" s="292"/>
      <c r="MMS32" s="293"/>
      <c r="MMT32" s="294"/>
      <c r="MMZ32" s="292"/>
      <c r="MNA32" s="293"/>
      <c r="MNB32" s="294"/>
      <c r="MNH32" s="292"/>
      <c r="MNI32" s="293"/>
      <c r="MNJ32" s="294"/>
      <c r="MNP32" s="292"/>
      <c r="MNQ32" s="293"/>
      <c r="MNR32" s="294"/>
      <c r="MNX32" s="292"/>
      <c r="MNY32" s="293"/>
      <c r="MNZ32" s="294"/>
      <c r="MOF32" s="292"/>
      <c r="MOG32" s="293"/>
      <c r="MOH32" s="294"/>
      <c r="MON32" s="292"/>
      <c r="MOO32" s="293"/>
      <c r="MOP32" s="294"/>
      <c r="MOV32" s="292"/>
      <c r="MOW32" s="293"/>
      <c r="MOX32" s="294"/>
      <c r="MPD32" s="292"/>
      <c r="MPE32" s="293"/>
      <c r="MPF32" s="294"/>
      <c r="MPL32" s="292"/>
      <c r="MPM32" s="293"/>
      <c r="MPN32" s="294"/>
      <c r="MPT32" s="292"/>
      <c r="MPU32" s="293"/>
      <c r="MPV32" s="294"/>
      <c r="MQB32" s="292"/>
      <c r="MQC32" s="293"/>
      <c r="MQD32" s="294"/>
      <c r="MQJ32" s="292"/>
      <c r="MQK32" s="293"/>
      <c r="MQL32" s="294"/>
      <c r="MQR32" s="292"/>
      <c r="MQS32" s="293"/>
      <c r="MQT32" s="294"/>
      <c r="MQZ32" s="292"/>
      <c r="MRA32" s="293"/>
      <c r="MRB32" s="294"/>
      <c r="MRH32" s="292"/>
      <c r="MRI32" s="293"/>
      <c r="MRJ32" s="294"/>
      <c r="MRP32" s="292"/>
      <c r="MRQ32" s="293"/>
      <c r="MRR32" s="294"/>
      <c r="MRX32" s="292"/>
      <c r="MRY32" s="293"/>
      <c r="MRZ32" s="294"/>
      <c r="MSF32" s="292"/>
      <c r="MSG32" s="293"/>
      <c r="MSH32" s="294"/>
      <c r="MSN32" s="292"/>
      <c r="MSO32" s="293"/>
      <c r="MSP32" s="294"/>
      <c r="MSV32" s="292"/>
      <c r="MSW32" s="293"/>
      <c r="MSX32" s="294"/>
      <c r="MTD32" s="292"/>
      <c r="MTE32" s="293"/>
      <c r="MTF32" s="294"/>
      <c r="MTL32" s="292"/>
      <c r="MTM32" s="293"/>
      <c r="MTN32" s="294"/>
      <c r="MTT32" s="292"/>
      <c r="MTU32" s="293"/>
      <c r="MTV32" s="294"/>
      <c r="MUB32" s="292"/>
      <c r="MUC32" s="293"/>
      <c r="MUD32" s="294"/>
      <c r="MUJ32" s="292"/>
      <c r="MUK32" s="293"/>
      <c r="MUL32" s="294"/>
      <c r="MUR32" s="292"/>
      <c r="MUS32" s="293"/>
      <c r="MUT32" s="294"/>
      <c r="MUZ32" s="292"/>
      <c r="MVA32" s="293"/>
      <c r="MVB32" s="294"/>
      <c r="MVH32" s="292"/>
      <c r="MVI32" s="293"/>
      <c r="MVJ32" s="294"/>
      <c r="MVP32" s="292"/>
      <c r="MVQ32" s="293"/>
      <c r="MVR32" s="294"/>
      <c r="MVX32" s="292"/>
      <c r="MVY32" s="293"/>
      <c r="MVZ32" s="294"/>
      <c r="MWF32" s="292"/>
      <c r="MWG32" s="293"/>
      <c r="MWH32" s="294"/>
      <c r="MWN32" s="292"/>
      <c r="MWO32" s="293"/>
      <c r="MWP32" s="294"/>
      <c r="MWV32" s="292"/>
      <c r="MWW32" s="293"/>
      <c r="MWX32" s="294"/>
      <c r="MXD32" s="292"/>
      <c r="MXE32" s="293"/>
      <c r="MXF32" s="294"/>
      <c r="MXL32" s="292"/>
      <c r="MXM32" s="293"/>
      <c r="MXN32" s="294"/>
      <c r="MXT32" s="292"/>
      <c r="MXU32" s="293"/>
      <c r="MXV32" s="294"/>
      <c r="MYB32" s="292"/>
      <c r="MYC32" s="293"/>
      <c r="MYD32" s="294"/>
      <c r="MYJ32" s="292"/>
      <c r="MYK32" s="293"/>
      <c r="MYL32" s="294"/>
      <c r="MYR32" s="292"/>
      <c r="MYS32" s="293"/>
      <c r="MYT32" s="294"/>
      <c r="MYZ32" s="292"/>
      <c r="MZA32" s="293"/>
      <c r="MZB32" s="294"/>
      <c r="MZH32" s="292"/>
      <c r="MZI32" s="293"/>
      <c r="MZJ32" s="294"/>
      <c r="MZP32" s="292"/>
      <c r="MZQ32" s="293"/>
      <c r="MZR32" s="294"/>
      <c r="MZX32" s="292"/>
      <c r="MZY32" s="293"/>
      <c r="MZZ32" s="294"/>
      <c r="NAF32" s="292"/>
      <c r="NAG32" s="293"/>
      <c r="NAH32" s="294"/>
      <c r="NAN32" s="292"/>
      <c r="NAO32" s="293"/>
      <c r="NAP32" s="294"/>
      <c r="NAV32" s="292"/>
      <c r="NAW32" s="293"/>
      <c r="NAX32" s="294"/>
      <c r="NBD32" s="292"/>
      <c r="NBE32" s="293"/>
      <c r="NBF32" s="294"/>
      <c r="NBL32" s="292"/>
      <c r="NBM32" s="293"/>
      <c r="NBN32" s="294"/>
      <c r="NBT32" s="292"/>
      <c r="NBU32" s="293"/>
      <c r="NBV32" s="294"/>
      <c r="NCB32" s="292"/>
      <c r="NCC32" s="293"/>
      <c r="NCD32" s="294"/>
      <c r="NCJ32" s="292"/>
      <c r="NCK32" s="293"/>
      <c r="NCL32" s="294"/>
      <c r="NCR32" s="292"/>
      <c r="NCS32" s="293"/>
      <c r="NCT32" s="294"/>
      <c r="NCZ32" s="292"/>
      <c r="NDA32" s="293"/>
      <c r="NDB32" s="294"/>
      <c r="NDH32" s="292"/>
      <c r="NDI32" s="293"/>
      <c r="NDJ32" s="294"/>
      <c r="NDP32" s="292"/>
      <c r="NDQ32" s="293"/>
      <c r="NDR32" s="294"/>
      <c r="NDX32" s="292"/>
      <c r="NDY32" s="293"/>
      <c r="NDZ32" s="294"/>
      <c r="NEF32" s="292"/>
      <c r="NEG32" s="293"/>
      <c r="NEH32" s="294"/>
      <c r="NEN32" s="292"/>
      <c r="NEO32" s="293"/>
      <c r="NEP32" s="294"/>
      <c r="NEV32" s="292"/>
      <c r="NEW32" s="293"/>
      <c r="NEX32" s="294"/>
      <c r="NFD32" s="292"/>
      <c r="NFE32" s="293"/>
      <c r="NFF32" s="294"/>
      <c r="NFL32" s="292"/>
      <c r="NFM32" s="293"/>
      <c r="NFN32" s="294"/>
      <c r="NFT32" s="292"/>
      <c r="NFU32" s="293"/>
      <c r="NFV32" s="294"/>
      <c r="NGB32" s="292"/>
      <c r="NGC32" s="293"/>
      <c r="NGD32" s="294"/>
      <c r="NGJ32" s="292"/>
      <c r="NGK32" s="293"/>
      <c r="NGL32" s="294"/>
      <c r="NGR32" s="292"/>
      <c r="NGS32" s="293"/>
      <c r="NGT32" s="294"/>
      <c r="NGZ32" s="292"/>
      <c r="NHA32" s="293"/>
      <c r="NHB32" s="294"/>
      <c r="NHH32" s="292"/>
      <c r="NHI32" s="293"/>
      <c r="NHJ32" s="294"/>
      <c r="NHP32" s="292"/>
      <c r="NHQ32" s="293"/>
      <c r="NHR32" s="294"/>
      <c r="NHX32" s="292"/>
      <c r="NHY32" s="293"/>
      <c r="NHZ32" s="294"/>
      <c r="NIF32" s="292"/>
      <c r="NIG32" s="293"/>
      <c r="NIH32" s="294"/>
      <c r="NIN32" s="292"/>
      <c r="NIO32" s="293"/>
      <c r="NIP32" s="294"/>
      <c r="NIV32" s="292"/>
      <c r="NIW32" s="293"/>
      <c r="NIX32" s="294"/>
      <c r="NJD32" s="292"/>
      <c r="NJE32" s="293"/>
      <c r="NJF32" s="294"/>
      <c r="NJL32" s="292"/>
      <c r="NJM32" s="293"/>
      <c r="NJN32" s="294"/>
      <c r="NJT32" s="292"/>
      <c r="NJU32" s="293"/>
      <c r="NJV32" s="294"/>
      <c r="NKB32" s="292"/>
      <c r="NKC32" s="293"/>
      <c r="NKD32" s="294"/>
      <c r="NKJ32" s="292"/>
      <c r="NKK32" s="293"/>
      <c r="NKL32" s="294"/>
      <c r="NKR32" s="292"/>
      <c r="NKS32" s="293"/>
      <c r="NKT32" s="294"/>
      <c r="NKZ32" s="292"/>
      <c r="NLA32" s="293"/>
      <c r="NLB32" s="294"/>
      <c r="NLH32" s="292"/>
      <c r="NLI32" s="293"/>
      <c r="NLJ32" s="294"/>
      <c r="NLP32" s="292"/>
      <c r="NLQ32" s="293"/>
      <c r="NLR32" s="294"/>
      <c r="NLX32" s="292"/>
      <c r="NLY32" s="293"/>
      <c r="NLZ32" s="294"/>
      <c r="NMF32" s="292"/>
      <c r="NMG32" s="293"/>
      <c r="NMH32" s="294"/>
      <c r="NMN32" s="292"/>
      <c r="NMO32" s="293"/>
      <c r="NMP32" s="294"/>
      <c r="NMV32" s="292"/>
      <c r="NMW32" s="293"/>
      <c r="NMX32" s="294"/>
      <c r="NND32" s="292"/>
      <c r="NNE32" s="293"/>
      <c r="NNF32" s="294"/>
      <c r="NNL32" s="292"/>
      <c r="NNM32" s="293"/>
      <c r="NNN32" s="294"/>
      <c r="NNT32" s="292"/>
      <c r="NNU32" s="293"/>
      <c r="NNV32" s="294"/>
      <c r="NOB32" s="292"/>
      <c r="NOC32" s="293"/>
      <c r="NOD32" s="294"/>
      <c r="NOJ32" s="292"/>
      <c r="NOK32" s="293"/>
      <c r="NOL32" s="294"/>
      <c r="NOR32" s="292"/>
      <c r="NOS32" s="293"/>
      <c r="NOT32" s="294"/>
      <c r="NOZ32" s="292"/>
      <c r="NPA32" s="293"/>
      <c r="NPB32" s="294"/>
      <c r="NPH32" s="292"/>
      <c r="NPI32" s="293"/>
      <c r="NPJ32" s="294"/>
      <c r="NPP32" s="292"/>
      <c r="NPQ32" s="293"/>
      <c r="NPR32" s="294"/>
      <c r="NPX32" s="292"/>
      <c r="NPY32" s="293"/>
      <c r="NPZ32" s="294"/>
      <c r="NQF32" s="292"/>
      <c r="NQG32" s="293"/>
      <c r="NQH32" s="294"/>
      <c r="NQN32" s="292"/>
      <c r="NQO32" s="293"/>
      <c r="NQP32" s="294"/>
      <c r="NQV32" s="292"/>
      <c r="NQW32" s="293"/>
      <c r="NQX32" s="294"/>
      <c r="NRD32" s="292"/>
      <c r="NRE32" s="293"/>
      <c r="NRF32" s="294"/>
      <c r="NRL32" s="292"/>
      <c r="NRM32" s="293"/>
      <c r="NRN32" s="294"/>
      <c r="NRT32" s="292"/>
      <c r="NRU32" s="293"/>
      <c r="NRV32" s="294"/>
      <c r="NSB32" s="292"/>
      <c r="NSC32" s="293"/>
      <c r="NSD32" s="294"/>
      <c r="NSJ32" s="292"/>
      <c r="NSK32" s="293"/>
      <c r="NSL32" s="294"/>
      <c r="NSR32" s="292"/>
      <c r="NSS32" s="293"/>
      <c r="NST32" s="294"/>
      <c r="NSZ32" s="292"/>
      <c r="NTA32" s="293"/>
      <c r="NTB32" s="294"/>
      <c r="NTH32" s="292"/>
      <c r="NTI32" s="293"/>
      <c r="NTJ32" s="294"/>
      <c r="NTP32" s="292"/>
      <c r="NTQ32" s="293"/>
      <c r="NTR32" s="294"/>
      <c r="NTX32" s="292"/>
      <c r="NTY32" s="293"/>
      <c r="NTZ32" s="294"/>
      <c r="NUF32" s="292"/>
      <c r="NUG32" s="293"/>
      <c r="NUH32" s="294"/>
      <c r="NUN32" s="292"/>
      <c r="NUO32" s="293"/>
      <c r="NUP32" s="294"/>
      <c r="NUV32" s="292"/>
      <c r="NUW32" s="293"/>
      <c r="NUX32" s="294"/>
      <c r="NVD32" s="292"/>
      <c r="NVE32" s="293"/>
      <c r="NVF32" s="294"/>
      <c r="NVL32" s="292"/>
      <c r="NVM32" s="293"/>
      <c r="NVN32" s="294"/>
      <c r="NVT32" s="292"/>
      <c r="NVU32" s="293"/>
      <c r="NVV32" s="294"/>
      <c r="NWB32" s="292"/>
      <c r="NWC32" s="293"/>
      <c r="NWD32" s="294"/>
      <c r="NWJ32" s="292"/>
      <c r="NWK32" s="293"/>
      <c r="NWL32" s="294"/>
      <c r="NWR32" s="292"/>
      <c r="NWS32" s="293"/>
      <c r="NWT32" s="294"/>
      <c r="NWZ32" s="292"/>
      <c r="NXA32" s="293"/>
      <c r="NXB32" s="294"/>
      <c r="NXH32" s="292"/>
      <c r="NXI32" s="293"/>
      <c r="NXJ32" s="294"/>
      <c r="NXP32" s="292"/>
      <c r="NXQ32" s="293"/>
      <c r="NXR32" s="294"/>
      <c r="NXX32" s="292"/>
      <c r="NXY32" s="293"/>
      <c r="NXZ32" s="294"/>
      <c r="NYF32" s="292"/>
      <c r="NYG32" s="293"/>
      <c r="NYH32" s="294"/>
      <c r="NYN32" s="292"/>
      <c r="NYO32" s="293"/>
      <c r="NYP32" s="294"/>
      <c r="NYV32" s="292"/>
      <c r="NYW32" s="293"/>
      <c r="NYX32" s="294"/>
      <c r="NZD32" s="292"/>
      <c r="NZE32" s="293"/>
      <c r="NZF32" s="294"/>
      <c r="NZL32" s="292"/>
      <c r="NZM32" s="293"/>
      <c r="NZN32" s="294"/>
      <c r="NZT32" s="292"/>
      <c r="NZU32" s="293"/>
      <c r="NZV32" s="294"/>
      <c r="OAB32" s="292"/>
      <c r="OAC32" s="293"/>
      <c r="OAD32" s="294"/>
      <c r="OAJ32" s="292"/>
      <c r="OAK32" s="293"/>
      <c r="OAL32" s="294"/>
      <c r="OAR32" s="292"/>
      <c r="OAS32" s="293"/>
      <c r="OAT32" s="294"/>
      <c r="OAZ32" s="292"/>
      <c r="OBA32" s="293"/>
      <c r="OBB32" s="294"/>
      <c r="OBH32" s="292"/>
      <c r="OBI32" s="293"/>
      <c r="OBJ32" s="294"/>
      <c r="OBP32" s="292"/>
      <c r="OBQ32" s="293"/>
      <c r="OBR32" s="294"/>
      <c r="OBX32" s="292"/>
      <c r="OBY32" s="293"/>
      <c r="OBZ32" s="294"/>
      <c r="OCF32" s="292"/>
      <c r="OCG32" s="293"/>
      <c r="OCH32" s="294"/>
      <c r="OCN32" s="292"/>
      <c r="OCO32" s="293"/>
      <c r="OCP32" s="294"/>
      <c r="OCV32" s="292"/>
      <c r="OCW32" s="293"/>
      <c r="OCX32" s="294"/>
      <c r="ODD32" s="292"/>
      <c r="ODE32" s="293"/>
      <c r="ODF32" s="294"/>
      <c r="ODL32" s="292"/>
      <c r="ODM32" s="293"/>
      <c r="ODN32" s="294"/>
      <c r="ODT32" s="292"/>
      <c r="ODU32" s="293"/>
      <c r="ODV32" s="294"/>
      <c r="OEB32" s="292"/>
      <c r="OEC32" s="293"/>
      <c r="OED32" s="294"/>
      <c r="OEJ32" s="292"/>
      <c r="OEK32" s="293"/>
      <c r="OEL32" s="294"/>
      <c r="OER32" s="292"/>
      <c r="OES32" s="293"/>
      <c r="OET32" s="294"/>
      <c r="OEZ32" s="292"/>
      <c r="OFA32" s="293"/>
      <c r="OFB32" s="294"/>
      <c r="OFH32" s="292"/>
      <c r="OFI32" s="293"/>
      <c r="OFJ32" s="294"/>
      <c r="OFP32" s="292"/>
      <c r="OFQ32" s="293"/>
      <c r="OFR32" s="294"/>
      <c r="OFX32" s="292"/>
      <c r="OFY32" s="293"/>
      <c r="OFZ32" s="294"/>
      <c r="OGF32" s="292"/>
      <c r="OGG32" s="293"/>
      <c r="OGH32" s="294"/>
      <c r="OGN32" s="292"/>
      <c r="OGO32" s="293"/>
      <c r="OGP32" s="294"/>
      <c r="OGV32" s="292"/>
      <c r="OGW32" s="293"/>
      <c r="OGX32" s="294"/>
      <c r="OHD32" s="292"/>
      <c r="OHE32" s="293"/>
      <c r="OHF32" s="294"/>
      <c r="OHL32" s="292"/>
      <c r="OHM32" s="293"/>
      <c r="OHN32" s="294"/>
      <c r="OHT32" s="292"/>
      <c r="OHU32" s="293"/>
      <c r="OHV32" s="294"/>
      <c r="OIB32" s="292"/>
      <c r="OIC32" s="293"/>
      <c r="OID32" s="294"/>
      <c r="OIJ32" s="292"/>
      <c r="OIK32" s="293"/>
      <c r="OIL32" s="294"/>
      <c r="OIR32" s="292"/>
      <c r="OIS32" s="293"/>
      <c r="OIT32" s="294"/>
      <c r="OIZ32" s="292"/>
      <c r="OJA32" s="293"/>
      <c r="OJB32" s="294"/>
      <c r="OJH32" s="292"/>
      <c r="OJI32" s="293"/>
      <c r="OJJ32" s="294"/>
      <c r="OJP32" s="292"/>
      <c r="OJQ32" s="293"/>
      <c r="OJR32" s="294"/>
      <c r="OJX32" s="292"/>
      <c r="OJY32" s="293"/>
      <c r="OJZ32" s="294"/>
      <c r="OKF32" s="292"/>
      <c r="OKG32" s="293"/>
      <c r="OKH32" s="294"/>
      <c r="OKN32" s="292"/>
      <c r="OKO32" s="293"/>
      <c r="OKP32" s="294"/>
      <c r="OKV32" s="292"/>
      <c r="OKW32" s="293"/>
      <c r="OKX32" s="294"/>
      <c r="OLD32" s="292"/>
      <c r="OLE32" s="293"/>
      <c r="OLF32" s="294"/>
      <c r="OLL32" s="292"/>
      <c r="OLM32" s="293"/>
      <c r="OLN32" s="294"/>
      <c r="OLT32" s="292"/>
      <c r="OLU32" s="293"/>
      <c r="OLV32" s="294"/>
      <c r="OMB32" s="292"/>
      <c r="OMC32" s="293"/>
      <c r="OMD32" s="294"/>
      <c r="OMJ32" s="292"/>
      <c r="OMK32" s="293"/>
      <c r="OML32" s="294"/>
      <c r="OMR32" s="292"/>
      <c r="OMS32" s="293"/>
      <c r="OMT32" s="294"/>
      <c r="OMZ32" s="292"/>
      <c r="ONA32" s="293"/>
      <c r="ONB32" s="294"/>
      <c r="ONH32" s="292"/>
      <c r="ONI32" s="293"/>
      <c r="ONJ32" s="294"/>
      <c r="ONP32" s="292"/>
      <c r="ONQ32" s="293"/>
      <c r="ONR32" s="294"/>
      <c r="ONX32" s="292"/>
      <c r="ONY32" s="293"/>
      <c r="ONZ32" s="294"/>
      <c r="OOF32" s="292"/>
      <c r="OOG32" s="293"/>
      <c r="OOH32" s="294"/>
      <c r="OON32" s="292"/>
      <c r="OOO32" s="293"/>
      <c r="OOP32" s="294"/>
      <c r="OOV32" s="292"/>
      <c r="OOW32" s="293"/>
      <c r="OOX32" s="294"/>
      <c r="OPD32" s="292"/>
      <c r="OPE32" s="293"/>
      <c r="OPF32" s="294"/>
      <c r="OPL32" s="292"/>
      <c r="OPM32" s="293"/>
      <c r="OPN32" s="294"/>
      <c r="OPT32" s="292"/>
      <c r="OPU32" s="293"/>
      <c r="OPV32" s="294"/>
      <c r="OQB32" s="292"/>
      <c r="OQC32" s="293"/>
      <c r="OQD32" s="294"/>
      <c r="OQJ32" s="292"/>
      <c r="OQK32" s="293"/>
      <c r="OQL32" s="294"/>
      <c r="OQR32" s="292"/>
      <c r="OQS32" s="293"/>
      <c r="OQT32" s="294"/>
      <c r="OQZ32" s="292"/>
      <c r="ORA32" s="293"/>
      <c r="ORB32" s="294"/>
      <c r="ORH32" s="292"/>
      <c r="ORI32" s="293"/>
      <c r="ORJ32" s="294"/>
      <c r="ORP32" s="292"/>
      <c r="ORQ32" s="293"/>
      <c r="ORR32" s="294"/>
      <c r="ORX32" s="292"/>
      <c r="ORY32" s="293"/>
      <c r="ORZ32" s="294"/>
      <c r="OSF32" s="292"/>
      <c r="OSG32" s="293"/>
      <c r="OSH32" s="294"/>
      <c r="OSN32" s="292"/>
      <c r="OSO32" s="293"/>
      <c r="OSP32" s="294"/>
      <c r="OSV32" s="292"/>
      <c r="OSW32" s="293"/>
      <c r="OSX32" s="294"/>
      <c r="OTD32" s="292"/>
      <c r="OTE32" s="293"/>
      <c r="OTF32" s="294"/>
      <c r="OTL32" s="292"/>
      <c r="OTM32" s="293"/>
      <c r="OTN32" s="294"/>
      <c r="OTT32" s="292"/>
      <c r="OTU32" s="293"/>
      <c r="OTV32" s="294"/>
      <c r="OUB32" s="292"/>
      <c r="OUC32" s="293"/>
      <c r="OUD32" s="294"/>
      <c r="OUJ32" s="292"/>
      <c r="OUK32" s="293"/>
      <c r="OUL32" s="294"/>
      <c r="OUR32" s="292"/>
      <c r="OUS32" s="293"/>
      <c r="OUT32" s="294"/>
      <c r="OUZ32" s="292"/>
      <c r="OVA32" s="293"/>
      <c r="OVB32" s="294"/>
      <c r="OVH32" s="292"/>
      <c r="OVI32" s="293"/>
      <c r="OVJ32" s="294"/>
      <c r="OVP32" s="292"/>
      <c r="OVQ32" s="293"/>
      <c r="OVR32" s="294"/>
      <c r="OVX32" s="292"/>
      <c r="OVY32" s="293"/>
      <c r="OVZ32" s="294"/>
      <c r="OWF32" s="292"/>
      <c r="OWG32" s="293"/>
      <c r="OWH32" s="294"/>
      <c r="OWN32" s="292"/>
      <c r="OWO32" s="293"/>
      <c r="OWP32" s="294"/>
      <c r="OWV32" s="292"/>
      <c r="OWW32" s="293"/>
      <c r="OWX32" s="294"/>
      <c r="OXD32" s="292"/>
      <c r="OXE32" s="293"/>
      <c r="OXF32" s="294"/>
      <c r="OXL32" s="292"/>
      <c r="OXM32" s="293"/>
      <c r="OXN32" s="294"/>
      <c r="OXT32" s="292"/>
      <c r="OXU32" s="293"/>
      <c r="OXV32" s="294"/>
      <c r="OYB32" s="292"/>
      <c r="OYC32" s="293"/>
      <c r="OYD32" s="294"/>
      <c r="OYJ32" s="292"/>
      <c r="OYK32" s="293"/>
      <c r="OYL32" s="294"/>
      <c r="OYR32" s="292"/>
      <c r="OYS32" s="293"/>
      <c r="OYT32" s="294"/>
      <c r="OYZ32" s="292"/>
      <c r="OZA32" s="293"/>
      <c r="OZB32" s="294"/>
      <c r="OZH32" s="292"/>
      <c r="OZI32" s="293"/>
      <c r="OZJ32" s="294"/>
      <c r="OZP32" s="292"/>
      <c r="OZQ32" s="293"/>
      <c r="OZR32" s="294"/>
      <c r="OZX32" s="292"/>
      <c r="OZY32" s="293"/>
      <c r="OZZ32" s="294"/>
      <c r="PAF32" s="292"/>
      <c r="PAG32" s="293"/>
      <c r="PAH32" s="294"/>
      <c r="PAN32" s="292"/>
      <c r="PAO32" s="293"/>
      <c r="PAP32" s="294"/>
      <c r="PAV32" s="292"/>
      <c r="PAW32" s="293"/>
      <c r="PAX32" s="294"/>
      <c r="PBD32" s="292"/>
      <c r="PBE32" s="293"/>
      <c r="PBF32" s="294"/>
      <c r="PBL32" s="292"/>
      <c r="PBM32" s="293"/>
      <c r="PBN32" s="294"/>
      <c r="PBT32" s="292"/>
      <c r="PBU32" s="293"/>
      <c r="PBV32" s="294"/>
      <c r="PCB32" s="292"/>
      <c r="PCC32" s="293"/>
      <c r="PCD32" s="294"/>
      <c r="PCJ32" s="292"/>
      <c r="PCK32" s="293"/>
      <c r="PCL32" s="294"/>
      <c r="PCR32" s="292"/>
      <c r="PCS32" s="293"/>
      <c r="PCT32" s="294"/>
      <c r="PCZ32" s="292"/>
      <c r="PDA32" s="293"/>
      <c r="PDB32" s="294"/>
      <c r="PDH32" s="292"/>
      <c r="PDI32" s="293"/>
      <c r="PDJ32" s="294"/>
      <c r="PDP32" s="292"/>
      <c r="PDQ32" s="293"/>
      <c r="PDR32" s="294"/>
      <c r="PDX32" s="292"/>
      <c r="PDY32" s="293"/>
      <c r="PDZ32" s="294"/>
      <c r="PEF32" s="292"/>
      <c r="PEG32" s="293"/>
      <c r="PEH32" s="294"/>
      <c r="PEN32" s="292"/>
      <c r="PEO32" s="293"/>
      <c r="PEP32" s="294"/>
      <c r="PEV32" s="292"/>
      <c r="PEW32" s="293"/>
      <c r="PEX32" s="294"/>
      <c r="PFD32" s="292"/>
      <c r="PFE32" s="293"/>
      <c r="PFF32" s="294"/>
      <c r="PFL32" s="292"/>
      <c r="PFM32" s="293"/>
      <c r="PFN32" s="294"/>
      <c r="PFT32" s="292"/>
      <c r="PFU32" s="293"/>
      <c r="PFV32" s="294"/>
      <c r="PGB32" s="292"/>
      <c r="PGC32" s="293"/>
      <c r="PGD32" s="294"/>
      <c r="PGJ32" s="292"/>
      <c r="PGK32" s="293"/>
      <c r="PGL32" s="294"/>
      <c r="PGR32" s="292"/>
      <c r="PGS32" s="293"/>
      <c r="PGT32" s="294"/>
      <c r="PGZ32" s="292"/>
      <c r="PHA32" s="293"/>
      <c r="PHB32" s="294"/>
      <c r="PHH32" s="292"/>
      <c r="PHI32" s="293"/>
      <c r="PHJ32" s="294"/>
      <c r="PHP32" s="292"/>
      <c r="PHQ32" s="293"/>
      <c r="PHR32" s="294"/>
      <c r="PHX32" s="292"/>
      <c r="PHY32" s="293"/>
      <c r="PHZ32" s="294"/>
      <c r="PIF32" s="292"/>
      <c r="PIG32" s="293"/>
      <c r="PIH32" s="294"/>
      <c r="PIN32" s="292"/>
      <c r="PIO32" s="293"/>
      <c r="PIP32" s="294"/>
      <c r="PIV32" s="292"/>
      <c r="PIW32" s="293"/>
      <c r="PIX32" s="294"/>
      <c r="PJD32" s="292"/>
      <c r="PJE32" s="293"/>
      <c r="PJF32" s="294"/>
      <c r="PJL32" s="292"/>
      <c r="PJM32" s="293"/>
      <c r="PJN32" s="294"/>
      <c r="PJT32" s="292"/>
      <c r="PJU32" s="293"/>
      <c r="PJV32" s="294"/>
      <c r="PKB32" s="292"/>
      <c r="PKC32" s="293"/>
      <c r="PKD32" s="294"/>
      <c r="PKJ32" s="292"/>
      <c r="PKK32" s="293"/>
      <c r="PKL32" s="294"/>
      <c r="PKR32" s="292"/>
      <c r="PKS32" s="293"/>
      <c r="PKT32" s="294"/>
      <c r="PKZ32" s="292"/>
      <c r="PLA32" s="293"/>
      <c r="PLB32" s="294"/>
      <c r="PLH32" s="292"/>
      <c r="PLI32" s="293"/>
      <c r="PLJ32" s="294"/>
      <c r="PLP32" s="292"/>
      <c r="PLQ32" s="293"/>
      <c r="PLR32" s="294"/>
      <c r="PLX32" s="292"/>
      <c r="PLY32" s="293"/>
      <c r="PLZ32" s="294"/>
      <c r="PMF32" s="292"/>
      <c r="PMG32" s="293"/>
      <c r="PMH32" s="294"/>
      <c r="PMN32" s="292"/>
      <c r="PMO32" s="293"/>
      <c r="PMP32" s="294"/>
      <c r="PMV32" s="292"/>
      <c r="PMW32" s="293"/>
      <c r="PMX32" s="294"/>
      <c r="PND32" s="292"/>
      <c r="PNE32" s="293"/>
      <c r="PNF32" s="294"/>
      <c r="PNL32" s="292"/>
      <c r="PNM32" s="293"/>
      <c r="PNN32" s="294"/>
      <c r="PNT32" s="292"/>
      <c r="PNU32" s="293"/>
      <c r="PNV32" s="294"/>
      <c r="POB32" s="292"/>
      <c r="POC32" s="293"/>
      <c r="POD32" s="294"/>
      <c r="POJ32" s="292"/>
      <c r="POK32" s="293"/>
      <c r="POL32" s="294"/>
      <c r="POR32" s="292"/>
      <c r="POS32" s="293"/>
      <c r="POT32" s="294"/>
      <c r="POZ32" s="292"/>
      <c r="PPA32" s="293"/>
      <c r="PPB32" s="294"/>
      <c r="PPH32" s="292"/>
      <c r="PPI32" s="293"/>
      <c r="PPJ32" s="294"/>
      <c r="PPP32" s="292"/>
      <c r="PPQ32" s="293"/>
      <c r="PPR32" s="294"/>
      <c r="PPX32" s="292"/>
      <c r="PPY32" s="293"/>
      <c r="PPZ32" s="294"/>
      <c r="PQF32" s="292"/>
      <c r="PQG32" s="293"/>
      <c r="PQH32" s="294"/>
      <c r="PQN32" s="292"/>
      <c r="PQO32" s="293"/>
      <c r="PQP32" s="294"/>
      <c r="PQV32" s="292"/>
      <c r="PQW32" s="293"/>
      <c r="PQX32" s="294"/>
      <c r="PRD32" s="292"/>
      <c r="PRE32" s="293"/>
      <c r="PRF32" s="294"/>
      <c r="PRL32" s="292"/>
      <c r="PRM32" s="293"/>
      <c r="PRN32" s="294"/>
      <c r="PRT32" s="292"/>
      <c r="PRU32" s="293"/>
      <c r="PRV32" s="294"/>
      <c r="PSB32" s="292"/>
      <c r="PSC32" s="293"/>
      <c r="PSD32" s="294"/>
      <c r="PSJ32" s="292"/>
      <c r="PSK32" s="293"/>
      <c r="PSL32" s="294"/>
      <c r="PSR32" s="292"/>
      <c r="PSS32" s="293"/>
      <c r="PST32" s="294"/>
      <c r="PSZ32" s="292"/>
      <c r="PTA32" s="293"/>
      <c r="PTB32" s="294"/>
      <c r="PTH32" s="292"/>
      <c r="PTI32" s="293"/>
      <c r="PTJ32" s="294"/>
      <c r="PTP32" s="292"/>
      <c r="PTQ32" s="293"/>
      <c r="PTR32" s="294"/>
      <c r="PTX32" s="292"/>
      <c r="PTY32" s="293"/>
      <c r="PTZ32" s="294"/>
      <c r="PUF32" s="292"/>
      <c r="PUG32" s="293"/>
      <c r="PUH32" s="294"/>
      <c r="PUN32" s="292"/>
      <c r="PUO32" s="293"/>
      <c r="PUP32" s="294"/>
      <c r="PUV32" s="292"/>
      <c r="PUW32" s="293"/>
      <c r="PUX32" s="294"/>
      <c r="PVD32" s="292"/>
      <c r="PVE32" s="293"/>
      <c r="PVF32" s="294"/>
      <c r="PVL32" s="292"/>
      <c r="PVM32" s="293"/>
      <c r="PVN32" s="294"/>
      <c r="PVT32" s="292"/>
      <c r="PVU32" s="293"/>
      <c r="PVV32" s="294"/>
      <c r="PWB32" s="292"/>
      <c r="PWC32" s="293"/>
      <c r="PWD32" s="294"/>
      <c r="PWJ32" s="292"/>
      <c r="PWK32" s="293"/>
      <c r="PWL32" s="294"/>
      <c r="PWR32" s="292"/>
      <c r="PWS32" s="293"/>
      <c r="PWT32" s="294"/>
      <c r="PWZ32" s="292"/>
      <c r="PXA32" s="293"/>
      <c r="PXB32" s="294"/>
      <c r="PXH32" s="292"/>
      <c r="PXI32" s="293"/>
      <c r="PXJ32" s="294"/>
      <c r="PXP32" s="292"/>
      <c r="PXQ32" s="293"/>
      <c r="PXR32" s="294"/>
      <c r="PXX32" s="292"/>
      <c r="PXY32" s="293"/>
      <c r="PXZ32" s="294"/>
      <c r="PYF32" s="292"/>
      <c r="PYG32" s="293"/>
      <c r="PYH32" s="294"/>
      <c r="PYN32" s="292"/>
      <c r="PYO32" s="293"/>
      <c r="PYP32" s="294"/>
      <c r="PYV32" s="292"/>
      <c r="PYW32" s="293"/>
      <c r="PYX32" s="294"/>
      <c r="PZD32" s="292"/>
      <c r="PZE32" s="293"/>
      <c r="PZF32" s="294"/>
      <c r="PZL32" s="292"/>
      <c r="PZM32" s="293"/>
      <c r="PZN32" s="294"/>
      <c r="PZT32" s="292"/>
      <c r="PZU32" s="293"/>
      <c r="PZV32" s="294"/>
      <c r="QAB32" s="292"/>
      <c r="QAC32" s="293"/>
      <c r="QAD32" s="294"/>
      <c r="QAJ32" s="292"/>
      <c r="QAK32" s="293"/>
      <c r="QAL32" s="294"/>
      <c r="QAR32" s="292"/>
      <c r="QAS32" s="293"/>
      <c r="QAT32" s="294"/>
      <c r="QAZ32" s="292"/>
      <c r="QBA32" s="293"/>
      <c r="QBB32" s="294"/>
      <c r="QBH32" s="292"/>
      <c r="QBI32" s="293"/>
      <c r="QBJ32" s="294"/>
      <c r="QBP32" s="292"/>
      <c r="QBQ32" s="293"/>
      <c r="QBR32" s="294"/>
      <c r="QBX32" s="292"/>
      <c r="QBY32" s="293"/>
      <c r="QBZ32" s="294"/>
      <c r="QCF32" s="292"/>
      <c r="QCG32" s="293"/>
      <c r="QCH32" s="294"/>
      <c r="QCN32" s="292"/>
      <c r="QCO32" s="293"/>
      <c r="QCP32" s="294"/>
      <c r="QCV32" s="292"/>
      <c r="QCW32" s="293"/>
      <c r="QCX32" s="294"/>
      <c r="QDD32" s="292"/>
      <c r="QDE32" s="293"/>
      <c r="QDF32" s="294"/>
      <c r="QDL32" s="292"/>
      <c r="QDM32" s="293"/>
      <c r="QDN32" s="294"/>
      <c r="QDT32" s="292"/>
      <c r="QDU32" s="293"/>
      <c r="QDV32" s="294"/>
      <c r="QEB32" s="292"/>
      <c r="QEC32" s="293"/>
      <c r="QED32" s="294"/>
      <c r="QEJ32" s="292"/>
      <c r="QEK32" s="293"/>
      <c r="QEL32" s="294"/>
      <c r="QER32" s="292"/>
      <c r="QES32" s="293"/>
      <c r="QET32" s="294"/>
      <c r="QEZ32" s="292"/>
      <c r="QFA32" s="293"/>
      <c r="QFB32" s="294"/>
      <c r="QFH32" s="292"/>
      <c r="QFI32" s="293"/>
      <c r="QFJ32" s="294"/>
      <c r="QFP32" s="292"/>
      <c r="QFQ32" s="293"/>
      <c r="QFR32" s="294"/>
      <c r="QFX32" s="292"/>
      <c r="QFY32" s="293"/>
      <c r="QFZ32" s="294"/>
      <c r="QGF32" s="292"/>
      <c r="QGG32" s="293"/>
      <c r="QGH32" s="294"/>
      <c r="QGN32" s="292"/>
      <c r="QGO32" s="293"/>
      <c r="QGP32" s="294"/>
      <c r="QGV32" s="292"/>
      <c r="QGW32" s="293"/>
      <c r="QGX32" s="294"/>
      <c r="QHD32" s="292"/>
      <c r="QHE32" s="293"/>
      <c r="QHF32" s="294"/>
      <c r="QHL32" s="292"/>
      <c r="QHM32" s="293"/>
      <c r="QHN32" s="294"/>
      <c r="QHT32" s="292"/>
      <c r="QHU32" s="293"/>
      <c r="QHV32" s="294"/>
      <c r="QIB32" s="292"/>
      <c r="QIC32" s="293"/>
      <c r="QID32" s="294"/>
      <c r="QIJ32" s="292"/>
      <c r="QIK32" s="293"/>
      <c r="QIL32" s="294"/>
      <c r="QIR32" s="292"/>
      <c r="QIS32" s="293"/>
      <c r="QIT32" s="294"/>
      <c r="QIZ32" s="292"/>
      <c r="QJA32" s="293"/>
      <c r="QJB32" s="294"/>
      <c r="QJH32" s="292"/>
      <c r="QJI32" s="293"/>
      <c r="QJJ32" s="294"/>
      <c r="QJP32" s="292"/>
      <c r="QJQ32" s="293"/>
      <c r="QJR32" s="294"/>
      <c r="QJX32" s="292"/>
      <c r="QJY32" s="293"/>
      <c r="QJZ32" s="294"/>
      <c r="QKF32" s="292"/>
      <c r="QKG32" s="293"/>
      <c r="QKH32" s="294"/>
      <c r="QKN32" s="292"/>
      <c r="QKO32" s="293"/>
      <c r="QKP32" s="294"/>
      <c r="QKV32" s="292"/>
      <c r="QKW32" s="293"/>
      <c r="QKX32" s="294"/>
      <c r="QLD32" s="292"/>
      <c r="QLE32" s="293"/>
      <c r="QLF32" s="294"/>
      <c r="QLL32" s="292"/>
      <c r="QLM32" s="293"/>
      <c r="QLN32" s="294"/>
      <c r="QLT32" s="292"/>
      <c r="QLU32" s="293"/>
      <c r="QLV32" s="294"/>
      <c r="QMB32" s="292"/>
      <c r="QMC32" s="293"/>
      <c r="QMD32" s="294"/>
      <c r="QMJ32" s="292"/>
      <c r="QMK32" s="293"/>
      <c r="QML32" s="294"/>
      <c r="QMR32" s="292"/>
      <c r="QMS32" s="293"/>
      <c r="QMT32" s="294"/>
      <c r="QMZ32" s="292"/>
      <c r="QNA32" s="293"/>
      <c r="QNB32" s="294"/>
      <c r="QNH32" s="292"/>
      <c r="QNI32" s="293"/>
      <c r="QNJ32" s="294"/>
      <c r="QNP32" s="292"/>
      <c r="QNQ32" s="293"/>
      <c r="QNR32" s="294"/>
      <c r="QNX32" s="292"/>
      <c r="QNY32" s="293"/>
      <c r="QNZ32" s="294"/>
      <c r="QOF32" s="292"/>
      <c r="QOG32" s="293"/>
      <c r="QOH32" s="294"/>
      <c r="QON32" s="292"/>
      <c r="QOO32" s="293"/>
      <c r="QOP32" s="294"/>
      <c r="QOV32" s="292"/>
      <c r="QOW32" s="293"/>
      <c r="QOX32" s="294"/>
      <c r="QPD32" s="292"/>
      <c r="QPE32" s="293"/>
      <c r="QPF32" s="294"/>
      <c r="QPL32" s="292"/>
      <c r="QPM32" s="293"/>
      <c r="QPN32" s="294"/>
      <c r="QPT32" s="292"/>
      <c r="QPU32" s="293"/>
      <c r="QPV32" s="294"/>
      <c r="QQB32" s="292"/>
      <c r="QQC32" s="293"/>
      <c r="QQD32" s="294"/>
      <c r="QQJ32" s="292"/>
      <c r="QQK32" s="293"/>
      <c r="QQL32" s="294"/>
      <c r="QQR32" s="292"/>
      <c r="QQS32" s="293"/>
      <c r="QQT32" s="294"/>
      <c r="QQZ32" s="292"/>
      <c r="QRA32" s="293"/>
      <c r="QRB32" s="294"/>
      <c r="QRH32" s="292"/>
      <c r="QRI32" s="293"/>
      <c r="QRJ32" s="294"/>
      <c r="QRP32" s="292"/>
      <c r="QRQ32" s="293"/>
      <c r="QRR32" s="294"/>
      <c r="QRX32" s="292"/>
      <c r="QRY32" s="293"/>
      <c r="QRZ32" s="294"/>
      <c r="QSF32" s="292"/>
      <c r="QSG32" s="293"/>
      <c r="QSH32" s="294"/>
      <c r="QSN32" s="292"/>
      <c r="QSO32" s="293"/>
      <c r="QSP32" s="294"/>
      <c r="QSV32" s="292"/>
      <c r="QSW32" s="293"/>
      <c r="QSX32" s="294"/>
      <c r="QTD32" s="292"/>
      <c r="QTE32" s="293"/>
      <c r="QTF32" s="294"/>
      <c r="QTL32" s="292"/>
      <c r="QTM32" s="293"/>
      <c r="QTN32" s="294"/>
      <c r="QTT32" s="292"/>
      <c r="QTU32" s="293"/>
      <c r="QTV32" s="294"/>
      <c r="QUB32" s="292"/>
      <c r="QUC32" s="293"/>
      <c r="QUD32" s="294"/>
      <c r="QUJ32" s="292"/>
      <c r="QUK32" s="293"/>
      <c r="QUL32" s="294"/>
      <c r="QUR32" s="292"/>
      <c r="QUS32" s="293"/>
      <c r="QUT32" s="294"/>
      <c r="QUZ32" s="292"/>
      <c r="QVA32" s="293"/>
      <c r="QVB32" s="294"/>
      <c r="QVH32" s="292"/>
      <c r="QVI32" s="293"/>
      <c r="QVJ32" s="294"/>
      <c r="QVP32" s="292"/>
      <c r="QVQ32" s="293"/>
      <c r="QVR32" s="294"/>
      <c r="QVX32" s="292"/>
      <c r="QVY32" s="293"/>
      <c r="QVZ32" s="294"/>
      <c r="QWF32" s="292"/>
      <c r="QWG32" s="293"/>
      <c r="QWH32" s="294"/>
      <c r="QWN32" s="292"/>
      <c r="QWO32" s="293"/>
      <c r="QWP32" s="294"/>
      <c r="QWV32" s="292"/>
      <c r="QWW32" s="293"/>
      <c r="QWX32" s="294"/>
      <c r="QXD32" s="292"/>
      <c r="QXE32" s="293"/>
      <c r="QXF32" s="294"/>
      <c r="QXL32" s="292"/>
      <c r="QXM32" s="293"/>
      <c r="QXN32" s="294"/>
      <c r="QXT32" s="292"/>
      <c r="QXU32" s="293"/>
      <c r="QXV32" s="294"/>
      <c r="QYB32" s="292"/>
      <c r="QYC32" s="293"/>
      <c r="QYD32" s="294"/>
      <c r="QYJ32" s="292"/>
      <c r="QYK32" s="293"/>
      <c r="QYL32" s="294"/>
      <c r="QYR32" s="292"/>
      <c r="QYS32" s="293"/>
      <c r="QYT32" s="294"/>
      <c r="QYZ32" s="292"/>
      <c r="QZA32" s="293"/>
      <c r="QZB32" s="294"/>
      <c r="QZH32" s="292"/>
      <c r="QZI32" s="293"/>
      <c r="QZJ32" s="294"/>
      <c r="QZP32" s="292"/>
      <c r="QZQ32" s="293"/>
      <c r="QZR32" s="294"/>
      <c r="QZX32" s="292"/>
      <c r="QZY32" s="293"/>
      <c r="QZZ32" s="294"/>
      <c r="RAF32" s="292"/>
      <c r="RAG32" s="293"/>
      <c r="RAH32" s="294"/>
      <c r="RAN32" s="292"/>
      <c r="RAO32" s="293"/>
      <c r="RAP32" s="294"/>
      <c r="RAV32" s="292"/>
      <c r="RAW32" s="293"/>
      <c r="RAX32" s="294"/>
      <c r="RBD32" s="292"/>
      <c r="RBE32" s="293"/>
      <c r="RBF32" s="294"/>
      <c r="RBL32" s="292"/>
      <c r="RBM32" s="293"/>
      <c r="RBN32" s="294"/>
      <c r="RBT32" s="292"/>
      <c r="RBU32" s="293"/>
      <c r="RBV32" s="294"/>
      <c r="RCB32" s="292"/>
      <c r="RCC32" s="293"/>
      <c r="RCD32" s="294"/>
      <c r="RCJ32" s="292"/>
      <c r="RCK32" s="293"/>
      <c r="RCL32" s="294"/>
      <c r="RCR32" s="292"/>
      <c r="RCS32" s="293"/>
      <c r="RCT32" s="294"/>
      <c r="RCZ32" s="292"/>
      <c r="RDA32" s="293"/>
      <c r="RDB32" s="294"/>
      <c r="RDH32" s="292"/>
      <c r="RDI32" s="293"/>
      <c r="RDJ32" s="294"/>
      <c r="RDP32" s="292"/>
      <c r="RDQ32" s="293"/>
      <c r="RDR32" s="294"/>
      <c r="RDX32" s="292"/>
      <c r="RDY32" s="293"/>
      <c r="RDZ32" s="294"/>
      <c r="REF32" s="292"/>
      <c r="REG32" s="293"/>
      <c r="REH32" s="294"/>
      <c r="REN32" s="292"/>
      <c r="REO32" s="293"/>
      <c r="REP32" s="294"/>
      <c r="REV32" s="292"/>
      <c r="REW32" s="293"/>
      <c r="REX32" s="294"/>
      <c r="RFD32" s="292"/>
      <c r="RFE32" s="293"/>
      <c r="RFF32" s="294"/>
      <c r="RFL32" s="292"/>
      <c r="RFM32" s="293"/>
      <c r="RFN32" s="294"/>
      <c r="RFT32" s="292"/>
      <c r="RFU32" s="293"/>
      <c r="RFV32" s="294"/>
      <c r="RGB32" s="292"/>
      <c r="RGC32" s="293"/>
      <c r="RGD32" s="294"/>
      <c r="RGJ32" s="292"/>
      <c r="RGK32" s="293"/>
      <c r="RGL32" s="294"/>
      <c r="RGR32" s="292"/>
      <c r="RGS32" s="293"/>
      <c r="RGT32" s="294"/>
      <c r="RGZ32" s="292"/>
      <c r="RHA32" s="293"/>
      <c r="RHB32" s="294"/>
      <c r="RHH32" s="292"/>
      <c r="RHI32" s="293"/>
      <c r="RHJ32" s="294"/>
      <c r="RHP32" s="292"/>
      <c r="RHQ32" s="293"/>
      <c r="RHR32" s="294"/>
      <c r="RHX32" s="292"/>
      <c r="RHY32" s="293"/>
      <c r="RHZ32" s="294"/>
      <c r="RIF32" s="292"/>
      <c r="RIG32" s="293"/>
      <c r="RIH32" s="294"/>
      <c r="RIN32" s="292"/>
      <c r="RIO32" s="293"/>
      <c r="RIP32" s="294"/>
      <c r="RIV32" s="292"/>
      <c r="RIW32" s="293"/>
      <c r="RIX32" s="294"/>
      <c r="RJD32" s="292"/>
      <c r="RJE32" s="293"/>
      <c r="RJF32" s="294"/>
      <c r="RJL32" s="292"/>
      <c r="RJM32" s="293"/>
      <c r="RJN32" s="294"/>
      <c r="RJT32" s="292"/>
      <c r="RJU32" s="293"/>
      <c r="RJV32" s="294"/>
      <c r="RKB32" s="292"/>
      <c r="RKC32" s="293"/>
      <c r="RKD32" s="294"/>
      <c r="RKJ32" s="292"/>
      <c r="RKK32" s="293"/>
      <c r="RKL32" s="294"/>
      <c r="RKR32" s="292"/>
      <c r="RKS32" s="293"/>
      <c r="RKT32" s="294"/>
      <c r="RKZ32" s="292"/>
      <c r="RLA32" s="293"/>
      <c r="RLB32" s="294"/>
      <c r="RLH32" s="292"/>
      <c r="RLI32" s="293"/>
      <c r="RLJ32" s="294"/>
      <c r="RLP32" s="292"/>
      <c r="RLQ32" s="293"/>
      <c r="RLR32" s="294"/>
      <c r="RLX32" s="292"/>
      <c r="RLY32" s="293"/>
      <c r="RLZ32" s="294"/>
      <c r="RMF32" s="292"/>
      <c r="RMG32" s="293"/>
      <c r="RMH32" s="294"/>
      <c r="RMN32" s="292"/>
      <c r="RMO32" s="293"/>
      <c r="RMP32" s="294"/>
      <c r="RMV32" s="292"/>
      <c r="RMW32" s="293"/>
      <c r="RMX32" s="294"/>
      <c r="RND32" s="292"/>
      <c r="RNE32" s="293"/>
      <c r="RNF32" s="294"/>
      <c r="RNL32" s="292"/>
      <c r="RNM32" s="293"/>
      <c r="RNN32" s="294"/>
      <c r="RNT32" s="292"/>
      <c r="RNU32" s="293"/>
      <c r="RNV32" s="294"/>
      <c r="ROB32" s="292"/>
      <c r="ROC32" s="293"/>
      <c r="ROD32" s="294"/>
      <c r="ROJ32" s="292"/>
      <c r="ROK32" s="293"/>
      <c r="ROL32" s="294"/>
      <c r="ROR32" s="292"/>
      <c r="ROS32" s="293"/>
      <c r="ROT32" s="294"/>
      <c r="ROZ32" s="292"/>
      <c r="RPA32" s="293"/>
      <c r="RPB32" s="294"/>
      <c r="RPH32" s="292"/>
      <c r="RPI32" s="293"/>
      <c r="RPJ32" s="294"/>
      <c r="RPP32" s="292"/>
      <c r="RPQ32" s="293"/>
      <c r="RPR32" s="294"/>
      <c r="RPX32" s="292"/>
      <c r="RPY32" s="293"/>
      <c r="RPZ32" s="294"/>
      <c r="RQF32" s="292"/>
      <c r="RQG32" s="293"/>
      <c r="RQH32" s="294"/>
      <c r="RQN32" s="292"/>
      <c r="RQO32" s="293"/>
      <c r="RQP32" s="294"/>
      <c r="RQV32" s="292"/>
      <c r="RQW32" s="293"/>
      <c r="RQX32" s="294"/>
      <c r="RRD32" s="292"/>
      <c r="RRE32" s="293"/>
      <c r="RRF32" s="294"/>
      <c r="RRL32" s="292"/>
      <c r="RRM32" s="293"/>
      <c r="RRN32" s="294"/>
      <c r="RRT32" s="292"/>
      <c r="RRU32" s="293"/>
      <c r="RRV32" s="294"/>
      <c r="RSB32" s="292"/>
      <c r="RSC32" s="293"/>
      <c r="RSD32" s="294"/>
      <c r="RSJ32" s="292"/>
      <c r="RSK32" s="293"/>
      <c r="RSL32" s="294"/>
      <c r="RSR32" s="292"/>
      <c r="RSS32" s="293"/>
      <c r="RST32" s="294"/>
      <c r="RSZ32" s="292"/>
      <c r="RTA32" s="293"/>
      <c r="RTB32" s="294"/>
      <c r="RTH32" s="292"/>
      <c r="RTI32" s="293"/>
      <c r="RTJ32" s="294"/>
      <c r="RTP32" s="292"/>
      <c r="RTQ32" s="293"/>
      <c r="RTR32" s="294"/>
      <c r="RTX32" s="292"/>
      <c r="RTY32" s="293"/>
      <c r="RTZ32" s="294"/>
      <c r="RUF32" s="292"/>
      <c r="RUG32" s="293"/>
      <c r="RUH32" s="294"/>
      <c r="RUN32" s="292"/>
      <c r="RUO32" s="293"/>
      <c r="RUP32" s="294"/>
      <c r="RUV32" s="292"/>
      <c r="RUW32" s="293"/>
      <c r="RUX32" s="294"/>
      <c r="RVD32" s="292"/>
      <c r="RVE32" s="293"/>
      <c r="RVF32" s="294"/>
      <c r="RVL32" s="292"/>
      <c r="RVM32" s="293"/>
      <c r="RVN32" s="294"/>
      <c r="RVT32" s="292"/>
      <c r="RVU32" s="293"/>
      <c r="RVV32" s="294"/>
      <c r="RWB32" s="292"/>
      <c r="RWC32" s="293"/>
      <c r="RWD32" s="294"/>
      <c r="RWJ32" s="292"/>
      <c r="RWK32" s="293"/>
      <c r="RWL32" s="294"/>
      <c r="RWR32" s="292"/>
      <c r="RWS32" s="293"/>
      <c r="RWT32" s="294"/>
      <c r="RWZ32" s="292"/>
      <c r="RXA32" s="293"/>
      <c r="RXB32" s="294"/>
      <c r="RXH32" s="292"/>
      <c r="RXI32" s="293"/>
      <c r="RXJ32" s="294"/>
      <c r="RXP32" s="292"/>
      <c r="RXQ32" s="293"/>
      <c r="RXR32" s="294"/>
      <c r="RXX32" s="292"/>
      <c r="RXY32" s="293"/>
      <c r="RXZ32" s="294"/>
      <c r="RYF32" s="292"/>
      <c r="RYG32" s="293"/>
      <c r="RYH32" s="294"/>
      <c r="RYN32" s="292"/>
      <c r="RYO32" s="293"/>
      <c r="RYP32" s="294"/>
      <c r="RYV32" s="292"/>
      <c r="RYW32" s="293"/>
      <c r="RYX32" s="294"/>
      <c r="RZD32" s="292"/>
      <c r="RZE32" s="293"/>
      <c r="RZF32" s="294"/>
      <c r="RZL32" s="292"/>
      <c r="RZM32" s="293"/>
      <c r="RZN32" s="294"/>
      <c r="RZT32" s="292"/>
      <c r="RZU32" s="293"/>
      <c r="RZV32" s="294"/>
      <c r="SAB32" s="292"/>
      <c r="SAC32" s="293"/>
      <c r="SAD32" s="294"/>
      <c r="SAJ32" s="292"/>
      <c r="SAK32" s="293"/>
      <c r="SAL32" s="294"/>
      <c r="SAR32" s="292"/>
      <c r="SAS32" s="293"/>
      <c r="SAT32" s="294"/>
      <c r="SAZ32" s="292"/>
      <c r="SBA32" s="293"/>
      <c r="SBB32" s="294"/>
      <c r="SBH32" s="292"/>
      <c r="SBI32" s="293"/>
      <c r="SBJ32" s="294"/>
      <c r="SBP32" s="292"/>
      <c r="SBQ32" s="293"/>
      <c r="SBR32" s="294"/>
      <c r="SBX32" s="292"/>
      <c r="SBY32" s="293"/>
      <c r="SBZ32" s="294"/>
      <c r="SCF32" s="292"/>
      <c r="SCG32" s="293"/>
      <c r="SCH32" s="294"/>
      <c r="SCN32" s="292"/>
      <c r="SCO32" s="293"/>
      <c r="SCP32" s="294"/>
      <c r="SCV32" s="292"/>
      <c r="SCW32" s="293"/>
      <c r="SCX32" s="294"/>
      <c r="SDD32" s="292"/>
      <c r="SDE32" s="293"/>
      <c r="SDF32" s="294"/>
      <c r="SDL32" s="292"/>
      <c r="SDM32" s="293"/>
      <c r="SDN32" s="294"/>
      <c r="SDT32" s="292"/>
      <c r="SDU32" s="293"/>
      <c r="SDV32" s="294"/>
      <c r="SEB32" s="292"/>
      <c r="SEC32" s="293"/>
      <c r="SED32" s="294"/>
      <c r="SEJ32" s="292"/>
      <c r="SEK32" s="293"/>
      <c r="SEL32" s="294"/>
      <c r="SER32" s="292"/>
      <c r="SES32" s="293"/>
      <c r="SET32" s="294"/>
      <c r="SEZ32" s="292"/>
      <c r="SFA32" s="293"/>
      <c r="SFB32" s="294"/>
      <c r="SFH32" s="292"/>
      <c r="SFI32" s="293"/>
      <c r="SFJ32" s="294"/>
      <c r="SFP32" s="292"/>
      <c r="SFQ32" s="293"/>
      <c r="SFR32" s="294"/>
      <c r="SFX32" s="292"/>
      <c r="SFY32" s="293"/>
      <c r="SFZ32" s="294"/>
      <c r="SGF32" s="292"/>
      <c r="SGG32" s="293"/>
      <c r="SGH32" s="294"/>
      <c r="SGN32" s="292"/>
      <c r="SGO32" s="293"/>
      <c r="SGP32" s="294"/>
      <c r="SGV32" s="292"/>
      <c r="SGW32" s="293"/>
      <c r="SGX32" s="294"/>
      <c r="SHD32" s="292"/>
      <c r="SHE32" s="293"/>
      <c r="SHF32" s="294"/>
      <c r="SHL32" s="292"/>
      <c r="SHM32" s="293"/>
      <c r="SHN32" s="294"/>
      <c r="SHT32" s="292"/>
      <c r="SHU32" s="293"/>
      <c r="SHV32" s="294"/>
      <c r="SIB32" s="292"/>
      <c r="SIC32" s="293"/>
      <c r="SID32" s="294"/>
      <c r="SIJ32" s="292"/>
      <c r="SIK32" s="293"/>
      <c r="SIL32" s="294"/>
      <c r="SIR32" s="292"/>
      <c r="SIS32" s="293"/>
      <c r="SIT32" s="294"/>
      <c r="SIZ32" s="292"/>
      <c r="SJA32" s="293"/>
      <c r="SJB32" s="294"/>
      <c r="SJH32" s="292"/>
      <c r="SJI32" s="293"/>
      <c r="SJJ32" s="294"/>
      <c r="SJP32" s="292"/>
      <c r="SJQ32" s="293"/>
      <c r="SJR32" s="294"/>
      <c r="SJX32" s="292"/>
      <c r="SJY32" s="293"/>
      <c r="SJZ32" s="294"/>
      <c r="SKF32" s="292"/>
      <c r="SKG32" s="293"/>
      <c r="SKH32" s="294"/>
      <c r="SKN32" s="292"/>
      <c r="SKO32" s="293"/>
      <c r="SKP32" s="294"/>
      <c r="SKV32" s="292"/>
      <c r="SKW32" s="293"/>
      <c r="SKX32" s="294"/>
      <c r="SLD32" s="292"/>
      <c r="SLE32" s="293"/>
      <c r="SLF32" s="294"/>
      <c r="SLL32" s="292"/>
      <c r="SLM32" s="293"/>
      <c r="SLN32" s="294"/>
      <c r="SLT32" s="292"/>
      <c r="SLU32" s="293"/>
      <c r="SLV32" s="294"/>
      <c r="SMB32" s="292"/>
      <c r="SMC32" s="293"/>
      <c r="SMD32" s="294"/>
      <c r="SMJ32" s="292"/>
      <c r="SMK32" s="293"/>
      <c r="SML32" s="294"/>
      <c r="SMR32" s="292"/>
      <c r="SMS32" s="293"/>
      <c r="SMT32" s="294"/>
      <c r="SMZ32" s="292"/>
      <c r="SNA32" s="293"/>
      <c r="SNB32" s="294"/>
      <c r="SNH32" s="292"/>
      <c r="SNI32" s="293"/>
      <c r="SNJ32" s="294"/>
      <c r="SNP32" s="292"/>
      <c r="SNQ32" s="293"/>
      <c r="SNR32" s="294"/>
      <c r="SNX32" s="292"/>
      <c r="SNY32" s="293"/>
      <c r="SNZ32" s="294"/>
      <c r="SOF32" s="292"/>
      <c r="SOG32" s="293"/>
      <c r="SOH32" s="294"/>
      <c r="SON32" s="292"/>
      <c r="SOO32" s="293"/>
      <c r="SOP32" s="294"/>
      <c r="SOV32" s="292"/>
      <c r="SOW32" s="293"/>
      <c r="SOX32" s="294"/>
      <c r="SPD32" s="292"/>
      <c r="SPE32" s="293"/>
      <c r="SPF32" s="294"/>
      <c r="SPL32" s="292"/>
      <c r="SPM32" s="293"/>
      <c r="SPN32" s="294"/>
      <c r="SPT32" s="292"/>
      <c r="SPU32" s="293"/>
      <c r="SPV32" s="294"/>
      <c r="SQB32" s="292"/>
      <c r="SQC32" s="293"/>
      <c r="SQD32" s="294"/>
      <c r="SQJ32" s="292"/>
      <c r="SQK32" s="293"/>
      <c r="SQL32" s="294"/>
      <c r="SQR32" s="292"/>
      <c r="SQS32" s="293"/>
      <c r="SQT32" s="294"/>
      <c r="SQZ32" s="292"/>
      <c r="SRA32" s="293"/>
      <c r="SRB32" s="294"/>
      <c r="SRH32" s="292"/>
      <c r="SRI32" s="293"/>
      <c r="SRJ32" s="294"/>
      <c r="SRP32" s="292"/>
      <c r="SRQ32" s="293"/>
      <c r="SRR32" s="294"/>
      <c r="SRX32" s="292"/>
      <c r="SRY32" s="293"/>
      <c r="SRZ32" s="294"/>
      <c r="SSF32" s="292"/>
      <c r="SSG32" s="293"/>
      <c r="SSH32" s="294"/>
      <c r="SSN32" s="292"/>
      <c r="SSO32" s="293"/>
      <c r="SSP32" s="294"/>
      <c r="SSV32" s="292"/>
      <c r="SSW32" s="293"/>
      <c r="SSX32" s="294"/>
      <c r="STD32" s="292"/>
      <c r="STE32" s="293"/>
      <c r="STF32" s="294"/>
      <c r="STL32" s="292"/>
      <c r="STM32" s="293"/>
      <c r="STN32" s="294"/>
      <c r="STT32" s="292"/>
      <c r="STU32" s="293"/>
      <c r="STV32" s="294"/>
      <c r="SUB32" s="292"/>
      <c r="SUC32" s="293"/>
      <c r="SUD32" s="294"/>
      <c r="SUJ32" s="292"/>
      <c r="SUK32" s="293"/>
      <c r="SUL32" s="294"/>
      <c r="SUR32" s="292"/>
      <c r="SUS32" s="293"/>
      <c r="SUT32" s="294"/>
      <c r="SUZ32" s="292"/>
      <c r="SVA32" s="293"/>
      <c r="SVB32" s="294"/>
      <c r="SVH32" s="292"/>
      <c r="SVI32" s="293"/>
      <c r="SVJ32" s="294"/>
      <c r="SVP32" s="292"/>
      <c r="SVQ32" s="293"/>
      <c r="SVR32" s="294"/>
      <c r="SVX32" s="292"/>
      <c r="SVY32" s="293"/>
      <c r="SVZ32" s="294"/>
      <c r="SWF32" s="292"/>
      <c r="SWG32" s="293"/>
      <c r="SWH32" s="294"/>
      <c r="SWN32" s="292"/>
      <c r="SWO32" s="293"/>
      <c r="SWP32" s="294"/>
      <c r="SWV32" s="292"/>
      <c r="SWW32" s="293"/>
      <c r="SWX32" s="294"/>
      <c r="SXD32" s="292"/>
      <c r="SXE32" s="293"/>
      <c r="SXF32" s="294"/>
      <c r="SXL32" s="292"/>
      <c r="SXM32" s="293"/>
      <c r="SXN32" s="294"/>
      <c r="SXT32" s="292"/>
      <c r="SXU32" s="293"/>
      <c r="SXV32" s="294"/>
      <c r="SYB32" s="292"/>
      <c r="SYC32" s="293"/>
      <c r="SYD32" s="294"/>
      <c r="SYJ32" s="292"/>
      <c r="SYK32" s="293"/>
      <c r="SYL32" s="294"/>
      <c r="SYR32" s="292"/>
      <c r="SYS32" s="293"/>
      <c r="SYT32" s="294"/>
      <c r="SYZ32" s="292"/>
      <c r="SZA32" s="293"/>
      <c r="SZB32" s="294"/>
      <c r="SZH32" s="292"/>
      <c r="SZI32" s="293"/>
      <c r="SZJ32" s="294"/>
      <c r="SZP32" s="292"/>
      <c r="SZQ32" s="293"/>
      <c r="SZR32" s="294"/>
      <c r="SZX32" s="292"/>
      <c r="SZY32" s="293"/>
      <c r="SZZ32" s="294"/>
      <c r="TAF32" s="292"/>
      <c r="TAG32" s="293"/>
      <c r="TAH32" s="294"/>
      <c r="TAN32" s="292"/>
      <c r="TAO32" s="293"/>
      <c r="TAP32" s="294"/>
      <c r="TAV32" s="292"/>
      <c r="TAW32" s="293"/>
      <c r="TAX32" s="294"/>
      <c r="TBD32" s="292"/>
      <c r="TBE32" s="293"/>
      <c r="TBF32" s="294"/>
      <c r="TBL32" s="292"/>
      <c r="TBM32" s="293"/>
      <c r="TBN32" s="294"/>
      <c r="TBT32" s="292"/>
      <c r="TBU32" s="293"/>
      <c r="TBV32" s="294"/>
      <c r="TCB32" s="292"/>
      <c r="TCC32" s="293"/>
      <c r="TCD32" s="294"/>
      <c r="TCJ32" s="292"/>
      <c r="TCK32" s="293"/>
      <c r="TCL32" s="294"/>
      <c r="TCR32" s="292"/>
      <c r="TCS32" s="293"/>
      <c r="TCT32" s="294"/>
      <c r="TCZ32" s="292"/>
      <c r="TDA32" s="293"/>
      <c r="TDB32" s="294"/>
      <c r="TDH32" s="292"/>
      <c r="TDI32" s="293"/>
      <c r="TDJ32" s="294"/>
      <c r="TDP32" s="292"/>
      <c r="TDQ32" s="293"/>
      <c r="TDR32" s="294"/>
      <c r="TDX32" s="292"/>
      <c r="TDY32" s="293"/>
      <c r="TDZ32" s="294"/>
      <c r="TEF32" s="292"/>
      <c r="TEG32" s="293"/>
      <c r="TEH32" s="294"/>
      <c r="TEN32" s="292"/>
      <c r="TEO32" s="293"/>
      <c r="TEP32" s="294"/>
      <c r="TEV32" s="292"/>
      <c r="TEW32" s="293"/>
      <c r="TEX32" s="294"/>
      <c r="TFD32" s="292"/>
      <c r="TFE32" s="293"/>
      <c r="TFF32" s="294"/>
      <c r="TFL32" s="292"/>
      <c r="TFM32" s="293"/>
      <c r="TFN32" s="294"/>
      <c r="TFT32" s="292"/>
      <c r="TFU32" s="293"/>
      <c r="TFV32" s="294"/>
      <c r="TGB32" s="292"/>
      <c r="TGC32" s="293"/>
      <c r="TGD32" s="294"/>
      <c r="TGJ32" s="292"/>
      <c r="TGK32" s="293"/>
      <c r="TGL32" s="294"/>
      <c r="TGR32" s="292"/>
      <c r="TGS32" s="293"/>
      <c r="TGT32" s="294"/>
      <c r="TGZ32" s="292"/>
      <c r="THA32" s="293"/>
      <c r="THB32" s="294"/>
      <c r="THH32" s="292"/>
      <c r="THI32" s="293"/>
      <c r="THJ32" s="294"/>
      <c r="THP32" s="292"/>
      <c r="THQ32" s="293"/>
      <c r="THR32" s="294"/>
      <c r="THX32" s="292"/>
      <c r="THY32" s="293"/>
      <c r="THZ32" s="294"/>
      <c r="TIF32" s="292"/>
      <c r="TIG32" s="293"/>
      <c r="TIH32" s="294"/>
      <c r="TIN32" s="292"/>
      <c r="TIO32" s="293"/>
      <c r="TIP32" s="294"/>
      <c r="TIV32" s="292"/>
      <c r="TIW32" s="293"/>
      <c r="TIX32" s="294"/>
      <c r="TJD32" s="292"/>
      <c r="TJE32" s="293"/>
      <c r="TJF32" s="294"/>
      <c r="TJL32" s="292"/>
      <c r="TJM32" s="293"/>
      <c r="TJN32" s="294"/>
      <c r="TJT32" s="292"/>
      <c r="TJU32" s="293"/>
      <c r="TJV32" s="294"/>
      <c r="TKB32" s="292"/>
      <c r="TKC32" s="293"/>
      <c r="TKD32" s="294"/>
      <c r="TKJ32" s="292"/>
      <c r="TKK32" s="293"/>
      <c r="TKL32" s="294"/>
      <c r="TKR32" s="292"/>
      <c r="TKS32" s="293"/>
      <c r="TKT32" s="294"/>
      <c r="TKZ32" s="292"/>
      <c r="TLA32" s="293"/>
      <c r="TLB32" s="294"/>
      <c r="TLH32" s="292"/>
      <c r="TLI32" s="293"/>
      <c r="TLJ32" s="294"/>
      <c r="TLP32" s="292"/>
      <c r="TLQ32" s="293"/>
      <c r="TLR32" s="294"/>
      <c r="TLX32" s="292"/>
      <c r="TLY32" s="293"/>
      <c r="TLZ32" s="294"/>
      <c r="TMF32" s="292"/>
      <c r="TMG32" s="293"/>
      <c r="TMH32" s="294"/>
      <c r="TMN32" s="292"/>
      <c r="TMO32" s="293"/>
      <c r="TMP32" s="294"/>
      <c r="TMV32" s="292"/>
      <c r="TMW32" s="293"/>
      <c r="TMX32" s="294"/>
      <c r="TND32" s="292"/>
      <c r="TNE32" s="293"/>
      <c r="TNF32" s="294"/>
      <c r="TNL32" s="292"/>
      <c r="TNM32" s="293"/>
      <c r="TNN32" s="294"/>
      <c r="TNT32" s="292"/>
      <c r="TNU32" s="293"/>
      <c r="TNV32" s="294"/>
      <c r="TOB32" s="292"/>
      <c r="TOC32" s="293"/>
      <c r="TOD32" s="294"/>
      <c r="TOJ32" s="292"/>
      <c r="TOK32" s="293"/>
      <c r="TOL32" s="294"/>
      <c r="TOR32" s="292"/>
      <c r="TOS32" s="293"/>
      <c r="TOT32" s="294"/>
      <c r="TOZ32" s="292"/>
      <c r="TPA32" s="293"/>
      <c r="TPB32" s="294"/>
      <c r="TPH32" s="292"/>
      <c r="TPI32" s="293"/>
      <c r="TPJ32" s="294"/>
      <c r="TPP32" s="292"/>
      <c r="TPQ32" s="293"/>
      <c r="TPR32" s="294"/>
      <c r="TPX32" s="292"/>
      <c r="TPY32" s="293"/>
      <c r="TPZ32" s="294"/>
      <c r="TQF32" s="292"/>
      <c r="TQG32" s="293"/>
      <c r="TQH32" s="294"/>
      <c r="TQN32" s="292"/>
      <c r="TQO32" s="293"/>
      <c r="TQP32" s="294"/>
      <c r="TQV32" s="292"/>
      <c r="TQW32" s="293"/>
      <c r="TQX32" s="294"/>
      <c r="TRD32" s="292"/>
      <c r="TRE32" s="293"/>
      <c r="TRF32" s="294"/>
      <c r="TRL32" s="292"/>
      <c r="TRM32" s="293"/>
      <c r="TRN32" s="294"/>
      <c r="TRT32" s="292"/>
      <c r="TRU32" s="293"/>
      <c r="TRV32" s="294"/>
      <c r="TSB32" s="292"/>
      <c r="TSC32" s="293"/>
      <c r="TSD32" s="294"/>
      <c r="TSJ32" s="292"/>
      <c r="TSK32" s="293"/>
      <c r="TSL32" s="294"/>
      <c r="TSR32" s="292"/>
      <c r="TSS32" s="293"/>
      <c r="TST32" s="294"/>
      <c r="TSZ32" s="292"/>
      <c r="TTA32" s="293"/>
      <c r="TTB32" s="294"/>
      <c r="TTH32" s="292"/>
      <c r="TTI32" s="293"/>
      <c r="TTJ32" s="294"/>
      <c r="TTP32" s="292"/>
      <c r="TTQ32" s="293"/>
      <c r="TTR32" s="294"/>
      <c r="TTX32" s="292"/>
      <c r="TTY32" s="293"/>
      <c r="TTZ32" s="294"/>
      <c r="TUF32" s="292"/>
      <c r="TUG32" s="293"/>
      <c r="TUH32" s="294"/>
      <c r="TUN32" s="292"/>
      <c r="TUO32" s="293"/>
      <c r="TUP32" s="294"/>
      <c r="TUV32" s="292"/>
      <c r="TUW32" s="293"/>
      <c r="TUX32" s="294"/>
      <c r="TVD32" s="292"/>
      <c r="TVE32" s="293"/>
      <c r="TVF32" s="294"/>
      <c r="TVL32" s="292"/>
      <c r="TVM32" s="293"/>
      <c r="TVN32" s="294"/>
      <c r="TVT32" s="292"/>
      <c r="TVU32" s="293"/>
      <c r="TVV32" s="294"/>
      <c r="TWB32" s="292"/>
      <c r="TWC32" s="293"/>
      <c r="TWD32" s="294"/>
      <c r="TWJ32" s="292"/>
      <c r="TWK32" s="293"/>
      <c r="TWL32" s="294"/>
      <c r="TWR32" s="292"/>
      <c r="TWS32" s="293"/>
      <c r="TWT32" s="294"/>
      <c r="TWZ32" s="292"/>
      <c r="TXA32" s="293"/>
      <c r="TXB32" s="294"/>
      <c r="TXH32" s="292"/>
      <c r="TXI32" s="293"/>
      <c r="TXJ32" s="294"/>
      <c r="TXP32" s="292"/>
      <c r="TXQ32" s="293"/>
      <c r="TXR32" s="294"/>
      <c r="TXX32" s="292"/>
      <c r="TXY32" s="293"/>
      <c r="TXZ32" s="294"/>
      <c r="TYF32" s="292"/>
      <c r="TYG32" s="293"/>
      <c r="TYH32" s="294"/>
      <c r="TYN32" s="292"/>
      <c r="TYO32" s="293"/>
      <c r="TYP32" s="294"/>
      <c r="TYV32" s="292"/>
      <c r="TYW32" s="293"/>
      <c r="TYX32" s="294"/>
      <c r="TZD32" s="292"/>
      <c r="TZE32" s="293"/>
      <c r="TZF32" s="294"/>
      <c r="TZL32" s="292"/>
      <c r="TZM32" s="293"/>
      <c r="TZN32" s="294"/>
      <c r="TZT32" s="292"/>
      <c r="TZU32" s="293"/>
      <c r="TZV32" s="294"/>
      <c r="UAB32" s="292"/>
      <c r="UAC32" s="293"/>
      <c r="UAD32" s="294"/>
      <c r="UAJ32" s="292"/>
      <c r="UAK32" s="293"/>
      <c r="UAL32" s="294"/>
      <c r="UAR32" s="292"/>
      <c r="UAS32" s="293"/>
      <c r="UAT32" s="294"/>
      <c r="UAZ32" s="292"/>
      <c r="UBA32" s="293"/>
      <c r="UBB32" s="294"/>
      <c r="UBH32" s="292"/>
      <c r="UBI32" s="293"/>
      <c r="UBJ32" s="294"/>
      <c r="UBP32" s="292"/>
      <c r="UBQ32" s="293"/>
      <c r="UBR32" s="294"/>
      <c r="UBX32" s="292"/>
      <c r="UBY32" s="293"/>
      <c r="UBZ32" s="294"/>
      <c r="UCF32" s="292"/>
      <c r="UCG32" s="293"/>
      <c r="UCH32" s="294"/>
      <c r="UCN32" s="292"/>
      <c r="UCO32" s="293"/>
      <c r="UCP32" s="294"/>
      <c r="UCV32" s="292"/>
      <c r="UCW32" s="293"/>
      <c r="UCX32" s="294"/>
      <c r="UDD32" s="292"/>
      <c r="UDE32" s="293"/>
      <c r="UDF32" s="294"/>
      <c r="UDL32" s="292"/>
      <c r="UDM32" s="293"/>
      <c r="UDN32" s="294"/>
      <c r="UDT32" s="292"/>
      <c r="UDU32" s="293"/>
      <c r="UDV32" s="294"/>
      <c r="UEB32" s="292"/>
      <c r="UEC32" s="293"/>
      <c r="UED32" s="294"/>
      <c r="UEJ32" s="292"/>
      <c r="UEK32" s="293"/>
      <c r="UEL32" s="294"/>
      <c r="UER32" s="292"/>
      <c r="UES32" s="293"/>
      <c r="UET32" s="294"/>
      <c r="UEZ32" s="292"/>
      <c r="UFA32" s="293"/>
      <c r="UFB32" s="294"/>
      <c r="UFH32" s="292"/>
      <c r="UFI32" s="293"/>
      <c r="UFJ32" s="294"/>
      <c r="UFP32" s="292"/>
      <c r="UFQ32" s="293"/>
      <c r="UFR32" s="294"/>
      <c r="UFX32" s="292"/>
      <c r="UFY32" s="293"/>
      <c r="UFZ32" s="294"/>
      <c r="UGF32" s="292"/>
      <c r="UGG32" s="293"/>
      <c r="UGH32" s="294"/>
      <c r="UGN32" s="292"/>
      <c r="UGO32" s="293"/>
      <c r="UGP32" s="294"/>
      <c r="UGV32" s="292"/>
      <c r="UGW32" s="293"/>
      <c r="UGX32" s="294"/>
      <c r="UHD32" s="292"/>
      <c r="UHE32" s="293"/>
      <c r="UHF32" s="294"/>
      <c r="UHL32" s="292"/>
      <c r="UHM32" s="293"/>
      <c r="UHN32" s="294"/>
      <c r="UHT32" s="292"/>
      <c r="UHU32" s="293"/>
      <c r="UHV32" s="294"/>
      <c r="UIB32" s="292"/>
      <c r="UIC32" s="293"/>
      <c r="UID32" s="294"/>
      <c r="UIJ32" s="292"/>
      <c r="UIK32" s="293"/>
      <c r="UIL32" s="294"/>
      <c r="UIR32" s="292"/>
      <c r="UIS32" s="293"/>
      <c r="UIT32" s="294"/>
      <c r="UIZ32" s="292"/>
      <c r="UJA32" s="293"/>
      <c r="UJB32" s="294"/>
      <c r="UJH32" s="292"/>
      <c r="UJI32" s="293"/>
      <c r="UJJ32" s="294"/>
      <c r="UJP32" s="292"/>
      <c r="UJQ32" s="293"/>
      <c r="UJR32" s="294"/>
      <c r="UJX32" s="292"/>
      <c r="UJY32" s="293"/>
      <c r="UJZ32" s="294"/>
      <c r="UKF32" s="292"/>
      <c r="UKG32" s="293"/>
      <c r="UKH32" s="294"/>
      <c r="UKN32" s="292"/>
      <c r="UKO32" s="293"/>
      <c r="UKP32" s="294"/>
      <c r="UKV32" s="292"/>
      <c r="UKW32" s="293"/>
      <c r="UKX32" s="294"/>
      <c r="ULD32" s="292"/>
      <c r="ULE32" s="293"/>
      <c r="ULF32" s="294"/>
      <c r="ULL32" s="292"/>
      <c r="ULM32" s="293"/>
      <c r="ULN32" s="294"/>
      <c r="ULT32" s="292"/>
      <c r="ULU32" s="293"/>
      <c r="ULV32" s="294"/>
      <c r="UMB32" s="292"/>
      <c r="UMC32" s="293"/>
      <c r="UMD32" s="294"/>
      <c r="UMJ32" s="292"/>
      <c r="UMK32" s="293"/>
      <c r="UML32" s="294"/>
      <c r="UMR32" s="292"/>
      <c r="UMS32" s="293"/>
      <c r="UMT32" s="294"/>
      <c r="UMZ32" s="292"/>
      <c r="UNA32" s="293"/>
      <c r="UNB32" s="294"/>
      <c r="UNH32" s="292"/>
      <c r="UNI32" s="293"/>
      <c r="UNJ32" s="294"/>
      <c r="UNP32" s="292"/>
      <c r="UNQ32" s="293"/>
      <c r="UNR32" s="294"/>
      <c r="UNX32" s="292"/>
      <c r="UNY32" s="293"/>
      <c r="UNZ32" s="294"/>
      <c r="UOF32" s="292"/>
      <c r="UOG32" s="293"/>
      <c r="UOH32" s="294"/>
      <c r="UON32" s="292"/>
      <c r="UOO32" s="293"/>
      <c r="UOP32" s="294"/>
      <c r="UOV32" s="292"/>
      <c r="UOW32" s="293"/>
      <c r="UOX32" s="294"/>
      <c r="UPD32" s="292"/>
      <c r="UPE32" s="293"/>
      <c r="UPF32" s="294"/>
      <c r="UPL32" s="292"/>
      <c r="UPM32" s="293"/>
      <c r="UPN32" s="294"/>
      <c r="UPT32" s="292"/>
      <c r="UPU32" s="293"/>
      <c r="UPV32" s="294"/>
      <c r="UQB32" s="292"/>
      <c r="UQC32" s="293"/>
      <c r="UQD32" s="294"/>
      <c r="UQJ32" s="292"/>
      <c r="UQK32" s="293"/>
      <c r="UQL32" s="294"/>
      <c r="UQR32" s="292"/>
      <c r="UQS32" s="293"/>
      <c r="UQT32" s="294"/>
      <c r="UQZ32" s="292"/>
      <c r="URA32" s="293"/>
      <c r="URB32" s="294"/>
      <c r="URH32" s="292"/>
      <c r="URI32" s="293"/>
      <c r="URJ32" s="294"/>
      <c r="URP32" s="292"/>
      <c r="URQ32" s="293"/>
      <c r="URR32" s="294"/>
      <c r="URX32" s="292"/>
      <c r="URY32" s="293"/>
      <c r="URZ32" s="294"/>
      <c r="USF32" s="292"/>
      <c r="USG32" s="293"/>
      <c r="USH32" s="294"/>
      <c r="USN32" s="292"/>
      <c r="USO32" s="293"/>
      <c r="USP32" s="294"/>
      <c r="USV32" s="292"/>
      <c r="USW32" s="293"/>
      <c r="USX32" s="294"/>
      <c r="UTD32" s="292"/>
      <c r="UTE32" s="293"/>
      <c r="UTF32" s="294"/>
      <c r="UTL32" s="292"/>
      <c r="UTM32" s="293"/>
      <c r="UTN32" s="294"/>
      <c r="UTT32" s="292"/>
      <c r="UTU32" s="293"/>
      <c r="UTV32" s="294"/>
      <c r="UUB32" s="292"/>
      <c r="UUC32" s="293"/>
      <c r="UUD32" s="294"/>
      <c r="UUJ32" s="292"/>
      <c r="UUK32" s="293"/>
      <c r="UUL32" s="294"/>
      <c r="UUR32" s="292"/>
      <c r="UUS32" s="293"/>
      <c r="UUT32" s="294"/>
      <c r="UUZ32" s="292"/>
      <c r="UVA32" s="293"/>
      <c r="UVB32" s="294"/>
      <c r="UVH32" s="292"/>
      <c r="UVI32" s="293"/>
      <c r="UVJ32" s="294"/>
      <c r="UVP32" s="292"/>
      <c r="UVQ32" s="293"/>
      <c r="UVR32" s="294"/>
      <c r="UVX32" s="292"/>
      <c r="UVY32" s="293"/>
      <c r="UVZ32" s="294"/>
      <c r="UWF32" s="292"/>
      <c r="UWG32" s="293"/>
      <c r="UWH32" s="294"/>
      <c r="UWN32" s="292"/>
      <c r="UWO32" s="293"/>
      <c r="UWP32" s="294"/>
      <c r="UWV32" s="292"/>
      <c r="UWW32" s="293"/>
      <c r="UWX32" s="294"/>
      <c r="UXD32" s="292"/>
      <c r="UXE32" s="293"/>
      <c r="UXF32" s="294"/>
      <c r="UXL32" s="292"/>
      <c r="UXM32" s="293"/>
      <c r="UXN32" s="294"/>
      <c r="UXT32" s="292"/>
      <c r="UXU32" s="293"/>
      <c r="UXV32" s="294"/>
      <c r="UYB32" s="292"/>
      <c r="UYC32" s="293"/>
      <c r="UYD32" s="294"/>
      <c r="UYJ32" s="292"/>
      <c r="UYK32" s="293"/>
      <c r="UYL32" s="294"/>
      <c r="UYR32" s="292"/>
      <c r="UYS32" s="293"/>
      <c r="UYT32" s="294"/>
      <c r="UYZ32" s="292"/>
      <c r="UZA32" s="293"/>
      <c r="UZB32" s="294"/>
      <c r="UZH32" s="292"/>
      <c r="UZI32" s="293"/>
      <c r="UZJ32" s="294"/>
      <c r="UZP32" s="292"/>
      <c r="UZQ32" s="293"/>
      <c r="UZR32" s="294"/>
      <c r="UZX32" s="292"/>
      <c r="UZY32" s="293"/>
      <c r="UZZ32" s="294"/>
      <c r="VAF32" s="292"/>
      <c r="VAG32" s="293"/>
      <c r="VAH32" s="294"/>
      <c r="VAN32" s="292"/>
      <c r="VAO32" s="293"/>
      <c r="VAP32" s="294"/>
      <c r="VAV32" s="292"/>
      <c r="VAW32" s="293"/>
      <c r="VAX32" s="294"/>
      <c r="VBD32" s="292"/>
      <c r="VBE32" s="293"/>
      <c r="VBF32" s="294"/>
      <c r="VBL32" s="292"/>
      <c r="VBM32" s="293"/>
      <c r="VBN32" s="294"/>
      <c r="VBT32" s="292"/>
      <c r="VBU32" s="293"/>
      <c r="VBV32" s="294"/>
      <c r="VCB32" s="292"/>
      <c r="VCC32" s="293"/>
      <c r="VCD32" s="294"/>
      <c r="VCJ32" s="292"/>
      <c r="VCK32" s="293"/>
      <c r="VCL32" s="294"/>
      <c r="VCR32" s="292"/>
      <c r="VCS32" s="293"/>
      <c r="VCT32" s="294"/>
      <c r="VCZ32" s="292"/>
      <c r="VDA32" s="293"/>
      <c r="VDB32" s="294"/>
      <c r="VDH32" s="292"/>
      <c r="VDI32" s="293"/>
      <c r="VDJ32" s="294"/>
      <c r="VDP32" s="292"/>
      <c r="VDQ32" s="293"/>
      <c r="VDR32" s="294"/>
      <c r="VDX32" s="292"/>
      <c r="VDY32" s="293"/>
      <c r="VDZ32" s="294"/>
      <c r="VEF32" s="292"/>
      <c r="VEG32" s="293"/>
      <c r="VEH32" s="294"/>
      <c r="VEN32" s="292"/>
      <c r="VEO32" s="293"/>
      <c r="VEP32" s="294"/>
      <c r="VEV32" s="292"/>
      <c r="VEW32" s="293"/>
      <c r="VEX32" s="294"/>
      <c r="VFD32" s="292"/>
      <c r="VFE32" s="293"/>
      <c r="VFF32" s="294"/>
      <c r="VFL32" s="292"/>
      <c r="VFM32" s="293"/>
      <c r="VFN32" s="294"/>
      <c r="VFT32" s="292"/>
      <c r="VFU32" s="293"/>
      <c r="VFV32" s="294"/>
      <c r="VGB32" s="292"/>
      <c r="VGC32" s="293"/>
      <c r="VGD32" s="294"/>
      <c r="VGJ32" s="292"/>
      <c r="VGK32" s="293"/>
      <c r="VGL32" s="294"/>
      <c r="VGR32" s="292"/>
      <c r="VGS32" s="293"/>
      <c r="VGT32" s="294"/>
      <c r="VGZ32" s="292"/>
      <c r="VHA32" s="293"/>
      <c r="VHB32" s="294"/>
      <c r="VHH32" s="292"/>
      <c r="VHI32" s="293"/>
      <c r="VHJ32" s="294"/>
      <c r="VHP32" s="292"/>
      <c r="VHQ32" s="293"/>
      <c r="VHR32" s="294"/>
      <c r="VHX32" s="292"/>
      <c r="VHY32" s="293"/>
      <c r="VHZ32" s="294"/>
      <c r="VIF32" s="292"/>
      <c r="VIG32" s="293"/>
      <c r="VIH32" s="294"/>
      <c r="VIN32" s="292"/>
      <c r="VIO32" s="293"/>
      <c r="VIP32" s="294"/>
      <c r="VIV32" s="292"/>
      <c r="VIW32" s="293"/>
      <c r="VIX32" s="294"/>
      <c r="VJD32" s="292"/>
      <c r="VJE32" s="293"/>
      <c r="VJF32" s="294"/>
      <c r="VJL32" s="292"/>
      <c r="VJM32" s="293"/>
      <c r="VJN32" s="294"/>
      <c r="VJT32" s="292"/>
      <c r="VJU32" s="293"/>
      <c r="VJV32" s="294"/>
      <c r="VKB32" s="292"/>
      <c r="VKC32" s="293"/>
      <c r="VKD32" s="294"/>
      <c r="VKJ32" s="292"/>
      <c r="VKK32" s="293"/>
      <c r="VKL32" s="294"/>
      <c r="VKR32" s="292"/>
      <c r="VKS32" s="293"/>
      <c r="VKT32" s="294"/>
      <c r="VKZ32" s="292"/>
      <c r="VLA32" s="293"/>
      <c r="VLB32" s="294"/>
      <c r="VLH32" s="292"/>
      <c r="VLI32" s="293"/>
      <c r="VLJ32" s="294"/>
      <c r="VLP32" s="292"/>
      <c r="VLQ32" s="293"/>
      <c r="VLR32" s="294"/>
      <c r="VLX32" s="292"/>
      <c r="VLY32" s="293"/>
      <c r="VLZ32" s="294"/>
      <c r="VMF32" s="292"/>
      <c r="VMG32" s="293"/>
      <c r="VMH32" s="294"/>
      <c r="VMN32" s="292"/>
      <c r="VMO32" s="293"/>
      <c r="VMP32" s="294"/>
      <c r="VMV32" s="292"/>
      <c r="VMW32" s="293"/>
      <c r="VMX32" s="294"/>
      <c r="VND32" s="292"/>
      <c r="VNE32" s="293"/>
      <c r="VNF32" s="294"/>
      <c r="VNL32" s="292"/>
      <c r="VNM32" s="293"/>
      <c r="VNN32" s="294"/>
      <c r="VNT32" s="292"/>
      <c r="VNU32" s="293"/>
      <c r="VNV32" s="294"/>
      <c r="VOB32" s="292"/>
      <c r="VOC32" s="293"/>
      <c r="VOD32" s="294"/>
      <c r="VOJ32" s="292"/>
      <c r="VOK32" s="293"/>
      <c r="VOL32" s="294"/>
      <c r="VOR32" s="292"/>
      <c r="VOS32" s="293"/>
      <c r="VOT32" s="294"/>
      <c r="VOZ32" s="292"/>
      <c r="VPA32" s="293"/>
      <c r="VPB32" s="294"/>
      <c r="VPH32" s="292"/>
      <c r="VPI32" s="293"/>
      <c r="VPJ32" s="294"/>
      <c r="VPP32" s="292"/>
      <c r="VPQ32" s="293"/>
      <c r="VPR32" s="294"/>
      <c r="VPX32" s="292"/>
      <c r="VPY32" s="293"/>
      <c r="VPZ32" s="294"/>
      <c r="VQF32" s="292"/>
      <c r="VQG32" s="293"/>
      <c r="VQH32" s="294"/>
      <c r="VQN32" s="292"/>
      <c r="VQO32" s="293"/>
      <c r="VQP32" s="294"/>
      <c r="VQV32" s="292"/>
      <c r="VQW32" s="293"/>
      <c r="VQX32" s="294"/>
      <c r="VRD32" s="292"/>
      <c r="VRE32" s="293"/>
      <c r="VRF32" s="294"/>
      <c r="VRL32" s="292"/>
      <c r="VRM32" s="293"/>
      <c r="VRN32" s="294"/>
      <c r="VRT32" s="292"/>
      <c r="VRU32" s="293"/>
      <c r="VRV32" s="294"/>
      <c r="VSB32" s="292"/>
      <c r="VSC32" s="293"/>
      <c r="VSD32" s="294"/>
      <c r="VSJ32" s="292"/>
      <c r="VSK32" s="293"/>
      <c r="VSL32" s="294"/>
      <c r="VSR32" s="292"/>
      <c r="VSS32" s="293"/>
      <c r="VST32" s="294"/>
      <c r="VSZ32" s="292"/>
      <c r="VTA32" s="293"/>
      <c r="VTB32" s="294"/>
      <c r="VTH32" s="292"/>
      <c r="VTI32" s="293"/>
      <c r="VTJ32" s="294"/>
      <c r="VTP32" s="292"/>
      <c r="VTQ32" s="293"/>
      <c r="VTR32" s="294"/>
      <c r="VTX32" s="292"/>
      <c r="VTY32" s="293"/>
      <c r="VTZ32" s="294"/>
      <c r="VUF32" s="292"/>
      <c r="VUG32" s="293"/>
      <c r="VUH32" s="294"/>
      <c r="VUN32" s="292"/>
      <c r="VUO32" s="293"/>
      <c r="VUP32" s="294"/>
      <c r="VUV32" s="292"/>
      <c r="VUW32" s="293"/>
      <c r="VUX32" s="294"/>
      <c r="VVD32" s="292"/>
      <c r="VVE32" s="293"/>
      <c r="VVF32" s="294"/>
      <c r="VVL32" s="292"/>
      <c r="VVM32" s="293"/>
      <c r="VVN32" s="294"/>
      <c r="VVT32" s="292"/>
      <c r="VVU32" s="293"/>
      <c r="VVV32" s="294"/>
      <c r="VWB32" s="292"/>
      <c r="VWC32" s="293"/>
      <c r="VWD32" s="294"/>
      <c r="VWJ32" s="292"/>
      <c r="VWK32" s="293"/>
      <c r="VWL32" s="294"/>
      <c r="VWR32" s="292"/>
      <c r="VWS32" s="293"/>
      <c r="VWT32" s="294"/>
      <c r="VWZ32" s="292"/>
      <c r="VXA32" s="293"/>
      <c r="VXB32" s="294"/>
      <c r="VXH32" s="292"/>
      <c r="VXI32" s="293"/>
      <c r="VXJ32" s="294"/>
      <c r="VXP32" s="292"/>
      <c r="VXQ32" s="293"/>
      <c r="VXR32" s="294"/>
      <c r="VXX32" s="292"/>
      <c r="VXY32" s="293"/>
      <c r="VXZ32" s="294"/>
      <c r="VYF32" s="292"/>
      <c r="VYG32" s="293"/>
      <c r="VYH32" s="294"/>
      <c r="VYN32" s="292"/>
      <c r="VYO32" s="293"/>
      <c r="VYP32" s="294"/>
      <c r="VYV32" s="292"/>
      <c r="VYW32" s="293"/>
      <c r="VYX32" s="294"/>
      <c r="VZD32" s="292"/>
      <c r="VZE32" s="293"/>
      <c r="VZF32" s="294"/>
      <c r="VZL32" s="292"/>
      <c r="VZM32" s="293"/>
      <c r="VZN32" s="294"/>
      <c r="VZT32" s="292"/>
      <c r="VZU32" s="293"/>
      <c r="VZV32" s="294"/>
      <c r="WAB32" s="292"/>
      <c r="WAC32" s="293"/>
      <c r="WAD32" s="294"/>
      <c r="WAJ32" s="292"/>
      <c r="WAK32" s="293"/>
      <c r="WAL32" s="294"/>
      <c r="WAR32" s="292"/>
      <c r="WAS32" s="293"/>
      <c r="WAT32" s="294"/>
      <c r="WAZ32" s="292"/>
      <c r="WBA32" s="293"/>
      <c r="WBB32" s="294"/>
      <c r="WBH32" s="292"/>
      <c r="WBI32" s="293"/>
      <c r="WBJ32" s="294"/>
      <c r="WBP32" s="292"/>
      <c r="WBQ32" s="293"/>
      <c r="WBR32" s="294"/>
      <c r="WBX32" s="292"/>
      <c r="WBY32" s="293"/>
      <c r="WBZ32" s="294"/>
      <c r="WCF32" s="292"/>
      <c r="WCG32" s="293"/>
      <c r="WCH32" s="294"/>
      <c r="WCN32" s="292"/>
      <c r="WCO32" s="293"/>
      <c r="WCP32" s="294"/>
      <c r="WCV32" s="292"/>
      <c r="WCW32" s="293"/>
      <c r="WCX32" s="294"/>
      <c r="WDD32" s="292"/>
      <c r="WDE32" s="293"/>
      <c r="WDF32" s="294"/>
      <c r="WDL32" s="292"/>
      <c r="WDM32" s="293"/>
      <c r="WDN32" s="294"/>
      <c r="WDT32" s="292"/>
      <c r="WDU32" s="293"/>
      <c r="WDV32" s="294"/>
      <c r="WEB32" s="292"/>
      <c r="WEC32" s="293"/>
      <c r="WED32" s="294"/>
      <c r="WEJ32" s="292"/>
      <c r="WEK32" s="293"/>
      <c r="WEL32" s="294"/>
      <c r="WER32" s="292"/>
      <c r="WES32" s="293"/>
      <c r="WET32" s="294"/>
      <c r="WEZ32" s="292"/>
      <c r="WFA32" s="293"/>
      <c r="WFB32" s="294"/>
      <c r="WFH32" s="292"/>
      <c r="WFI32" s="293"/>
      <c r="WFJ32" s="294"/>
      <c r="WFP32" s="292"/>
      <c r="WFQ32" s="293"/>
      <c r="WFR32" s="294"/>
      <c r="WFX32" s="292"/>
      <c r="WFY32" s="293"/>
      <c r="WFZ32" s="294"/>
      <c r="WGF32" s="292"/>
      <c r="WGG32" s="293"/>
      <c r="WGH32" s="294"/>
      <c r="WGN32" s="292"/>
      <c r="WGO32" s="293"/>
      <c r="WGP32" s="294"/>
      <c r="WGV32" s="292"/>
      <c r="WGW32" s="293"/>
      <c r="WGX32" s="294"/>
      <c r="WHD32" s="292"/>
      <c r="WHE32" s="293"/>
      <c r="WHF32" s="294"/>
      <c r="WHL32" s="292"/>
      <c r="WHM32" s="293"/>
      <c r="WHN32" s="294"/>
      <c r="WHT32" s="292"/>
      <c r="WHU32" s="293"/>
      <c r="WHV32" s="294"/>
      <c r="WIB32" s="292"/>
      <c r="WIC32" s="293"/>
      <c r="WID32" s="294"/>
      <c r="WIJ32" s="292"/>
      <c r="WIK32" s="293"/>
      <c r="WIL32" s="294"/>
      <c r="WIR32" s="292"/>
      <c r="WIS32" s="293"/>
      <c r="WIT32" s="294"/>
      <c r="WIZ32" s="292"/>
      <c r="WJA32" s="293"/>
      <c r="WJB32" s="294"/>
      <c r="WJH32" s="292"/>
      <c r="WJI32" s="293"/>
      <c r="WJJ32" s="294"/>
      <c r="WJP32" s="292"/>
      <c r="WJQ32" s="293"/>
      <c r="WJR32" s="294"/>
      <c r="WJX32" s="292"/>
      <c r="WJY32" s="293"/>
      <c r="WJZ32" s="294"/>
      <c r="WKF32" s="292"/>
      <c r="WKG32" s="293"/>
      <c r="WKH32" s="294"/>
      <c r="WKN32" s="292"/>
      <c r="WKO32" s="293"/>
      <c r="WKP32" s="294"/>
      <c r="WKV32" s="292"/>
      <c r="WKW32" s="293"/>
      <c r="WKX32" s="294"/>
      <c r="WLD32" s="292"/>
      <c r="WLE32" s="293"/>
      <c r="WLF32" s="294"/>
      <c r="WLL32" s="292"/>
      <c r="WLM32" s="293"/>
      <c r="WLN32" s="294"/>
      <c r="WLT32" s="292"/>
      <c r="WLU32" s="293"/>
      <c r="WLV32" s="294"/>
      <c r="WMB32" s="292"/>
      <c r="WMC32" s="293"/>
      <c r="WMD32" s="294"/>
      <c r="WMJ32" s="292"/>
      <c r="WMK32" s="293"/>
      <c r="WML32" s="294"/>
      <c r="WMR32" s="292"/>
      <c r="WMS32" s="293"/>
      <c r="WMT32" s="294"/>
      <c r="WMZ32" s="292"/>
      <c r="WNA32" s="293"/>
      <c r="WNB32" s="294"/>
      <c r="WNH32" s="292"/>
      <c r="WNI32" s="293"/>
      <c r="WNJ32" s="294"/>
      <c r="WNP32" s="292"/>
      <c r="WNQ32" s="293"/>
      <c r="WNR32" s="294"/>
      <c r="WNX32" s="292"/>
      <c r="WNY32" s="293"/>
      <c r="WNZ32" s="294"/>
      <c r="WOF32" s="292"/>
      <c r="WOG32" s="293"/>
      <c r="WOH32" s="294"/>
      <c r="WON32" s="292"/>
      <c r="WOO32" s="293"/>
      <c r="WOP32" s="294"/>
      <c r="WOV32" s="292"/>
      <c r="WOW32" s="293"/>
      <c r="WOX32" s="294"/>
      <c r="WPD32" s="292"/>
      <c r="WPE32" s="293"/>
      <c r="WPF32" s="294"/>
      <c r="WPL32" s="292"/>
      <c r="WPM32" s="293"/>
      <c r="WPN32" s="294"/>
      <c r="WPT32" s="292"/>
      <c r="WPU32" s="293"/>
      <c r="WPV32" s="294"/>
      <c r="WQB32" s="292"/>
      <c r="WQC32" s="293"/>
      <c r="WQD32" s="294"/>
      <c r="WQJ32" s="292"/>
      <c r="WQK32" s="293"/>
      <c r="WQL32" s="294"/>
      <c r="WQR32" s="292"/>
      <c r="WQS32" s="293"/>
      <c r="WQT32" s="294"/>
      <c r="WQZ32" s="292"/>
      <c r="WRA32" s="293"/>
      <c r="WRB32" s="294"/>
      <c r="WRH32" s="292"/>
      <c r="WRI32" s="293"/>
      <c r="WRJ32" s="294"/>
      <c r="WRP32" s="292"/>
      <c r="WRQ32" s="293"/>
      <c r="WRR32" s="294"/>
      <c r="WRX32" s="292"/>
      <c r="WRY32" s="293"/>
      <c r="WRZ32" s="294"/>
      <c r="WSF32" s="292"/>
      <c r="WSG32" s="293"/>
      <c r="WSH32" s="294"/>
      <c r="WSN32" s="292"/>
      <c r="WSO32" s="293"/>
      <c r="WSP32" s="294"/>
      <c r="WSV32" s="292"/>
      <c r="WSW32" s="293"/>
      <c r="WSX32" s="294"/>
      <c r="WTD32" s="292"/>
      <c r="WTE32" s="293"/>
      <c r="WTF32" s="294"/>
      <c r="WTL32" s="292"/>
      <c r="WTM32" s="293"/>
      <c r="WTN32" s="294"/>
      <c r="WTT32" s="292"/>
      <c r="WTU32" s="293"/>
      <c r="WTV32" s="294"/>
      <c r="WUB32" s="292"/>
      <c r="WUC32" s="293"/>
      <c r="WUD32" s="294"/>
      <c r="WUJ32" s="292"/>
      <c r="WUK32" s="293"/>
      <c r="WUL32" s="294"/>
      <c r="WUR32" s="292"/>
      <c r="WUS32" s="293"/>
      <c r="WUT32" s="294"/>
      <c r="WUZ32" s="292"/>
      <c r="WVA32" s="293"/>
      <c r="WVB32" s="294"/>
      <c r="WVH32" s="292"/>
      <c r="WVI32" s="293"/>
      <c r="WVJ32" s="294"/>
      <c r="WVP32" s="292"/>
      <c r="WVQ32" s="293"/>
      <c r="WVR32" s="294"/>
      <c r="WVX32" s="292"/>
      <c r="WVY32" s="293"/>
      <c r="WVZ32" s="294"/>
      <c r="WWF32" s="292"/>
      <c r="WWG32" s="293"/>
      <c r="WWH32" s="294"/>
      <c r="WWN32" s="292"/>
      <c r="WWO32" s="293"/>
      <c r="WWP32" s="294"/>
      <c r="WWV32" s="292"/>
      <c r="WWW32" s="293"/>
      <c r="WWX32" s="294"/>
      <c r="WXD32" s="292"/>
      <c r="WXE32" s="293"/>
      <c r="WXF32" s="294"/>
      <c r="WXL32" s="292"/>
      <c r="WXM32" s="293"/>
      <c r="WXN32" s="294"/>
      <c r="WXT32" s="292"/>
      <c r="WXU32" s="293"/>
      <c r="WXV32" s="294"/>
      <c r="WYB32" s="292"/>
      <c r="WYC32" s="293"/>
      <c r="WYD32" s="294"/>
      <c r="WYJ32" s="292"/>
      <c r="WYK32" s="293"/>
      <c r="WYL32" s="294"/>
      <c r="WYR32" s="292"/>
      <c r="WYS32" s="293"/>
      <c r="WYT32" s="294"/>
      <c r="WYZ32" s="292"/>
      <c r="WZA32" s="293"/>
      <c r="WZB32" s="294"/>
      <c r="WZH32" s="292"/>
      <c r="WZI32" s="293"/>
      <c r="WZJ32" s="294"/>
      <c r="WZP32" s="292"/>
      <c r="WZQ32" s="293"/>
      <c r="WZR32" s="294"/>
      <c r="WZX32" s="292"/>
      <c r="WZY32" s="293"/>
      <c r="WZZ32" s="294"/>
      <c r="XAF32" s="292"/>
      <c r="XAG32" s="293"/>
      <c r="XAH32" s="294"/>
      <c r="XAN32" s="292"/>
      <c r="XAO32" s="293"/>
      <c r="XAP32" s="294"/>
      <c r="XAV32" s="292"/>
      <c r="XAW32" s="293"/>
      <c r="XAX32" s="294"/>
      <c r="XBD32" s="292"/>
      <c r="XBE32" s="293"/>
      <c r="XBF32" s="294"/>
      <c r="XBL32" s="292"/>
      <c r="XBM32" s="293"/>
      <c r="XBN32" s="294"/>
      <c r="XBT32" s="292"/>
      <c r="XBU32" s="293"/>
      <c r="XBV32" s="294"/>
      <c r="XCB32" s="292"/>
      <c r="XCC32" s="293"/>
      <c r="XCD32" s="294"/>
      <c r="XCJ32" s="292"/>
      <c r="XCK32" s="293"/>
      <c r="XCL32" s="294"/>
      <c r="XCR32" s="292"/>
      <c r="XCS32" s="293"/>
      <c r="XCT32" s="294"/>
      <c r="XCZ32" s="292"/>
      <c r="XDA32" s="293"/>
      <c r="XDB32" s="294"/>
      <c r="XDH32" s="292"/>
      <c r="XDI32" s="293"/>
      <c r="XDJ32" s="294"/>
      <c r="XDP32" s="292"/>
      <c r="XDQ32" s="293"/>
      <c r="XDR32" s="294"/>
      <c r="XDX32" s="292"/>
      <c r="XDY32" s="293"/>
      <c r="XDZ32" s="294"/>
      <c r="XEF32" s="292"/>
      <c r="XEG32" s="293"/>
      <c r="XEH32" s="294"/>
      <c r="XEN32" s="292"/>
      <c r="XEO32" s="293"/>
      <c r="XEP32" s="294"/>
      <c r="XEV32" s="292"/>
      <c r="XEW32" s="293"/>
      <c r="XEX32" s="294"/>
    </row>
    <row r="33" spans="1:8" x14ac:dyDescent="0.3">
      <c r="A33" s="295"/>
      <c r="B33" s="296"/>
      <c r="C33" s="294"/>
      <c r="D33" s="287"/>
      <c r="E33" s="287"/>
      <c r="F33" s="287"/>
      <c r="G33" s="287"/>
    </row>
    <row r="34" spans="1:8" s="270" customFormat="1" ht="31.5" customHeight="1" x14ac:dyDescent="0.3">
      <c r="A34" s="428" t="s">
        <v>1360</v>
      </c>
      <c r="B34" s="428"/>
      <c r="C34" s="428"/>
      <c r="D34" s="428"/>
      <c r="E34" s="428"/>
      <c r="F34" s="428"/>
      <c r="G34" s="428"/>
      <c r="H34" s="271"/>
    </row>
    <row r="35" spans="1:8" ht="12.75" customHeight="1" x14ac:dyDescent="0.3">
      <c r="A35" s="431" t="s">
        <v>1337</v>
      </c>
      <c r="B35" s="431"/>
      <c r="C35" s="431"/>
      <c r="D35" s="431"/>
      <c r="E35" s="431"/>
      <c r="F35" s="431"/>
      <c r="G35" s="431"/>
    </row>
    <row r="36" spans="1:8" x14ac:dyDescent="0.3">
      <c r="A36" s="272"/>
      <c r="B36" s="352"/>
      <c r="C36" s="272"/>
      <c r="D36" s="272"/>
      <c r="E36" s="272"/>
      <c r="F36" s="272"/>
      <c r="G36" s="272"/>
    </row>
    <row r="37" spans="1:8" ht="15" customHeight="1" x14ac:dyDescent="0.3">
      <c r="A37" s="432" t="s">
        <v>1038</v>
      </c>
      <c r="B37" s="432" t="s">
        <v>1037</v>
      </c>
      <c r="C37" s="433" t="s">
        <v>91</v>
      </c>
      <c r="D37" s="433" t="s">
        <v>90</v>
      </c>
      <c r="E37" s="433" t="s">
        <v>89</v>
      </c>
      <c r="F37" s="433" t="s">
        <v>1186</v>
      </c>
      <c r="G37" s="433"/>
    </row>
    <row r="38" spans="1:8" ht="50.15" customHeight="1" x14ac:dyDescent="0.3">
      <c r="A38" s="432"/>
      <c r="B38" s="432"/>
      <c r="C38" s="433"/>
      <c r="D38" s="433"/>
      <c r="E38" s="433"/>
      <c r="F38" s="273" t="s">
        <v>88</v>
      </c>
      <c r="G38" s="273" t="s">
        <v>87</v>
      </c>
    </row>
    <row r="39" spans="1:8" x14ac:dyDescent="0.3">
      <c r="A39" s="274"/>
      <c r="B39" s="275"/>
      <c r="C39" s="275"/>
      <c r="D39" s="276"/>
      <c r="E39" s="276"/>
      <c r="F39" s="276"/>
      <c r="G39" s="365"/>
    </row>
    <row r="40" spans="1:8" ht="32.25" customHeight="1" x14ac:dyDescent="0.3">
      <c r="A40" s="281" t="s">
        <v>574</v>
      </c>
      <c r="B40" s="296" t="s">
        <v>1003</v>
      </c>
      <c r="C40" s="332">
        <v>18598.82</v>
      </c>
      <c r="D40" s="332">
        <v>1315.643</v>
      </c>
      <c r="E40" s="333">
        <f t="shared" ref="E40:E53" si="1">IF(C40&lt;&gt;"",D40/C40*100,"")</f>
        <v>7.0737982302103042</v>
      </c>
      <c r="F40" s="332">
        <v>16434.61</v>
      </c>
      <c r="G40" s="334">
        <v>20763.03</v>
      </c>
      <c r="H40" s="278"/>
    </row>
    <row r="41" spans="1:8" x14ac:dyDescent="0.3">
      <c r="A41" s="281" t="s">
        <v>375</v>
      </c>
      <c r="B41" s="296" t="s">
        <v>876</v>
      </c>
      <c r="C41" s="332">
        <v>15533.14</v>
      </c>
      <c r="D41" s="332">
        <v>266.52269999999999</v>
      </c>
      <c r="E41" s="333">
        <f t="shared" si="1"/>
        <v>1.7158327292485613</v>
      </c>
      <c r="F41" s="332">
        <v>15094.71</v>
      </c>
      <c r="G41" s="334">
        <v>15971.56</v>
      </c>
      <c r="H41" s="278"/>
    </row>
    <row r="42" spans="1:8" x14ac:dyDescent="0.3">
      <c r="A42" s="281" t="s">
        <v>650</v>
      </c>
      <c r="B42" s="296" t="s">
        <v>867</v>
      </c>
      <c r="C42" s="332">
        <v>18992.11</v>
      </c>
      <c r="D42" s="332">
        <v>1557.021</v>
      </c>
      <c r="E42" s="333">
        <f t="shared" si="1"/>
        <v>8.1982518003528835</v>
      </c>
      <c r="F42" s="332">
        <v>16430.84</v>
      </c>
      <c r="G42" s="334">
        <v>21553.39</v>
      </c>
      <c r="H42" s="278"/>
    </row>
    <row r="43" spans="1:8" ht="14.25" customHeight="1" x14ac:dyDescent="0.3">
      <c r="A43" s="281" t="s">
        <v>474</v>
      </c>
      <c r="B43" s="296" t="s">
        <v>1057</v>
      </c>
      <c r="C43" s="332">
        <v>19304.05</v>
      </c>
      <c r="D43" s="332">
        <v>919.80960000000005</v>
      </c>
      <c r="E43" s="333">
        <f t="shared" si="1"/>
        <v>4.7648529712676879</v>
      </c>
      <c r="F43" s="332">
        <v>17790.98</v>
      </c>
      <c r="G43" s="334">
        <v>20817.12</v>
      </c>
      <c r="H43" s="278"/>
    </row>
    <row r="44" spans="1:8" x14ac:dyDescent="0.3">
      <c r="A44" s="281" t="s">
        <v>441</v>
      </c>
      <c r="B44" s="296" t="s">
        <v>846</v>
      </c>
      <c r="C44" s="332">
        <v>19342.080000000002</v>
      </c>
      <c r="D44" s="332">
        <v>589.46749999999997</v>
      </c>
      <c r="E44" s="333">
        <f t="shared" si="1"/>
        <v>3.0475910553570245</v>
      </c>
      <c r="F44" s="332">
        <v>18372.41</v>
      </c>
      <c r="G44" s="334">
        <v>20311.740000000002</v>
      </c>
      <c r="H44" s="278"/>
    </row>
    <row r="45" spans="1:8" ht="28" x14ac:dyDescent="0.3">
      <c r="A45" s="281" t="s">
        <v>581</v>
      </c>
      <c r="B45" s="296" t="s">
        <v>1075</v>
      </c>
      <c r="C45" s="332">
        <v>25133.38</v>
      </c>
      <c r="D45" s="332">
        <v>2190.4430000000002</v>
      </c>
      <c r="E45" s="333">
        <f t="shared" si="1"/>
        <v>8.7152742687215188</v>
      </c>
      <c r="F45" s="332">
        <v>21530.14</v>
      </c>
      <c r="G45" s="334">
        <v>28736.62</v>
      </c>
      <c r="H45" s="278"/>
    </row>
    <row r="46" spans="1:8" ht="12" customHeight="1" x14ac:dyDescent="0.3">
      <c r="A46" s="281" t="s">
        <v>554</v>
      </c>
      <c r="B46" s="296" t="s">
        <v>817</v>
      </c>
      <c r="C46" s="332">
        <v>18695.77</v>
      </c>
      <c r="D46" s="332">
        <v>1443.2439999999999</v>
      </c>
      <c r="E46" s="333">
        <f t="shared" si="1"/>
        <v>7.719628557689787</v>
      </c>
      <c r="F46" s="332">
        <v>16321.66</v>
      </c>
      <c r="G46" s="334">
        <v>21069.88</v>
      </c>
      <c r="H46" s="278"/>
    </row>
    <row r="47" spans="1:8" ht="12.75" customHeight="1" x14ac:dyDescent="0.3">
      <c r="A47" s="281" t="s">
        <v>598</v>
      </c>
      <c r="B47" s="296" t="s">
        <v>800</v>
      </c>
      <c r="C47" s="332">
        <v>18721.900000000001</v>
      </c>
      <c r="D47" s="332">
        <v>1002.1950000000001</v>
      </c>
      <c r="E47" s="333">
        <f t="shared" si="1"/>
        <v>5.3530624562677929</v>
      </c>
      <c r="F47" s="332">
        <v>17073.310000000001</v>
      </c>
      <c r="G47" s="334">
        <v>20370.490000000002</v>
      </c>
      <c r="H47" s="278"/>
    </row>
    <row r="48" spans="1:8" ht="12.75" customHeight="1" x14ac:dyDescent="0.3">
      <c r="A48" s="281" t="s">
        <v>396</v>
      </c>
      <c r="B48" s="296" t="s">
        <v>786</v>
      </c>
      <c r="C48" s="332">
        <v>17652.669999999998</v>
      </c>
      <c r="D48" s="332">
        <v>1691.498</v>
      </c>
      <c r="E48" s="333">
        <f t="shared" si="1"/>
        <v>9.5821085422205279</v>
      </c>
      <c r="F48" s="332">
        <v>14870.19</v>
      </c>
      <c r="G48" s="334">
        <v>20435.16</v>
      </c>
      <c r="H48" s="278"/>
    </row>
    <row r="49" spans="1:16378" ht="14.25" customHeight="1" x14ac:dyDescent="0.3">
      <c r="A49" s="281" t="s">
        <v>334</v>
      </c>
      <c r="B49" s="296" t="s">
        <v>1056</v>
      </c>
      <c r="C49" s="332">
        <v>24504.06</v>
      </c>
      <c r="D49" s="332">
        <v>1745.4169999999999</v>
      </c>
      <c r="E49" s="333">
        <f t="shared" si="1"/>
        <v>7.1229706424159902</v>
      </c>
      <c r="F49" s="332">
        <v>21632.87</v>
      </c>
      <c r="G49" s="334">
        <v>27375.24</v>
      </c>
      <c r="H49" s="278"/>
    </row>
    <row r="50" spans="1:16378" ht="25.5" customHeight="1" x14ac:dyDescent="0.3">
      <c r="A50" s="281" t="s">
        <v>1055</v>
      </c>
      <c r="B50" s="296" t="s">
        <v>1104</v>
      </c>
      <c r="C50" s="332">
        <v>20259.259999999998</v>
      </c>
      <c r="D50" s="332">
        <v>1417.2809999999999</v>
      </c>
      <c r="E50" s="333">
        <f t="shared" si="1"/>
        <v>6.9957194882735108</v>
      </c>
      <c r="F50" s="332">
        <v>17927.86</v>
      </c>
      <c r="G50" s="334">
        <v>22590.66</v>
      </c>
      <c r="H50" s="278"/>
    </row>
    <row r="51" spans="1:16378" ht="13.5" customHeight="1" x14ac:dyDescent="0.3">
      <c r="A51" s="281" t="s">
        <v>385</v>
      </c>
      <c r="B51" s="296" t="s">
        <v>751</v>
      </c>
      <c r="C51" s="332">
        <v>17347.16</v>
      </c>
      <c r="D51" s="332">
        <v>581.53579999999999</v>
      </c>
      <c r="E51" s="333">
        <f t="shared" si="1"/>
        <v>3.3523400948627899</v>
      </c>
      <c r="F51" s="332">
        <v>16390.54</v>
      </c>
      <c r="G51" s="334">
        <v>18303.77</v>
      </c>
      <c r="H51" s="278"/>
    </row>
    <row r="52" spans="1:16378" x14ac:dyDescent="0.3">
      <c r="A52" s="281" t="s">
        <v>487</v>
      </c>
      <c r="B52" s="296" t="s">
        <v>730</v>
      </c>
      <c r="C52" s="332">
        <v>19763.13</v>
      </c>
      <c r="D52" s="332">
        <v>1098.8879999999999</v>
      </c>
      <c r="E52" s="333">
        <f t="shared" si="1"/>
        <v>5.5602933341024414</v>
      </c>
      <c r="F52" s="332">
        <v>17955.48</v>
      </c>
      <c r="G52" s="334">
        <v>21570.78</v>
      </c>
      <c r="H52" s="278"/>
    </row>
    <row r="53" spans="1:16378" ht="28" x14ac:dyDescent="0.3">
      <c r="A53" s="281" t="s">
        <v>1053</v>
      </c>
      <c r="B53" s="296" t="s">
        <v>1109</v>
      </c>
      <c r="C53" s="332">
        <v>16809.740000000002</v>
      </c>
      <c r="D53" s="332">
        <v>536.26670000000001</v>
      </c>
      <c r="E53" s="333">
        <f t="shared" si="1"/>
        <v>3.1902141258579846</v>
      </c>
      <c r="F53" s="332">
        <v>15927.6</v>
      </c>
      <c r="G53" s="334">
        <v>17691.89</v>
      </c>
      <c r="H53" s="278"/>
    </row>
    <row r="54" spans="1:16378" x14ac:dyDescent="0.3">
      <c r="A54" s="285"/>
      <c r="B54" s="296"/>
      <c r="C54" s="298"/>
      <c r="D54" s="319"/>
      <c r="E54" s="319"/>
      <c r="F54" s="319"/>
      <c r="G54" s="331"/>
    </row>
    <row r="55" spans="1:16378" s="279" customFormat="1" ht="42" x14ac:dyDescent="0.3">
      <c r="A55" s="284" t="s">
        <v>391</v>
      </c>
      <c r="B55" s="325" t="s">
        <v>1103</v>
      </c>
      <c r="C55" s="326">
        <v>30445.52</v>
      </c>
      <c r="D55" s="326">
        <v>1279.999</v>
      </c>
      <c r="E55" s="327">
        <f>IF(C55&lt;&gt;"",D55/C55*100,"")</f>
        <v>4.2042277484503465</v>
      </c>
      <c r="F55" s="326">
        <v>28339.94</v>
      </c>
      <c r="G55" s="328">
        <v>32551.09</v>
      </c>
      <c r="H55" s="278"/>
    </row>
    <row r="56" spans="1:16378" x14ac:dyDescent="0.3">
      <c r="A56" s="285"/>
      <c r="B56" s="296"/>
      <c r="C56" s="298"/>
      <c r="D56" s="366"/>
      <c r="E56" s="323"/>
      <c r="F56" s="323"/>
      <c r="G56" s="361"/>
    </row>
    <row r="57" spans="1:16378" s="279" customFormat="1" ht="51.75" customHeight="1" x14ac:dyDescent="0.3">
      <c r="A57" s="284" t="s">
        <v>1049</v>
      </c>
      <c r="B57" s="354" t="s">
        <v>1363</v>
      </c>
      <c r="C57" s="326">
        <v>19029.39</v>
      </c>
      <c r="D57" s="326">
        <v>445.2758</v>
      </c>
      <c r="E57" s="327">
        <f>IF(C57&lt;&gt;"",D57/C57*100,"")</f>
        <v>2.3399373285218288</v>
      </c>
      <c r="F57" s="326">
        <v>18296.919999999998</v>
      </c>
      <c r="G57" s="328">
        <v>19761.87</v>
      </c>
      <c r="H57" s="278"/>
    </row>
    <row r="58" spans="1:16378" x14ac:dyDescent="0.3">
      <c r="A58" s="281" t="s">
        <v>402</v>
      </c>
      <c r="B58" s="296" t="s">
        <v>677</v>
      </c>
      <c r="C58" s="332">
        <v>19468.55</v>
      </c>
      <c r="D58" s="332">
        <v>514.27819999999997</v>
      </c>
      <c r="E58" s="333">
        <f>IF(C58&lt;&gt;"",D58/C58*100,"")</f>
        <v>2.6415845042388879</v>
      </c>
      <c r="F58" s="332">
        <v>18622.57</v>
      </c>
      <c r="G58" s="334">
        <v>20314.53</v>
      </c>
      <c r="H58" s="278"/>
    </row>
    <row r="59" spans="1:16378" ht="47.25" customHeight="1" x14ac:dyDescent="0.3">
      <c r="A59" s="288" t="s">
        <v>1110</v>
      </c>
      <c r="B59" s="367" t="s">
        <v>1047</v>
      </c>
      <c r="C59" s="336">
        <v>17124.900000000001</v>
      </c>
      <c r="D59" s="336">
        <v>601.37699999999995</v>
      </c>
      <c r="E59" s="337">
        <f>IF(C59&lt;&gt;"",D59/C59*100,"")</f>
        <v>3.5117110172906112</v>
      </c>
      <c r="F59" s="336">
        <v>16135.65</v>
      </c>
      <c r="G59" s="338">
        <v>18114.16</v>
      </c>
      <c r="H59" s="278"/>
    </row>
    <row r="60" spans="1:16378" s="287" customFormat="1" ht="5.5" customHeight="1" x14ac:dyDescent="0.3">
      <c r="A60" s="288"/>
      <c r="B60" s="289"/>
      <c r="C60" s="316"/>
      <c r="D60" s="317"/>
      <c r="E60" s="317"/>
      <c r="F60" s="317"/>
      <c r="G60" s="317"/>
      <c r="H60" s="292"/>
      <c r="I60" s="293"/>
      <c r="J60" s="294"/>
      <c r="P60" s="292"/>
      <c r="Q60" s="293"/>
      <c r="R60" s="294"/>
      <c r="X60" s="292"/>
      <c r="Y60" s="293"/>
      <c r="Z60" s="294"/>
      <c r="AF60" s="292"/>
      <c r="AG60" s="293"/>
      <c r="AH60" s="294"/>
      <c r="AN60" s="292"/>
      <c r="AO60" s="293"/>
      <c r="AP60" s="294"/>
      <c r="AV60" s="292"/>
      <c r="AW60" s="293"/>
      <c r="AX60" s="294"/>
      <c r="BD60" s="292"/>
      <c r="BE60" s="293"/>
      <c r="BF60" s="294"/>
      <c r="BL60" s="292"/>
      <c r="BM60" s="293"/>
      <c r="BN60" s="294"/>
      <c r="BT60" s="292"/>
      <c r="BU60" s="293"/>
      <c r="BV60" s="294"/>
      <c r="CB60" s="292"/>
      <c r="CC60" s="293"/>
      <c r="CD60" s="294"/>
      <c r="CJ60" s="292"/>
      <c r="CK60" s="293"/>
      <c r="CL60" s="294"/>
      <c r="CR60" s="292"/>
      <c r="CS60" s="293"/>
      <c r="CT60" s="294"/>
      <c r="CZ60" s="292"/>
      <c r="DA60" s="293"/>
      <c r="DB60" s="294"/>
      <c r="DH60" s="292"/>
      <c r="DI60" s="293"/>
      <c r="DJ60" s="294"/>
      <c r="DP60" s="292"/>
      <c r="DQ60" s="293"/>
      <c r="DR60" s="294"/>
      <c r="DX60" s="292"/>
      <c r="DY60" s="293"/>
      <c r="DZ60" s="294"/>
      <c r="EF60" s="292"/>
      <c r="EG60" s="293"/>
      <c r="EH60" s="294"/>
      <c r="EN60" s="292"/>
      <c r="EO60" s="293"/>
      <c r="EP60" s="294"/>
      <c r="EV60" s="292"/>
      <c r="EW60" s="293"/>
      <c r="EX60" s="294"/>
      <c r="FD60" s="292"/>
      <c r="FE60" s="293"/>
      <c r="FF60" s="294"/>
      <c r="FL60" s="292"/>
      <c r="FM60" s="293"/>
      <c r="FN60" s="294"/>
      <c r="FT60" s="292"/>
      <c r="FU60" s="293"/>
      <c r="FV60" s="294"/>
      <c r="GB60" s="292"/>
      <c r="GC60" s="293"/>
      <c r="GD60" s="294"/>
      <c r="GJ60" s="292"/>
      <c r="GK60" s="293"/>
      <c r="GL60" s="294"/>
      <c r="GR60" s="292"/>
      <c r="GS60" s="293"/>
      <c r="GT60" s="294"/>
      <c r="GZ60" s="292"/>
      <c r="HA60" s="293"/>
      <c r="HB60" s="294"/>
      <c r="HH60" s="292"/>
      <c r="HI60" s="293"/>
      <c r="HJ60" s="294"/>
      <c r="HP60" s="292"/>
      <c r="HQ60" s="293"/>
      <c r="HR60" s="294"/>
      <c r="HX60" s="292"/>
      <c r="HY60" s="293"/>
      <c r="HZ60" s="294"/>
      <c r="IF60" s="292"/>
      <c r="IG60" s="293"/>
      <c r="IH60" s="294"/>
      <c r="IN60" s="292"/>
      <c r="IO60" s="293"/>
      <c r="IP60" s="294"/>
      <c r="IV60" s="292"/>
      <c r="IW60" s="293"/>
      <c r="IX60" s="294"/>
      <c r="JD60" s="292"/>
      <c r="JE60" s="293"/>
      <c r="JF60" s="294"/>
      <c r="JL60" s="292"/>
      <c r="JM60" s="293"/>
      <c r="JN60" s="294"/>
      <c r="JT60" s="292"/>
      <c r="JU60" s="293"/>
      <c r="JV60" s="294"/>
      <c r="KB60" s="292"/>
      <c r="KC60" s="293"/>
      <c r="KD60" s="294"/>
      <c r="KJ60" s="292"/>
      <c r="KK60" s="293"/>
      <c r="KL60" s="294"/>
      <c r="KR60" s="292"/>
      <c r="KS60" s="293"/>
      <c r="KT60" s="294"/>
      <c r="KZ60" s="292"/>
      <c r="LA60" s="293"/>
      <c r="LB60" s="294"/>
      <c r="LH60" s="292"/>
      <c r="LI60" s="293"/>
      <c r="LJ60" s="294"/>
      <c r="LP60" s="292"/>
      <c r="LQ60" s="293"/>
      <c r="LR60" s="294"/>
      <c r="LX60" s="292"/>
      <c r="LY60" s="293"/>
      <c r="LZ60" s="294"/>
      <c r="MF60" s="292"/>
      <c r="MG60" s="293"/>
      <c r="MH60" s="294"/>
      <c r="MN60" s="292"/>
      <c r="MO60" s="293"/>
      <c r="MP60" s="294"/>
      <c r="MV60" s="292"/>
      <c r="MW60" s="293"/>
      <c r="MX60" s="294"/>
      <c r="ND60" s="292"/>
      <c r="NE60" s="293"/>
      <c r="NF60" s="294"/>
      <c r="NL60" s="292"/>
      <c r="NM60" s="293"/>
      <c r="NN60" s="294"/>
      <c r="NT60" s="292"/>
      <c r="NU60" s="293"/>
      <c r="NV60" s="294"/>
      <c r="OB60" s="292"/>
      <c r="OC60" s="293"/>
      <c r="OD60" s="294"/>
      <c r="OJ60" s="292"/>
      <c r="OK60" s="293"/>
      <c r="OL60" s="294"/>
      <c r="OR60" s="292"/>
      <c r="OS60" s="293"/>
      <c r="OT60" s="294"/>
      <c r="OZ60" s="292"/>
      <c r="PA60" s="293"/>
      <c r="PB60" s="294"/>
      <c r="PH60" s="292"/>
      <c r="PI60" s="293"/>
      <c r="PJ60" s="294"/>
      <c r="PP60" s="292"/>
      <c r="PQ60" s="293"/>
      <c r="PR60" s="294"/>
      <c r="PX60" s="292"/>
      <c r="PY60" s="293"/>
      <c r="PZ60" s="294"/>
      <c r="QF60" s="292"/>
      <c r="QG60" s="293"/>
      <c r="QH60" s="294"/>
      <c r="QN60" s="292"/>
      <c r="QO60" s="293"/>
      <c r="QP60" s="294"/>
      <c r="QV60" s="292"/>
      <c r="QW60" s="293"/>
      <c r="QX60" s="294"/>
      <c r="RD60" s="292"/>
      <c r="RE60" s="293"/>
      <c r="RF60" s="294"/>
      <c r="RL60" s="292"/>
      <c r="RM60" s="293"/>
      <c r="RN60" s="294"/>
      <c r="RT60" s="292"/>
      <c r="RU60" s="293"/>
      <c r="RV60" s="294"/>
      <c r="SB60" s="292"/>
      <c r="SC60" s="293"/>
      <c r="SD60" s="294"/>
      <c r="SJ60" s="292"/>
      <c r="SK60" s="293"/>
      <c r="SL60" s="294"/>
      <c r="SR60" s="292"/>
      <c r="SS60" s="293"/>
      <c r="ST60" s="294"/>
      <c r="SZ60" s="292"/>
      <c r="TA60" s="293"/>
      <c r="TB60" s="294"/>
      <c r="TH60" s="292"/>
      <c r="TI60" s="293"/>
      <c r="TJ60" s="294"/>
      <c r="TP60" s="292"/>
      <c r="TQ60" s="293"/>
      <c r="TR60" s="294"/>
      <c r="TX60" s="292"/>
      <c r="TY60" s="293"/>
      <c r="TZ60" s="294"/>
      <c r="UF60" s="292"/>
      <c r="UG60" s="293"/>
      <c r="UH60" s="294"/>
      <c r="UN60" s="292"/>
      <c r="UO60" s="293"/>
      <c r="UP60" s="294"/>
      <c r="UV60" s="292"/>
      <c r="UW60" s="293"/>
      <c r="UX60" s="294"/>
      <c r="VD60" s="292"/>
      <c r="VE60" s="293"/>
      <c r="VF60" s="294"/>
      <c r="VL60" s="292"/>
      <c r="VM60" s="293"/>
      <c r="VN60" s="294"/>
      <c r="VT60" s="292"/>
      <c r="VU60" s="293"/>
      <c r="VV60" s="294"/>
      <c r="WB60" s="292"/>
      <c r="WC60" s="293"/>
      <c r="WD60" s="294"/>
      <c r="WJ60" s="292"/>
      <c r="WK60" s="293"/>
      <c r="WL60" s="294"/>
      <c r="WR60" s="292"/>
      <c r="WS60" s="293"/>
      <c r="WT60" s="294"/>
      <c r="WZ60" s="292"/>
      <c r="XA60" s="293"/>
      <c r="XB60" s="294"/>
      <c r="XH60" s="292"/>
      <c r="XI60" s="293"/>
      <c r="XJ60" s="294"/>
      <c r="XP60" s="292"/>
      <c r="XQ60" s="293"/>
      <c r="XR60" s="294"/>
      <c r="XX60" s="292"/>
      <c r="XY60" s="293"/>
      <c r="XZ60" s="294"/>
      <c r="YF60" s="292"/>
      <c r="YG60" s="293"/>
      <c r="YH60" s="294"/>
      <c r="YN60" s="292"/>
      <c r="YO60" s="293"/>
      <c r="YP60" s="294"/>
      <c r="YV60" s="292"/>
      <c r="YW60" s="293"/>
      <c r="YX60" s="294"/>
      <c r="ZD60" s="292"/>
      <c r="ZE60" s="293"/>
      <c r="ZF60" s="294"/>
      <c r="ZL60" s="292"/>
      <c r="ZM60" s="293"/>
      <c r="ZN60" s="294"/>
      <c r="ZT60" s="292"/>
      <c r="ZU60" s="293"/>
      <c r="ZV60" s="294"/>
      <c r="AAB60" s="292"/>
      <c r="AAC60" s="293"/>
      <c r="AAD60" s="294"/>
      <c r="AAJ60" s="292"/>
      <c r="AAK60" s="293"/>
      <c r="AAL60" s="294"/>
      <c r="AAR60" s="292"/>
      <c r="AAS60" s="293"/>
      <c r="AAT60" s="294"/>
      <c r="AAZ60" s="292"/>
      <c r="ABA60" s="293"/>
      <c r="ABB60" s="294"/>
      <c r="ABH60" s="292"/>
      <c r="ABI60" s="293"/>
      <c r="ABJ60" s="294"/>
      <c r="ABP60" s="292"/>
      <c r="ABQ60" s="293"/>
      <c r="ABR60" s="294"/>
      <c r="ABX60" s="292"/>
      <c r="ABY60" s="293"/>
      <c r="ABZ60" s="294"/>
      <c r="ACF60" s="292"/>
      <c r="ACG60" s="293"/>
      <c r="ACH60" s="294"/>
      <c r="ACN60" s="292"/>
      <c r="ACO60" s="293"/>
      <c r="ACP60" s="294"/>
      <c r="ACV60" s="292"/>
      <c r="ACW60" s="293"/>
      <c r="ACX60" s="294"/>
      <c r="ADD60" s="292"/>
      <c r="ADE60" s="293"/>
      <c r="ADF60" s="294"/>
      <c r="ADL60" s="292"/>
      <c r="ADM60" s="293"/>
      <c r="ADN60" s="294"/>
      <c r="ADT60" s="292"/>
      <c r="ADU60" s="293"/>
      <c r="ADV60" s="294"/>
      <c r="AEB60" s="292"/>
      <c r="AEC60" s="293"/>
      <c r="AED60" s="294"/>
      <c r="AEJ60" s="292"/>
      <c r="AEK60" s="293"/>
      <c r="AEL60" s="294"/>
      <c r="AER60" s="292"/>
      <c r="AES60" s="293"/>
      <c r="AET60" s="294"/>
      <c r="AEZ60" s="292"/>
      <c r="AFA60" s="293"/>
      <c r="AFB60" s="294"/>
      <c r="AFH60" s="292"/>
      <c r="AFI60" s="293"/>
      <c r="AFJ60" s="294"/>
      <c r="AFP60" s="292"/>
      <c r="AFQ60" s="293"/>
      <c r="AFR60" s="294"/>
      <c r="AFX60" s="292"/>
      <c r="AFY60" s="293"/>
      <c r="AFZ60" s="294"/>
      <c r="AGF60" s="292"/>
      <c r="AGG60" s="293"/>
      <c r="AGH60" s="294"/>
      <c r="AGN60" s="292"/>
      <c r="AGO60" s="293"/>
      <c r="AGP60" s="294"/>
      <c r="AGV60" s="292"/>
      <c r="AGW60" s="293"/>
      <c r="AGX60" s="294"/>
      <c r="AHD60" s="292"/>
      <c r="AHE60" s="293"/>
      <c r="AHF60" s="294"/>
      <c r="AHL60" s="292"/>
      <c r="AHM60" s="293"/>
      <c r="AHN60" s="294"/>
      <c r="AHT60" s="292"/>
      <c r="AHU60" s="293"/>
      <c r="AHV60" s="294"/>
      <c r="AIB60" s="292"/>
      <c r="AIC60" s="293"/>
      <c r="AID60" s="294"/>
      <c r="AIJ60" s="292"/>
      <c r="AIK60" s="293"/>
      <c r="AIL60" s="294"/>
      <c r="AIR60" s="292"/>
      <c r="AIS60" s="293"/>
      <c r="AIT60" s="294"/>
      <c r="AIZ60" s="292"/>
      <c r="AJA60" s="293"/>
      <c r="AJB60" s="294"/>
      <c r="AJH60" s="292"/>
      <c r="AJI60" s="293"/>
      <c r="AJJ60" s="294"/>
      <c r="AJP60" s="292"/>
      <c r="AJQ60" s="293"/>
      <c r="AJR60" s="294"/>
      <c r="AJX60" s="292"/>
      <c r="AJY60" s="293"/>
      <c r="AJZ60" s="294"/>
      <c r="AKF60" s="292"/>
      <c r="AKG60" s="293"/>
      <c r="AKH60" s="294"/>
      <c r="AKN60" s="292"/>
      <c r="AKO60" s="293"/>
      <c r="AKP60" s="294"/>
      <c r="AKV60" s="292"/>
      <c r="AKW60" s="293"/>
      <c r="AKX60" s="294"/>
      <c r="ALD60" s="292"/>
      <c r="ALE60" s="293"/>
      <c r="ALF60" s="294"/>
      <c r="ALL60" s="292"/>
      <c r="ALM60" s="293"/>
      <c r="ALN60" s="294"/>
      <c r="ALT60" s="292"/>
      <c r="ALU60" s="293"/>
      <c r="ALV60" s="294"/>
      <c r="AMB60" s="292"/>
      <c r="AMC60" s="293"/>
      <c r="AMD60" s="294"/>
      <c r="AMJ60" s="292"/>
      <c r="AMK60" s="293"/>
      <c r="AML60" s="294"/>
      <c r="AMR60" s="292"/>
      <c r="AMS60" s="293"/>
      <c r="AMT60" s="294"/>
      <c r="AMZ60" s="292"/>
      <c r="ANA60" s="293"/>
      <c r="ANB60" s="294"/>
      <c r="ANH60" s="292"/>
      <c r="ANI60" s="293"/>
      <c r="ANJ60" s="294"/>
      <c r="ANP60" s="292"/>
      <c r="ANQ60" s="293"/>
      <c r="ANR60" s="294"/>
      <c r="ANX60" s="292"/>
      <c r="ANY60" s="293"/>
      <c r="ANZ60" s="294"/>
      <c r="AOF60" s="292"/>
      <c r="AOG60" s="293"/>
      <c r="AOH60" s="294"/>
      <c r="AON60" s="292"/>
      <c r="AOO60" s="293"/>
      <c r="AOP60" s="294"/>
      <c r="AOV60" s="292"/>
      <c r="AOW60" s="293"/>
      <c r="AOX60" s="294"/>
      <c r="APD60" s="292"/>
      <c r="APE60" s="293"/>
      <c r="APF60" s="294"/>
      <c r="APL60" s="292"/>
      <c r="APM60" s="293"/>
      <c r="APN60" s="294"/>
      <c r="APT60" s="292"/>
      <c r="APU60" s="293"/>
      <c r="APV60" s="294"/>
      <c r="AQB60" s="292"/>
      <c r="AQC60" s="293"/>
      <c r="AQD60" s="294"/>
      <c r="AQJ60" s="292"/>
      <c r="AQK60" s="293"/>
      <c r="AQL60" s="294"/>
      <c r="AQR60" s="292"/>
      <c r="AQS60" s="293"/>
      <c r="AQT60" s="294"/>
      <c r="AQZ60" s="292"/>
      <c r="ARA60" s="293"/>
      <c r="ARB60" s="294"/>
      <c r="ARH60" s="292"/>
      <c r="ARI60" s="293"/>
      <c r="ARJ60" s="294"/>
      <c r="ARP60" s="292"/>
      <c r="ARQ60" s="293"/>
      <c r="ARR60" s="294"/>
      <c r="ARX60" s="292"/>
      <c r="ARY60" s="293"/>
      <c r="ARZ60" s="294"/>
      <c r="ASF60" s="292"/>
      <c r="ASG60" s="293"/>
      <c r="ASH60" s="294"/>
      <c r="ASN60" s="292"/>
      <c r="ASO60" s="293"/>
      <c r="ASP60" s="294"/>
      <c r="ASV60" s="292"/>
      <c r="ASW60" s="293"/>
      <c r="ASX60" s="294"/>
      <c r="ATD60" s="292"/>
      <c r="ATE60" s="293"/>
      <c r="ATF60" s="294"/>
      <c r="ATL60" s="292"/>
      <c r="ATM60" s="293"/>
      <c r="ATN60" s="294"/>
      <c r="ATT60" s="292"/>
      <c r="ATU60" s="293"/>
      <c r="ATV60" s="294"/>
      <c r="AUB60" s="292"/>
      <c r="AUC60" s="293"/>
      <c r="AUD60" s="294"/>
      <c r="AUJ60" s="292"/>
      <c r="AUK60" s="293"/>
      <c r="AUL60" s="294"/>
      <c r="AUR60" s="292"/>
      <c r="AUS60" s="293"/>
      <c r="AUT60" s="294"/>
      <c r="AUZ60" s="292"/>
      <c r="AVA60" s="293"/>
      <c r="AVB60" s="294"/>
      <c r="AVH60" s="292"/>
      <c r="AVI60" s="293"/>
      <c r="AVJ60" s="294"/>
      <c r="AVP60" s="292"/>
      <c r="AVQ60" s="293"/>
      <c r="AVR60" s="294"/>
      <c r="AVX60" s="292"/>
      <c r="AVY60" s="293"/>
      <c r="AVZ60" s="294"/>
      <c r="AWF60" s="292"/>
      <c r="AWG60" s="293"/>
      <c r="AWH60" s="294"/>
      <c r="AWN60" s="292"/>
      <c r="AWO60" s="293"/>
      <c r="AWP60" s="294"/>
      <c r="AWV60" s="292"/>
      <c r="AWW60" s="293"/>
      <c r="AWX60" s="294"/>
      <c r="AXD60" s="292"/>
      <c r="AXE60" s="293"/>
      <c r="AXF60" s="294"/>
      <c r="AXL60" s="292"/>
      <c r="AXM60" s="293"/>
      <c r="AXN60" s="294"/>
      <c r="AXT60" s="292"/>
      <c r="AXU60" s="293"/>
      <c r="AXV60" s="294"/>
      <c r="AYB60" s="292"/>
      <c r="AYC60" s="293"/>
      <c r="AYD60" s="294"/>
      <c r="AYJ60" s="292"/>
      <c r="AYK60" s="293"/>
      <c r="AYL60" s="294"/>
      <c r="AYR60" s="292"/>
      <c r="AYS60" s="293"/>
      <c r="AYT60" s="294"/>
      <c r="AYZ60" s="292"/>
      <c r="AZA60" s="293"/>
      <c r="AZB60" s="294"/>
      <c r="AZH60" s="292"/>
      <c r="AZI60" s="293"/>
      <c r="AZJ60" s="294"/>
      <c r="AZP60" s="292"/>
      <c r="AZQ60" s="293"/>
      <c r="AZR60" s="294"/>
      <c r="AZX60" s="292"/>
      <c r="AZY60" s="293"/>
      <c r="AZZ60" s="294"/>
      <c r="BAF60" s="292"/>
      <c r="BAG60" s="293"/>
      <c r="BAH60" s="294"/>
      <c r="BAN60" s="292"/>
      <c r="BAO60" s="293"/>
      <c r="BAP60" s="294"/>
      <c r="BAV60" s="292"/>
      <c r="BAW60" s="293"/>
      <c r="BAX60" s="294"/>
      <c r="BBD60" s="292"/>
      <c r="BBE60" s="293"/>
      <c r="BBF60" s="294"/>
      <c r="BBL60" s="292"/>
      <c r="BBM60" s="293"/>
      <c r="BBN60" s="294"/>
      <c r="BBT60" s="292"/>
      <c r="BBU60" s="293"/>
      <c r="BBV60" s="294"/>
      <c r="BCB60" s="292"/>
      <c r="BCC60" s="293"/>
      <c r="BCD60" s="294"/>
      <c r="BCJ60" s="292"/>
      <c r="BCK60" s="293"/>
      <c r="BCL60" s="294"/>
      <c r="BCR60" s="292"/>
      <c r="BCS60" s="293"/>
      <c r="BCT60" s="294"/>
      <c r="BCZ60" s="292"/>
      <c r="BDA60" s="293"/>
      <c r="BDB60" s="294"/>
      <c r="BDH60" s="292"/>
      <c r="BDI60" s="293"/>
      <c r="BDJ60" s="294"/>
      <c r="BDP60" s="292"/>
      <c r="BDQ60" s="293"/>
      <c r="BDR60" s="294"/>
      <c r="BDX60" s="292"/>
      <c r="BDY60" s="293"/>
      <c r="BDZ60" s="294"/>
      <c r="BEF60" s="292"/>
      <c r="BEG60" s="293"/>
      <c r="BEH60" s="294"/>
      <c r="BEN60" s="292"/>
      <c r="BEO60" s="293"/>
      <c r="BEP60" s="294"/>
      <c r="BEV60" s="292"/>
      <c r="BEW60" s="293"/>
      <c r="BEX60" s="294"/>
      <c r="BFD60" s="292"/>
      <c r="BFE60" s="293"/>
      <c r="BFF60" s="294"/>
      <c r="BFL60" s="292"/>
      <c r="BFM60" s="293"/>
      <c r="BFN60" s="294"/>
      <c r="BFT60" s="292"/>
      <c r="BFU60" s="293"/>
      <c r="BFV60" s="294"/>
      <c r="BGB60" s="292"/>
      <c r="BGC60" s="293"/>
      <c r="BGD60" s="294"/>
      <c r="BGJ60" s="292"/>
      <c r="BGK60" s="293"/>
      <c r="BGL60" s="294"/>
      <c r="BGR60" s="292"/>
      <c r="BGS60" s="293"/>
      <c r="BGT60" s="294"/>
      <c r="BGZ60" s="292"/>
      <c r="BHA60" s="293"/>
      <c r="BHB60" s="294"/>
      <c r="BHH60" s="292"/>
      <c r="BHI60" s="293"/>
      <c r="BHJ60" s="294"/>
      <c r="BHP60" s="292"/>
      <c r="BHQ60" s="293"/>
      <c r="BHR60" s="294"/>
      <c r="BHX60" s="292"/>
      <c r="BHY60" s="293"/>
      <c r="BHZ60" s="294"/>
      <c r="BIF60" s="292"/>
      <c r="BIG60" s="293"/>
      <c r="BIH60" s="294"/>
      <c r="BIN60" s="292"/>
      <c r="BIO60" s="293"/>
      <c r="BIP60" s="294"/>
      <c r="BIV60" s="292"/>
      <c r="BIW60" s="293"/>
      <c r="BIX60" s="294"/>
      <c r="BJD60" s="292"/>
      <c r="BJE60" s="293"/>
      <c r="BJF60" s="294"/>
      <c r="BJL60" s="292"/>
      <c r="BJM60" s="293"/>
      <c r="BJN60" s="294"/>
      <c r="BJT60" s="292"/>
      <c r="BJU60" s="293"/>
      <c r="BJV60" s="294"/>
      <c r="BKB60" s="292"/>
      <c r="BKC60" s="293"/>
      <c r="BKD60" s="294"/>
      <c r="BKJ60" s="292"/>
      <c r="BKK60" s="293"/>
      <c r="BKL60" s="294"/>
      <c r="BKR60" s="292"/>
      <c r="BKS60" s="293"/>
      <c r="BKT60" s="294"/>
      <c r="BKZ60" s="292"/>
      <c r="BLA60" s="293"/>
      <c r="BLB60" s="294"/>
      <c r="BLH60" s="292"/>
      <c r="BLI60" s="293"/>
      <c r="BLJ60" s="294"/>
      <c r="BLP60" s="292"/>
      <c r="BLQ60" s="293"/>
      <c r="BLR60" s="294"/>
      <c r="BLX60" s="292"/>
      <c r="BLY60" s="293"/>
      <c r="BLZ60" s="294"/>
      <c r="BMF60" s="292"/>
      <c r="BMG60" s="293"/>
      <c r="BMH60" s="294"/>
      <c r="BMN60" s="292"/>
      <c r="BMO60" s="293"/>
      <c r="BMP60" s="294"/>
      <c r="BMV60" s="292"/>
      <c r="BMW60" s="293"/>
      <c r="BMX60" s="294"/>
      <c r="BND60" s="292"/>
      <c r="BNE60" s="293"/>
      <c r="BNF60" s="294"/>
      <c r="BNL60" s="292"/>
      <c r="BNM60" s="293"/>
      <c r="BNN60" s="294"/>
      <c r="BNT60" s="292"/>
      <c r="BNU60" s="293"/>
      <c r="BNV60" s="294"/>
      <c r="BOB60" s="292"/>
      <c r="BOC60" s="293"/>
      <c r="BOD60" s="294"/>
      <c r="BOJ60" s="292"/>
      <c r="BOK60" s="293"/>
      <c r="BOL60" s="294"/>
      <c r="BOR60" s="292"/>
      <c r="BOS60" s="293"/>
      <c r="BOT60" s="294"/>
      <c r="BOZ60" s="292"/>
      <c r="BPA60" s="293"/>
      <c r="BPB60" s="294"/>
      <c r="BPH60" s="292"/>
      <c r="BPI60" s="293"/>
      <c r="BPJ60" s="294"/>
      <c r="BPP60" s="292"/>
      <c r="BPQ60" s="293"/>
      <c r="BPR60" s="294"/>
      <c r="BPX60" s="292"/>
      <c r="BPY60" s="293"/>
      <c r="BPZ60" s="294"/>
      <c r="BQF60" s="292"/>
      <c r="BQG60" s="293"/>
      <c r="BQH60" s="294"/>
      <c r="BQN60" s="292"/>
      <c r="BQO60" s="293"/>
      <c r="BQP60" s="294"/>
      <c r="BQV60" s="292"/>
      <c r="BQW60" s="293"/>
      <c r="BQX60" s="294"/>
      <c r="BRD60" s="292"/>
      <c r="BRE60" s="293"/>
      <c r="BRF60" s="294"/>
      <c r="BRL60" s="292"/>
      <c r="BRM60" s="293"/>
      <c r="BRN60" s="294"/>
      <c r="BRT60" s="292"/>
      <c r="BRU60" s="293"/>
      <c r="BRV60" s="294"/>
      <c r="BSB60" s="292"/>
      <c r="BSC60" s="293"/>
      <c r="BSD60" s="294"/>
      <c r="BSJ60" s="292"/>
      <c r="BSK60" s="293"/>
      <c r="BSL60" s="294"/>
      <c r="BSR60" s="292"/>
      <c r="BSS60" s="293"/>
      <c r="BST60" s="294"/>
      <c r="BSZ60" s="292"/>
      <c r="BTA60" s="293"/>
      <c r="BTB60" s="294"/>
      <c r="BTH60" s="292"/>
      <c r="BTI60" s="293"/>
      <c r="BTJ60" s="294"/>
      <c r="BTP60" s="292"/>
      <c r="BTQ60" s="293"/>
      <c r="BTR60" s="294"/>
      <c r="BTX60" s="292"/>
      <c r="BTY60" s="293"/>
      <c r="BTZ60" s="294"/>
      <c r="BUF60" s="292"/>
      <c r="BUG60" s="293"/>
      <c r="BUH60" s="294"/>
      <c r="BUN60" s="292"/>
      <c r="BUO60" s="293"/>
      <c r="BUP60" s="294"/>
      <c r="BUV60" s="292"/>
      <c r="BUW60" s="293"/>
      <c r="BUX60" s="294"/>
      <c r="BVD60" s="292"/>
      <c r="BVE60" s="293"/>
      <c r="BVF60" s="294"/>
      <c r="BVL60" s="292"/>
      <c r="BVM60" s="293"/>
      <c r="BVN60" s="294"/>
      <c r="BVT60" s="292"/>
      <c r="BVU60" s="293"/>
      <c r="BVV60" s="294"/>
      <c r="BWB60" s="292"/>
      <c r="BWC60" s="293"/>
      <c r="BWD60" s="294"/>
      <c r="BWJ60" s="292"/>
      <c r="BWK60" s="293"/>
      <c r="BWL60" s="294"/>
      <c r="BWR60" s="292"/>
      <c r="BWS60" s="293"/>
      <c r="BWT60" s="294"/>
      <c r="BWZ60" s="292"/>
      <c r="BXA60" s="293"/>
      <c r="BXB60" s="294"/>
      <c r="BXH60" s="292"/>
      <c r="BXI60" s="293"/>
      <c r="BXJ60" s="294"/>
      <c r="BXP60" s="292"/>
      <c r="BXQ60" s="293"/>
      <c r="BXR60" s="294"/>
      <c r="BXX60" s="292"/>
      <c r="BXY60" s="293"/>
      <c r="BXZ60" s="294"/>
      <c r="BYF60" s="292"/>
      <c r="BYG60" s="293"/>
      <c r="BYH60" s="294"/>
      <c r="BYN60" s="292"/>
      <c r="BYO60" s="293"/>
      <c r="BYP60" s="294"/>
      <c r="BYV60" s="292"/>
      <c r="BYW60" s="293"/>
      <c r="BYX60" s="294"/>
      <c r="BZD60" s="292"/>
      <c r="BZE60" s="293"/>
      <c r="BZF60" s="294"/>
      <c r="BZL60" s="292"/>
      <c r="BZM60" s="293"/>
      <c r="BZN60" s="294"/>
      <c r="BZT60" s="292"/>
      <c r="BZU60" s="293"/>
      <c r="BZV60" s="294"/>
      <c r="CAB60" s="292"/>
      <c r="CAC60" s="293"/>
      <c r="CAD60" s="294"/>
      <c r="CAJ60" s="292"/>
      <c r="CAK60" s="293"/>
      <c r="CAL60" s="294"/>
      <c r="CAR60" s="292"/>
      <c r="CAS60" s="293"/>
      <c r="CAT60" s="294"/>
      <c r="CAZ60" s="292"/>
      <c r="CBA60" s="293"/>
      <c r="CBB60" s="294"/>
      <c r="CBH60" s="292"/>
      <c r="CBI60" s="293"/>
      <c r="CBJ60" s="294"/>
      <c r="CBP60" s="292"/>
      <c r="CBQ60" s="293"/>
      <c r="CBR60" s="294"/>
      <c r="CBX60" s="292"/>
      <c r="CBY60" s="293"/>
      <c r="CBZ60" s="294"/>
      <c r="CCF60" s="292"/>
      <c r="CCG60" s="293"/>
      <c r="CCH60" s="294"/>
      <c r="CCN60" s="292"/>
      <c r="CCO60" s="293"/>
      <c r="CCP60" s="294"/>
      <c r="CCV60" s="292"/>
      <c r="CCW60" s="293"/>
      <c r="CCX60" s="294"/>
      <c r="CDD60" s="292"/>
      <c r="CDE60" s="293"/>
      <c r="CDF60" s="294"/>
      <c r="CDL60" s="292"/>
      <c r="CDM60" s="293"/>
      <c r="CDN60" s="294"/>
      <c r="CDT60" s="292"/>
      <c r="CDU60" s="293"/>
      <c r="CDV60" s="294"/>
      <c r="CEB60" s="292"/>
      <c r="CEC60" s="293"/>
      <c r="CED60" s="294"/>
      <c r="CEJ60" s="292"/>
      <c r="CEK60" s="293"/>
      <c r="CEL60" s="294"/>
      <c r="CER60" s="292"/>
      <c r="CES60" s="293"/>
      <c r="CET60" s="294"/>
      <c r="CEZ60" s="292"/>
      <c r="CFA60" s="293"/>
      <c r="CFB60" s="294"/>
      <c r="CFH60" s="292"/>
      <c r="CFI60" s="293"/>
      <c r="CFJ60" s="294"/>
      <c r="CFP60" s="292"/>
      <c r="CFQ60" s="293"/>
      <c r="CFR60" s="294"/>
      <c r="CFX60" s="292"/>
      <c r="CFY60" s="293"/>
      <c r="CFZ60" s="294"/>
      <c r="CGF60" s="292"/>
      <c r="CGG60" s="293"/>
      <c r="CGH60" s="294"/>
      <c r="CGN60" s="292"/>
      <c r="CGO60" s="293"/>
      <c r="CGP60" s="294"/>
      <c r="CGV60" s="292"/>
      <c r="CGW60" s="293"/>
      <c r="CGX60" s="294"/>
      <c r="CHD60" s="292"/>
      <c r="CHE60" s="293"/>
      <c r="CHF60" s="294"/>
      <c r="CHL60" s="292"/>
      <c r="CHM60" s="293"/>
      <c r="CHN60" s="294"/>
      <c r="CHT60" s="292"/>
      <c r="CHU60" s="293"/>
      <c r="CHV60" s="294"/>
      <c r="CIB60" s="292"/>
      <c r="CIC60" s="293"/>
      <c r="CID60" s="294"/>
      <c r="CIJ60" s="292"/>
      <c r="CIK60" s="293"/>
      <c r="CIL60" s="294"/>
      <c r="CIR60" s="292"/>
      <c r="CIS60" s="293"/>
      <c r="CIT60" s="294"/>
      <c r="CIZ60" s="292"/>
      <c r="CJA60" s="293"/>
      <c r="CJB60" s="294"/>
      <c r="CJH60" s="292"/>
      <c r="CJI60" s="293"/>
      <c r="CJJ60" s="294"/>
      <c r="CJP60" s="292"/>
      <c r="CJQ60" s="293"/>
      <c r="CJR60" s="294"/>
      <c r="CJX60" s="292"/>
      <c r="CJY60" s="293"/>
      <c r="CJZ60" s="294"/>
      <c r="CKF60" s="292"/>
      <c r="CKG60" s="293"/>
      <c r="CKH60" s="294"/>
      <c r="CKN60" s="292"/>
      <c r="CKO60" s="293"/>
      <c r="CKP60" s="294"/>
      <c r="CKV60" s="292"/>
      <c r="CKW60" s="293"/>
      <c r="CKX60" s="294"/>
      <c r="CLD60" s="292"/>
      <c r="CLE60" s="293"/>
      <c r="CLF60" s="294"/>
      <c r="CLL60" s="292"/>
      <c r="CLM60" s="293"/>
      <c r="CLN60" s="294"/>
      <c r="CLT60" s="292"/>
      <c r="CLU60" s="293"/>
      <c r="CLV60" s="294"/>
      <c r="CMB60" s="292"/>
      <c r="CMC60" s="293"/>
      <c r="CMD60" s="294"/>
      <c r="CMJ60" s="292"/>
      <c r="CMK60" s="293"/>
      <c r="CML60" s="294"/>
      <c r="CMR60" s="292"/>
      <c r="CMS60" s="293"/>
      <c r="CMT60" s="294"/>
      <c r="CMZ60" s="292"/>
      <c r="CNA60" s="293"/>
      <c r="CNB60" s="294"/>
      <c r="CNH60" s="292"/>
      <c r="CNI60" s="293"/>
      <c r="CNJ60" s="294"/>
      <c r="CNP60" s="292"/>
      <c r="CNQ60" s="293"/>
      <c r="CNR60" s="294"/>
      <c r="CNX60" s="292"/>
      <c r="CNY60" s="293"/>
      <c r="CNZ60" s="294"/>
      <c r="COF60" s="292"/>
      <c r="COG60" s="293"/>
      <c r="COH60" s="294"/>
      <c r="CON60" s="292"/>
      <c r="COO60" s="293"/>
      <c r="COP60" s="294"/>
      <c r="COV60" s="292"/>
      <c r="COW60" s="293"/>
      <c r="COX60" s="294"/>
      <c r="CPD60" s="292"/>
      <c r="CPE60" s="293"/>
      <c r="CPF60" s="294"/>
      <c r="CPL60" s="292"/>
      <c r="CPM60" s="293"/>
      <c r="CPN60" s="294"/>
      <c r="CPT60" s="292"/>
      <c r="CPU60" s="293"/>
      <c r="CPV60" s="294"/>
      <c r="CQB60" s="292"/>
      <c r="CQC60" s="293"/>
      <c r="CQD60" s="294"/>
      <c r="CQJ60" s="292"/>
      <c r="CQK60" s="293"/>
      <c r="CQL60" s="294"/>
      <c r="CQR60" s="292"/>
      <c r="CQS60" s="293"/>
      <c r="CQT60" s="294"/>
      <c r="CQZ60" s="292"/>
      <c r="CRA60" s="293"/>
      <c r="CRB60" s="294"/>
      <c r="CRH60" s="292"/>
      <c r="CRI60" s="293"/>
      <c r="CRJ60" s="294"/>
      <c r="CRP60" s="292"/>
      <c r="CRQ60" s="293"/>
      <c r="CRR60" s="294"/>
      <c r="CRX60" s="292"/>
      <c r="CRY60" s="293"/>
      <c r="CRZ60" s="294"/>
      <c r="CSF60" s="292"/>
      <c r="CSG60" s="293"/>
      <c r="CSH60" s="294"/>
      <c r="CSN60" s="292"/>
      <c r="CSO60" s="293"/>
      <c r="CSP60" s="294"/>
      <c r="CSV60" s="292"/>
      <c r="CSW60" s="293"/>
      <c r="CSX60" s="294"/>
      <c r="CTD60" s="292"/>
      <c r="CTE60" s="293"/>
      <c r="CTF60" s="294"/>
      <c r="CTL60" s="292"/>
      <c r="CTM60" s="293"/>
      <c r="CTN60" s="294"/>
      <c r="CTT60" s="292"/>
      <c r="CTU60" s="293"/>
      <c r="CTV60" s="294"/>
      <c r="CUB60" s="292"/>
      <c r="CUC60" s="293"/>
      <c r="CUD60" s="294"/>
      <c r="CUJ60" s="292"/>
      <c r="CUK60" s="293"/>
      <c r="CUL60" s="294"/>
      <c r="CUR60" s="292"/>
      <c r="CUS60" s="293"/>
      <c r="CUT60" s="294"/>
      <c r="CUZ60" s="292"/>
      <c r="CVA60" s="293"/>
      <c r="CVB60" s="294"/>
      <c r="CVH60" s="292"/>
      <c r="CVI60" s="293"/>
      <c r="CVJ60" s="294"/>
      <c r="CVP60" s="292"/>
      <c r="CVQ60" s="293"/>
      <c r="CVR60" s="294"/>
      <c r="CVX60" s="292"/>
      <c r="CVY60" s="293"/>
      <c r="CVZ60" s="294"/>
      <c r="CWF60" s="292"/>
      <c r="CWG60" s="293"/>
      <c r="CWH60" s="294"/>
      <c r="CWN60" s="292"/>
      <c r="CWO60" s="293"/>
      <c r="CWP60" s="294"/>
      <c r="CWV60" s="292"/>
      <c r="CWW60" s="293"/>
      <c r="CWX60" s="294"/>
      <c r="CXD60" s="292"/>
      <c r="CXE60" s="293"/>
      <c r="CXF60" s="294"/>
      <c r="CXL60" s="292"/>
      <c r="CXM60" s="293"/>
      <c r="CXN60" s="294"/>
      <c r="CXT60" s="292"/>
      <c r="CXU60" s="293"/>
      <c r="CXV60" s="294"/>
      <c r="CYB60" s="292"/>
      <c r="CYC60" s="293"/>
      <c r="CYD60" s="294"/>
      <c r="CYJ60" s="292"/>
      <c r="CYK60" s="293"/>
      <c r="CYL60" s="294"/>
      <c r="CYR60" s="292"/>
      <c r="CYS60" s="293"/>
      <c r="CYT60" s="294"/>
      <c r="CYZ60" s="292"/>
      <c r="CZA60" s="293"/>
      <c r="CZB60" s="294"/>
      <c r="CZH60" s="292"/>
      <c r="CZI60" s="293"/>
      <c r="CZJ60" s="294"/>
      <c r="CZP60" s="292"/>
      <c r="CZQ60" s="293"/>
      <c r="CZR60" s="294"/>
      <c r="CZX60" s="292"/>
      <c r="CZY60" s="293"/>
      <c r="CZZ60" s="294"/>
      <c r="DAF60" s="292"/>
      <c r="DAG60" s="293"/>
      <c r="DAH60" s="294"/>
      <c r="DAN60" s="292"/>
      <c r="DAO60" s="293"/>
      <c r="DAP60" s="294"/>
      <c r="DAV60" s="292"/>
      <c r="DAW60" s="293"/>
      <c r="DAX60" s="294"/>
      <c r="DBD60" s="292"/>
      <c r="DBE60" s="293"/>
      <c r="DBF60" s="294"/>
      <c r="DBL60" s="292"/>
      <c r="DBM60" s="293"/>
      <c r="DBN60" s="294"/>
      <c r="DBT60" s="292"/>
      <c r="DBU60" s="293"/>
      <c r="DBV60" s="294"/>
      <c r="DCB60" s="292"/>
      <c r="DCC60" s="293"/>
      <c r="DCD60" s="294"/>
      <c r="DCJ60" s="292"/>
      <c r="DCK60" s="293"/>
      <c r="DCL60" s="294"/>
      <c r="DCR60" s="292"/>
      <c r="DCS60" s="293"/>
      <c r="DCT60" s="294"/>
      <c r="DCZ60" s="292"/>
      <c r="DDA60" s="293"/>
      <c r="DDB60" s="294"/>
      <c r="DDH60" s="292"/>
      <c r="DDI60" s="293"/>
      <c r="DDJ60" s="294"/>
      <c r="DDP60" s="292"/>
      <c r="DDQ60" s="293"/>
      <c r="DDR60" s="294"/>
      <c r="DDX60" s="292"/>
      <c r="DDY60" s="293"/>
      <c r="DDZ60" s="294"/>
      <c r="DEF60" s="292"/>
      <c r="DEG60" s="293"/>
      <c r="DEH60" s="294"/>
      <c r="DEN60" s="292"/>
      <c r="DEO60" s="293"/>
      <c r="DEP60" s="294"/>
      <c r="DEV60" s="292"/>
      <c r="DEW60" s="293"/>
      <c r="DEX60" s="294"/>
      <c r="DFD60" s="292"/>
      <c r="DFE60" s="293"/>
      <c r="DFF60" s="294"/>
      <c r="DFL60" s="292"/>
      <c r="DFM60" s="293"/>
      <c r="DFN60" s="294"/>
      <c r="DFT60" s="292"/>
      <c r="DFU60" s="293"/>
      <c r="DFV60" s="294"/>
      <c r="DGB60" s="292"/>
      <c r="DGC60" s="293"/>
      <c r="DGD60" s="294"/>
      <c r="DGJ60" s="292"/>
      <c r="DGK60" s="293"/>
      <c r="DGL60" s="294"/>
      <c r="DGR60" s="292"/>
      <c r="DGS60" s="293"/>
      <c r="DGT60" s="294"/>
      <c r="DGZ60" s="292"/>
      <c r="DHA60" s="293"/>
      <c r="DHB60" s="294"/>
      <c r="DHH60" s="292"/>
      <c r="DHI60" s="293"/>
      <c r="DHJ60" s="294"/>
      <c r="DHP60" s="292"/>
      <c r="DHQ60" s="293"/>
      <c r="DHR60" s="294"/>
      <c r="DHX60" s="292"/>
      <c r="DHY60" s="293"/>
      <c r="DHZ60" s="294"/>
      <c r="DIF60" s="292"/>
      <c r="DIG60" s="293"/>
      <c r="DIH60" s="294"/>
      <c r="DIN60" s="292"/>
      <c r="DIO60" s="293"/>
      <c r="DIP60" s="294"/>
      <c r="DIV60" s="292"/>
      <c r="DIW60" s="293"/>
      <c r="DIX60" s="294"/>
      <c r="DJD60" s="292"/>
      <c r="DJE60" s="293"/>
      <c r="DJF60" s="294"/>
      <c r="DJL60" s="292"/>
      <c r="DJM60" s="293"/>
      <c r="DJN60" s="294"/>
      <c r="DJT60" s="292"/>
      <c r="DJU60" s="293"/>
      <c r="DJV60" s="294"/>
      <c r="DKB60" s="292"/>
      <c r="DKC60" s="293"/>
      <c r="DKD60" s="294"/>
      <c r="DKJ60" s="292"/>
      <c r="DKK60" s="293"/>
      <c r="DKL60" s="294"/>
      <c r="DKR60" s="292"/>
      <c r="DKS60" s="293"/>
      <c r="DKT60" s="294"/>
      <c r="DKZ60" s="292"/>
      <c r="DLA60" s="293"/>
      <c r="DLB60" s="294"/>
      <c r="DLH60" s="292"/>
      <c r="DLI60" s="293"/>
      <c r="DLJ60" s="294"/>
      <c r="DLP60" s="292"/>
      <c r="DLQ60" s="293"/>
      <c r="DLR60" s="294"/>
      <c r="DLX60" s="292"/>
      <c r="DLY60" s="293"/>
      <c r="DLZ60" s="294"/>
      <c r="DMF60" s="292"/>
      <c r="DMG60" s="293"/>
      <c r="DMH60" s="294"/>
      <c r="DMN60" s="292"/>
      <c r="DMO60" s="293"/>
      <c r="DMP60" s="294"/>
      <c r="DMV60" s="292"/>
      <c r="DMW60" s="293"/>
      <c r="DMX60" s="294"/>
      <c r="DND60" s="292"/>
      <c r="DNE60" s="293"/>
      <c r="DNF60" s="294"/>
      <c r="DNL60" s="292"/>
      <c r="DNM60" s="293"/>
      <c r="DNN60" s="294"/>
      <c r="DNT60" s="292"/>
      <c r="DNU60" s="293"/>
      <c r="DNV60" s="294"/>
      <c r="DOB60" s="292"/>
      <c r="DOC60" s="293"/>
      <c r="DOD60" s="294"/>
      <c r="DOJ60" s="292"/>
      <c r="DOK60" s="293"/>
      <c r="DOL60" s="294"/>
      <c r="DOR60" s="292"/>
      <c r="DOS60" s="293"/>
      <c r="DOT60" s="294"/>
      <c r="DOZ60" s="292"/>
      <c r="DPA60" s="293"/>
      <c r="DPB60" s="294"/>
      <c r="DPH60" s="292"/>
      <c r="DPI60" s="293"/>
      <c r="DPJ60" s="294"/>
      <c r="DPP60" s="292"/>
      <c r="DPQ60" s="293"/>
      <c r="DPR60" s="294"/>
      <c r="DPX60" s="292"/>
      <c r="DPY60" s="293"/>
      <c r="DPZ60" s="294"/>
      <c r="DQF60" s="292"/>
      <c r="DQG60" s="293"/>
      <c r="DQH60" s="294"/>
      <c r="DQN60" s="292"/>
      <c r="DQO60" s="293"/>
      <c r="DQP60" s="294"/>
      <c r="DQV60" s="292"/>
      <c r="DQW60" s="293"/>
      <c r="DQX60" s="294"/>
      <c r="DRD60" s="292"/>
      <c r="DRE60" s="293"/>
      <c r="DRF60" s="294"/>
      <c r="DRL60" s="292"/>
      <c r="DRM60" s="293"/>
      <c r="DRN60" s="294"/>
      <c r="DRT60" s="292"/>
      <c r="DRU60" s="293"/>
      <c r="DRV60" s="294"/>
      <c r="DSB60" s="292"/>
      <c r="DSC60" s="293"/>
      <c r="DSD60" s="294"/>
      <c r="DSJ60" s="292"/>
      <c r="DSK60" s="293"/>
      <c r="DSL60" s="294"/>
      <c r="DSR60" s="292"/>
      <c r="DSS60" s="293"/>
      <c r="DST60" s="294"/>
      <c r="DSZ60" s="292"/>
      <c r="DTA60" s="293"/>
      <c r="DTB60" s="294"/>
      <c r="DTH60" s="292"/>
      <c r="DTI60" s="293"/>
      <c r="DTJ60" s="294"/>
      <c r="DTP60" s="292"/>
      <c r="DTQ60" s="293"/>
      <c r="DTR60" s="294"/>
      <c r="DTX60" s="292"/>
      <c r="DTY60" s="293"/>
      <c r="DTZ60" s="294"/>
      <c r="DUF60" s="292"/>
      <c r="DUG60" s="293"/>
      <c r="DUH60" s="294"/>
      <c r="DUN60" s="292"/>
      <c r="DUO60" s="293"/>
      <c r="DUP60" s="294"/>
      <c r="DUV60" s="292"/>
      <c r="DUW60" s="293"/>
      <c r="DUX60" s="294"/>
      <c r="DVD60" s="292"/>
      <c r="DVE60" s="293"/>
      <c r="DVF60" s="294"/>
      <c r="DVL60" s="292"/>
      <c r="DVM60" s="293"/>
      <c r="DVN60" s="294"/>
      <c r="DVT60" s="292"/>
      <c r="DVU60" s="293"/>
      <c r="DVV60" s="294"/>
      <c r="DWB60" s="292"/>
      <c r="DWC60" s="293"/>
      <c r="DWD60" s="294"/>
      <c r="DWJ60" s="292"/>
      <c r="DWK60" s="293"/>
      <c r="DWL60" s="294"/>
      <c r="DWR60" s="292"/>
      <c r="DWS60" s="293"/>
      <c r="DWT60" s="294"/>
      <c r="DWZ60" s="292"/>
      <c r="DXA60" s="293"/>
      <c r="DXB60" s="294"/>
      <c r="DXH60" s="292"/>
      <c r="DXI60" s="293"/>
      <c r="DXJ60" s="294"/>
      <c r="DXP60" s="292"/>
      <c r="DXQ60" s="293"/>
      <c r="DXR60" s="294"/>
      <c r="DXX60" s="292"/>
      <c r="DXY60" s="293"/>
      <c r="DXZ60" s="294"/>
      <c r="DYF60" s="292"/>
      <c r="DYG60" s="293"/>
      <c r="DYH60" s="294"/>
      <c r="DYN60" s="292"/>
      <c r="DYO60" s="293"/>
      <c r="DYP60" s="294"/>
      <c r="DYV60" s="292"/>
      <c r="DYW60" s="293"/>
      <c r="DYX60" s="294"/>
      <c r="DZD60" s="292"/>
      <c r="DZE60" s="293"/>
      <c r="DZF60" s="294"/>
      <c r="DZL60" s="292"/>
      <c r="DZM60" s="293"/>
      <c r="DZN60" s="294"/>
      <c r="DZT60" s="292"/>
      <c r="DZU60" s="293"/>
      <c r="DZV60" s="294"/>
      <c r="EAB60" s="292"/>
      <c r="EAC60" s="293"/>
      <c r="EAD60" s="294"/>
      <c r="EAJ60" s="292"/>
      <c r="EAK60" s="293"/>
      <c r="EAL60" s="294"/>
      <c r="EAR60" s="292"/>
      <c r="EAS60" s="293"/>
      <c r="EAT60" s="294"/>
      <c r="EAZ60" s="292"/>
      <c r="EBA60" s="293"/>
      <c r="EBB60" s="294"/>
      <c r="EBH60" s="292"/>
      <c r="EBI60" s="293"/>
      <c r="EBJ60" s="294"/>
      <c r="EBP60" s="292"/>
      <c r="EBQ60" s="293"/>
      <c r="EBR60" s="294"/>
      <c r="EBX60" s="292"/>
      <c r="EBY60" s="293"/>
      <c r="EBZ60" s="294"/>
      <c r="ECF60" s="292"/>
      <c r="ECG60" s="293"/>
      <c r="ECH60" s="294"/>
      <c r="ECN60" s="292"/>
      <c r="ECO60" s="293"/>
      <c r="ECP60" s="294"/>
      <c r="ECV60" s="292"/>
      <c r="ECW60" s="293"/>
      <c r="ECX60" s="294"/>
      <c r="EDD60" s="292"/>
      <c r="EDE60" s="293"/>
      <c r="EDF60" s="294"/>
      <c r="EDL60" s="292"/>
      <c r="EDM60" s="293"/>
      <c r="EDN60" s="294"/>
      <c r="EDT60" s="292"/>
      <c r="EDU60" s="293"/>
      <c r="EDV60" s="294"/>
      <c r="EEB60" s="292"/>
      <c r="EEC60" s="293"/>
      <c r="EED60" s="294"/>
      <c r="EEJ60" s="292"/>
      <c r="EEK60" s="293"/>
      <c r="EEL60" s="294"/>
      <c r="EER60" s="292"/>
      <c r="EES60" s="293"/>
      <c r="EET60" s="294"/>
      <c r="EEZ60" s="292"/>
      <c r="EFA60" s="293"/>
      <c r="EFB60" s="294"/>
      <c r="EFH60" s="292"/>
      <c r="EFI60" s="293"/>
      <c r="EFJ60" s="294"/>
      <c r="EFP60" s="292"/>
      <c r="EFQ60" s="293"/>
      <c r="EFR60" s="294"/>
      <c r="EFX60" s="292"/>
      <c r="EFY60" s="293"/>
      <c r="EFZ60" s="294"/>
      <c r="EGF60" s="292"/>
      <c r="EGG60" s="293"/>
      <c r="EGH60" s="294"/>
      <c r="EGN60" s="292"/>
      <c r="EGO60" s="293"/>
      <c r="EGP60" s="294"/>
      <c r="EGV60" s="292"/>
      <c r="EGW60" s="293"/>
      <c r="EGX60" s="294"/>
      <c r="EHD60" s="292"/>
      <c r="EHE60" s="293"/>
      <c r="EHF60" s="294"/>
      <c r="EHL60" s="292"/>
      <c r="EHM60" s="293"/>
      <c r="EHN60" s="294"/>
      <c r="EHT60" s="292"/>
      <c r="EHU60" s="293"/>
      <c r="EHV60" s="294"/>
      <c r="EIB60" s="292"/>
      <c r="EIC60" s="293"/>
      <c r="EID60" s="294"/>
      <c r="EIJ60" s="292"/>
      <c r="EIK60" s="293"/>
      <c r="EIL60" s="294"/>
      <c r="EIR60" s="292"/>
      <c r="EIS60" s="293"/>
      <c r="EIT60" s="294"/>
      <c r="EIZ60" s="292"/>
      <c r="EJA60" s="293"/>
      <c r="EJB60" s="294"/>
      <c r="EJH60" s="292"/>
      <c r="EJI60" s="293"/>
      <c r="EJJ60" s="294"/>
      <c r="EJP60" s="292"/>
      <c r="EJQ60" s="293"/>
      <c r="EJR60" s="294"/>
      <c r="EJX60" s="292"/>
      <c r="EJY60" s="293"/>
      <c r="EJZ60" s="294"/>
      <c r="EKF60" s="292"/>
      <c r="EKG60" s="293"/>
      <c r="EKH60" s="294"/>
      <c r="EKN60" s="292"/>
      <c r="EKO60" s="293"/>
      <c r="EKP60" s="294"/>
      <c r="EKV60" s="292"/>
      <c r="EKW60" s="293"/>
      <c r="EKX60" s="294"/>
      <c r="ELD60" s="292"/>
      <c r="ELE60" s="293"/>
      <c r="ELF60" s="294"/>
      <c r="ELL60" s="292"/>
      <c r="ELM60" s="293"/>
      <c r="ELN60" s="294"/>
      <c r="ELT60" s="292"/>
      <c r="ELU60" s="293"/>
      <c r="ELV60" s="294"/>
      <c r="EMB60" s="292"/>
      <c r="EMC60" s="293"/>
      <c r="EMD60" s="294"/>
      <c r="EMJ60" s="292"/>
      <c r="EMK60" s="293"/>
      <c r="EML60" s="294"/>
      <c r="EMR60" s="292"/>
      <c r="EMS60" s="293"/>
      <c r="EMT60" s="294"/>
      <c r="EMZ60" s="292"/>
      <c r="ENA60" s="293"/>
      <c r="ENB60" s="294"/>
      <c r="ENH60" s="292"/>
      <c r="ENI60" s="293"/>
      <c r="ENJ60" s="294"/>
      <c r="ENP60" s="292"/>
      <c r="ENQ60" s="293"/>
      <c r="ENR60" s="294"/>
      <c r="ENX60" s="292"/>
      <c r="ENY60" s="293"/>
      <c r="ENZ60" s="294"/>
      <c r="EOF60" s="292"/>
      <c r="EOG60" s="293"/>
      <c r="EOH60" s="294"/>
      <c r="EON60" s="292"/>
      <c r="EOO60" s="293"/>
      <c r="EOP60" s="294"/>
      <c r="EOV60" s="292"/>
      <c r="EOW60" s="293"/>
      <c r="EOX60" s="294"/>
      <c r="EPD60" s="292"/>
      <c r="EPE60" s="293"/>
      <c r="EPF60" s="294"/>
      <c r="EPL60" s="292"/>
      <c r="EPM60" s="293"/>
      <c r="EPN60" s="294"/>
      <c r="EPT60" s="292"/>
      <c r="EPU60" s="293"/>
      <c r="EPV60" s="294"/>
      <c r="EQB60" s="292"/>
      <c r="EQC60" s="293"/>
      <c r="EQD60" s="294"/>
      <c r="EQJ60" s="292"/>
      <c r="EQK60" s="293"/>
      <c r="EQL60" s="294"/>
      <c r="EQR60" s="292"/>
      <c r="EQS60" s="293"/>
      <c r="EQT60" s="294"/>
      <c r="EQZ60" s="292"/>
      <c r="ERA60" s="293"/>
      <c r="ERB60" s="294"/>
      <c r="ERH60" s="292"/>
      <c r="ERI60" s="293"/>
      <c r="ERJ60" s="294"/>
      <c r="ERP60" s="292"/>
      <c r="ERQ60" s="293"/>
      <c r="ERR60" s="294"/>
      <c r="ERX60" s="292"/>
      <c r="ERY60" s="293"/>
      <c r="ERZ60" s="294"/>
      <c r="ESF60" s="292"/>
      <c r="ESG60" s="293"/>
      <c r="ESH60" s="294"/>
      <c r="ESN60" s="292"/>
      <c r="ESO60" s="293"/>
      <c r="ESP60" s="294"/>
      <c r="ESV60" s="292"/>
      <c r="ESW60" s="293"/>
      <c r="ESX60" s="294"/>
      <c r="ETD60" s="292"/>
      <c r="ETE60" s="293"/>
      <c r="ETF60" s="294"/>
      <c r="ETL60" s="292"/>
      <c r="ETM60" s="293"/>
      <c r="ETN60" s="294"/>
      <c r="ETT60" s="292"/>
      <c r="ETU60" s="293"/>
      <c r="ETV60" s="294"/>
      <c r="EUB60" s="292"/>
      <c r="EUC60" s="293"/>
      <c r="EUD60" s="294"/>
      <c r="EUJ60" s="292"/>
      <c r="EUK60" s="293"/>
      <c r="EUL60" s="294"/>
      <c r="EUR60" s="292"/>
      <c r="EUS60" s="293"/>
      <c r="EUT60" s="294"/>
      <c r="EUZ60" s="292"/>
      <c r="EVA60" s="293"/>
      <c r="EVB60" s="294"/>
      <c r="EVH60" s="292"/>
      <c r="EVI60" s="293"/>
      <c r="EVJ60" s="294"/>
      <c r="EVP60" s="292"/>
      <c r="EVQ60" s="293"/>
      <c r="EVR60" s="294"/>
      <c r="EVX60" s="292"/>
      <c r="EVY60" s="293"/>
      <c r="EVZ60" s="294"/>
      <c r="EWF60" s="292"/>
      <c r="EWG60" s="293"/>
      <c r="EWH60" s="294"/>
      <c r="EWN60" s="292"/>
      <c r="EWO60" s="293"/>
      <c r="EWP60" s="294"/>
      <c r="EWV60" s="292"/>
      <c r="EWW60" s="293"/>
      <c r="EWX60" s="294"/>
      <c r="EXD60" s="292"/>
      <c r="EXE60" s="293"/>
      <c r="EXF60" s="294"/>
      <c r="EXL60" s="292"/>
      <c r="EXM60" s="293"/>
      <c r="EXN60" s="294"/>
      <c r="EXT60" s="292"/>
      <c r="EXU60" s="293"/>
      <c r="EXV60" s="294"/>
      <c r="EYB60" s="292"/>
      <c r="EYC60" s="293"/>
      <c r="EYD60" s="294"/>
      <c r="EYJ60" s="292"/>
      <c r="EYK60" s="293"/>
      <c r="EYL60" s="294"/>
      <c r="EYR60" s="292"/>
      <c r="EYS60" s="293"/>
      <c r="EYT60" s="294"/>
      <c r="EYZ60" s="292"/>
      <c r="EZA60" s="293"/>
      <c r="EZB60" s="294"/>
      <c r="EZH60" s="292"/>
      <c r="EZI60" s="293"/>
      <c r="EZJ60" s="294"/>
      <c r="EZP60" s="292"/>
      <c r="EZQ60" s="293"/>
      <c r="EZR60" s="294"/>
      <c r="EZX60" s="292"/>
      <c r="EZY60" s="293"/>
      <c r="EZZ60" s="294"/>
      <c r="FAF60" s="292"/>
      <c r="FAG60" s="293"/>
      <c r="FAH60" s="294"/>
      <c r="FAN60" s="292"/>
      <c r="FAO60" s="293"/>
      <c r="FAP60" s="294"/>
      <c r="FAV60" s="292"/>
      <c r="FAW60" s="293"/>
      <c r="FAX60" s="294"/>
      <c r="FBD60" s="292"/>
      <c r="FBE60" s="293"/>
      <c r="FBF60" s="294"/>
      <c r="FBL60" s="292"/>
      <c r="FBM60" s="293"/>
      <c r="FBN60" s="294"/>
      <c r="FBT60" s="292"/>
      <c r="FBU60" s="293"/>
      <c r="FBV60" s="294"/>
      <c r="FCB60" s="292"/>
      <c r="FCC60" s="293"/>
      <c r="FCD60" s="294"/>
      <c r="FCJ60" s="292"/>
      <c r="FCK60" s="293"/>
      <c r="FCL60" s="294"/>
      <c r="FCR60" s="292"/>
      <c r="FCS60" s="293"/>
      <c r="FCT60" s="294"/>
      <c r="FCZ60" s="292"/>
      <c r="FDA60" s="293"/>
      <c r="FDB60" s="294"/>
      <c r="FDH60" s="292"/>
      <c r="FDI60" s="293"/>
      <c r="FDJ60" s="294"/>
      <c r="FDP60" s="292"/>
      <c r="FDQ60" s="293"/>
      <c r="FDR60" s="294"/>
      <c r="FDX60" s="292"/>
      <c r="FDY60" s="293"/>
      <c r="FDZ60" s="294"/>
      <c r="FEF60" s="292"/>
      <c r="FEG60" s="293"/>
      <c r="FEH60" s="294"/>
      <c r="FEN60" s="292"/>
      <c r="FEO60" s="293"/>
      <c r="FEP60" s="294"/>
      <c r="FEV60" s="292"/>
      <c r="FEW60" s="293"/>
      <c r="FEX60" s="294"/>
      <c r="FFD60" s="292"/>
      <c r="FFE60" s="293"/>
      <c r="FFF60" s="294"/>
      <c r="FFL60" s="292"/>
      <c r="FFM60" s="293"/>
      <c r="FFN60" s="294"/>
      <c r="FFT60" s="292"/>
      <c r="FFU60" s="293"/>
      <c r="FFV60" s="294"/>
      <c r="FGB60" s="292"/>
      <c r="FGC60" s="293"/>
      <c r="FGD60" s="294"/>
      <c r="FGJ60" s="292"/>
      <c r="FGK60" s="293"/>
      <c r="FGL60" s="294"/>
      <c r="FGR60" s="292"/>
      <c r="FGS60" s="293"/>
      <c r="FGT60" s="294"/>
      <c r="FGZ60" s="292"/>
      <c r="FHA60" s="293"/>
      <c r="FHB60" s="294"/>
      <c r="FHH60" s="292"/>
      <c r="FHI60" s="293"/>
      <c r="FHJ60" s="294"/>
      <c r="FHP60" s="292"/>
      <c r="FHQ60" s="293"/>
      <c r="FHR60" s="294"/>
      <c r="FHX60" s="292"/>
      <c r="FHY60" s="293"/>
      <c r="FHZ60" s="294"/>
      <c r="FIF60" s="292"/>
      <c r="FIG60" s="293"/>
      <c r="FIH60" s="294"/>
      <c r="FIN60" s="292"/>
      <c r="FIO60" s="293"/>
      <c r="FIP60" s="294"/>
      <c r="FIV60" s="292"/>
      <c r="FIW60" s="293"/>
      <c r="FIX60" s="294"/>
      <c r="FJD60" s="292"/>
      <c r="FJE60" s="293"/>
      <c r="FJF60" s="294"/>
      <c r="FJL60" s="292"/>
      <c r="FJM60" s="293"/>
      <c r="FJN60" s="294"/>
      <c r="FJT60" s="292"/>
      <c r="FJU60" s="293"/>
      <c r="FJV60" s="294"/>
      <c r="FKB60" s="292"/>
      <c r="FKC60" s="293"/>
      <c r="FKD60" s="294"/>
      <c r="FKJ60" s="292"/>
      <c r="FKK60" s="293"/>
      <c r="FKL60" s="294"/>
      <c r="FKR60" s="292"/>
      <c r="FKS60" s="293"/>
      <c r="FKT60" s="294"/>
      <c r="FKZ60" s="292"/>
      <c r="FLA60" s="293"/>
      <c r="FLB60" s="294"/>
      <c r="FLH60" s="292"/>
      <c r="FLI60" s="293"/>
      <c r="FLJ60" s="294"/>
      <c r="FLP60" s="292"/>
      <c r="FLQ60" s="293"/>
      <c r="FLR60" s="294"/>
      <c r="FLX60" s="292"/>
      <c r="FLY60" s="293"/>
      <c r="FLZ60" s="294"/>
      <c r="FMF60" s="292"/>
      <c r="FMG60" s="293"/>
      <c r="FMH60" s="294"/>
      <c r="FMN60" s="292"/>
      <c r="FMO60" s="293"/>
      <c r="FMP60" s="294"/>
      <c r="FMV60" s="292"/>
      <c r="FMW60" s="293"/>
      <c r="FMX60" s="294"/>
      <c r="FND60" s="292"/>
      <c r="FNE60" s="293"/>
      <c r="FNF60" s="294"/>
      <c r="FNL60" s="292"/>
      <c r="FNM60" s="293"/>
      <c r="FNN60" s="294"/>
      <c r="FNT60" s="292"/>
      <c r="FNU60" s="293"/>
      <c r="FNV60" s="294"/>
      <c r="FOB60" s="292"/>
      <c r="FOC60" s="293"/>
      <c r="FOD60" s="294"/>
      <c r="FOJ60" s="292"/>
      <c r="FOK60" s="293"/>
      <c r="FOL60" s="294"/>
      <c r="FOR60" s="292"/>
      <c r="FOS60" s="293"/>
      <c r="FOT60" s="294"/>
      <c r="FOZ60" s="292"/>
      <c r="FPA60" s="293"/>
      <c r="FPB60" s="294"/>
      <c r="FPH60" s="292"/>
      <c r="FPI60" s="293"/>
      <c r="FPJ60" s="294"/>
      <c r="FPP60" s="292"/>
      <c r="FPQ60" s="293"/>
      <c r="FPR60" s="294"/>
      <c r="FPX60" s="292"/>
      <c r="FPY60" s="293"/>
      <c r="FPZ60" s="294"/>
      <c r="FQF60" s="292"/>
      <c r="FQG60" s="293"/>
      <c r="FQH60" s="294"/>
      <c r="FQN60" s="292"/>
      <c r="FQO60" s="293"/>
      <c r="FQP60" s="294"/>
      <c r="FQV60" s="292"/>
      <c r="FQW60" s="293"/>
      <c r="FQX60" s="294"/>
      <c r="FRD60" s="292"/>
      <c r="FRE60" s="293"/>
      <c r="FRF60" s="294"/>
      <c r="FRL60" s="292"/>
      <c r="FRM60" s="293"/>
      <c r="FRN60" s="294"/>
      <c r="FRT60" s="292"/>
      <c r="FRU60" s="293"/>
      <c r="FRV60" s="294"/>
      <c r="FSB60" s="292"/>
      <c r="FSC60" s="293"/>
      <c r="FSD60" s="294"/>
      <c r="FSJ60" s="292"/>
      <c r="FSK60" s="293"/>
      <c r="FSL60" s="294"/>
      <c r="FSR60" s="292"/>
      <c r="FSS60" s="293"/>
      <c r="FST60" s="294"/>
      <c r="FSZ60" s="292"/>
      <c r="FTA60" s="293"/>
      <c r="FTB60" s="294"/>
      <c r="FTH60" s="292"/>
      <c r="FTI60" s="293"/>
      <c r="FTJ60" s="294"/>
      <c r="FTP60" s="292"/>
      <c r="FTQ60" s="293"/>
      <c r="FTR60" s="294"/>
      <c r="FTX60" s="292"/>
      <c r="FTY60" s="293"/>
      <c r="FTZ60" s="294"/>
      <c r="FUF60" s="292"/>
      <c r="FUG60" s="293"/>
      <c r="FUH60" s="294"/>
      <c r="FUN60" s="292"/>
      <c r="FUO60" s="293"/>
      <c r="FUP60" s="294"/>
      <c r="FUV60" s="292"/>
      <c r="FUW60" s="293"/>
      <c r="FUX60" s="294"/>
      <c r="FVD60" s="292"/>
      <c r="FVE60" s="293"/>
      <c r="FVF60" s="294"/>
      <c r="FVL60" s="292"/>
      <c r="FVM60" s="293"/>
      <c r="FVN60" s="294"/>
      <c r="FVT60" s="292"/>
      <c r="FVU60" s="293"/>
      <c r="FVV60" s="294"/>
      <c r="FWB60" s="292"/>
      <c r="FWC60" s="293"/>
      <c r="FWD60" s="294"/>
      <c r="FWJ60" s="292"/>
      <c r="FWK60" s="293"/>
      <c r="FWL60" s="294"/>
      <c r="FWR60" s="292"/>
      <c r="FWS60" s="293"/>
      <c r="FWT60" s="294"/>
      <c r="FWZ60" s="292"/>
      <c r="FXA60" s="293"/>
      <c r="FXB60" s="294"/>
      <c r="FXH60" s="292"/>
      <c r="FXI60" s="293"/>
      <c r="FXJ60" s="294"/>
      <c r="FXP60" s="292"/>
      <c r="FXQ60" s="293"/>
      <c r="FXR60" s="294"/>
      <c r="FXX60" s="292"/>
      <c r="FXY60" s="293"/>
      <c r="FXZ60" s="294"/>
      <c r="FYF60" s="292"/>
      <c r="FYG60" s="293"/>
      <c r="FYH60" s="294"/>
      <c r="FYN60" s="292"/>
      <c r="FYO60" s="293"/>
      <c r="FYP60" s="294"/>
      <c r="FYV60" s="292"/>
      <c r="FYW60" s="293"/>
      <c r="FYX60" s="294"/>
      <c r="FZD60" s="292"/>
      <c r="FZE60" s="293"/>
      <c r="FZF60" s="294"/>
      <c r="FZL60" s="292"/>
      <c r="FZM60" s="293"/>
      <c r="FZN60" s="294"/>
      <c r="FZT60" s="292"/>
      <c r="FZU60" s="293"/>
      <c r="FZV60" s="294"/>
      <c r="GAB60" s="292"/>
      <c r="GAC60" s="293"/>
      <c r="GAD60" s="294"/>
      <c r="GAJ60" s="292"/>
      <c r="GAK60" s="293"/>
      <c r="GAL60" s="294"/>
      <c r="GAR60" s="292"/>
      <c r="GAS60" s="293"/>
      <c r="GAT60" s="294"/>
      <c r="GAZ60" s="292"/>
      <c r="GBA60" s="293"/>
      <c r="GBB60" s="294"/>
      <c r="GBH60" s="292"/>
      <c r="GBI60" s="293"/>
      <c r="GBJ60" s="294"/>
      <c r="GBP60" s="292"/>
      <c r="GBQ60" s="293"/>
      <c r="GBR60" s="294"/>
      <c r="GBX60" s="292"/>
      <c r="GBY60" s="293"/>
      <c r="GBZ60" s="294"/>
      <c r="GCF60" s="292"/>
      <c r="GCG60" s="293"/>
      <c r="GCH60" s="294"/>
      <c r="GCN60" s="292"/>
      <c r="GCO60" s="293"/>
      <c r="GCP60" s="294"/>
      <c r="GCV60" s="292"/>
      <c r="GCW60" s="293"/>
      <c r="GCX60" s="294"/>
      <c r="GDD60" s="292"/>
      <c r="GDE60" s="293"/>
      <c r="GDF60" s="294"/>
      <c r="GDL60" s="292"/>
      <c r="GDM60" s="293"/>
      <c r="GDN60" s="294"/>
      <c r="GDT60" s="292"/>
      <c r="GDU60" s="293"/>
      <c r="GDV60" s="294"/>
      <c r="GEB60" s="292"/>
      <c r="GEC60" s="293"/>
      <c r="GED60" s="294"/>
      <c r="GEJ60" s="292"/>
      <c r="GEK60" s="293"/>
      <c r="GEL60" s="294"/>
      <c r="GER60" s="292"/>
      <c r="GES60" s="293"/>
      <c r="GET60" s="294"/>
      <c r="GEZ60" s="292"/>
      <c r="GFA60" s="293"/>
      <c r="GFB60" s="294"/>
      <c r="GFH60" s="292"/>
      <c r="GFI60" s="293"/>
      <c r="GFJ60" s="294"/>
      <c r="GFP60" s="292"/>
      <c r="GFQ60" s="293"/>
      <c r="GFR60" s="294"/>
      <c r="GFX60" s="292"/>
      <c r="GFY60" s="293"/>
      <c r="GFZ60" s="294"/>
      <c r="GGF60" s="292"/>
      <c r="GGG60" s="293"/>
      <c r="GGH60" s="294"/>
      <c r="GGN60" s="292"/>
      <c r="GGO60" s="293"/>
      <c r="GGP60" s="294"/>
      <c r="GGV60" s="292"/>
      <c r="GGW60" s="293"/>
      <c r="GGX60" s="294"/>
      <c r="GHD60" s="292"/>
      <c r="GHE60" s="293"/>
      <c r="GHF60" s="294"/>
      <c r="GHL60" s="292"/>
      <c r="GHM60" s="293"/>
      <c r="GHN60" s="294"/>
      <c r="GHT60" s="292"/>
      <c r="GHU60" s="293"/>
      <c r="GHV60" s="294"/>
      <c r="GIB60" s="292"/>
      <c r="GIC60" s="293"/>
      <c r="GID60" s="294"/>
      <c r="GIJ60" s="292"/>
      <c r="GIK60" s="293"/>
      <c r="GIL60" s="294"/>
      <c r="GIR60" s="292"/>
      <c r="GIS60" s="293"/>
      <c r="GIT60" s="294"/>
      <c r="GIZ60" s="292"/>
      <c r="GJA60" s="293"/>
      <c r="GJB60" s="294"/>
      <c r="GJH60" s="292"/>
      <c r="GJI60" s="293"/>
      <c r="GJJ60" s="294"/>
      <c r="GJP60" s="292"/>
      <c r="GJQ60" s="293"/>
      <c r="GJR60" s="294"/>
      <c r="GJX60" s="292"/>
      <c r="GJY60" s="293"/>
      <c r="GJZ60" s="294"/>
      <c r="GKF60" s="292"/>
      <c r="GKG60" s="293"/>
      <c r="GKH60" s="294"/>
      <c r="GKN60" s="292"/>
      <c r="GKO60" s="293"/>
      <c r="GKP60" s="294"/>
      <c r="GKV60" s="292"/>
      <c r="GKW60" s="293"/>
      <c r="GKX60" s="294"/>
      <c r="GLD60" s="292"/>
      <c r="GLE60" s="293"/>
      <c r="GLF60" s="294"/>
      <c r="GLL60" s="292"/>
      <c r="GLM60" s="293"/>
      <c r="GLN60" s="294"/>
      <c r="GLT60" s="292"/>
      <c r="GLU60" s="293"/>
      <c r="GLV60" s="294"/>
      <c r="GMB60" s="292"/>
      <c r="GMC60" s="293"/>
      <c r="GMD60" s="294"/>
      <c r="GMJ60" s="292"/>
      <c r="GMK60" s="293"/>
      <c r="GML60" s="294"/>
      <c r="GMR60" s="292"/>
      <c r="GMS60" s="293"/>
      <c r="GMT60" s="294"/>
      <c r="GMZ60" s="292"/>
      <c r="GNA60" s="293"/>
      <c r="GNB60" s="294"/>
      <c r="GNH60" s="292"/>
      <c r="GNI60" s="293"/>
      <c r="GNJ60" s="294"/>
      <c r="GNP60" s="292"/>
      <c r="GNQ60" s="293"/>
      <c r="GNR60" s="294"/>
      <c r="GNX60" s="292"/>
      <c r="GNY60" s="293"/>
      <c r="GNZ60" s="294"/>
      <c r="GOF60" s="292"/>
      <c r="GOG60" s="293"/>
      <c r="GOH60" s="294"/>
      <c r="GON60" s="292"/>
      <c r="GOO60" s="293"/>
      <c r="GOP60" s="294"/>
      <c r="GOV60" s="292"/>
      <c r="GOW60" s="293"/>
      <c r="GOX60" s="294"/>
      <c r="GPD60" s="292"/>
      <c r="GPE60" s="293"/>
      <c r="GPF60" s="294"/>
      <c r="GPL60" s="292"/>
      <c r="GPM60" s="293"/>
      <c r="GPN60" s="294"/>
      <c r="GPT60" s="292"/>
      <c r="GPU60" s="293"/>
      <c r="GPV60" s="294"/>
      <c r="GQB60" s="292"/>
      <c r="GQC60" s="293"/>
      <c r="GQD60" s="294"/>
      <c r="GQJ60" s="292"/>
      <c r="GQK60" s="293"/>
      <c r="GQL60" s="294"/>
      <c r="GQR60" s="292"/>
      <c r="GQS60" s="293"/>
      <c r="GQT60" s="294"/>
      <c r="GQZ60" s="292"/>
      <c r="GRA60" s="293"/>
      <c r="GRB60" s="294"/>
      <c r="GRH60" s="292"/>
      <c r="GRI60" s="293"/>
      <c r="GRJ60" s="294"/>
      <c r="GRP60" s="292"/>
      <c r="GRQ60" s="293"/>
      <c r="GRR60" s="294"/>
      <c r="GRX60" s="292"/>
      <c r="GRY60" s="293"/>
      <c r="GRZ60" s="294"/>
      <c r="GSF60" s="292"/>
      <c r="GSG60" s="293"/>
      <c r="GSH60" s="294"/>
      <c r="GSN60" s="292"/>
      <c r="GSO60" s="293"/>
      <c r="GSP60" s="294"/>
      <c r="GSV60" s="292"/>
      <c r="GSW60" s="293"/>
      <c r="GSX60" s="294"/>
      <c r="GTD60" s="292"/>
      <c r="GTE60" s="293"/>
      <c r="GTF60" s="294"/>
      <c r="GTL60" s="292"/>
      <c r="GTM60" s="293"/>
      <c r="GTN60" s="294"/>
      <c r="GTT60" s="292"/>
      <c r="GTU60" s="293"/>
      <c r="GTV60" s="294"/>
      <c r="GUB60" s="292"/>
      <c r="GUC60" s="293"/>
      <c r="GUD60" s="294"/>
      <c r="GUJ60" s="292"/>
      <c r="GUK60" s="293"/>
      <c r="GUL60" s="294"/>
      <c r="GUR60" s="292"/>
      <c r="GUS60" s="293"/>
      <c r="GUT60" s="294"/>
      <c r="GUZ60" s="292"/>
      <c r="GVA60" s="293"/>
      <c r="GVB60" s="294"/>
      <c r="GVH60" s="292"/>
      <c r="GVI60" s="293"/>
      <c r="GVJ60" s="294"/>
      <c r="GVP60" s="292"/>
      <c r="GVQ60" s="293"/>
      <c r="GVR60" s="294"/>
      <c r="GVX60" s="292"/>
      <c r="GVY60" s="293"/>
      <c r="GVZ60" s="294"/>
      <c r="GWF60" s="292"/>
      <c r="GWG60" s="293"/>
      <c r="GWH60" s="294"/>
      <c r="GWN60" s="292"/>
      <c r="GWO60" s="293"/>
      <c r="GWP60" s="294"/>
      <c r="GWV60" s="292"/>
      <c r="GWW60" s="293"/>
      <c r="GWX60" s="294"/>
      <c r="GXD60" s="292"/>
      <c r="GXE60" s="293"/>
      <c r="GXF60" s="294"/>
      <c r="GXL60" s="292"/>
      <c r="GXM60" s="293"/>
      <c r="GXN60" s="294"/>
      <c r="GXT60" s="292"/>
      <c r="GXU60" s="293"/>
      <c r="GXV60" s="294"/>
      <c r="GYB60" s="292"/>
      <c r="GYC60" s="293"/>
      <c r="GYD60" s="294"/>
      <c r="GYJ60" s="292"/>
      <c r="GYK60" s="293"/>
      <c r="GYL60" s="294"/>
      <c r="GYR60" s="292"/>
      <c r="GYS60" s="293"/>
      <c r="GYT60" s="294"/>
      <c r="GYZ60" s="292"/>
      <c r="GZA60" s="293"/>
      <c r="GZB60" s="294"/>
      <c r="GZH60" s="292"/>
      <c r="GZI60" s="293"/>
      <c r="GZJ60" s="294"/>
      <c r="GZP60" s="292"/>
      <c r="GZQ60" s="293"/>
      <c r="GZR60" s="294"/>
      <c r="GZX60" s="292"/>
      <c r="GZY60" s="293"/>
      <c r="GZZ60" s="294"/>
      <c r="HAF60" s="292"/>
      <c r="HAG60" s="293"/>
      <c r="HAH60" s="294"/>
      <c r="HAN60" s="292"/>
      <c r="HAO60" s="293"/>
      <c r="HAP60" s="294"/>
      <c r="HAV60" s="292"/>
      <c r="HAW60" s="293"/>
      <c r="HAX60" s="294"/>
      <c r="HBD60" s="292"/>
      <c r="HBE60" s="293"/>
      <c r="HBF60" s="294"/>
      <c r="HBL60" s="292"/>
      <c r="HBM60" s="293"/>
      <c r="HBN60" s="294"/>
      <c r="HBT60" s="292"/>
      <c r="HBU60" s="293"/>
      <c r="HBV60" s="294"/>
      <c r="HCB60" s="292"/>
      <c r="HCC60" s="293"/>
      <c r="HCD60" s="294"/>
      <c r="HCJ60" s="292"/>
      <c r="HCK60" s="293"/>
      <c r="HCL60" s="294"/>
      <c r="HCR60" s="292"/>
      <c r="HCS60" s="293"/>
      <c r="HCT60" s="294"/>
      <c r="HCZ60" s="292"/>
      <c r="HDA60" s="293"/>
      <c r="HDB60" s="294"/>
      <c r="HDH60" s="292"/>
      <c r="HDI60" s="293"/>
      <c r="HDJ60" s="294"/>
      <c r="HDP60" s="292"/>
      <c r="HDQ60" s="293"/>
      <c r="HDR60" s="294"/>
      <c r="HDX60" s="292"/>
      <c r="HDY60" s="293"/>
      <c r="HDZ60" s="294"/>
      <c r="HEF60" s="292"/>
      <c r="HEG60" s="293"/>
      <c r="HEH60" s="294"/>
      <c r="HEN60" s="292"/>
      <c r="HEO60" s="293"/>
      <c r="HEP60" s="294"/>
      <c r="HEV60" s="292"/>
      <c r="HEW60" s="293"/>
      <c r="HEX60" s="294"/>
      <c r="HFD60" s="292"/>
      <c r="HFE60" s="293"/>
      <c r="HFF60" s="294"/>
      <c r="HFL60" s="292"/>
      <c r="HFM60" s="293"/>
      <c r="HFN60" s="294"/>
      <c r="HFT60" s="292"/>
      <c r="HFU60" s="293"/>
      <c r="HFV60" s="294"/>
      <c r="HGB60" s="292"/>
      <c r="HGC60" s="293"/>
      <c r="HGD60" s="294"/>
      <c r="HGJ60" s="292"/>
      <c r="HGK60" s="293"/>
      <c r="HGL60" s="294"/>
      <c r="HGR60" s="292"/>
      <c r="HGS60" s="293"/>
      <c r="HGT60" s="294"/>
      <c r="HGZ60" s="292"/>
      <c r="HHA60" s="293"/>
      <c r="HHB60" s="294"/>
      <c r="HHH60" s="292"/>
      <c r="HHI60" s="293"/>
      <c r="HHJ60" s="294"/>
      <c r="HHP60" s="292"/>
      <c r="HHQ60" s="293"/>
      <c r="HHR60" s="294"/>
      <c r="HHX60" s="292"/>
      <c r="HHY60" s="293"/>
      <c r="HHZ60" s="294"/>
      <c r="HIF60" s="292"/>
      <c r="HIG60" s="293"/>
      <c r="HIH60" s="294"/>
      <c r="HIN60" s="292"/>
      <c r="HIO60" s="293"/>
      <c r="HIP60" s="294"/>
      <c r="HIV60" s="292"/>
      <c r="HIW60" s="293"/>
      <c r="HIX60" s="294"/>
      <c r="HJD60" s="292"/>
      <c r="HJE60" s="293"/>
      <c r="HJF60" s="294"/>
      <c r="HJL60" s="292"/>
      <c r="HJM60" s="293"/>
      <c r="HJN60" s="294"/>
      <c r="HJT60" s="292"/>
      <c r="HJU60" s="293"/>
      <c r="HJV60" s="294"/>
      <c r="HKB60" s="292"/>
      <c r="HKC60" s="293"/>
      <c r="HKD60" s="294"/>
      <c r="HKJ60" s="292"/>
      <c r="HKK60" s="293"/>
      <c r="HKL60" s="294"/>
      <c r="HKR60" s="292"/>
      <c r="HKS60" s="293"/>
      <c r="HKT60" s="294"/>
      <c r="HKZ60" s="292"/>
      <c r="HLA60" s="293"/>
      <c r="HLB60" s="294"/>
      <c r="HLH60" s="292"/>
      <c r="HLI60" s="293"/>
      <c r="HLJ60" s="294"/>
      <c r="HLP60" s="292"/>
      <c r="HLQ60" s="293"/>
      <c r="HLR60" s="294"/>
      <c r="HLX60" s="292"/>
      <c r="HLY60" s="293"/>
      <c r="HLZ60" s="294"/>
      <c r="HMF60" s="292"/>
      <c r="HMG60" s="293"/>
      <c r="HMH60" s="294"/>
      <c r="HMN60" s="292"/>
      <c r="HMO60" s="293"/>
      <c r="HMP60" s="294"/>
      <c r="HMV60" s="292"/>
      <c r="HMW60" s="293"/>
      <c r="HMX60" s="294"/>
      <c r="HND60" s="292"/>
      <c r="HNE60" s="293"/>
      <c r="HNF60" s="294"/>
      <c r="HNL60" s="292"/>
      <c r="HNM60" s="293"/>
      <c r="HNN60" s="294"/>
      <c r="HNT60" s="292"/>
      <c r="HNU60" s="293"/>
      <c r="HNV60" s="294"/>
      <c r="HOB60" s="292"/>
      <c r="HOC60" s="293"/>
      <c r="HOD60" s="294"/>
      <c r="HOJ60" s="292"/>
      <c r="HOK60" s="293"/>
      <c r="HOL60" s="294"/>
      <c r="HOR60" s="292"/>
      <c r="HOS60" s="293"/>
      <c r="HOT60" s="294"/>
      <c r="HOZ60" s="292"/>
      <c r="HPA60" s="293"/>
      <c r="HPB60" s="294"/>
      <c r="HPH60" s="292"/>
      <c r="HPI60" s="293"/>
      <c r="HPJ60" s="294"/>
      <c r="HPP60" s="292"/>
      <c r="HPQ60" s="293"/>
      <c r="HPR60" s="294"/>
      <c r="HPX60" s="292"/>
      <c r="HPY60" s="293"/>
      <c r="HPZ60" s="294"/>
      <c r="HQF60" s="292"/>
      <c r="HQG60" s="293"/>
      <c r="HQH60" s="294"/>
      <c r="HQN60" s="292"/>
      <c r="HQO60" s="293"/>
      <c r="HQP60" s="294"/>
      <c r="HQV60" s="292"/>
      <c r="HQW60" s="293"/>
      <c r="HQX60" s="294"/>
      <c r="HRD60" s="292"/>
      <c r="HRE60" s="293"/>
      <c r="HRF60" s="294"/>
      <c r="HRL60" s="292"/>
      <c r="HRM60" s="293"/>
      <c r="HRN60" s="294"/>
      <c r="HRT60" s="292"/>
      <c r="HRU60" s="293"/>
      <c r="HRV60" s="294"/>
      <c r="HSB60" s="292"/>
      <c r="HSC60" s="293"/>
      <c r="HSD60" s="294"/>
      <c r="HSJ60" s="292"/>
      <c r="HSK60" s="293"/>
      <c r="HSL60" s="294"/>
      <c r="HSR60" s="292"/>
      <c r="HSS60" s="293"/>
      <c r="HST60" s="294"/>
      <c r="HSZ60" s="292"/>
      <c r="HTA60" s="293"/>
      <c r="HTB60" s="294"/>
      <c r="HTH60" s="292"/>
      <c r="HTI60" s="293"/>
      <c r="HTJ60" s="294"/>
      <c r="HTP60" s="292"/>
      <c r="HTQ60" s="293"/>
      <c r="HTR60" s="294"/>
      <c r="HTX60" s="292"/>
      <c r="HTY60" s="293"/>
      <c r="HTZ60" s="294"/>
      <c r="HUF60" s="292"/>
      <c r="HUG60" s="293"/>
      <c r="HUH60" s="294"/>
      <c r="HUN60" s="292"/>
      <c r="HUO60" s="293"/>
      <c r="HUP60" s="294"/>
      <c r="HUV60" s="292"/>
      <c r="HUW60" s="293"/>
      <c r="HUX60" s="294"/>
      <c r="HVD60" s="292"/>
      <c r="HVE60" s="293"/>
      <c r="HVF60" s="294"/>
      <c r="HVL60" s="292"/>
      <c r="HVM60" s="293"/>
      <c r="HVN60" s="294"/>
      <c r="HVT60" s="292"/>
      <c r="HVU60" s="293"/>
      <c r="HVV60" s="294"/>
      <c r="HWB60" s="292"/>
      <c r="HWC60" s="293"/>
      <c r="HWD60" s="294"/>
      <c r="HWJ60" s="292"/>
      <c r="HWK60" s="293"/>
      <c r="HWL60" s="294"/>
      <c r="HWR60" s="292"/>
      <c r="HWS60" s="293"/>
      <c r="HWT60" s="294"/>
      <c r="HWZ60" s="292"/>
      <c r="HXA60" s="293"/>
      <c r="HXB60" s="294"/>
      <c r="HXH60" s="292"/>
      <c r="HXI60" s="293"/>
      <c r="HXJ60" s="294"/>
      <c r="HXP60" s="292"/>
      <c r="HXQ60" s="293"/>
      <c r="HXR60" s="294"/>
      <c r="HXX60" s="292"/>
      <c r="HXY60" s="293"/>
      <c r="HXZ60" s="294"/>
      <c r="HYF60" s="292"/>
      <c r="HYG60" s="293"/>
      <c r="HYH60" s="294"/>
      <c r="HYN60" s="292"/>
      <c r="HYO60" s="293"/>
      <c r="HYP60" s="294"/>
      <c r="HYV60" s="292"/>
      <c r="HYW60" s="293"/>
      <c r="HYX60" s="294"/>
      <c r="HZD60" s="292"/>
      <c r="HZE60" s="293"/>
      <c r="HZF60" s="294"/>
      <c r="HZL60" s="292"/>
      <c r="HZM60" s="293"/>
      <c r="HZN60" s="294"/>
      <c r="HZT60" s="292"/>
      <c r="HZU60" s="293"/>
      <c r="HZV60" s="294"/>
      <c r="IAB60" s="292"/>
      <c r="IAC60" s="293"/>
      <c r="IAD60" s="294"/>
      <c r="IAJ60" s="292"/>
      <c r="IAK60" s="293"/>
      <c r="IAL60" s="294"/>
      <c r="IAR60" s="292"/>
      <c r="IAS60" s="293"/>
      <c r="IAT60" s="294"/>
      <c r="IAZ60" s="292"/>
      <c r="IBA60" s="293"/>
      <c r="IBB60" s="294"/>
      <c r="IBH60" s="292"/>
      <c r="IBI60" s="293"/>
      <c r="IBJ60" s="294"/>
      <c r="IBP60" s="292"/>
      <c r="IBQ60" s="293"/>
      <c r="IBR60" s="294"/>
      <c r="IBX60" s="292"/>
      <c r="IBY60" s="293"/>
      <c r="IBZ60" s="294"/>
      <c r="ICF60" s="292"/>
      <c r="ICG60" s="293"/>
      <c r="ICH60" s="294"/>
      <c r="ICN60" s="292"/>
      <c r="ICO60" s="293"/>
      <c r="ICP60" s="294"/>
      <c r="ICV60" s="292"/>
      <c r="ICW60" s="293"/>
      <c r="ICX60" s="294"/>
      <c r="IDD60" s="292"/>
      <c r="IDE60" s="293"/>
      <c r="IDF60" s="294"/>
      <c r="IDL60" s="292"/>
      <c r="IDM60" s="293"/>
      <c r="IDN60" s="294"/>
      <c r="IDT60" s="292"/>
      <c r="IDU60" s="293"/>
      <c r="IDV60" s="294"/>
      <c r="IEB60" s="292"/>
      <c r="IEC60" s="293"/>
      <c r="IED60" s="294"/>
      <c r="IEJ60" s="292"/>
      <c r="IEK60" s="293"/>
      <c r="IEL60" s="294"/>
      <c r="IER60" s="292"/>
      <c r="IES60" s="293"/>
      <c r="IET60" s="294"/>
      <c r="IEZ60" s="292"/>
      <c r="IFA60" s="293"/>
      <c r="IFB60" s="294"/>
      <c r="IFH60" s="292"/>
      <c r="IFI60" s="293"/>
      <c r="IFJ60" s="294"/>
      <c r="IFP60" s="292"/>
      <c r="IFQ60" s="293"/>
      <c r="IFR60" s="294"/>
      <c r="IFX60" s="292"/>
      <c r="IFY60" s="293"/>
      <c r="IFZ60" s="294"/>
      <c r="IGF60" s="292"/>
      <c r="IGG60" s="293"/>
      <c r="IGH60" s="294"/>
      <c r="IGN60" s="292"/>
      <c r="IGO60" s="293"/>
      <c r="IGP60" s="294"/>
      <c r="IGV60" s="292"/>
      <c r="IGW60" s="293"/>
      <c r="IGX60" s="294"/>
      <c r="IHD60" s="292"/>
      <c r="IHE60" s="293"/>
      <c r="IHF60" s="294"/>
      <c r="IHL60" s="292"/>
      <c r="IHM60" s="293"/>
      <c r="IHN60" s="294"/>
      <c r="IHT60" s="292"/>
      <c r="IHU60" s="293"/>
      <c r="IHV60" s="294"/>
      <c r="IIB60" s="292"/>
      <c r="IIC60" s="293"/>
      <c r="IID60" s="294"/>
      <c r="IIJ60" s="292"/>
      <c r="IIK60" s="293"/>
      <c r="IIL60" s="294"/>
      <c r="IIR60" s="292"/>
      <c r="IIS60" s="293"/>
      <c r="IIT60" s="294"/>
      <c r="IIZ60" s="292"/>
      <c r="IJA60" s="293"/>
      <c r="IJB60" s="294"/>
      <c r="IJH60" s="292"/>
      <c r="IJI60" s="293"/>
      <c r="IJJ60" s="294"/>
      <c r="IJP60" s="292"/>
      <c r="IJQ60" s="293"/>
      <c r="IJR60" s="294"/>
      <c r="IJX60" s="292"/>
      <c r="IJY60" s="293"/>
      <c r="IJZ60" s="294"/>
      <c r="IKF60" s="292"/>
      <c r="IKG60" s="293"/>
      <c r="IKH60" s="294"/>
      <c r="IKN60" s="292"/>
      <c r="IKO60" s="293"/>
      <c r="IKP60" s="294"/>
      <c r="IKV60" s="292"/>
      <c r="IKW60" s="293"/>
      <c r="IKX60" s="294"/>
      <c r="ILD60" s="292"/>
      <c r="ILE60" s="293"/>
      <c r="ILF60" s="294"/>
      <c r="ILL60" s="292"/>
      <c r="ILM60" s="293"/>
      <c r="ILN60" s="294"/>
      <c r="ILT60" s="292"/>
      <c r="ILU60" s="293"/>
      <c r="ILV60" s="294"/>
      <c r="IMB60" s="292"/>
      <c r="IMC60" s="293"/>
      <c r="IMD60" s="294"/>
      <c r="IMJ60" s="292"/>
      <c r="IMK60" s="293"/>
      <c r="IML60" s="294"/>
      <c r="IMR60" s="292"/>
      <c r="IMS60" s="293"/>
      <c r="IMT60" s="294"/>
      <c r="IMZ60" s="292"/>
      <c r="INA60" s="293"/>
      <c r="INB60" s="294"/>
      <c r="INH60" s="292"/>
      <c r="INI60" s="293"/>
      <c r="INJ60" s="294"/>
      <c r="INP60" s="292"/>
      <c r="INQ60" s="293"/>
      <c r="INR60" s="294"/>
      <c r="INX60" s="292"/>
      <c r="INY60" s="293"/>
      <c r="INZ60" s="294"/>
      <c r="IOF60" s="292"/>
      <c r="IOG60" s="293"/>
      <c r="IOH60" s="294"/>
      <c r="ION60" s="292"/>
      <c r="IOO60" s="293"/>
      <c r="IOP60" s="294"/>
      <c r="IOV60" s="292"/>
      <c r="IOW60" s="293"/>
      <c r="IOX60" s="294"/>
      <c r="IPD60" s="292"/>
      <c r="IPE60" s="293"/>
      <c r="IPF60" s="294"/>
      <c r="IPL60" s="292"/>
      <c r="IPM60" s="293"/>
      <c r="IPN60" s="294"/>
      <c r="IPT60" s="292"/>
      <c r="IPU60" s="293"/>
      <c r="IPV60" s="294"/>
      <c r="IQB60" s="292"/>
      <c r="IQC60" s="293"/>
      <c r="IQD60" s="294"/>
      <c r="IQJ60" s="292"/>
      <c r="IQK60" s="293"/>
      <c r="IQL60" s="294"/>
      <c r="IQR60" s="292"/>
      <c r="IQS60" s="293"/>
      <c r="IQT60" s="294"/>
      <c r="IQZ60" s="292"/>
      <c r="IRA60" s="293"/>
      <c r="IRB60" s="294"/>
      <c r="IRH60" s="292"/>
      <c r="IRI60" s="293"/>
      <c r="IRJ60" s="294"/>
      <c r="IRP60" s="292"/>
      <c r="IRQ60" s="293"/>
      <c r="IRR60" s="294"/>
      <c r="IRX60" s="292"/>
      <c r="IRY60" s="293"/>
      <c r="IRZ60" s="294"/>
      <c r="ISF60" s="292"/>
      <c r="ISG60" s="293"/>
      <c r="ISH60" s="294"/>
      <c r="ISN60" s="292"/>
      <c r="ISO60" s="293"/>
      <c r="ISP60" s="294"/>
      <c r="ISV60" s="292"/>
      <c r="ISW60" s="293"/>
      <c r="ISX60" s="294"/>
      <c r="ITD60" s="292"/>
      <c r="ITE60" s="293"/>
      <c r="ITF60" s="294"/>
      <c r="ITL60" s="292"/>
      <c r="ITM60" s="293"/>
      <c r="ITN60" s="294"/>
      <c r="ITT60" s="292"/>
      <c r="ITU60" s="293"/>
      <c r="ITV60" s="294"/>
      <c r="IUB60" s="292"/>
      <c r="IUC60" s="293"/>
      <c r="IUD60" s="294"/>
      <c r="IUJ60" s="292"/>
      <c r="IUK60" s="293"/>
      <c r="IUL60" s="294"/>
      <c r="IUR60" s="292"/>
      <c r="IUS60" s="293"/>
      <c r="IUT60" s="294"/>
      <c r="IUZ60" s="292"/>
      <c r="IVA60" s="293"/>
      <c r="IVB60" s="294"/>
      <c r="IVH60" s="292"/>
      <c r="IVI60" s="293"/>
      <c r="IVJ60" s="294"/>
      <c r="IVP60" s="292"/>
      <c r="IVQ60" s="293"/>
      <c r="IVR60" s="294"/>
      <c r="IVX60" s="292"/>
      <c r="IVY60" s="293"/>
      <c r="IVZ60" s="294"/>
      <c r="IWF60" s="292"/>
      <c r="IWG60" s="293"/>
      <c r="IWH60" s="294"/>
      <c r="IWN60" s="292"/>
      <c r="IWO60" s="293"/>
      <c r="IWP60" s="294"/>
      <c r="IWV60" s="292"/>
      <c r="IWW60" s="293"/>
      <c r="IWX60" s="294"/>
      <c r="IXD60" s="292"/>
      <c r="IXE60" s="293"/>
      <c r="IXF60" s="294"/>
      <c r="IXL60" s="292"/>
      <c r="IXM60" s="293"/>
      <c r="IXN60" s="294"/>
      <c r="IXT60" s="292"/>
      <c r="IXU60" s="293"/>
      <c r="IXV60" s="294"/>
      <c r="IYB60" s="292"/>
      <c r="IYC60" s="293"/>
      <c r="IYD60" s="294"/>
      <c r="IYJ60" s="292"/>
      <c r="IYK60" s="293"/>
      <c r="IYL60" s="294"/>
      <c r="IYR60" s="292"/>
      <c r="IYS60" s="293"/>
      <c r="IYT60" s="294"/>
      <c r="IYZ60" s="292"/>
      <c r="IZA60" s="293"/>
      <c r="IZB60" s="294"/>
      <c r="IZH60" s="292"/>
      <c r="IZI60" s="293"/>
      <c r="IZJ60" s="294"/>
      <c r="IZP60" s="292"/>
      <c r="IZQ60" s="293"/>
      <c r="IZR60" s="294"/>
      <c r="IZX60" s="292"/>
      <c r="IZY60" s="293"/>
      <c r="IZZ60" s="294"/>
      <c r="JAF60" s="292"/>
      <c r="JAG60" s="293"/>
      <c r="JAH60" s="294"/>
      <c r="JAN60" s="292"/>
      <c r="JAO60" s="293"/>
      <c r="JAP60" s="294"/>
      <c r="JAV60" s="292"/>
      <c r="JAW60" s="293"/>
      <c r="JAX60" s="294"/>
      <c r="JBD60" s="292"/>
      <c r="JBE60" s="293"/>
      <c r="JBF60" s="294"/>
      <c r="JBL60" s="292"/>
      <c r="JBM60" s="293"/>
      <c r="JBN60" s="294"/>
      <c r="JBT60" s="292"/>
      <c r="JBU60" s="293"/>
      <c r="JBV60" s="294"/>
      <c r="JCB60" s="292"/>
      <c r="JCC60" s="293"/>
      <c r="JCD60" s="294"/>
      <c r="JCJ60" s="292"/>
      <c r="JCK60" s="293"/>
      <c r="JCL60" s="294"/>
      <c r="JCR60" s="292"/>
      <c r="JCS60" s="293"/>
      <c r="JCT60" s="294"/>
      <c r="JCZ60" s="292"/>
      <c r="JDA60" s="293"/>
      <c r="JDB60" s="294"/>
      <c r="JDH60" s="292"/>
      <c r="JDI60" s="293"/>
      <c r="JDJ60" s="294"/>
      <c r="JDP60" s="292"/>
      <c r="JDQ60" s="293"/>
      <c r="JDR60" s="294"/>
      <c r="JDX60" s="292"/>
      <c r="JDY60" s="293"/>
      <c r="JDZ60" s="294"/>
      <c r="JEF60" s="292"/>
      <c r="JEG60" s="293"/>
      <c r="JEH60" s="294"/>
      <c r="JEN60" s="292"/>
      <c r="JEO60" s="293"/>
      <c r="JEP60" s="294"/>
      <c r="JEV60" s="292"/>
      <c r="JEW60" s="293"/>
      <c r="JEX60" s="294"/>
      <c r="JFD60" s="292"/>
      <c r="JFE60" s="293"/>
      <c r="JFF60" s="294"/>
      <c r="JFL60" s="292"/>
      <c r="JFM60" s="293"/>
      <c r="JFN60" s="294"/>
      <c r="JFT60" s="292"/>
      <c r="JFU60" s="293"/>
      <c r="JFV60" s="294"/>
      <c r="JGB60" s="292"/>
      <c r="JGC60" s="293"/>
      <c r="JGD60" s="294"/>
      <c r="JGJ60" s="292"/>
      <c r="JGK60" s="293"/>
      <c r="JGL60" s="294"/>
      <c r="JGR60" s="292"/>
      <c r="JGS60" s="293"/>
      <c r="JGT60" s="294"/>
      <c r="JGZ60" s="292"/>
      <c r="JHA60" s="293"/>
      <c r="JHB60" s="294"/>
      <c r="JHH60" s="292"/>
      <c r="JHI60" s="293"/>
      <c r="JHJ60" s="294"/>
      <c r="JHP60" s="292"/>
      <c r="JHQ60" s="293"/>
      <c r="JHR60" s="294"/>
      <c r="JHX60" s="292"/>
      <c r="JHY60" s="293"/>
      <c r="JHZ60" s="294"/>
      <c r="JIF60" s="292"/>
      <c r="JIG60" s="293"/>
      <c r="JIH60" s="294"/>
      <c r="JIN60" s="292"/>
      <c r="JIO60" s="293"/>
      <c r="JIP60" s="294"/>
      <c r="JIV60" s="292"/>
      <c r="JIW60" s="293"/>
      <c r="JIX60" s="294"/>
      <c r="JJD60" s="292"/>
      <c r="JJE60" s="293"/>
      <c r="JJF60" s="294"/>
      <c r="JJL60" s="292"/>
      <c r="JJM60" s="293"/>
      <c r="JJN60" s="294"/>
      <c r="JJT60" s="292"/>
      <c r="JJU60" s="293"/>
      <c r="JJV60" s="294"/>
      <c r="JKB60" s="292"/>
      <c r="JKC60" s="293"/>
      <c r="JKD60" s="294"/>
      <c r="JKJ60" s="292"/>
      <c r="JKK60" s="293"/>
      <c r="JKL60" s="294"/>
      <c r="JKR60" s="292"/>
      <c r="JKS60" s="293"/>
      <c r="JKT60" s="294"/>
      <c r="JKZ60" s="292"/>
      <c r="JLA60" s="293"/>
      <c r="JLB60" s="294"/>
      <c r="JLH60" s="292"/>
      <c r="JLI60" s="293"/>
      <c r="JLJ60" s="294"/>
      <c r="JLP60" s="292"/>
      <c r="JLQ60" s="293"/>
      <c r="JLR60" s="294"/>
      <c r="JLX60" s="292"/>
      <c r="JLY60" s="293"/>
      <c r="JLZ60" s="294"/>
      <c r="JMF60" s="292"/>
      <c r="JMG60" s="293"/>
      <c r="JMH60" s="294"/>
      <c r="JMN60" s="292"/>
      <c r="JMO60" s="293"/>
      <c r="JMP60" s="294"/>
      <c r="JMV60" s="292"/>
      <c r="JMW60" s="293"/>
      <c r="JMX60" s="294"/>
      <c r="JND60" s="292"/>
      <c r="JNE60" s="293"/>
      <c r="JNF60" s="294"/>
      <c r="JNL60" s="292"/>
      <c r="JNM60" s="293"/>
      <c r="JNN60" s="294"/>
      <c r="JNT60" s="292"/>
      <c r="JNU60" s="293"/>
      <c r="JNV60" s="294"/>
      <c r="JOB60" s="292"/>
      <c r="JOC60" s="293"/>
      <c r="JOD60" s="294"/>
      <c r="JOJ60" s="292"/>
      <c r="JOK60" s="293"/>
      <c r="JOL60" s="294"/>
      <c r="JOR60" s="292"/>
      <c r="JOS60" s="293"/>
      <c r="JOT60" s="294"/>
      <c r="JOZ60" s="292"/>
      <c r="JPA60" s="293"/>
      <c r="JPB60" s="294"/>
      <c r="JPH60" s="292"/>
      <c r="JPI60" s="293"/>
      <c r="JPJ60" s="294"/>
      <c r="JPP60" s="292"/>
      <c r="JPQ60" s="293"/>
      <c r="JPR60" s="294"/>
      <c r="JPX60" s="292"/>
      <c r="JPY60" s="293"/>
      <c r="JPZ60" s="294"/>
      <c r="JQF60" s="292"/>
      <c r="JQG60" s="293"/>
      <c r="JQH60" s="294"/>
      <c r="JQN60" s="292"/>
      <c r="JQO60" s="293"/>
      <c r="JQP60" s="294"/>
      <c r="JQV60" s="292"/>
      <c r="JQW60" s="293"/>
      <c r="JQX60" s="294"/>
      <c r="JRD60" s="292"/>
      <c r="JRE60" s="293"/>
      <c r="JRF60" s="294"/>
      <c r="JRL60" s="292"/>
      <c r="JRM60" s="293"/>
      <c r="JRN60" s="294"/>
      <c r="JRT60" s="292"/>
      <c r="JRU60" s="293"/>
      <c r="JRV60" s="294"/>
      <c r="JSB60" s="292"/>
      <c r="JSC60" s="293"/>
      <c r="JSD60" s="294"/>
      <c r="JSJ60" s="292"/>
      <c r="JSK60" s="293"/>
      <c r="JSL60" s="294"/>
      <c r="JSR60" s="292"/>
      <c r="JSS60" s="293"/>
      <c r="JST60" s="294"/>
      <c r="JSZ60" s="292"/>
      <c r="JTA60" s="293"/>
      <c r="JTB60" s="294"/>
      <c r="JTH60" s="292"/>
      <c r="JTI60" s="293"/>
      <c r="JTJ60" s="294"/>
      <c r="JTP60" s="292"/>
      <c r="JTQ60" s="293"/>
      <c r="JTR60" s="294"/>
      <c r="JTX60" s="292"/>
      <c r="JTY60" s="293"/>
      <c r="JTZ60" s="294"/>
      <c r="JUF60" s="292"/>
      <c r="JUG60" s="293"/>
      <c r="JUH60" s="294"/>
      <c r="JUN60" s="292"/>
      <c r="JUO60" s="293"/>
      <c r="JUP60" s="294"/>
      <c r="JUV60" s="292"/>
      <c r="JUW60" s="293"/>
      <c r="JUX60" s="294"/>
      <c r="JVD60" s="292"/>
      <c r="JVE60" s="293"/>
      <c r="JVF60" s="294"/>
      <c r="JVL60" s="292"/>
      <c r="JVM60" s="293"/>
      <c r="JVN60" s="294"/>
      <c r="JVT60" s="292"/>
      <c r="JVU60" s="293"/>
      <c r="JVV60" s="294"/>
      <c r="JWB60" s="292"/>
      <c r="JWC60" s="293"/>
      <c r="JWD60" s="294"/>
      <c r="JWJ60" s="292"/>
      <c r="JWK60" s="293"/>
      <c r="JWL60" s="294"/>
      <c r="JWR60" s="292"/>
      <c r="JWS60" s="293"/>
      <c r="JWT60" s="294"/>
      <c r="JWZ60" s="292"/>
      <c r="JXA60" s="293"/>
      <c r="JXB60" s="294"/>
      <c r="JXH60" s="292"/>
      <c r="JXI60" s="293"/>
      <c r="JXJ60" s="294"/>
      <c r="JXP60" s="292"/>
      <c r="JXQ60" s="293"/>
      <c r="JXR60" s="294"/>
      <c r="JXX60" s="292"/>
      <c r="JXY60" s="293"/>
      <c r="JXZ60" s="294"/>
      <c r="JYF60" s="292"/>
      <c r="JYG60" s="293"/>
      <c r="JYH60" s="294"/>
      <c r="JYN60" s="292"/>
      <c r="JYO60" s="293"/>
      <c r="JYP60" s="294"/>
      <c r="JYV60" s="292"/>
      <c r="JYW60" s="293"/>
      <c r="JYX60" s="294"/>
      <c r="JZD60" s="292"/>
      <c r="JZE60" s="293"/>
      <c r="JZF60" s="294"/>
      <c r="JZL60" s="292"/>
      <c r="JZM60" s="293"/>
      <c r="JZN60" s="294"/>
      <c r="JZT60" s="292"/>
      <c r="JZU60" s="293"/>
      <c r="JZV60" s="294"/>
      <c r="KAB60" s="292"/>
      <c r="KAC60" s="293"/>
      <c r="KAD60" s="294"/>
      <c r="KAJ60" s="292"/>
      <c r="KAK60" s="293"/>
      <c r="KAL60" s="294"/>
      <c r="KAR60" s="292"/>
      <c r="KAS60" s="293"/>
      <c r="KAT60" s="294"/>
      <c r="KAZ60" s="292"/>
      <c r="KBA60" s="293"/>
      <c r="KBB60" s="294"/>
      <c r="KBH60" s="292"/>
      <c r="KBI60" s="293"/>
      <c r="KBJ60" s="294"/>
      <c r="KBP60" s="292"/>
      <c r="KBQ60" s="293"/>
      <c r="KBR60" s="294"/>
      <c r="KBX60" s="292"/>
      <c r="KBY60" s="293"/>
      <c r="KBZ60" s="294"/>
      <c r="KCF60" s="292"/>
      <c r="KCG60" s="293"/>
      <c r="KCH60" s="294"/>
      <c r="KCN60" s="292"/>
      <c r="KCO60" s="293"/>
      <c r="KCP60" s="294"/>
      <c r="KCV60" s="292"/>
      <c r="KCW60" s="293"/>
      <c r="KCX60" s="294"/>
      <c r="KDD60" s="292"/>
      <c r="KDE60" s="293"/>
      <c r="KDF60" s="294"/>
      <c r="KDL60" s="292"/>
      <c r="KDM60" s="293"/>
      <c r="KDN60" s="294"/>
      <c r="KDT60" s="292"/>
      <c r="KDU60" s="293"/>
      <c r="KDV60" s="294"/>
      <c r="KEB60" s="292"/>
      <c r="KEC60" s="293"/>
      <c r="KED60" s="294"/>
      <c r="KEJ60" s="292"/>
      <c r="KEK60" s="293"/>
      <c r="KEL60" s="294"/>
      <c r="KER60" s="292"/>
      <c r="KES60" s="293"/>
      <c r="KET60" s="294"/>
      <c r="KEZ60" s="292"/>
      <c r="KFA60" s="293"/>
      <c r="KFB60" s="294"/>
      <c r="KFH60" s="292"/>
      <c r="KFI60" s="293"/>
      <c r="KFJ60" s="294"/>
      <c r="KFP60" s="292"/>
      <c r="KFQ60" s="293"/>
      <c r="KFR60" s="294"/>
      <c r="KFX60" s="292"/>
      <c r="KFY60" s="293"/>
      <c r="KFZ60" s="294"/>
      <c r="KGF60" s="292"/>
      <c r="KGG60" s="293"/>
      <c r="KGH60" s="294"/>
      <c r="KGN60" s="292"/>
      <c r="KGO60" s="293"/>
      <c r="KGP60" s="294"/>
      <c r="KGV60" s="292"/>
      <c r="KGW60" s="293"/>
      <c r="KGX60" s="294"/>
      <c r="KHD60" s="292"/>
      <c r="KHE60" s="293"/>
      <c r="KHF60" s="294"/>
      <c r="KHL60" s="292"/>
      <c r="KHM60" s="293"/>
      <c r="KHN60" s="294"/>
      <c r="KHT60" s="292"/>
      <c r="KHU60" s="293"/>
      <c r="KHV60" s="294"/>
      <c r="KIB60" s="292"/>
      <c r="KIC60" s="293"/>
      <c r="KID60" s="294"/>
      <c r="KIJ60" s="292"/>
      <c r="KIK60" s="293"/>
      <c r="KIL60" s="294"/>
      <c r="KIR60" s="292"/>
      <c r="KIS60" s="293"/>
      <c r="KIT60" s="294"/>
      <c r="KIZ60" s="292"/>
      <c r="KJA60" s="293"/>
      <c r="KJB60" s="294"/>
      <c r="KJH60" s="292"/>
      <c r="KJI60" s="293"/>
      <c r="KJJ60" s="294"/>
      <c r="KJP60" s="292"/>
      <c r="KJQ60" s="293"/>
      <c r="KJR60" s="294"/>
      <c r="KJX60" s="292"/>
      <c r="KJY60" s="293"/>
      <c r="KJZ60" s="294"/>
      <c r="KKF60" s="292"/>
      <c r="KKG60" s="293"/>
      <c r="KKH60" s="294"/>
      <c r="KKN60" s="292"/>
      <c r="KKO60" s="293"/>
      <c r="KKP60" s="294"/>
      <c r="KKV60" s="292"/>
      <c r="KKW60" s="293"/>
      <c r="KKX60" s="294"/>
      <c r="KLD60" s="292"/>
      <c r="KLE60" s="293"/>
      <c r="KLF60" s="294"/>
      <c r="KLL60" s="292"/>
      <c r="KLM60" s="293"/>
      <c r="KLN60" s="294"/>
      <c r="KLT60" s="292"/>
      <c r="KLU60" s="293"/>
      <c r="KLV60" s="294"/>
      <c r="KMB60" s="292"/>
      <c r="KMC60" s="293"/>
      <c r="KMD60" s="294"/>
      <c r="KMJ60" s="292"/>
      <c r="KMK60" s="293"/>
      <c r="KML60" s="294"/>
      <c r="KMR60" s="292"/>
      <c r="KMS60" s="293"/>
      <c r="KMT60" s="294"/>
      <c r="KMZ60" s="292"/>
      <c r="KNA60" s="293"/>
      <c r="KNB60" s="294"/>
      <c r="KNH60" s="292"/>
      <c r="KNI60" s="293"/>
      <c r="KNJ60" s="294"/>
      <c r="KNP60" s="292"/>
      <c r="KNQ60" s="293"/>
      <c r="KNR60" s="294"/>
      <c r="KNX60" s="292"/>
      <c r="KNY60" s="293"/>
      <c r="KNZ60" s="294"/>
      <c r="KOF60" s="292"/>
      <c r="KOG60" s="293"/>
      <c r="KOH60" s="294"/>
      <c r="KON60" s="292"/>
      <c r="KOO60" s="293"/>
      <c r="KOP60" s="294"/>
      <c r="KOV60" s="292"/>
      <c r="KOW60" s="293"/>
      <c r="KOX60" s="294"/>
      <c r="KPD60" s="292"/>
      <c r="KPE60" s="293"/>
      <c r="KPF60" s="294"/>
      <c r="KPL60" s="292"/>
      <c r="KPM60" s="293"/>
      <c r="KPN60" s="294"/>
      <c r="KPT60" s="292"/>
      <c r="KPU60" s="293"/>
      <c r="KPV60" s="294"/>
      <c r="KQB60" s="292"/>
      <c r="KQC60" s="293"/>
      <c r="KQD60" s="294"/>
      <c r="KQJ60" s="292"/>
      <c r="KQK60" s="293"/>
      <c r="KQL60" s="294"/>
      <c r="KQR60" s="292"/>
      <c r="KQS60" s="293"/>
      <c r="KQT60" s="294"/>
      <c r="KQZ60" s="292"/>
      <c r="KRA60" s="293"/>
      <c r="KRB60" s="294"/>
      <c r="KRH60" s="292"/>
      <c r="KRI60" s="293"/>
      <c r="KRJ60" s="294"/>
      <c r="KRP60" s="292"/>
      <c r="KRQ60" s="293"/>
      <c r="KRR60" s="294"/>
      <c r="KRX60" s="292"/>
      <c r="KRY60" s="293"/>
      <c r="KRZ60" s="294"/>
      <c r="KSF60" s="292"/>
      <c r="KSG60" s="293"/>
      <c r="KSH60" s="294"/>
      <c r="KSN60" s="292"/>
      <c r="KSO60" s="293"/>
      <c r="KSP60" s="294"/>
      <c r="KSV60" s="292"/>
      <c r="KSW60" s="293"/>
      <c r="KSX60" s="294"/>
      <c r="KTD60" s="292"/>
      <c r="KTE60" s="293"/>
      <c r="KTF60" s="294"/>
      <c r="KTL60" s="292"/>
      <c r="KTM60" s="293"/>
      <c r="KTN60" s="294"/>
      <c r="KTT60" s="292"/>
      <c r="KTU60" s="293"/>
      <c r="KTV60" s="294"/>
      <c r="KUB60" s="292"/>
      <c r="KUC60" s="293"/>
      <c r="KUD60" s="294"/>
      <c r="KUJ60" s="292"/>
      <c r="KUK60" s="293"/>
      <c r="KUL60" s="294"/>
      <c r="KUR60" s="292"/>
      <c r="KUS60" s="293"/>
      <c r="KUT60" s="294"/>
      <c r="KUZ60" s="292"/>
      <c r="KVA60" s="293"/>
      <c r="KVB60" s="294"/>
      <c r="KVH60" s="292"/>
      <c r="KVI60" s="293"/>
      <c r="KVJ60" s="294"/>
      <c r="KVP60" s="292"/>
      <c r="KVQ60" s="293"/>
      <c r="KVR60" s="294"/>
      <c r="KVX60" s="292"/>
      <c r="KVY60" s="293"/>
      <c r="KVZ60" s="294"/>
      <c r="KWF60" s="292"/>
      <c r="KWG60" s="293"/>
      <c r="KWH60" s="294"/>
      <c r="KWN60" s="292"/>
      <c r="KWO60" s="293"/>
      <c r="KWP60" s="294"/>
      <c r="KWV60" s="292"/>
      <c r="KWW60" s="293"/>
      <c r="KWX60" s="294"/>
      <c r="KXD60" s="292"/>
      <c r="KXE60" s="293"/>
      <c r="KXF60" s="294"/>
      <c r="KXL60" s="292"/>
      <c r="KXM60" s="293"/>
      <c r="KXN60" s="294"/>
      <c r="KXT60" s="292"/>
      <c r="KXU60" s="293"/>
      <c r="KXV60" s="294"/>
      <c r="KYB60" s="292"/>
      <c r="KYC60" s="293"/>
      <c r="KYD60" s="294"/>
      <c r="KYJ60" s="292"/>
      <c r="KYK60" s="293"/>
      <c r="KYL60" s="294"/>
      <c r="KYR60" s="292"/>
      <c r="KYS60" s="293"/>
      <c r="KYT60" s="294"/>
      <c r="KYZ60" s="292"/>
      <c r="KZA60" s="293"/>
      <c r="KZB60" s="294"/>
      <c r="KZH60" s="292"/>
      <c r="KZI60" s="293"/>
      <c r="KZJ60" s="294"/>
      <c r="KZP60" s="292"/>
      <c r="KZQ60" s="293"/>
      <c r="KZR60" s="294"/>
      <c r="KZX60" s="292"/>
      <c r="KZY60" s="293"/>
      <c r="KZZ60" s="294"/>
      <c r="LAF60" s="292"/>
      <c r="LAG60" s="293"/>
      <c r="LAH60" s="294"/>
      <c r="LAN60" s="292"/>
      <c r="LAO60" s="293"/>
      <c r="LAP60" s="294"/>
      <c r="LAV60" s="292"/>
      <c r="LAW60" s="293"/>
      <c r="LAX60" s="294"/>
      <c r="LBD60" s="292"/>
      <c r="LBE60" s="293"/>
      <c r="LBF60" s="294"/>
      <c r="LBL60" s="292"/>
      <c r="LBM60" s="293"/>
      <c r="LBN60" s="294"/>
      <c r="LBT60" s="292"/>
      <c r="LBU60" s="293"/>
      <c r="LBV60" s="294"/>
      <c r="LCB60" s="292"/>
      <c r="LCC60" s="293"/>
      <c r="LCD60" s="294"/>
      <c r="LCJ60" s="292"/>
      <c r="LCK60" s="293"/>
      <c r="LCL60" s="294"/>
      <c r="LCR60" s="292"/>
      <c r="LCS60" s="293"/>
      <c r="LCT60" s="294"/>
      <c r="LCZ60" s="292"/>
      <c r="LDA60" s="293"/>
      <c r="LDB60" s="294"/>
      <c r="LDH60" s="292"/>
      <c r="LDI60" s="293"/>
      <c r="LDJ60" s="294"/>
      <c r="LDP60" s="292"/>
      <c r="LDQ60" s="293"/>
      <c r="LDR60" s="294"/>
      <c r="LDX60" s="292"/>
      <c r="LDY60" s="293"/>
      <c r="LDZ60" s="294"/>
      <c r="LEF60" s="292"/>
      <c r="LEG60" s="293"/>
      <c r="LEH60" s="294"/>
      <c r="LEN60" s="292"/>
      <c r="LEO60" s="293"/>
      <c r="LEP60" s="294"/>
      <c r="LEV60" s="292"/>
      <c r="LEW60" s="293"/>
      <c r="LEX60" s="294"/>
      <c r="LFD60" s="292"/>
      <c r="LFE60" s="293"/>
      <c r="LFF60" s="294"/>
      <c r="LFL60" s="292"/>
      <c r="LFM60" s="293"/>
      <c r="LFN60" s="294"/>
      <c r="LFT60" s="292"/>
      <c r="LFU60" s="293"/>
      <c r="LFV60" s="294"/>
      <c r="LGB60" s="292"/>
      <c r="LGC60" s="293"/>
      <c r="LGD60" s="294"/>
      <c r="LGJ60" s="292"/>
      <c r="LGK60" s="293"/>
      <c r="LGL60" s="294"/>
      <c r="LGR60" s="292"/>
      <c r="LGS60" s="293"/>
      <c r="LGT60" s="294"/>
      <c r="LGZ60" s="292"/>
      <c r="LHA60" s="293"/>
      <c r="LHB60" s="294"/>
      <c r="LHH60" s="292"/>
      <c r="LHI60" s="293"/>
      <c r="LHJ60" s="294"/>
      <c r="LHP60" s="292"/>
      <c r="LHQ60" s="293"/>
      <c r="LHR60" s="294"/>
      <c r="LHX60" s="292"/>
      <c r="LHY60" s="293"/>
      <c r="LHZ60" s="294"/>
      <c r="LIF60" s="292"/>
      <c r="LIG60" s="293"/>
      <c r="LIH60" s="294"/>
      <c r="LIN60" s="292"/>
      <c r="LIO60" s="293"/>
      <c r="LIP60" s="294"/>
      <c r="LIV60" s="292"/>
      <c r="LIW60" s="293"/>
      <c r="LIX60" s="294"/>
      <c r="LJD60" s="292"/>
      <c r="LJE60" s="293"/>
      <c r="LJF60" s="294"/>
      <c r="LJL60" s="292"/>
      <c r="LJM60" s="293"/>
      <c r="LJN60" s="294"/>
      <c r="LJT60" s="292"/>
      <c r="LJU60" s="293"/>
      <c r="LJV60" s="294"/>
      <c r="LKB60" s="292"/>
      <c r="LKC60" s="293"/>
      <c r="LKD60" s="294"/>
      <c r="LKJ60" s="292"/>
      <c r="LKK60" s="293"/>
      <c r="LKL60" s="294"/>
      <c r="LKR60" s="292"/>
      <c r="LKS60" s="293"/>
      <c r="LKT60" s="294"/>
      <c r="LKZ60" s="292"/>
      <c r="LLA60" s="293"/>
      <c r="LLB60" s="294"/>
      <c r="LLH60" s="292"/>
      <c r="LLI60" s="293"/>
      <c r="LLJ60" s="294"/>
      <c r="LLP60" s="292"/>
      <c r="LLQ60" s="293"/>
      <c r="LLR60" s="294"/>
      <c r="LLX60" s="292"/>
      <c r="LLY60" s="293"/>
      <c r="LLZ60" s="294"/>
      <c r="LMF60" s="292"/>
      <c r="LMG60" s="293"/>
      <c r="LMH60" s="294"/>
      <c r="LMN60" s="292"/>
      <c r="LMO60" s="293"/>
      <c r="LMP60" s="294"/>
      <c r="LMV60" s="292"/>
      <c r="LMW60" s="293"/>
      <c r="LMX60" s="294"/>
      <c r="LND60" s="292"/>
      <c r="LNE60" s="293"/>
      <c r="LNF60" s="294"/>
      <c r="LNL60" s="292"/>
      <c r="LNM60" s="293"/>
      <c r="LNN60" s="294"/>
      <c r="LNT60" s="292"/>
      <c r="LNU60" s="293"/>
      <c r="LNV60" s="294"/>
      <c r="LOB60" s="292"/>
      <c r="LOC60" s="293"/>
      <c r="LOD60" s="294"/>
      <c r="LOJ60" s="292"/>
      <c r="LOK60" s="293"/>
      <c r="LOL60" s="294"/>
      <c r="LOR60" s="292"/>
      <c r="LOS60" s="293"/>
      <c r="LOT60" s="294"/>
      <c r="LOZ60" s="292"/>
      <c r="LPA60" s="293"/>
      <c r="LPB60" s="294"/>
      <c r="LPH60" s="292"/>
      <c r="LPI60" s="293"/>
      <c r="LPJ60" s="294"/>
      <c r="LPP60" s="292"/>
      <c r="LPQ60" s="293"/>
      <c r="LPR60" s="294"/>
      <c r="LPX60" s="292"/>
      <c r="LPY60" s="293"/>
      <c r="LPZ60" s="294"/>
      <c r="LQF60" s="292"/>
      <c r="LQG60" s="293"/>
      <c r="LQH60" s="294"/>
      <c r="LQN60" s="292"/>
      <c r="LQO60" s="293"/>
      <c r="LQP60" s="294"/>
      <c r="LQV60" s="292"/>
      <c r="LQW60" s="293"/>
      <c r="LQX60" s="294"/>
      <c r="LRD60" s="292"/>
      <c r="LRE60" s="293"/>
      <c r="LRF60" s="294"/>
      <c r="LRL60" s="292"/>
      <c r="LRM60" s="293"/>
      <c r="LRN60" s="294"/>
      <c r="LRT60" s="292"/>
      <c r="LRU60" s="293"/>
      <c r="LRV60" s="294"/>
      <c r="LSB60" s="292"/>
      <c r="LSC60" s="293"/>
      <c r="LSD60" s="294"/>
      <c r="LSJ60" s="292"/>
      <c r="LSK60" s="293"/>
      <c r="LSL60" s="294"/>
      <c r="LSR60" s="292"/>
      <c r="LSS60" s="293"/>
      <c r="LST60" s="294"/>
      <c r="LSZ60" s="292"/>
      <c r="LTA60" s="293"/>
      <c r="LTB60" s="294"/>
      <c r="LTH60" s="292"/>
      <c r="LTI60" s="293"/>
      <c r="LTJ60" s="294"/>
      <c r="LTP60" s="292"/>
      <c r="LTQ60" s="293"/>
      <c r="LTR60" s="294"/>
      <c r="LTX60" s="292"/>
      <c r="LTY60" s="293"/>
      <c r="LTZ60" s="294"/>
      <c r="LUF60" s="292"/>
      <c r="LUG60" s="293"/>
      <c r="LUH60" s="294"/>
      <c r="LUN60" s="292"/>
      <c r="LUO60" s="293"/>
      <c r="LUP60" s="294"/>
      <c r="LUV60" s="292"/>
      <c r="LUW60" s="293"/>
      <c r="LUX60" s="294"/>
      <c r="LVD60" s="292"/>
      <c r="LVE60" s="293"/>
      <c r="LVF60" s="294"/>
      <c r="LVL60" s="292"/>
      <c r="LVM60" s="293"/>
      <c r="LVN60" s="294"/>
      <c r="LVT60" s="292"/>
      <c r="LVU60" s="293"/>
      <c r="LVV60" s="294"/>
      <c r="LWB60" s="292"/>
      <c r="LWC60" s="293"/>
      <c r="LWD60" s="294"/>
      <c r="LWJ60" s="292"/>
      <c r="LWK60" s="293"/>
      <c r="LWL60" s="294"/>
      <c r="LWR60" s="292"/>
      <c r="LWS60" s="293"/>
      <c r="LWT60" s="294"/>
      <c r="LWZ60" s="292"/>
      <c r="LXA60" s="293"/>
      <c r="LXB60" s="294"/>
      <c r="LXH60" s="292"/>
      <c r="LXI60" s="293"/>
      <c r="LXJ60" s="294"/>
      <c r="LXP60" s="292"/>
      <c r="LXQ60" s="293"/>
      <c r="LXR60" s="294"/>
      <c r="LXX60" s="292"/>
      <c r="LXY60" s="293"/>
      <c r="LXZ60" s="294"/>
      <c r="LYF60" s="292"/>
      <c r="LYG60" s="293"/>
      <c r="LYH60" s="294"/>
      <c r="LYN60" s="292"/>
      <c r="LYO60" s="293"/>
      <c r="LYP60" s="294"/>
      <c r="LYV60" s="292"/>
      <c r="LYW60" s="293"/>
      <c r="LYX60" s="294"/>
      <c r="LZD60" s="292"/>
      <c r="LZE60" s="293"/>
      <c r="LZF60" s="294"/>
      <c r="LZL60" s="292"/>
      <c r="LZM60" s="293"/>
      <c r="LZN60" s="294"/>
      <c r="LZT60" s="292"/>
      <c r="LZU60" s="293"/>
      <c r="LZV60" s="294"/>
      <c r="MAB60" s="292"/>
      <c r="MAC60" s="293"/>
      <c r="MAD60" s="294"/>
      <c r="MAJ60" s="292"/>
      <c r="MAK60" s="293"/>
      <c r="MAL60" s="294"/>
      <c r="MAR60" s="292"/>
      <c r="MAS60" s="293"/>
      <c r="MAT60" s="294"/>
      <c r="MAZ60" s="292"/>
      <c r="MBA60" s="293"/>
      <c r="MBB60" s="294"/>
      <c r="MBH60" s="292"/>
      <c r="MBI60" s="293"/>
      <c r="MBJ60" s="294"/>
      <c r="MBP60" s="292"/>
      <c r="MBQ60" s="293"/>
      <c r="MBR60" s="294"/>
      <c r="MBX60" s="292"/>
      <c r="MBY60" s="293"/>
      <c r="MBZ60" s="294"/>
      <c r="MCF60" s="292"/>
      <c r="MCG60" s="293"/>
      <c r="MCH60" s="294"/>
      <c r="MCN60" s="292"/>
      <c r="MCO60" s="293"/>
      <c r="MCP60" s="294"/>
      <c r="MCV60" s="292"/>
      <c r="MCW60" s="293"/>
      <c r="MCX60" s="294"/>
      <c r="MDD60" s="292"/>
      <c r="MDE60" s="293"/>
      <c r="MDF60" s="294"/>
      <c r="MDL60" s="292"/>
      <c r="MDM60" s="293"/>
      <c r="MDN60" s="294"/>
      <c r="MDT60" s="292"/>
      <c r="MDU60" s="293"/>
      <c r="MDV60" s="294"/>
      <c r="MEB60" s="292"/>
      <c r="MEC60" s="293"/>
      <c r="MED60" s="294"/>
      <c r="MEJ60" s="292"/>
      <c r="MEK60" s="293"/>
      <c r="MEL60" s="294"/>
      <c r="MER60" s="292"/>
      <c r="MES60" s="293"/>
      <c r="MET60" s="294"/>
      <c r="MEZ60" s="292"/>
      <c r="MFA60" s="293"/>
      <c r="MFB60" s="294"/>
      <c r="MFH60" s="292"/>
      <c r="MFI60" s="293"/>
      <c r="MFJ60" s="294"/>
      <c r="MFP60" s="292"/>
      <c r="MFQ60" s="293"/>
      <c r="MFR60" s="294"/>
      <c r="MFX60" s="292"/>
      <c r="MFY60" s="293"/>
      <c r="MFZ60" s="294"/>
      <c r="MGF60" s="292"/>
      <c r="MGG60" s="293"/>
      <c r="MGH60" s="294"/>
      <c r="MGN60" s="292"/>
      <c r="MGO60" s="293"/>
      <c r="MGP60" s="294"/>
      <c r="MGV60" s="292"/>
      <c r="MGW60" s="293"/>
      <c r="MGX60" s="294"/>
      <c r="MHD60" s="292"/>
      <c r="MHE60" s="293"/>
      <c r="MHF60" s="294"/>
      <c r="MHL60" s="292"/>
      <c r="MHM60" s="293"/>
      <c r="MHN60" s="294"/>
      <c r="MHT60" s="292"/>
      <c r="MHU60" s="293"/>
      <c r="MHV60" s="294"/>
      <c r="MIB60" s="292"/>
      <c r="MIC60" s="293"/>
      <c r="MID60" s="294"/>
      <c r="MIJ60" s="292"/>
      <c r="MIK60" s="293"/>
      <c r="MIL60" s="294"/>
      <c r="MIR60" s="292"/>
      <c r="MIS60" s="293"/>
      <c r="MIT60" s="294"/>
      <c r="MIZ60" s="292"/>
      <c r="MJA60" s="293"/>
      <c r="MJB60" s="294"/>
      <c r="MJH60" s="292"/>
      <c r="MJI60" s="293"/>
      <c r="MJJ60" s="294"/>
      <c r="MJP60" s="292"/>
      <c r="MJQ60" s="293"/>
      <c r="MJR60" s="294"/>
      <c r="MJX60" s="292"/>
      <c r="MJY60" s="293"/>
      <c r="MJZ60" s="294"/>
      <c r="MKF60" s="292"/>
      <c r="MKG60" s="293"/>
      <c r="MKH60" s="294"/>
      <c r="MKN60" s="292"/>
      <c r="MKO60" s="293"/>
      <c r="MKP60" s="294"/>
      <c r="MKV60" s="292"/>
      <c r="MKW60" s="293"/>
      <c r="MKX60" s="294"/>
      <c r="MLD60" s="292"/>
      <c r="MLE60" s="293"/>
      <c r="MLF60" s="294"/>
      <c r="MLL60" s="292"/>
      <c r="MLM60" s="293"/>
      <c r="MLN60" s="294"/>
      <c r="MLT60" s="292"/>
      <c r="MLU60" s="293"/>
      <c r="MLV60" s="294"/>
      <c r="MMB60" s="292"/>
      <c r="MMC60" s="293"/>
      <c r="MMD60" s="294"/>
      <c r="MMJ60" s="292"/>
      <c r="MMK60" s="293"/>
      <c r="MML60" s="294"/>
      <c r="MMR60" s="292"/>
      <c r="MMS60" s="293"/>
      <c r="MMT60" s="294"/>
      <c r="MMZ60" s="292"/>
      <c r="MNA60" s="293"/>
      <c r="MNB60" s="294"/>
      <c r="MNH60" s="292"/>
      <c r="MNI60" s="293"/>
      <c r="MNJ60" s="294"/>
      <c r="MNP60" s="292"/>
      <c r="MNQ60" s="293"/>
      <c r="MNR60" s="294"/>
      <c r="MNX60" s="292"/>
      <c r="MNY60" s="293"/>
      <c r="MNZ60" s="294"/>
      <c r="MOF60" s="292"/>
      <c r="MOG60" s="293"/>
      <c r="MOH60" s="294"/>
      <c r="MON60" s="292"/>
      <c r="MOO60" s="293"/>
      <c r="MOP60" s="294"/>
      <c r="MOV60" s="292"/>
      <c r="MOW60" s="293"/>
      <c r="MOX60" s="294"/>
      <c r="MPD60" s="292"/>
      <c r="MPE60" s="293"/>
      <c r="MPF60" s="294"/>
      <c r="MPL60" s="292"/>
      <c r="MPM60" s="293"/>
      <c r="MPN60" s="294"/>
      <c r="MPT60" s="292"/>
      <c r="MPU60" s="293"/>
      <c r="MPV60" s="294"/>
      <c r="MQB60" s="292"/>
      <c r="MQC60" s="293"/>
      <c r="MQD60" s="294"/>
      <c r="MQJ60" s="292"/>
      <c r="MQK60" s="293"/>
      <c r="MQL60" s="294"/>
      <c r="MQR60" s="292"/>
      <c r="MQS60" s="293"/>
      <c r="MQT60" s="294"/>
      <c r="MQZ60" s="292"/>
      <c r="MRA60" s="293"/>
      <c r="MRB60" s="294"/>
      <c r="MRH60" s="292"/>
      <c r="MRI60" s="293"/>
      <c r="MRJ60" s="294"/>
      <c r="MRP60" s="292"/>
      <c r="MRQ60" s="293"/>
      <c r="MRR60" s="294"/>
      <c r="MRX60" s="292"/>
      <c r="MRY60" s="293"/>
      <c r="MRZ60" s="294"/>
      <c r="MSF60" s="292"/>
      <c r="MSG60" s="293"/>
      <c r="MSH60" s="294"/>
      <c r="MSN60" s="292"/>
      <c r="MSO60" s="293"/>
      <c r="MSP60" s="294"/>
      <c r="MSV60" s="292"/>
      <c r="MSW60" s="293"/>
      <c r="MSX60" s="294"/>
      <c r="MTD60" s="292"/>
      <c r="MTE60" s="293"/>
      <c r="MTF60" s="294"/>
      <c r="MTL60" s="292"/>
      <c r="MTM60" s="293"/>
      <c r="MTN60" s="294"/>
      <c r="MTT60" s="292"/>
      <c r="MTU60" s="293"/>
      <c r="MTV60" s="294"/>
      <c r="MUB60" s="292"/>
      <c r="MUC60" s="293"/>
      <c r="MUD60" s="294"/>
      <c r="MUJ60" s="292"/>
      <c r="MUK60" s="293"/>
      <c r="MUL60" s="294"/>
      <c r="MUR60" s="292"/>
      <c r="MUS60" s="293"/>
      <c r="MUT60" s="294"/>
      <c r="MUZ60" s="292"/>
      <c r="MVA60" s="293"/>
      <c r="MVB60" s="294"/>
      <c r="MVH60" s="292"/>
      <c r="MVI60" s="293"/>
      <c r="MVJ60" s="294"/>
      <c r="MVP60" s="292"/>
      <c r="MVQ60" s="293"/>
      <c r="MVR60" s="294"/>
      <c r="MVX60" s="292"/>
      <c r="MVY60" s="293"/>
      <c r="MVZ60" s="294"/>
      <c r="MWF60" s="292"/>
      <c r="MWG60" s="293"/>
      <c r="MWH60" s="294"/>
      <c r="MWN60" s="292"/>
      <c r="MWO60" s="293"/>
      <c r="MWP60" s="294"/>
      <c r="MWV60" s="292"/>
      <c r="MWW60" s="293"/>
      <c r="MWX60" s="294"/>
      <c r="MXD60" s="292"/>
      <c r="MXE60" s="293"/>
      <c r="MXF60" s="294"/>
      <c r="MXL60" s="292"/>
      <c r="MXM60" s="293"/>
      <c r="MXN60" s="294"/>
      <c r="MXT60" s="292"/>
      <c r="MXU60" s="293"/>
      <c r="MXV60" s="294"/>
      <c r="MYB60" s="292"/>
      <c r="MYC60" s="293"/>
      <c r="MYD60" s="294"/>
      <c r="MYJ60" s="292"/>
      <c r="MYK60" s="293"/>
      <c r="MYL60" s="294"/>
      <c r="MYR60" s="292"/>
      <c r="MYS60" s="293"/>
      <c r="MYT60" s="294"/>
      <c r="MYZ60" s="292"/>
      <c r="MZA60" s="293"/>
      <c r="MZB60" s="294"/>
      <c r="MZH60" s="292"/>
      <c r="MZI60" s="293"/>
      <c r="MZJ60" s="294"/>
      <c r="MZP60" s="292"/>
      <c r="MZQ60" s="293"/>
      <c r="MZR60" s="294"/>
      <c r="MZX60" s="292"/>
      <c r="MZY60" s="293"/>
      <c r="MZZ60" s="294"/>
      <c r="NAF60" s="292"/>
      <c r="NAG60" s="293"/>
      <c r="NAH60" s="294"/>
      <c r="NAN60" s="292"/>
      <c r="NAO60" s="293"/>
      <c r="NAP60" s="294"/>
      <c r="NAV60" s="292"/>
      <c r="NAW60" s="293"/>
      <c r="NAX60" s="294"/>
      <c r="NBD60" s="292"/>
      <c r="NBE60" s="293"/>
      <c r="NBF60" s="294"/>
      <c r="NBL60" s="292"/>
      <c r="NBM60" s="293"/>
      <c r="NBN60" s="294"/>
      <c r="NBT60" s="292"/>
      <c r="NBU60" s="293"/>
      <c r="NBV60" s="294"/>
      <c r="NCB60" s="292"/>
      <c r="NCC60" s="293"/>
      <c r="NCD60" s="294"/>
      <c r="NCJ60" s="292"/>
      <c r="NCK60" s="293"/>
      <c r="NCL60" s="294"/>
      <c r="NCR60" s="292"/>
      <c r="NCS60" s="293"/>
      <c r="NCT60" s="294"/>
      <c r="NCZ60" s="292"/>
      <c r="NDA60" s="293"/>
      <c r="NDB60" s="294"/>
      <c r="NDH60" s="292"/>
      <c r="NDI60" s="293"/>
      <c r="NDJ60" s="294"/>
      <c r="NDP60" s="292"/>
      <c r="NDQ60" s="293"/>
      <c r="NDR60" s="294"/>
      <c r="NDX60" s="292"/>
      <c r="NDY60" s="293"/>
      <c r="NDZ60" s="294"/>
      <c r="NEF60" s="292"/>
      <c r="NEG60" s="293"/>
      <c r="NEH60" s="294"/>
      <c r="NEN60" s="292"/>
      <c r="NEO60" s="293"/>
      <c r="NEP60" s="294"/>
      <c r="NEV60" s="292"/>
      <c r="NEW60" s="293"/>
      <c r="NEX60" s="294"/>
      <c r="NFD60" s="292"/>
      <c r="NFE60" s="293"/>
      <c r="NFF60" s="294"/>
      <c r="NFL60" s="292"/>
      <c r="NFM60" s="293"/>
      <c r="NFN60" s="294"/>
      <c r="NFT60" s="292"/>
      <c r="NFU60" s="293"/>
      <c r="NFV60" s="294"/>
      <c r="NGB60" s="292"/>
      <c r="NGC60" s="293"/>
      <c r="NGD60" s="294"/>
      <c r="NGJ60" s="292"/>
      <c r="NGK60" s="293"/>
      <c r="NGL60" s="294"/>
      <c r="NGR60" s="292"/>
      <c r="NGS60" s="293"/>
      <c r="NGT60" s="294"/>
      <c r="NGZ60" s="292"/>
      <c r="NHA60" s="293"/>
      <c r="NHB60" s="294"/>
      <c r="NHH60" s="292"/>
      <c r="NHI60" s="293"/>
      <c r="NHJ60" s="294"/>
      <c r="NHP60" s="292"/>
      <c r="NHQ60" s="293"/>
      <c r="NHR60" s="294"/>
      <c r="NHX60" s="292"/>
      <c r="NHY60" s="293"/>
      <c r="NHZ60" s="294"/>
      <c r="NIF60" s="292"/>
      <c r="NIG60" s="293"/>
      <c r="NIH60" s="294"/>
      <c r="NIN60" s="292"/>
      <c r="NIO60" s="293"/>
      <c r="NIP60" s="294"/>
      <c r="NIV60" s="292"/>
      <c r="NIW60" s="293"/>
      <c r="NIX60" s="294"/>
      <c r="NJD60" s="292"/>
      <c r="NJE60" s="293"/>
      <c r="NJF60" s="294"/>
      <c r="NJL60" s="292"/>
      <c r="NJM60" s="293"/>
      <c r="NJN60" s="294"/>
      <c r="NJT60" s="292"/>
      <c r="NJU60" s="293"/>
      <c r="NJV60" s="294"/>
      <c r="NKB60" s="292"/>
      <c r="NKC60" s="293"/>
      <c r="NKD60" s="294"/>
      <c r="NKJ60" s="292"/>
      <c r="NKK60" s="293"/>
      <c r="NKL60" s="294"/>
      <c r="NKR60" s="292"/>
      <c r="NKS60" s="293"/>
      <c r="NKT60" s="294"/>
      <c r="NKZ60" s="292"/>
      <c r="NLA60" s="293"/>
      <c r="NLB60" s="294"/>
      <c r="NLH60" s="292"/>
      <c r="NLI60" s="293"/>
      <c r="NLJ60" s="294"/>
      <c r="NLP60" s="292"/>
      <c r="NLQ60" s="293"/>
      <c r="NLR60" s="294"/>
      <c r="NLX60" s="292"/>
      <c r="NLY60" s="293"/>
      <c r="NLZ60" s="294"/>
      <c r="NMF60" s="292"/>
      <c r="NMG60" s="293"/>
      <c r="NMH60" s="294"/>
      <c r="NMN60" s="292"/>
      <c r="NMO60" s="293"/>
      <c r="NMP60" s="294"/>
      <c r="NMV60" s="292"/>
      <c r="NMW60" s="293"/>
      <c r="NMX60" s="294"/>
      <c r="NND60" s="292"/>
      <c r="NNE60" s="293"/>
      <c r="NNF60" s="294"/>
      <c r="NNL60" s="292"/>
      <c r="NNM60" s="293"/>
      <c r="NNN60" s="294"/>
      <c r="NNT60" s="292"/>
      <c r="NNU60" s="293"/>
      <c r="NNV60" s="294"/>
      <c r="NOB60" s="292"/>
      <c r="NOC60" s="293"/>
      <c r="NOD60" s="294"/>
      <c r="NOJ60" s="292"/>
      <c r="NOK60" s="293"/>
      <c r="NOL60" s="294"/>
      <c r="NOR60" s="292"/>
      <c r="NOS60" s="293"/>
      <c r="NOT60" s="294"/>
      <c r="NOZ60" s="292"/>
      <c r="NPA60" s="293"/>
      <c r="NPB60" s="294"/>
      <c r="NPH60" s="292"/>
      <c r="NPI60" s="293"/>
      <c r="NPJ60" s="294"/>
      <c r="NPP60" s="292"/>
      <c r="NPQ60" s="293"/>
      <c r="NPR60" s="294"/>
      <c r="NPX60" s="292"/>
      <c r="NPY60" s="293"/>
      <c r="NPZ60" s="294"/>
      <c r="NQF60" s="292"/>
      <c r="NQG60" s="293"/>
      <c r="NQH60" s="294"/>
      <c r="NQN60" s="292"/>
      <c r="NQO60" s="293"/>
      <c r="NQP60" s="294"/>
      <c r="NQV60" s="292"/>
      <c r="NQW60" s="293"/>
      <c r="NQX60" s="294"/>
      <c r="NRD60" s="292"/>
      <c r="NRE60" s="293"/>
      <c r="NRF60" s="294"/>
      <c r="NRL60" s="292"/>
      <c r="NRM60" s="293"/>
      <c r="NRN60" s="294"/>
      <c r="NRT60" s="292"/>
      <c r="NRU60" s="293"/>
      <c r="NRV60" s="294"/>
      <c r="NSB60" s="292"/>
      <c r="NSC60" s="293"/>
      <c r="NSD60" s="294"/>
      <c r="NSJ60" s="292"/>
      <c r="NSK60" s="293"/>
      <c r="NSL60" s="294"/>
      <c r="NSR60" s="292"/>
      <c r="NSS60" s="293"/>
      <c r="NST60" s="294"/>
      <c r="NSZ60" s="292"/>
      <c r="NTA60" s="293"/>
      <c r="NTB60" s="294"/>
      <c r="NTH60" s="292"/>
      <c r="NTI60" s="293"/>
      <c r="NTJ60" s="294"/>
      <c r="NTP60" s="292"/>
      <c r="NTQ60" s="293"/>
      <c r="NTR60" s="294"/>
      <c r="NTX60" s="292"/>
      <c r="NTY60" s="293"/>
      <c r="NTZ60" s="294"/>
      <c r="NUF60" s="292"/>
      <c r="NUG60" s="293"/>
      <c r="NUH60" s="294"/>
      <c r="NUN60" s="292"/>
      <c r="NUO60" s="293"/>
      <c r="NUP60" s="294"/>
      <c r="NUV60" s="292"/>
      <c r="NUW60" s="293"/>
      <c r="NUX60" s="294"/>
      <c r="NVD60" s="292"/>
      <c r="NVE60" s="293"/>
      <c r="NVF60" s="294"/>
      <c r="NVL60" s="292"/>
      <c r="NVM60" s="293"/>
      <c r="NVN60" s="294"/>
      <c r="NVT60" s="292"/>
      <c r="NVU60" s="293"/>
      <c r="NVV60" s="294"/>
      <c r="NWB60" s="292"/>
      <c r="NWC60" s="293"/>
      <c r="NWD60" s="294"/>
      <c r="NWJ60" s="292"/>
      <c r="NWK60" s="293"/>
      <c r="NWL60" s="294"/>
      <c r="NWR60" s="292"/>
      <c r="NWS60" s="293"/>
      <c r="NWT60" s="294"/>
      <c r="NWZ60" s="292"/>
      <c r="NXA60" s="293"/>
      <c r="NXB60" s="294"/>
      <c r="NXH60" s="292"/>
      <c r="NXI60" s="293"/>
      <c r="NXJ60" s="294"/>
      <c r="NXP60" s="292"/>
      <c r="NXQ60" s="293"/>
      <c r="NXR60" s="294"/>
      <c r="NXX60" s="292"/>
      <c r="NXY60" s="293"/>
      <c r="NXZ60" s="294"/>
      <c r="NYF60" s="292"/>
      <c r="NYG60" s="293"/>
      <c r="NYH60" s="294"/>
      <c r="NYN60" s="292"/>
      <c r="NYO60" s="293"/>
      <c r="NYP60" s="294"/>
      <c r="NYV60" s="292"/>
      <c r="NYW60" s="293"/>
      <c r="NYX60" s="294"/>
      <c r="NZD60" s="292"/>
      <c r="NZE60" s="293"/>
      <c r="NZF60" s="294"/>
      <c r="NZL60" s="292"/>
      <c r="NZM60" s="293"/>
      <c r="NZN60" s="294"/>
      <c r="NZT60" s="292"/>
      <c r="NZU60" s="293"/>
      <c r="NZV60" s="294"/>
      <c r="OAB60" s="292"/>
      <c r="OAC60" s="293"/>
      <c r="OAD60" s="294"/>
      <c r="OAJ60" s="292"/>
      <c r="OAK60" s="293"/>
      <c r="OAL60" s="294"/>
      <c r="OAR60" s="292"/>
      <c r="OAS60" s="293"/>
      <c r="OAT60" s="294"/>
      <c r="OAZ60" s="292"/>
      <c r="OBA60" s="293"/>
      <c r="OBB60" s="294"/>
      <c r="OBH60" s="292"/>
      <c r="OBI60" s="293"/>
      <c r="OBJ60" s="294"/>
      <c r="OBP60" s="292"/>
      <c r="OBQ60" s="293"/>
      <c r="OBR60" s="294"/>
      <c r="OBX60" s="292"/>
      <c r="OBY60" s="293"/>
      <c r="OBZ60" s="294"/>
      <c r="OCF60" s="292"/>
      <c r="OCG60" s="293"/>
      <c r="OCH60" s="294"/>
      <c r="OCN60" s="292"/>
      <c r="OCO60" s="293"/>
      <c r="OCP60" s="294"/>
      <c r="OCV60" s="292"/>
      <c r="OCW60" s="293"/>
      <c r="OCX60" s="294"/>
      <c r="ODD60" s="292"/>
      <c r="ODE60" s="293"/>
      <c r="ODF60" s="294"/>
      <c r="ODL60" s="292"/>
      <c r="ODM60" s="293"/>
      <c r="ODN60" s="294"/>
      <c r="ODT60" s="292"/>
      <c r="ODU60" s="293"/>
      <c r="ODV60" s="294"/>
      <c r="OEB60" s="292"/>
      <c r="OEC60" s="293"/>
      <c r="OED60" s="294"/>
      <c r="OEJ60" s="292"/>
      <c r="OEK60" s="293"/>
      <c r="OEL60" s="294"/>
      <c r="OER60" s="292"/>
      <c r="OES60" s="293"/>
      <c r="OET60" s="294"/>
      <c r="OEZ60" s="292"/>
      <c r="OFA60" s="293"/>
      <c r="OFB60" s="294"/>
      <c r="OFH60" s="292"/>
      <c r="OFI60" s="293"/>
      <c r="OFJ60" s="294"/>
      <c r="OFP60" s="292"/>
      <c r="OFQ60" s="293"/>
      <c r="OFR60" s="294"/>
      <c r="OFX60" s="292"/>
      <c r="OFY60" s="293"/>
      <c r="OFZ60" s="294"/>
      <c r="OGF60" s="292"/>
      <c r="OGG60" s="293"/>
      <c r="OGH60" s="294"/>
      <c r="OGN60" s="292"/>
      <c r="OGO60" s="293"/>
      <c r="OGP60" s="294"/>
      <c r="OGV60" s="292"/>
      <c r="OGW60" s="293"/>
      <c r="OGX60" s="294"/>
      <c r="OHD60" s="292"/>
      <c r="OHE60" s="293"/>
      <c r="OHF60" s="294"/>
      <c r="OHL60" s="292"/>
      <c r="OHM60" s="293"/>
      <c r="OHN60" s="294"/>
      <c r="OHT60" s="292"/>
      <c r="OHU60" s="293"/>
      <c r="OHV60" s="294"/>
      <c r="OIB60" s="292"/>
      <c r="OIC60" s="293"/>
      <c r="OID60" s="294"/>
      <c r="OIJ60" s="292"/>
      <c r="OIK60" s="293"/>
      <c r="OIL60" s="294"/>
      <c r="OIR60" s="292"/>
      <c r="OIS60" s="293"/>
      <c r="OIT60" s="294"/>
      <c r="OIZ60" s="292"/>
      <c r="OJA60" s="293"/>
      <c r="OJB60" s="294"/>
      <c r="OJH60" s="292"/>
      <c r="OJI60" s="293"/>
      <c r="OJJ60" s="294"/>
      <c r="OJP60" s="292"/>
      <c r="OJQ60" s="293"/>
      <c r="OJR60" s="294"/>
      <c r="OJX60" s="292"/>
      <c r="OJY60" s="293"/>
      <c r="OJZ60" s="294"/>
      <c r="OKF60" s="292"/>
      <c r="OKG60" s="293"/>
      <c r="OKH60" s="294"/>
      <c r="OKN60" s="292"/>
      <c r="OKO60" s="293"/>
      <c r="OKP60" s="294"/>
      <c r="OKV60" s="292"/>
      <c r="OKW60" s="293"/>
      <c r="OKX60" s="294"/>
      <c r="OLD60" s="292"/>
      <c r="OLE60" s="293"/>
      <c r="OLF60" s="294"/>
      <c r="OLL60" s="292"/>
      <c r="OLM60" s="293"/>
      <c r="OLN60" s="294"/>
      <c r="OLT60" s="292"/>
      <c r="OLU60" s="293"/>
      <c r="OLV60" s="294"/>
      <c r="OMB60" s="292"/>
      <c r="OMC60" s="293"/>
      <c r="OMD60" s="294"/>
      <c r="OMJ60" s="292"/>
      <c r="OMK60" s="293"/>
      <c r="OML60" s="294"/>
      <c r="OMR60" s="292"/>
      <c r="OMS60" s="293"/>
      <c r="OMT60" s="294"/>
      <c r="OMZ60" s="292"/>
      <c r="ONA60" s="293"/>
      <c r="ONB60" s="294"/>
      <c r="ONH60" s="292"/>
      <c r="ONI60" s="293"/>
      <c r="ONJ60" s="294"/>
      <c r="ONP60" s="292"/>
      <c r="ONQ60" s="293"/>
      <c r="ONR60" s="294"/>
      <c r="ONX60" s="292"/>
      <c r="ONY60" s="293"/>
      <c r="ONZ60" s="294"/>
      <c r="OOF60" s="292"/>
      <c r="OOG60" s="293"/>
      <c r="OOH60" s="294"/>
      <c r="OON60" s="292"/>
      <c r="OOO60" s="293"/>
      <c r="OOP60" s="294"/>
      <c r="OOV60" s="292"/>
      <c r="OOW60" s="293"/>
      <c r="OOX60" s="294"/>
      <c r="OPD60" s="292"/>
      <c r="OPE60" s="293"/>
      <c r="OPF60" s="294"/>
      <c r="OPL60" s="292"/>
      <c r="OPM60" s="293"/>
      <c r="OPN60" s="294"/>
      <c r="OPT60" s="292"/>
      <c r="OPU60" s="293"/>
      <c r="OPV60" s="294"/>
      <c r="OQB60" s="292"/>
      <c r="OQC60" s="293"/>
      <c r="OQD60" s="294"/>
      <c r="OQJ60" s="292"/>
      <c r="OQK60" s="293"/>
      <c r="OQL60" s="294"/>
      <c r="OQR60" s="292"/>
      <c r="OQS60" s="293"/>
      <c r="OQT60" s="294"/>
      <c r="OQZ60" s="292"/>
      <c r="ORA60" s="293"/>
      <c r="ORB60" s="294"/>
      <c r="ORH60" s="292"/>
      <c r="ORI60" s="293"/>
      <c r="ORJ60" s="294"/>
      <c r="ORP60" s="292"/>
      <c r="ORQ60" s="293"/>
      <c r="ORR60" s="294"/>
      <c r="ORX60" s="292"/>
      <c r="ORY60" s="293"/>
      <c r="ORZ60" s="294"/>
      <c r="OSF60" s="292"/>
      <c r="OSG60" s="293"/>
      <c r="OSH60" s="294"/>
      <c r="OSN60" s="292"/>
      <c r="OSO60" s="293"/>
      <c r="OSP60" s="294"/>
      <c r="OSV60" s="292"/>
      <c r="OSW60" s="293"/>
      <c r="OSX60" s="294"/>
      <c r="OTD60" s="292"/>
      <c r="OTE60" s="293"/>
      <c r="OTF60" s="294"/>
      <c r="OTL60" s="292"/>
      <c r="OTM60" s="293"/>
      <c r="OTN60" s="294"/>
      <c r="OTT60" s="292"/>
      <c r="OTU60" s="293"/>
      <c r="OTV60" s="294"/>
      <c r="OUB60" s="292"/>
      <c r="OUC60" s="293"/>
      <c r="OUD60" s="294"/>
      <c r="OUJ60" s="292"/>
      <c r="OUK60" s="293"/>
      <c r="OUL60" s="294"/>
      <c r="OUR60" s="292"/>
      <c r="OUS60" s="293"/>
      <c r="OUT60" s="294"/>
      <c r="OUZ60" s="292"/>
      <c r="OVA60" s="293"/>
      <c r="OVB60" s="294"/>
      <c r="OVH60" s="292"/>
      <c r="OVI60" s="293"/>
      <c r="OVJ60" s="294"/>
      <c r="OVP60" s="292"/>
      <c r="OVQ60" s="293"/>
      <c r="OVR60" s="294"/>
      <c r="OVX60" s="292"/>
      <c r="OVY60" s="293"/>
      <c r="OVZ60" s="294"/>
      <c r="OWF60" s="292"/>
      <c r="OWG60" s="293"/>
      <c r="OWH60" s="294"/>
      <c r="OWN60" s="292"/>
      <c r="OWO60" s="293"/>
      <c r="OWP60" s="294"/>
      <c r="OWV60" s="292"/>
      <c r="OWW60" s="293"/>
      <c r="OWX60" s="294"/>
      <c r="OXD60" s="292"/>
      <c r="OXE60" s="293"/>
      <c r="OXF60" s="294"/>
      <c r="OXL60" s="292"/>
      <c r="OXM60" s="293"/>
      <c r="OXN60" s="294"/>
      <c r="OXT60" s="292"/>
      <c r="OXU60" s="293"/>
      <c r="OXV60" s="294"/>
      <c r="OYB60" s="292"/>
      <c r="OYC60" s="293"/>
      <c r="OYD60" s="294"/>
      <c r="OYJ60" s="292"/>
      <c r="OYK60" s="293"/>
      <c r="OYL60" s="294"/>
      <c r="OYR60" s="292"/>
      <c r="OYS60" s="293"/>
      <c r="OYT60" s="294"/>
      <c r="OYZ60" s="292"/>
      <c r="OZA60" s="293"/>
      <c r="OZB60" s="294"/>
      <c r="OZH60" s="292"/>
      <c r="OZI60" s="293"/>
      <c r="OZJ60" s="294"/>
      <c r="OZP60" s="292"/>
      <c r="OZQ60" s="293"/>
      <c r="OZR60" s="294"/>
      <c r="OZX60" s="292"/>
      <c r="OZY60" s="293"/>
      <c r="OZZ60" s="294"/>
      <c r="PAF60" s="292"/>
      <c r="PAG60" s="293"/>
      <c r="PAH60" s="294"/>
      <c r="PAN60" s="292"/>
      <c r="PAO60" s="293"/>
      <c r="PAP60" s="294"/>
      <c r="PAV60" s="292"/>
      <c r="PAW60" s="293"/>
      <c r="PAX60" s="294"/>
      <c r="PBD60" s="292"/>
      <c r="PBE60" s="293"/>
      <c r="PBF60" s="294"/>
      <c r="PBL60" s="292"/>
      <c r="PBM60" s="293"/>
      <c r="PBN60" s="294"/>
      <c r="PBT60" s="292"/>
      <c r="PBU60" s="293"/>
      <c r="PBV60" s="294"/>
      <c r="PCB60" s="292"/>
      <c r="PCC60" s="293"/>
      <c r="PCD60" s="294"/>
      <c r="PCJ60" s="292"/>
      <c r="PCK60" s="293"/>
      <c r="PCL60" s="294"/>
      <c r="PCR60" s="292"/>
      <c r="PCS60" s="293"/>
      <c r="PCT60" s="294"/>
      <c r="PCZ60" s="292"/>
      <c r="PDA60" s="293"/>
      <c r="PDB60" s="294"/>
      <c r="PDH60" s="292"/>
      <c r="PDI60" s="293"/>
      <c r="PDJ60" s="294"/>
      <c r="PDP60" s="292"/>
      <c r="PDQ60" s="293"/>
      <c r="PDR60" s="294"/>
      <c r="PDX60" s="292"/>
      <c r="PDY60" s="293"/>
      <c r="PDZ60" s="294"/>
      <c r="PEF60" s="292"/>
      <c r="PEG60" s="293"/>
      <c r="PEH60" s="294"/>
      <c r="PEN60" s="292"/>
      <c r="PEO60" s="293"/>
      <c r="PEP60" s="294"/>
      <c r="PEV60" s="292"/>
      <c r="PEW60" s="293"/>
      <c r="PEX60" s="294"/>
      <c r="PFD60" s="292"/>
      <c r="PFE60" s="293"/>
      <c r="PFF60" s="294"/>
      <c r="PFL60" s="292"/>
      <c r="PFM60" s="293"/>
      <c r="PFN60" s="294"/>
      <c r="PFT60" s="292"/>
      <c r="PFU60" s="293"/>
      <c r="PFV60" s="294"/>
      <c r="PGB60" s="292"/>
      <c r="PGC60" s="293"/>
      <c r="PGD60" s="294"/>
      <c r="PGJ60" s="292"/>
      <c r="PGK60" s="293"/>
      <c r="PGL60" s="294"/>
      <c r="PGR60" s="292"/>
      <c r="PGS60" s="293"/>
      <c r="PGT60" s="294"/>
      <c r="PGZ60" s="292"/>
      <c r="PHA60" s="293"/>
      <c r="PHB60" s="294"/>
      <c r="PHH60" s="292"/>
      <c r="PHI60" s="293"/>
      <c r="PHJ60" s="294"/>
      <c r="PHP60" s="292"/>
      <c r="PHQ60" s="293"/>
      <c r="PHR60" s="294"/>
      <c r="PHX60" s="292"/>
      <c r="PHY60" s="293"/>
      <c r="PHZ60" s="294"/>
      <c r="PIF60" s="292"/>
      <c r="PIG60" s="293"/>
      <c r="PIH60" s="294"/>
      <c r="PIN60" s="292"/>
      <c r="PIO60" s="293"/>
      <c r="PIP60" s="294"/>
      <c r="PIV60" s="292"/>
      <c r="PIW60" s="293"/>
      <c r="PIX60" s="294"/>
      <c r="PJD60" s="292"/>
      <c r="PJE60" s="293"/>
      <c r="PJF60" s="294"/>
      <c r="PJL60" s="292"/>
      <c r="PJM60" s="293"/>
      <c r="PJN60" s="294"/>
      <c r="PJT60" s="292"/>
      <c r="PJU60" s="293"/>
      <c r="PJV60" s="294"/>
      <c r="PKB60" s="292"/>
      <c r="PKC60" s="293"/>
      <c r="PKD60" s="294"/>
      <c r="PKJ60" s="292"/>
      <c r="PKK60" s="293"/>
      <c r="PKL60" s="294"/>
      <c r="PKR60" s="292"/>
      <c r="PKS60" s="293"/>
      <c r="PKT60" s="294"/>
      <c r="PKZ60" s="292"/>
      <c r="PLA60" s="293"/>
      <c r="PLB60" s="294"/>
      <c r="PLH60" s="292"/>
      <c r="PLI60" s="293"/>
      <c r="PLJ60" s="294"/>
      <c r="PLP60" s="292"/>
      <c r="PLQ60" s="293"/>
      <c r="PLR60" s="294"/>
      <c r="PLX60" s="292"/>
      <c r="PLY60" s="293"/>
      <c r="PLZ60" s="294"/>
      <c r="PMF60" s="292"/>
      <c r="PMG60" s="293"/>
      <c r="PMH60" s="294"/>
      <c r="PMN60" s="292"/>
      <c r="PMO60" s="293"/>
      <c r="PMP60" s="294"/>
      <c r="PMV60" s="292"/>
      <c r="PMW60" s="293"/>
      <c r="PMX60" s="294"/>
      <c r="PND60" s="292"/>
      <c r="PNE60" s="293"/>
      <c r="PNF60" s="294"/>
      <c r="PNL60" s="292"/>
      <c r="PNM60" s="293"/>
      <c r="PNN60" s="294"/>
      <c r="PNT60" s="292"/>
      <c r="PNU60" s="293"/>
      <c r="PNV60" s="294"/>
      <c r="POB60" s="292"/>
      <c r="POC60" s="293"/>
      <c r="POD60" s="294"/>
      <c r="POJ60" s="292"/>
      <c r="POK60" s="293"/>
      <c r="POL60" s="294"/>
      <c r="POR60" s="292"/>
      <c r="POS60" s="293"/>
      <c r="POT60" s="294"/>
      <c r="POZ60" s="292"/>
      <c r="PPA60" s="293"/>
      <c r="PPB60" s="294"/>
      <c r="PPH60" s="292"/>
      <c r="PPI60" s="293"/>
      <c r="PPJ60" s="294"/>
      <c r="PPP60" s="292"/>
      <c r="PPQ60" s="293"/>
      <c r="PPR60" s="294"/>
      <c r="PPX60" s="292"/>
      <c r="PPY60" s="293"/>
      <c r="PPZ60" s="294"/>
      <c r="PQF60" s="292"/>
      <c r="PQG60" s="293"/>
      <c r="PQH60" s="294"/>
      <c r="PQN60" s="292"/>
      <c r="PQO60" s="293"/>
      <c r="PQP60" s="294"/>
      <c r="PQV60" s="292"/>
      <c r="PQW60" s="293"/>
      <c r="PQX60" s="294"/>
      <c r="PRD60" s="292"/>
      <c r="PRE60" s="293"/>
      <c r="PRF60" s="294"/>
      <c r="PRL60" s="292"/>
      <c r="PRM60" s="293"/>
      <c r="PRN60" s="294"/>
      <c r="PRT60" s="292"/>
      <c r="PRU60" s="293"/>
      <c r="PRV60" s="294"/>
      <c r="PSB60" s="292"/>
      <c r="PSC60" s="293"/>
      <c r="PSD60" s="294"/>
      <c r="PSJ60" s="292"/>
      <c r="PSK60" s="293"/>
      <c r="PSL60" s="294"/>
      <c r="PSR60" s="292"/>
      <c r="PSS60" s="293"/>
      <c r="PST60" s="294"/>
      <c r="PSZ60" s="292"/>
      <c r="PTA60" s="293"/>
      <c r="PTB60" s="294"/>
      <c r="PTH60" s="292"/>
      <c r="PTI60" s="293"/>
      <c r="PTJ60" s="294"/>
      <c r="PTP60" s="292"/>
      <c r="PTQ60" s="293"/>
      <c r="PTR60" s="294"/>
      <c r="PTX60" s="292"/>
      <c r="PTY60" s="293"/>
      <c r="PTZ60" s="294"/>
      <c r="PUF60" s="292"/>
      <c r="PUG60" s="293"/>
      <c r="PUH60" s="294"/>
      <c r="PUN60" s="292"/>
      <c r="PUO60" s="293"/>
      <c r="PUP60" s="294"/>
      <c r="PUV60" s="292"/>
      <c r="PUW60" s="293"/>
      <c r="PUX60" s="294"/>
      <c r="PVD60" s="292"/>
      <c r="PVE60" s="293"/>
      <c r="PVF60" s="294"/>
      <c r="PVL60" s="292"/>
      <c r="PVM60" s="293"/>
      <c r="PVN60" s="294"/>
      <c r="PVT60" s="292"/>
      <c r="PVU60" s="293"/>
      <c r="PVV60" s="294"/>
      <c r="PWB60" s="292"/>
      <c r="PWC60" s="293"/>
      <c r="PWD60" s="294"/>
      <c r="PWJ60" s="292"/>
      <c r="PWK60" s="293"/>
      <c r="PWL60" s="294"/>
      <c r="PWR60" s="292"/>
      <c r="PWS60" s="293"/>
      <c r="PWT60" s="294"/>
      <c r="PWZ60" s="292"/>
      <c r="PXA60" s="293"/>
      <c r="PXB60" s="294"/>
      <c r="PXH60" s="292"/>
      <c r="PXI60" s="293"/>
      <c r="PXJ60" s="294"/>
      <c r="PXP60" s="292"/>
      <c r="PXQ60" s="293"/>
      <c r="PXR60" s="294"/>
      <c r="PXX60" s="292"/>
      <c r="PXY60" s="293"/>
      <c r="PXZ60" s="294"/>
      <c r="PYF60" s="292"/>
      <c r="PYG60" s="293"/>
      <c r="PYH60" s="294"/>
      <c r="PYN60" s="292"/>
      <c r="PYO60" s="293"/>
      <c r="PYP60" s="294"/>
      <c r="PYV60" s="292"/>
      <c r="PYW60" s="293"/>
      <c r="PYX60" s="294"/>
      <c r="PZD60" s="292"/>
      <c r="PZE60" s="293"/>
      <c r="PZF60" s="294"/>
      <c r="PZL60" s="292"/>
      <c r="PZM60" s="293"/>
      <c r="PZN60" s="294"/>
      <c r="PZT60" s="292"/>
      <c r="PZU60" s="293"/>
      <c r="PZV60" s="294"/>
      <c r="QAB60" s="292"/>
      <c r="QAC60" s="293"/>
      <c r="QAD60" s="294"/>
      <c r="QAJ60" s="292"/>
      <c r="QAK60" s="293"/>
      <c r="QAL60" s="294"/>
      <c r="QAR60" s="292"/>
      <c r="QAS60" s="293"/>
      <c r="QAT60" s="294"/>
      <c r="QAZ60" s="292"/>
      <c r="QBA60" s="293"/>
      <c r="QBB60" s="294"/>
      <c r="QBH60" s="292"/>
      <c r="QBI60" s="293"/>
      <c r="QBJ60" s="294"/>
      <c r="QBP60" s="292"/>
      <c r="QBQ60" s="293"/>
      <c r="QBR60" s="294"/>
      <c r="QBX60" s="292"/>
      <c r="QBY60" s="293"/>
      <c r="QBZ60" s="294"/>
      <c r="QCF60" s="292"/>
      <c r="QCG60" s="293"/>
      <c r="QCH60" s="294"/>
      <c r="QCN60" s="292"/>
      <c r="QCO60" s="293"/>
      <c r="QCP60" s="294"/>
      <c r="QCV60" s="292"/>
      <c r="QCW60" s="293"/>
      <c r="QCX60" s="294"/>
      <c r="QDD60" s="292"/>
      <c r="QDE60" s="293"/>
      <c r="QDF60" s="294"/>
      <c r="QDL60" s="292"/>
      <c r="QDM60" s="293"/>
      <c r="QDN60" s="294"/>
      <c r="QDT60" s="292"/>
      <c r="QDU60" s="293"/>
      <c r="QDV60" s="294"/>
      <c r="QEB60" s="292"/>
      <c r="QEC60" s="293"/>
      <c r="QED60" s="294"/>
      <c r="QEJ60" s="292"/>
      <c r="QEK60" s="293"/>
      <c r="QEL60" s="294"/>
      <c r="QER60" s="292"/>
      <c r="QES60" s="293"/>
      <c r="QET60" s="294"/>
      <c r="QEZ60" s="292"/>
      <c r="QFA60" s="293"/>
      <c r="QFB60" s="294"/>
      <c r="QFH60" s="292"/>
      <c r="QFI60" s="293"/>
      <c r="QFJ60" s="294"/>
      <c r="QFP60" s="292"/>
      <c r="QFQ60" s="293"/>
      <c r="QFR60" s="294"/>
      <c r="QFX60" s="292"/>
      <c r="QFY60" s="293"/>
      <c r="QFZ60" s="294"/>
      <c r="QGF60" s="292"/>
      <c r="QGG60" s="293"/>
      <c r="QGH60" s="294"/>
      <c r="QGN60" s="292"/>
      <c r="QGO60" s="293"/>
      <c r="QGP60" s="294"/>
      <c r="QGV60" s="292"/>
      <c r="QGW60" s="293"/>
      <c r="QGX60" s="294"/>
      <c r="QHD60" s="292"/>
      <c r="QHE60" s="293"/>
      <c r="QHF60" s="294"/>
      <c r="QHL60" s="292"/>
      <c r="QHM60" s="293"/>
      <c r="QHN60" s="294"/>
      <c r="QHT60" s="292"/>
      <c r="QHU60" s="293"/>
      <c r="QHV60" s="294"/>
      <c r="QIB60" s="292"/>
      <c r="QIC60" s="293"/>
      <c r="QID60" s="294"/>
      <c r="QIJ60" s="292"/>
      <c r="QIK60" s="293"/>
      <c r="QIL60" s="294"/>
      <c r="QIR60" s="292"/>
      <c r="QIS60" s="293"/>
      <c r="QIT60" s="294"/>
      <c r="QIZ60" s="292"/>
      <c r="QJA60" s="293"/>
      <c r="QJB60" s="294"/>
      <c r="QJH60" s="292"/>
      <c r="QJI60" s="293"/>
      <c r="QJJ60" s="294"/>
      <c r="QJP60" s="292"/>
      <c r="QJQ60" s="293"/>
      <c r="QJR60" s="294"/>
      <c r="QJX60" s="292"/>
      <c r="QJY60" s="293"/>
      <c r="QJZ60" s="294"/>
      <c r="QKF60" s="292"/>
      <c r="QKG60" s="293"/>
      <c r="QKH60" s="294"/>
      <c r="QKN60" s="292"/>
      <c r="QKO60" s="293"/>
      <c r="QKP60" s="294"/>
      <c r="QKV60" s="292"/>
      <c r="QKW60" s="293"/>
      <c r="QKX60" s="294"/>
      <c r="QLD60" s="292"/>
      <c r="QLE60" s="293"/>
      <c r="QLF60" s="294"/>
      <c r="QLL60" s="292"/>
      <c r="QLM60" s="293"/>
      <c r="QLN60" s="294"/>
      <c r="QLT60" s="292"/>
      <c r="QLU60" s="293"/>
      <c r="QLV60" s="294"/>
      <c r="QMB60" s="292"/>
      <c r="QMC60" s="293"/>
      <c r="QMD60" s="294"/>
      <c r="QMJ60" s="292"/>
      <c r="QMK60" s="293"/>
      <c r="QML60" s="294"/>
      <c r="QMR60" s="292"/>
      <c r="QMS60" s="293"/>
      <c r="QMT60" s="294"/>
      <c r="QMZ60" s="292"/>
      <c r="QNA60" s="293"/>
      <c r="QNB60" s="294"/>
      <c r="QNH60" s="292"/>
      <c r="QNI60" s="293"/>
      <c r="QNJ60" s="294"/>
      <c r="QNP60" s="292"/>
      <c r="QNQ60" s="293"/>
      <c r="QNR60" s="294"/>
      <c r="QNX60" s="292"/>
      <c r="QNY60" s="293"/>
      <c r="QNZ60" s="294"/>
      <c r="QOF60" s="292"/>
      <c r="QOG60" s="293"/>
      <c r="QOH60" s="294"/>
      <c r="QON60" s="292"/>
      <c r="QOO60" s="293"/>
      <c r="QOP60" s="294"/>
      <c r="QOV60" s="292"/>
      <c r="QOW60" s="293"/>
      <c r="QOX60" s="294"/>
      <c r="QPD60" s="292"/>
      <c r="QPE60" s="293"/>
      <c r="QPF60" s="294"/>
      <c r="QPL60" s="292"/>
      <c r="QPM60" s="293"/>
      <c r="QPN60" s="294"/>
      <c r="QPT60" s="292"/>
      <c r="QPU60" s="293"/>
      <c r="QPV60" s="294"/>
      <c r="QQB60" s="292"/>
      <c r="QQC60" s="293"/>
      <c r="QQD60" s="294"/>
      <c r="QQJ60" s="292"/>
      <c r="QQK60" s="293"/>
      <c r="QQL60" s="294"/>
      <c r="QQR60" s="292"/>
      <c r="QQS60" s="293"/>
      <c r="QQT60" s="294"/>
      <c r="QQZ60" s="292"/>
      <c r="QRA60" s="293"/>
      <c r="QRB60" s="294"/>
      <c r="QRH60" s="292"/>
      <c r="QRI60" s="293"/>
      <c r="QRJ60" s="294"/>
      <c r="QRP60" s="292"/>
      <c r="QRQ60" s="293"/>
      <c r="QRR60" s="294"/>
      <c r="QRX60" s="292"/>
      <c r="QRY60" s="293"/>
      <c r="QRZ60" s="294"/>
      <c r="QSF60" s="292"/>
      <c r="QSG60" s="293"/>
      <c r="QSH60" s="294"/>
      <c r="QSN60" s="292"/>
      <c r="QSO60" s="293"/>
      <c r="QSP60" s="294"/>
      <c r="QSV60" s="292"/>
      <c r="QSW60" s="293"/>
      <c r="QSX60" s="294"/>
      <c r="QTD60" s="292"/>
      <c r="QTE60" s="293"/>
      <c r="QTF60" s="294"/>
      <c r="QTL60" s="292"/>
      <c r="QTM60" s="293"/>
      <c r="QTN60" s="294"/>
      <c r="QTT60" s="292"/>
      <c r="QTU60" s="293"/>
      <c r="QTV60" s="294"/>
      <c r="QUB60" s="292"/>
      <c r="QUC60" s="293"/>
      <c r="QUD60" s="294"/>
      <c r="QUJ60" s="292"/>
      <c r="QUK60" s="293"/>
      <c r="QUL60" s="294"/>
      <c r="QUR60" s="292"/>
      <c r="QUS60" s="293"/>
      <c r="QUT60" s="294"/>
      <c r="QUZ60" s="292"/>
      <c r="QVA60" s="293"/>
      <c r="QVB60" s="294"/>
      <c r="QVH60" s="292"/>
      <c r="QVI60" s="293"/>
      <c r="QVJ60" s="294"/>
      <c r="QVP60" s="292"/>
      <c r="QVQ60" s="293"/>
      <c r="QVR60" s="294"/>
      <c r="QVX60" s="292"/>
      <c r="QVY60" s="293"/>
      <c r="QVZ60" s="294"/>
      <c r="QWF60" s="292"/>
      <c r="QWG60" s="293"/>
      <c r="QWH60" s="294"/>
      <c r="QWN60" s="292"/>
      <c r="QWO60" s="293"/>
      <c r="QWP60" s="294"/>
      <c r="QWV60" s="292"/>
      <c r="QWW60" s="293"/>
      <c r="QWX60" s="294"/>
      <c r="QXD60" s="292"/>
      <c r="QXE60" s="293"/>
      <c r="QXF60" s="294"/>
      <c r="QXL60" s="292"/>
      <c r="QXM60" s="293"/>
      <c r="QXN60" s="294"/>
      <c r="QXT60" s="292"/>
      <c r="QXU60" s="293"/>
      <c r="QXV60" s="294"/>
      <c r="QYB60" s="292"/>
      <c r="QYC60" s="293"/>
      <c r="QYD60" s="294"/>
      <c r="QYJ60" s="292"/>
      <c r="QYK60" s="293"/>
      <c r="QYL60" s="294"/>
      <c r="QYR60" s="292"/>
      <c r="QYS60" s="293"/>
      <c r="QYT60" s="294"/>
      <c r="QYZ60" s="292"/>
      <c r="QZA60" s="293"/>
      <c r="QZB60" s="294"/>
      <c r="QZH60" s="292"/>
      <c r="QZI60" s="293"/>
      <c r="QZJ60" s="294"/>
      <c r="QZP60" s="292"/>
      <c r="QZQ60" s="293"/>
      <c r="QZR60" s="294"/>
      <c r="QZX60" s="292"/>
      <c r="QZY60" s="293"/>
      <c r="QZZ60" s="294"/>
      <c r="RAF60" s="292"/>
      <c r="RAG60" s="293"/>
      <c r="RAH60" s="294"/>
      <c r="RAN60" s="292"/>
      <c r="RAO60" s="293"/>
      <c r="RAP60" s="294"/>
      <c r="RAV60" s="292"/>
      <c r="RAW60" s="293"/>
      <c r="RAX60" s="294"/>
      <c r="RBD60" s="292"/>
      <c r="RBE60" s="293"/>
      <c r="RBF60" s="294"/>
      <c r="RBL60" s="292"/>
      <c r="RBM60" s="293"/>
      <c r="RBN60" s="294"/>
      <c r="RBT60" s="292"/>
      <c r="RBU60" s="293"/>
      <c r="RBV60" s="294"/>
      <c r="RCB60" s="292"/>
      <c r="RCC60" s="293"/>
      <c r="RCD60" s="294"/>
      <c r="RCJ60" s="292"/>
      <c r="RCK60" s="293"/>
      <c r="RCL60" s="294"/>
      <c r="RCR60" s="292"/>
      <c r="RCS60" s="293"/>
      <c r="RCT60" s="294"/>
      <c r="RCZ60" s="292"/>
      <c r="RDA60" s="293"/>
      <c r="RDB60" s="294"/>
      <c r="RDH60" s="292"/>
      <c r="RDI60" s="293"/>
      <c r="RDJ60" s="294"/>
      <c r="RDP60" s="292"/>
      <c r="RDQ60" s="293"/>
      <c r="RDR60" s="294"/>
      <c r="RDX60" s="292"/>
      <c r="RDY60" s="293"/>
      <c r="RDZ60" s="294"/>
      <c r="REF60" s="292"/>
      <c r="REG60" s="293"/>
      <c r="REH60" s="294"/>
      <c r="REN60" s="292"/>
      <c r="REO60" s="293"/>
      <c r="REP60" s="294"/>
      <c r="REV60" s="292"/>
      <c r="REW60" s="293"/>
      <c r="REX60" s="294"/>
      <c r="RFD60" s="292"/>
      <c r="RFE60" s="293"/>
      <c r="RFF60" s="294"/>
      <c r="RFL60" s="292"/>
      <c r="RFM60" s="293"/>
      <c r="RFN60" s="294"/>
      <c r="RFT60" s="292"/>
      <c r="RFU60" s="293"/>
      <c r="RFV60" s="294"/>
      <c r="RGB60" s="292"/>
      <c r="RGC60" s="293"/>
      <c r="RGD60" s="294"/>
      <c r="RGJ60" s="292"/>
      <c r="RGK60" s="293"/>
      <c r="RGL60" s="294"/>
      <c r="RGR60" s="292"/>
      <c r="RGS60" s="293"/>
      <c r="RGT60" s="294"/>
      <c r="RGZ60" s="292"/>
      <c r="RHA60" s="293"/>
      <c r="RHB60" s="294"/>
      <c r="RHH60" s="292"/>
      <c r="RHI60" s="293"/>
      <c r="RHJ60" s="294"/>
      <c r="RHP60" s="292"/>
      <c r="RHQ60" s="293"/>
      <c r="RHR60" s="294"/>
      <c r="RHX60" s="292"/>
      <c r="RHY60" s="293"/>
      <c r="RHZ60" s="294"/>
      <c r="RIF60" s="292"/>
      <c r="RIG60" s="293"/>
      <c r="RIH60" s="294"/>
      <c r="RIN60" s="292"/>
      <c r="RIO60" s="293"/>
      <c r="RIP60" s="294"/>
      <c r="RIV60" s="292"/>
      <c r="RIW60" s="293"/>
      <c r="RIX60" s="294"/>
      <c r="RJD60" s="292"/>
      <c r="RJE60" s="293"/>
      <c r="RJF60" s="294"/>
      <c r="RJL60" s="292"/>
      <c r="RJM60" s="293"/>
      <c r="RJN60" s="294"/>
      <c r="RJT60" s="292"/>
      <c r="RJU60" s="293"/>
      <c r="RJV60" s="294"/>
      <c r="RKB60" s="292"/>
      <c r="RKC60" s="293"/>
      <c r="RKD60" s="294"/>
      <c r="RKJ60" s="292"/>
      <c r="RKK60" s="293"/>
      <c r="RKL60" s="294"/>
      <c r="RKR60" s="292"/>
      <c r="RKS60" s="293"/>
      <c r="RKT60" s="294"/>
      <c r="RKZ60" s="292"/>
      <c r="RLA60" s="293"/>
      <c r="RLB60" s="294"/>
      <c r="RLH60" s="292"/>
      <c r="RLI60" s="293"/>
      <c r="RLJ60" s="294"/>
      <c r="RLP60" s="292"/>
      <c r="RLQ60" s="293"/>
      <c r="RLR60" s="294"/>
      <c r="RLX60" s="292"/>
      <c r="RLY60" s="293"/>
      <c r="RLZ60" s="294"/>
      <c r="RMF60" s="292"/>
      <c r="RMG60" s="293"/>
      <c r="RMH60" s="294"/>
      <c r="RMN60" s="292"/>
      <c r="RMO60" s="293"/>
      <c r="RMP60" s="294"/>
      <c r="RMV60" s="292"/>
      <c r="RMW60" s="293"/>
      <c r="RMX60" s="294"/>
      <c r="RND60" s="292"/>
      <c r="RNE60" s="293"/>
      <c r="RNF60" s="294"/>
      <c r="RNL60" s="292"/>
      <c r="RNM60" s="293"/>
      <c r="RNN60" s="294"/>
      <c r="RNT60" s="292"/>
      <c r="RNU60" s="293"/>
      <c r="RNV60" s="294"/>
      <c r="ROB60" s="292"/>
      <c r="ROC60" s="293"/>
      <c r="ROD60" s="294"/>
      <c r="ROJ60" s="292"/>
      <c r="ROK60" s="293"/>
      <c r="ROL60" s="294"/>
      <c r="ROR60" s="292"/>
      <c r="ROS60" s="293"/>
      <c r="ROT60" s="294"/>
      <c r="ROZ60" s="292"/>
      <c r="RPA60" s="293"/>
      <c r="RPB60" s="294"/>
      <c r="RPH60" s="292"/>
      <c r="RPI60" s="293"/>
      <c r="RPJ60" s="294"/>
      <c r="RPP60" s="292"/>
      <c r="RPQ60" s="293"/>
      <c r="RPR60" s="294"/>
      <c r="RPX60" s="292"/>
      <c r="RPY60" s="293"/>
      <c r="RPZ60" s="294"/>
      <c r="RQF60" s="292"/>
      <c r="RQG60" s="293"/>
      <c r="RQH60" s="294"/>
      <c r="RQN60" s="292"/>
      <c r="RQO60" s="293"/>
      <c r="RQP60" s="294"/>
      <c r="RQV60" s="292"/>
      <c r="RQW60" s="293"/>
      <c r="RQX60" s="294"/>
      <c r="RRD60" s="292"/>
      <c r="RRE60" s="293"/>
      <c r="RRF60" s="294"/>
      <c r="RRL60" s="292"/>
      <c r="RRM60" s="293"/>
      <c r="RRN60" s="294"/>
      <c r="RRT60" s="292"/>
      <c r="RRU60" s="293"/>
      <c r="RRV60" s="294"/>
      <c r="RSB60" s="292"/>
      <c r="RSC60" s="293"/>
      <c r="RSD60" s="294"/>
      <c r="RSJ60" s="292"/>
      <c r="RSK60" s="293"/>
      <c r="RSL60" s="294"/>
      <c r="RSR60" s="292"/>
      <c r="RSS60" s="293"/>
      <c r="RST60" s="294"/>
      <c r="RSZ60" s="292"/>
      <c r="RTA60" s="293"/>
      <c r="RTB60" s="294"/>
      <c r="RTH60" s="292"/>
      <c r="RTI60" s="293"/>
      <c r="RTJ60" s="294"/>
      <c r="RTP60" s="292"/>
      <c r="RTQ60" s="293"/>
      <c r="RTR60" s="294"/>
      <c r="RTX60" s="292"/>
      <c r="RTY60" s="293"/>
      <c r="RTZ60" s="294"/>
      <c r="RUF60" s="292"/>
      <c r="RUG60" s="293"/>
      <c r="RUH60" s="294"/>
      <c r="RUN60" s="292"/>
      <c r="RUO60" s="293"/>
      <c r="RUP60" s="294"/>
      <c r="RUV60" s="292"/>
      <c r="RUW60" s="293"/>
      <c r="RUX60" s="294"/>
      <c r="RVD60" s="292"/>
      <c r="RVE60" s="293"/>
      <c r="RVF60" s="294"/>
      <c r="RVL60" s="292"/>
      <c r="RVM60" s="293"/>
      <c r="RVN60" s="294"/>
      <c r="RVT60" s="292"/>
      <c r="RVU60" s="293"/>
      <c r="RVV60" s="294"/>
      <c r="RWB60" s="292"/>
      <c r="RWC60" s="293"/>
      <c r="RWD60" s="294"/>
      <c r="RWJ60" s="292"/>
      <c r="RWK60" s="293"/>
      <c r="RWL60" s="294"/>
      <c r="RWR60" s="292"/>
      <c r="RWS60" s="293"/>
      <c r="RWT60" s="294"/>
      <c r="RWZ60" s="292"/>
      <c r="RXA60" s="293"/>
      <c r="RXB60" s="294"/>
      <c r="RXH60" s="292"/>
      <c r="RXI60" s="293"/>
      <c r="RXJ60" s="294"/>
      <c r="RXP60" s="292"/>
      <c r="RXQ60" s="293"/>
      <c r="RXR60" s="294"/>
      <c r="RXX60" s="292"/>
      <c r="RXY60" s="293"/>
      <c r="RXZ60" s="294"/>
      <c r="RYF60" s="292"/>
      <c r="RYG60" s="293"/>
      <c r="RYH60" s="294"/>
      <c r="RYN60" s="292"/>
      <c r="RYO60" s="293"/>
      <c r="RYP60" s="294"/>
      <c r="RYV60" s="292"/>
      <c r="RYW60" s="293"/>
      <c r="RYX60" s="294"/>
      <c r="RZD60" s="292"/>
      <c r="RZE60" s="293"/>
      <c r="RZF60" s="294"/>
      <c r="RZL60" s="292"/>
      <c r="RZM60" s="293"/>
      <c r="RZN60" s="294"/>
      <c r="RZT60" s="292"/>
      <c r="RZU60" s="293"/>
      <c r="RZV60" s="294"/>
      <c r="SAB60" s="292"/>
      <c r="SAC60" s="293"/>
      <c r="SAD60" s="294"/>
      <c r="SAJ60" s="292"/>
      <c r="SAK60" s="293"/>
      <c r="SAL60" s="294"/>
      <c r="SAR60" s="292"/>
      <c r="SAS60" s="293"/>
      <c r="SAT60" s="294"/>
      <c r="SAZ60" s="292"/>
      <c r="SBA60" s="293"/>
      <c r="SBB60" s="294"/>
      <c r="SBH60" s="292"/>
      <c r="SBI60" s="293"/>
      <c r="SBJ60" s="294"/>
      <c r="SBP60" s="292"/>
      <c r="SBQ60" s="293"/>
      <c r="SBR60" s="294"/>
      <c r="SBX60" s="292"/>
      <c r="SBY60" s="293"/>
      <c r="SBZ60" s="294"/>
      <c r="SCF60" s="292"/>
      <c r="SCG60" s="293"/>
      <c r="SCH60" s="294"/>
      <c r="SCN60" s="292"/>
      <c r="SCO60" s="293"/>
      <c r="SCP60" s="294"/>
      <c r="SCV60" s="292"/>
      <c r="SCW60" s="293"/>
      <c r="SCX60" s="294"/>
      <c r="SDD60" s="292"/>
      <c r="SDE60" s="293"/>
      <c r="SDF60" s="294"/>
      <c r="SDL60" s="292"/>
      <c r="SDM60" s="293"/>
      <c r="SDN60" s="294"/>
      <c r="SDT60" s="292"/>
      <c r="SDU60" s="293"/>
      <c r="SDV60" s="294"/>
      <c r="SEB60" s="292"/>
      <c r="SEC60" s="293"/>
      <c r="SED60" s="294"/>
      <c r="SEJ60" s="292"/>
      <c r="SEK60" s="293"/>
      <c r="SEL60" s="294"/>
      <c r="SER60" s="292"/>
      <c r="SES60" s="293"/>
      <c r="SET60" s="294"/>
      <c r="SEZ60" s="292"/>
      <c r="SFA60" s="293"/>
      <c r="SFB60" s="294"/>
      <c r="SFH60" s="292"/>
      <c r="SFI60" s="293"/>
      <c r="SFJ60" s="294"/>
      <c r="SFP60" s="292"/>
      <c r="SFQ60" s="293"/>
      <c r="SFR60" s="294"/>
      <c r="SFX60" s="292"/>
      <c r="SFY60" s="293"/>
      <c r="SFZ60" s="294"/>
      <c r="SGF60" s="292"/>
      <c r="SGG60" s="293"/>
      <c r="SGH60" s="294"/>
      <c r="SGN60" s="292"/>
      <c r="SGO60" s="293"/>
      <c r="SGP60" s="294"/>
      <c r="SGV60" s="292"/>
      <c r="SGW60" s="293"/>
      <c r="SGX60" s="294"/>
      <c r="SHD60" s="292"/>
      <c r="SHE60" s="293"/>
      <c r="SHF60" s="294"/>
      <c r="SHL60" s="292"/>
      <c r="SHM60" s="293"/>
      <c r="SHN60" s="294"/>
      <c r="SHT60" s="292"/>
      <c r="SHU60" s="293"/>
      <c r="SHV60" s="294"/>
      <c r="SIB60" s="292"/>
      <c r="SIC60" s="293"/>
      <c r="SID60" s="294"/>
      <c r="SIJ60" s="292"/>
      <c r="SIK60" s="293"/>
      <c r="SIL60" s="294"/>
      <c r="SIR60" s="292"/>
      <c r="SIS60" s="293"/>
      <c r="SIT60" s="294"/>
      <c r="SIZ60" s="292"/>
      <c r="SJA60" s="293"/>
      <c r="SJB60" s="294"/>
      <c r="SJH60" s="292"/>
      <c r="SJI60" s="293"/>
      <c r="SJJ60" s="294"/>
      <c r="SJP60" s="292"/>
      <c r="SJQ60" s="293"/>
      <c r="SJR60" s="294"/>
      <c r="SJX60" s="292"/>
      <c r="SJY60" s="293"/>
      <c r="SJZ60" s="294"/>
      <c r="SKF60" s="292"/>
      <c r="SKG60" s="293"/>
      <c r="SKH60" s="294"/>
      <c r="SKN60" s="292"/>
      <c r="SKO60" s="293"/>
      <c r="SKP60" s="294"/>
      <c r="SKV60" s="292"/>
      <c r="SKW60" s="293"/>
      <c r="SKX60" s="294"/>
      <c r="SLD60" s="292"/>
      <c r="SLE60" s="293"/>
      <c r="SLF60" s="294"/>
      <c r="SLL60" s="292"/>
      <c r="SLM60" s="293"/>
      <c r="SLN60" s="294"/>
      <c r="SLT60" s="292"/>
      <c r="SLU60" s="293"/>
      <c r="SLV60" s="294"/>
      <c r="SMB60" s="292"/>
      <c r="SMC60" s="293"/>
      <c r="SMD60" s="294"/>
      <c r="SMJ60" s="292"/>
      <c r="SMK60" s="293"/>
      <c r="SML60" s="294"/>
      <c r="SMR60" s="292"/>
      <c r="SMS60" s="293"/>
      <c r="SMT60" s="294"/>
      <c r="SMZ60" s="292"/>
      <c r="SNA60" s="293"/>
      <c r="SNB60" s="294"/>
      <c r="SNH60" s="292"/>
      <c r="SNI60" s="293"/>
      <c r="SNJ60" s="294"/>
      <c r="SNP60" s="292"/>
      <c r="SNQ60" s="293"/>
      <c r="SNR60" s="294"/>
      <c r="SNX60" s="292"/>
      <c r="SNY60" s="293"/>
      <c r="SNZ60" s="294"/>
      <c r="SOF60" s="292"/>
      <c r="SOG60" s="293"/>
      <c r="SOH60" s="294"/>
      <c r="SON60" s="292"/>
      <c r="SOO60" s="293"/>
      <c r="SOP60" s="294"/>
      <c r="SOV60" s="292"/>
      <c r="SOW60" s="293"/>
      <c r="SOX60" s="294"/>
      <c r="SPD60" s="292"/>
      <c r="SPE60" s="293"/>
      <c r="SPF60" s="294"/>
      <c r="SPL60" s="292"/>
      <c r="SPM60" s="293"/>
      <c r="SPN60" s="294"/>
      <c r="SPT60" s="292"/>
      <c r="SPU60" s="293"/>
      <c r="SPV60" s="294"/>
      <c r="SQB60" s="292"/>
      <c r="SQC60" s="293"/>
      <c r="SQD60" s="294"/>
      <c r="SQJ60" s="292"/>
      <c r="SQK60" s="293"/>
      <c r="SQL60" s="294"/>
      <c r="SQR60" s="292"/>
      <c r="SQS60" s="293"/>
      <c r="SQT60" s="294"/>
      <c r="SQZ60" s="292"/>
      <c r="SRA60" s="293"/>
      <c r="SRB60" s="294"/>
      <c r="SRH60" s="292"/>
      <c r="SRI60" s="293"/>
      <c r="SRJ60" s="294"/>
      <c r="SRP60" s="292"/>
      <c r="SRQ60" s="293"/>
      <c r="SRR60" s="294"/>
      <c r="SRX60" s="292"/>
      <c r="SRY60" s="293"/>
      <c r="SRZ60" s="294"/>
      <c r="SSF60" s="292"/>
      <c r="SSG60" s="293"/>
      <c r="SSH60" s="294"/>
      <c r="SSN60" s="292"/>
      <c r="SSO60" s="293"/>
      <c r="SSP60" s="294"/>
      <c r="SSV60" s="292"/>
      <c r="SSW60" s="293"/>
      <c r="SSX60" s="294"/>
      <c r="STD60" s="292"/>
      <c r="STE60" s="293"/>
      <c r="STF60" s="294"/>
      <c r="STL60" s="292"/>
      <c r="STM60" s="293"/>
      <c r="STN60" s="294"/>
      <c r="STT60" s="292"/>
      <c r="STU60" s="293"/>
      <c r="STV60" s="294"/>
      <c r="SUB60" s="292"/>
      <c r="SUC60" s="293"/>
      <c r="SUD60" s="294"/>
      <c r="SUJ60" s="292"/>
      <c r="SUK60" s="293"/>
      <c r="SUL60" s="294"/>
      <c r="SUR60" s="292"/>
      <c r="SUS60" s="293"/>
      <c r="SUT60" s="294"/>
      <c r="SUZ60" s="292"/>
      <c r="SVA60" s="293"/>
      <c r="SVB60" s="294"/>
      <c r="SVH60" s="292"/>
      <c r="SVI60" s="293"/>
      <c r="SVJ60" s="294"/>
      <c r="SVP60" s="292"/>
      <c r="SVQ60" s="293"/>
      <c r="SVR60" s="294"/>
      <c r="SVX60" s="292"/>
      <c r="SVY60" s="293"/>
      <c r="SVZ60" s="294"/>
      <c r="SWF60" s="292"/>
      <c r="SWG60" s="293"/>
      <c r="SWH60" s="294"/>
      <c r="SWN60" s="292"/>
      <c r="SWO60" s="293"/>
      <c r="SWP60" s="294"/>
      <c r="SWV60" s="292"/>
      <c r="SWW60" s="293"/>
      <c r="SWX60" s="294"/>
      <c r="SXD60" s="292"/>
      <c r="SXE60" s="293"/>
      <c r="SXF60" s="294"/>
      <c r="SXL60" s="292"/>
      <c r="SXM60" s="293"/>
      <c r="SXN60" s="294"/>
      <c r="SXT60" s="292"/>
      <c r="SXU60" s="293"/>
      <c r="SXV60" s="294"/>
      <c r="SYB60" s="292"/>
      <c r="SYC60" s="293"/>
      <c r="SYD60" s="294"/>
      <c r="SYJ60" s="292"/>
      <c r="SYK60" s="293"/>
      <c r="SYL60" s="294"/>
      <c r="SYR60" s="292"/>
      <c r="SYS60" s="293"/>
      <c r="SYT60" s="294"/>
      <c r="SYZ60" s="292"/>
      <c r="SZA60" s="293"/>
      <c r="SZB60" s="294"/>
      <c r="SZH60" s="292"/>
      <c r="SZI60" s="293"/>
      <c r="SZJ60" s="294"/>
      <c r="SZP60" s="292"/>
      <c r="SZQ60" s="293"/>
      <c r="SZR60" s="294"/>
      <c r="SZX60" s="292"/>
      <c r="SZY60" s="293"/>
      <c r="SZZ60" s="294"/>
      <c r="TAF60" s="292"/>
      <c r="TAG60" s="293"/>
      <c r="TAH60" s="294"/>
      <c r="TAN60" s="292"/>
      <c r="TAO60" s="293"/>
      <c r="TAP60" s="294"/>
      <c r="TAV60" s="292"/>
      <c r="TAW60" s="293"/>
      <c r="TAX60" s="294"/>
      <c r="TBD60" s="292"/>
      <c r="TBE60" s="293"/>
      <c r="TBF60" s="294"/>
      <c r="TBL60" s="292"/>
      <c r="TBM60" s="293"/>
      <c r="TBN60" s="294"/>
      <c r="TBT60" s="292"/>
      <c r="TBU60" s="293"/>
      <c r="TBV60" s="294"/>
      <c r="TCB60" s="292"/>
      <c r="TCC60" s="293"/>
      <c r="TCD60" s="294"/>
      <c r="TCJ60" s="292"/>
      <c r="TCK60" s="293"/>
      <c r="TCL60" s="294"/>
      <c r="TCR60" s="292"/>
      <c r="TCS60" s="293"/>
      <c r="TCT60" s="294"/>
      <c r="TCZ60" s="292"/>
      <c r="TDA60" s="293"/>
      <c r="TDB60" s="294"/>
      <c r="TDH60" s="292"/>
      <c r="TDI60" s="293"/>
      <c r="TDJ60" s="294"/>
      <c r="TDP60" s="292"/>
      <c r="TDQ60" s="293"/>
      <c r="TDR60" s="294"/>
      <c r="TDX60" s="292"/>
      <c r="TDY60" s="293"/>
      <c r="TDZ60" s="294"/>
      <c r="TEF60" s="292"/>
      <c r="TEG60" s="293"/>
      <c r="TEH60" s="294"/>
      <c r="TEN60" s="292"/>
      <c r="TEO60" s="293"/>
      <c r="TEP60" s="294"/>
      <c r="TEV60" s="292"/>
      <c r="TEW60" s="293"/>
      <c r="TEX60" s="294"/>
      <c r="TFD60" s="292"/>
      <c r="TFE60" s="293"/>
      <c r="TFF60" s="294"/>
      <c r="TFL60" s="292"/>
      <c r="TFM60" s="293"/>
      <c r="TFN60" s="294"/>
      <c r="TFT60" s="292"/>
      <c r="TFU60" s="293"/>
      <c r="TFV60" s="294"/>
      <c r="TGB60" s="292"/>
      <c r="TGC60" s="293"/>
      <c r="TGD60" s="294"/>
      <c r="TGJ60" s="292"/>
      <c r="TGK60" s="293"/>
      <c r="TGL60" s="294"/>
      <c r="TGR60" s="292"/>
      <c r="TGS60" s="293"/>
      <c r="TGT60" s="294"/>
      <c r="TGZ60" s="292"/>
      <c r="THA60" s="293"/>
      <c r="THB60" s="294"/>
      <c r="THH60" s="292"/>
      <c r="THI60" s="293"/>
      <c r="THJ60" s="294"/>
      <c r="THP60" s="292"/>
      <c r="THQ60" s="293"/>
      <c r="THR60" s="294"/>
      <c r="THX60" s="292"/>
      <c r="THY60" s="293"/>
      <c r="THZ60" s="294"/>
      <c r="TIF60" s="292"/>
      <c r="TIG60" s="293"/>
      <c r="TIH60" s="294"/>
      <c r="TIN60" s="292"/>
      <c r="TIO60" s="293"/>
      <c r="TIP60" s="294"/>
      <c r="TIV60" s="292"/>
      <c r="TIW60" s="293"/>
      <c r="TIX60" s="294"/>
      <c r="TJD60" s="292"/>
      <c r="TJE60" s="293"/>
      <c r="TJF60" s="294"/>
      <c r="TJL60" s="292"/>
      <c r="TJM60" s="293"/>
      <c r="TJN60" s="294"/>
      <c r="TJT60" s="292"/>
      <c r="TJU60" s="293"/>
      <c r="TJV60" s="294"/>
      <c r="TKB60" s="292"/>
      <c r="TKC60" s="293"/>
      <c r="TKD60" s="294"/>
      <c r="TKJ60" s="292"/>
      <c r="TKK60" s="293"/>
      <c r="TKL60" s="294"/>
      <c r="TKR60" s="292"/>
      <c r="TKS60" s="293"/>
      <c r="TKT60" s="294"/>
      <c r="TKZ60" s="292"/>
      <c r="TLA60" s="293"/>
      <c r="TLB60" s="294"/>
      <c r="TLH60" s="292"/>
      <c r="TLI60" s="293"/>
      <c r="TLJ60" s="294"/>
      <c r="TLP60" s="292"/>
      <c r="TLQ60" s="293"/>
      <c r="TLR60" s="294"/>
      <c r="TLX60" s="292"/>
      <c r="TLY60" s="293"/>
      <c r="TLZ60" s="294"/>
      <c r="TMF60" s="292"/>
      <c r="TMG60" s="293"/>
      <c r="TMH60" s="294"/>
      <c r="TMN60" s="292"/>
      <c r="TMO60" s="293"/>
      <c r="TMP60" s="294"/>
      <c r="TMV60" s="292"/>
      <c r="TMW60" s="293"/>
      <c r="TMX60" s="294"/>
      <c r="TND60" s="292"/>
      <c r="TNE60" s="293"/>
      <c r="TNF60" s="294"/>
      <c r="TNL60" s="292"/>
      <c r="TNM60" s="293"/>
      <c r="TNN60" s="294"/>
      <c r="TNT60" s="292"/>
      <c r="TNU60" s="293"/>
      <c r="TNV60" s="294"/>
      <c r="TOB60" s="292"/>
      <c r="TOC60" s="293"/>
      <c r="TOD60" s="294"/>
      <c r="TOJ60" s="292"/>
      <c r="TOK60" s="293"/>
      <c r="TOL60" s="294"/>
      <c r="TOR60" s="292"/>
      <c r="TOS60" s="293"/>
      <c r="TOT60" s="294"/>
      <c r="TOZ60" s="292"/>
      <c r="TPA60" s="293"/>
      <c r="TPB60" s="294"/>
      <c r="TPH60" s="292"/>
      <c r="TPI60" s="293"/>
      <c r="TPJ60" s="294"/>
      <c r="TPP60" s="292"/>
      <c r="TPQ60" s="293"/>
      <c r="TPR60" s="294"/>
      <c r="TPX60" s="292"/>
      <c r="TPY60" s="293"/>
      <c r="TPZ60" s="294"/>
      <c r="TQF60" s="292"/>
      <c r="TQG60" s="293"/>
      <c r="TQH60" s="294"/>
      <c r="TQN60" s="292"/>
      <c r="TQO60" s="293"/>
      <c r="TQP60" s="294"/>
      <c r="TQV60" s="292"/>
      <c r="TQW60" s="293"/>
      <c r="TQX60" s="294"/>
      <c r="TRD60" s="292"/>
      <c r="TRE60" s="293"/>
      <c r="TRF60" s="294"/>
      <c r="TRL60" s="292"/>
      <c r="TRM60" s="293"/>
      <c r="TRN60" s="294"/>
      <c r="TRT60" s="292"/>
      <c r="TRU60" s="293"/>
      <c r="TRV60" s="294"/>
      <c r="TSB60" s="292"/>
      <c r="TSC60" s="293"/>
      <c r="TSD60" s="294"/>
      <c r="TSJ60" s="292"/>
      <c r="TSK60" s="293"/>
      <c r="TSL60" s="294"/>
      <c r="TSR60" s="292"/>
      <c r="TSS60" s="293"/>
      <c r="TST60" s="294"/>
      <c r="TSZ60" s="292"/>
      <c r="TTA60" s="293"/>
      <c r="TTB60" s="294"/>
      <c r="TTH60" s="292"/>
      <c r="TTI60" s="293"/>
      <c r="TTJ60" s="294"/>
      <c r="TTP60" s="292"/>
      <c r="TTQ60" s="293"/>
      <c r="TTR60" s="294"/>
      <c r="TTX60" s="292"/>
      <c r="TTY60" s="293"/>
      <c r="TTZ60" s="294"/>
      <c r="TUF60" s="292"/>
      <c r="TUG60" s="293"/>
      <c r="TUH60" s="294"/>
      <c r="TUN60" s="292"/>
      <c r="TUO60" s="293"/>
      <c r="TUP60" s="294"/>
      <c r="TUV60" s="292"/>
      <c r="TUW60" s="293"/>
      <c r="TUX60" s="294"/>
      <c r="TVD60" s="292"/>
      <c r="TVE60" s="293"/>
      <c r="TVF60" s="294"/>
      <c r="TVL60" s="292"/>
      <c r="TVM60" s="293"/>
      <c r="TVN60" s="294"/>
      <c r="TVT60" s="292"/>
      <c r="TVU60" s="293"/>
      <c r="TVV60" s="294"/>
      <c r="TWB60" s="292"/>
      <c r="TWC60" s="293"/>
      <c r="TWD60" s="294"/>
      <c r="TWJ60" s="292"/>
      <c r="TWK60" s="293"/>
      <c r="TWL60" s="294"/>
      <c r="TWR60" s="292"/>
      <c r="TWS60" s="293"/>
      <c r="TWT60" s="294"/>
      <c r="TWZ60" s="292"/>
      <c r="TXA60" s="293"/>
      <c r="TXB60" s="294"/>
      <c r="TXH60" s="292"/>
      <c r="TXI60" s="293"/>
      <c r="TXJ60" s="294"/>
      <c r="TXP60" s="292"/>
      <c r="TXQ60" s="293"/>
      <c r="TXR60" s="294"/>
      <c r="TXX60" s="292"/>
      <c r="TXY60" s="293"/>
      <c r="TXZ60" s="294"/>
      <c r="TYF60" s="292"/>
      <c r="TYG60" s="293"/>
      <c r="TYH60" s="294"/>
      <c r="TYN60" s="292"/>
      <c r="TYO60" s="293"/>
      <c r="TYP60" s="294"/>
      <c r="TYV60" s="292"/>
      <c r="TYW60" s="293"/>
      <c r="TYX60" s="294"/>
      <c r="TZD60" s="292"/>
      <c r="TZE60" s="293"/>
      <c r="TZF60" s="294"/>
      <c r="TZL60" s="292"/>
      <c r="TZM60" s="293"/>
      <c r="TZN60" s="294"/>
      <c r="TZT60" s="292"/>
      <c r="TZU60" s="293"/>
      <c r="TZV60" s="294"/>
      <c r="UAB60" s="292"/>
      <c r="UAC60" s="293"/>
      <c r="UAD60" s="294"/>
      <c r="UAJ60" s="292"/>
      <c r="UAK60" s="293"/>
      <c r="UAL60" s="294"/>
      <c r="UAR60" s="292"/>
      <c r="UAS60" s="293"/>
      <c r="UAT60" s="294"/>
      <c r="UAZ60" s="292"/>
      <c r="UBA60" s="293"/>
      <c r="UBB60" s="294"/>
      <c r="UBH60" s="292"/>
      <c r="UBI60" s="293"/>
      <c r="UBJ60" s="294"/>
      <c r="UBP60" s="292"/>
      <c r="UBQ60" s="293"/>
      <c r="UBR60" s="294"/>
      <c r="UBX60" s="292"/>
      <c r="UBY60" s="293"/>
      <c r="UBZ60" s="294"/>
      <c r="UCF60" s="292"/>
      <c r="UCG60" s="293"/>
      <c r="UCH60" s="294"/>
      <c r="UCN60" s="292"/>
      <c r="UCO60" s="293"/>
      <c r="UCP60" s="294"/>
      <c r="UCV60" s="292"/>
      <c r="UCW60" s="293"/>
      <c r="UCX60" s="294"/>
      <c r="UDD60" s="292"/>
      <c r="UDE60" s="293"/>
      <c r="UDF60" s="294"/>
      <c r="UDL60" s="292"/>
      <c r="UDM60" s="293"/>
      <c r="UDN60" s="294"/>
      <c r="UDT60" s="292"/>
      <c r="UDU60" s="293"/>
      <c r="UDV60" s="294"/>
      <c r="UEB60" s="292"/>
      <c r="UEC60" s="293"/>
      <c r="UED60" s="294"/>
      <c r="UEJ60" s="292"/>
      <c r="UEK60" s="293"/>
      <c r="UEL60" s="294"/>
      <c r="UER60" s="292"/>
      <c r="UES60" s="293"/>
      <c r="UET60" s="294"/>
      <c r="UEZ60" s="292"/>
      <c r="UFA60" s="293"/>
      <c r="UFB60" s="294"/>
      <c r="UFH60" s="292"/>
      <c r="UFI60" s="293"/>
      <c r="UFJ60" s="294"/>
      <c r="UFP60" s="292"/>
      <c r="UFQ60" s="293"/>
      <c r="UFR60" s="294"/>
      <c r="UFX60" s="292"/>
      <c r="UFY60" s="293"/>
      <c r="UFZ60" s="294"/>
      <c r="UGF60" s="292"/>
      <c r="UGG60" s="293"/>
      <c r="UGH60" s="294"/>
      <c r="UGN60" s="292"/>
      <c r="UGO60" s="293"/>
      <c r="UGP60" s="294"/>
      <c r="UGV60" s="292"/>
      <c r="UGW60" s="293"/>
      <c r="UGX60" s="294"/>
      <c r="UHD60" s="292"/>
      <c r="UHE60" s="293"/>
      <c r="UHF60" s="294"/>
      <c r="UHL60" s="292"/>
      <c r="UHM60" s="293"/>
      <c r="UHN60" s="294"/>
      <c r="UHT60" s="292"/>
      <c r="UHU60" s="293"/>
      <c r="UHV60" s="294"/>
      <c r="UIB60" s="292"/>
      <c r="UIC60" s="293"/>
      <c r="UID60" s="294"/>
      <c r="UIJ60" s="292"/>
      <c r="UIK60" s="293"/>
      <c r="UIL60" s="294"/>
      <c r="UIR60" s="292"/>
      <c r="UIS60" s="293"/>
      <c r="UIT60" s="294"/>
      <c r="UIZ60" s="292"/>
      <c r="UJA60" s="293"/>
      <c r="UJB60" s="294"/>
      <c r="UJH60" s="292"/>
      <c r="UJI60" s="293"/>
      <c r="UJJ60" s="294"/>
      <c r="UJP60" s="292"/>
      <c r="UJQ60" s="293"/>
      <c r="UJR60" s="294"/>
      <c r="UJX60" s="292"/>
      <c r="UJY60" s="293"/>
      <c r="UJZ60" s="294"/>
      <c r="UKF60" s="292"/>
      <c r="UKG60" s="293"/>
      <c r="UKH60" s="294"/>
      <c r="UKN60" s="292"/>
      <c r="UKO60" s="293"/>
      <c r="UKP60" s="294"/>
      <c r="UKV60" s="292"/>
      <c r="UKW60" s="293"/>
      <c r="UKX60" s="294"/>
      <c r="ULD60" s="292"/>
      <c r="ULE60" s="293"/>
      <c r="ULF60" s="294"/>
      <c r="ULL60" s="292"/>
      <c r="ULM60" s="293"/>
      <c r="ULN60" s="294"/>
      <c r="ULT60" s="292"/>
      <c r="ULU60" s="293"/>
      <c r="ULV60" s="294"/>
      <c r="UMB60" s="292"/>
      <c r="UMC60" s="293"/>
      <c r="UMD60" s="294"/>
      <c r="UMJ60" s="292"/>
      <c r="UMK60" s="293"/>
      <c r="UML60" s="294"/>
      <c r="UMR60" s="292"/>
      <c r="UMS60" s="293"/>
      <c r="UMT60" s="294"/>
      <c r="UMZ60" s="292"/>
      <c r="UNA60" s="293"/>
      <c r="UNB60" s="294"/>
      <c r="UNH60" s="292"/>
      <c r="UNI60" s="293"/>
      <c r="UNJ60" s="294"/>
      <c r="UNP60" s="292"/>
      <c r="UNQ60" s="293"/>
      <c r="UNR60" s="294"/>
      <c r="UNX60" s="292"/>
      <c r="UNY60" s="293"/>
      <c r="UNZ60" s="294"/>
      <c r="UOF60" s="292"/>
      <c r="UOG60" s="293"/>
      <c r="UOH60" s="294"/>
      <c r="UON60" s="292"/>
      <c r="UOO60" s="293"/>
      <c r="UOP60" s="294"/>
      <c r="UOV60" s="292"/>
      <c r="UOW60" s="293"/>
      <c r="UOX60" s="294"/>
      <c r="UPD60" s="292"/>
      <c r="UPE60" s="293"/>
      <c r="UPF60" s="294"/>
      <c r="UPL60" s="292"/>
      <c r="UPM60" s="293"/>
      <c r="UPN60" s="294"/>
      <c r="UPT60" s="292"/>
      <c r="UPU60" s="293"/>
      <c r="UPV60" s="294"/>
      <c r="UQB60" s="292"/>
      <c r="UQC60" s="293"/>
      <c r="UQD60" s="294"/>
      <c r="UQJ60" s="292"/>
      <c r="UQK60" s="293"/>
      <c r="UQL60" s="294"/>
      <c r="UQR60" s="292"/>
      <c r="UQS60" s="293"/>
      <c r="UQT60" s="294"/>
      <c r="UQZ60" s="292"/>
      <c r="URA60" s="293"/>
      <c r="URB60" s="294"/>
      <c r="URH60" s="292"/>
      <c r="URI60" s="293"/>
      <c r="URJ60" s="294"/>
      <c r="URP60" s="292"/>
      <c r="URQ60" s="293"/>
      <c r="URR60" s="294"/>
      <c r="URX60" s="292"/>
      <c r="URY60" s="293"/>
      <c r="URZ60" s="294"/>
      <c r="USF60" s="292"/>
      <c r="USG60" s="293"/>
      <c r="USH60" s="294"/>
      <c r="USN60" s="292"/>
      <c r="USO60" s="293"/>
      <c r="USP60" s="294"/>
      <c r="USV60" s="292"/>
      <c r="USW60" s="293"/>
      <c r="USX60" s="294"/>
      <c r="UTD60" s="292"/>
      <c r="UTE60" s="293"/>
      <c r="UTF60" s="294"/>
      <c r="UTL60" s="292"/>
      <c r="UTM60" s="293"/>
      <c r="UTN60" s="294"/>
      <c r="UTT60" s="292"/>
      <c r="UTU60" s="293"/>
      <c r="UTV60" s="294"/>
      <c r="UUB60" s="292"/>
      <c r="UUC60" s="293"/>
      <c r="UUD60" s="294"/>
      <c r="UUJ60" s="292"/>
      <c r="UUK60" s="293"/>
      <c r="UUL60" s="294"/>
      <c r="UUR60" s="292"/>
      <c r="UUS60" s="293"/>
      <c r="UUT60" s="294"/>
      <c r="UUZ60" s="292"/>
      <c r="UVA60" s="293"/>
      <c r="UVB60" s="294"/>
      <c r="UVH60" s="292"/>
      <c r="UVI60" s="293"/>
      <c r="UVJ60" s="294"/>
      <c r="UVP60" s="292"/>
      <c r="UVQ60" s="293"/>
      <c r="UVR60" s="294"/>
      <c r="UVX60" s="292"/>
      <c r="UVY60" s="293"/>
      <c r="UVZ60" s="294"/>
      <c r="UWF60" s="292"/>
      <c r="UWG60" s="293"/>
      <c r="UWH60" s="294"/>
      <c r="UWN60" s="292"/>
      <c r="UWO60" s="293"/>
      <c r="UWP60" s="294"/>
      <c r="UWV60" s="292"/>
      <c r="UWW60" s="293"/>
      <c r="UWX60" s="294"/>
      <c r="UXD60" s="292"/>
      <c r="UXE60" s="293"/>
      <c r="UXF60" s="294"/>
      <c r="UXL60" s="292"/>
      <c r="UXM60" s="293"/>
      <c r="UXN60" s="294"/>
      <c r="UXT60" s="292"/>
      <c r="UXU60" s="293"/>
      <c r="UXV60" s="294"/>
      <c r="UYB60" s="292"/>
      <c r="UYC60" s="293"/>
      <c r="UYD60" s="294"/>
      <c r="UYJ60" s="292"/>
      <c r="UYK60" s="293"/>
      <c r="UYL60" s="294"/>
      <c r="UYR60" s="292"/>
      <c r="UYS60" s="293"/>
      <c r="UYT60" s="294"/>
      <c r="UYZ60" s="292"/>
      <c r="UZA60" s="293"/>
      <c r="UZB60" s="294"/>
      <c r="UZH60" s="292"/>
      <c r="UZI60" s="293"/>
      <c r="UZJ60" s="294"/>
      <c r="UZP60" s="292"/>
      <c r="UZQ60" s="293"/>
      <c r="UZR60" s="294"/>
      <c r="UZX60" s="292"/>
      <c r="UZY60" s="293"/>
      <c r="UZZ60" s="294"/>
      <c r="VAF60" s="292"/>
      <c r="VAG60" s="293"/>
      <c r="VAH60" s="294"/>
      <c r="VAN60" s="292"/>
      <c r="VAO60" s="293"/>
      <c r="VAP60" s="294"/>
      <c r="VAV60" s="292"/>
      <c r="VAW60" s="293"/>
      <c r="VAX60" s="294"/>
      <c r="VBD60" s="292"/>
      <c r="VBE60" s="293"/>
      <c r="VBF60" s="294"/>
      <c r="VBL60" s="292"/>
      <c r="VBM60" s="293"/>
      <c r="VBN60" s="294"/>
      <c r="VBT60" s="292"/>
      <c r="VBU60" s="293"/>
      <c r="VBV60" s="294"/>
      <c r="VCB60" s="292"/>
      <c r="VCC60" s="293"/>
      <c r="VCD60" s="294"/>
      <c r="VCJ60" s="292"/>
      <c r="VCK60" s="293"/>
      <c r="VCL60" s="294"/>
      <c r="VCR60" s="292"/>
      <c r="VCS60" s="293"/>
      <c r="VCT60" s="294"/>
      <c r="VCZ60" s="292"/>
      <c r="VDA60" s="293"/>
      <c r="VDB60" s="294"/>
      <c r="VDH60" s="292"/>
      <c r="VDI60" s="293"/>
      <c r="VDJ60" s="294"/>
      <c r="VDP60" s="292"/>
      <c r="VDQ60" s="293"/>
      <c r="VDR60" s="294"/>
      <c r="VDX60" s="292"/>
      <c r="VDY60" s="293"/>
      <c r="VDZ60" s="294"/>
      <c r="VEF60" s="292"/>
      <c r="VEG60" s="293"/>
      <c r="VEH60" s="294"/>
      <c r="VEN60" s="292"/>
      <c r="VEO60" s="293"/>
      <c r="VEP60" s="294"/>
      <c r="VEV60" s="292"/>
      <c r="VEW60" s="293"/>
      <c r="VEX60" s="294"/>
      <c r="VFD60" s="292"/>
      <c r="VFE60" s="293"/>
      <c r="VFF60" s="294"/>
      <c r="VFL60" s="292"/>
      <c r="VFM60" s="293"/>
      <c r="VFN60" s="294"/>
      <c r="VFT60" s="292"/>
      <c r="VFU60" s="293"/>
      <c r="VFV60" s="294"/>
      <c r="VGB60" s="292"/>
      <c r="VGC60" s="293"/>
      <c r="VGD60" s="294"/>
      <c r="VGJ60" s="292"/>
      <c r="VGK60" s="293"/>
      <c r="VGL60" s="294"/>
      <c r="VGR60" s="292"/>
      <c r="VGS60" s="293"/>
      <c r="VGT60" s="294"/>
      <c r="VGZ60" s="292"/>
      <c r="VHA60" s="293"/>
      <c r="VHB60" s="294"/>
      <c r="VHH60" s="292"/>
      <c r="VHI60" s="293"/>
      <c r="VHJ60" s="294"/>
      <c r="VHP60" s="292"/>
      <c r="VHQ60" s="293"/>
      <c r="VHR60" s="294"/>
      <c r="VHX60" s="292"/>
      <c r="VHY60" s="293"/>
      <c r="VHZ60" s="294"/>
      <c r="VIF60" s="292"/>
      <c r="VIG60" s="293"/>
      <c r="VIH60" s="294"/>
      <c r="VIN60" s="292"/>
      <c r="VIO60" s="293"/>
      <c r="VIP60" s="294"/>
      <c r="VIV60" s="292"/>
      <c r="VIW60" s="293"/>
      <c r="VIX60" s="294"/>
      <c r="VJD60" s="292"/>
      <c r="VJE60" s="293"/>
      <c r="VJF60" s="294"/>
      <c r="VJL60" s="292"/>
      <c r="VJM60" s="293"/>
      <c r="VJN60" s="294"/>
      <c r="VJT60" s="292"/>
      <c r="VJU60" s="293"/>
      <c r="VJV60" s="294"/>
      <c r="VKB60" s="292"/>
      <c r="VKC60" s="293"/>
      <c r="VKD60" s="294"/>
      <c r="VKJ60" s="292"/>
      <c r="VKK60" s="293"/>
      <c r="VKL60" s="294"/>
      <c r="VKR60" s="292"/>
      <c r="VKS60" s="293"/>
      <c r="VKT60" s="294"/>
      <c r="VKZ60" s="292"/>
      <c r="VLA60" s="293"/>
      <c r="VLB60" s="294"/>
      <c r="VLH60" s="292"/>
      <c r="VLI60" s="293"/>
      <c r="VLJ60" s="294"/>
      <c r="VLP60" s="292"/>
      <c r="VLQ60" s="293"/>
      <c r="VLR60" s="294"/>
      <c r="VLX60" s="292"/>
      <c r="VLY60" s="293"/>
      <c r="VLZ60" s="294"/>
      <c r="VMF60" s="292"/>
      <c r="VMG60" s="293"/>
      <c r="VMH60" s="294"/>
      <c r="VMN60" s="292"/>
      <c r="VMO60" s="293"/>
      <c r="VMP60" s="294"/>
      <c r="VMV60" s="292"/>
      <c r="VMW60" s="293"/>
      <c r="VMX60" s="294"/>
      <c r="VND60" s="292"/>
      <c r="VNE60" s="293"/>
      <c r="VNF60" s="294"/>
      <c r="VNL60" s="292"/>
      <c r="VNM60" s="293"/>
      <c r="VNN60" s="294"/>
      <c r="VNT60" s="292"/>
      <c r="VNU60" s="293"/>
      <c r="VNV60" s="294"/>
      <c r="VOB60" s="292"/>
      <c r="VOC60" s="293"/>
      <c r="VOD60" s="294"/>
      <c r="VOJ60" s="292"/>
      <c r="VOK60" s="293"/>
      <c r="VOL60" s="294"/>
      <c r="VOR60" s="292"/>
      <c r="VOS60" s="293"/>
      <c r="VOT60" s="294"/>
      <c r="VOZ60" s="292"/>
      <c r="VPA60" s="293"/>
      <c r="VPB60" s="294"/>
      <c r="VPH60" s="292"/>
      <c r="VPI60" s="293"/>
      <c r="VPJ60" s="294"/>
      <c r="VPP60" s="292"/>
      <c r="VPQ60" s="293"/>
      <c r="VPR60" s="294"/>
      <c r="VPX60" s="292"/>
      <c r="VPY60" s="293"/>
      <c r="VPZ60" s="294"/>
      <c r="VQF60" s="292"/>
      <c r="VQG60" s="293"/>
      <c r="VQH60" s="294"/>
      <c r="VQN60" s="292"/>
      <c r="VQO60" s="293"/>
      <c r="VQP60" s="294"/>
      <c r="VQV60" s="292"/>
      <c r="VQW60" s="293"/>
      <c r="VQX60" s="294"/>
      <c r="VRD60" s="292"/>
      <c r="VRE60" s="293"/>
      <c r="VRF60" s="294"/>
      <c r="VRL60" s="292"/>
      <c r="VRM60" s="293"/>
      <c r="VRN60" s="294"/>
      <c r="VRT60" s="292"/>
      <c r="VRU60" s="293"/>
      <c r="VRV60" s="294"/>
      <c r="VSB60" s="292"/>
      <c r="VSC60" s="293"/>
      <c r="VSD60" s="294"/>
      <c r="VSJ60" s="292"/>
      <c r="VSK60" s="293"/>
      <c r="VSL60" s="294"/>
      <c r="VSR60" s="292"/>
      <c r="VSS60" s="293"/>
      <c r="VST60" s="294"/>
      <c r="VSZ60" s="292"/>
      <c r="VTA60" s="293"/>
      <c r="VTB60" s="294"/>
      <c r="VTH60" s="292"/>
      <c r="VTI60" s="293"/>
      <c r="VTJ60" s="294"/>
      <c r="VTP60" s="292"/>
      <c r="VTQ60" s="293"/>
      <c r="VTR60" s="294"/>
      <c r="VTX60" s="292"/>
      <c r="VTY60" s="293"/>
      <c r="VTZ60" s="294"/>
      <c r="VUF60" s="292"/>
      <c r="VUG60" s="293"/>
      <c r="VUH60" s="294"/>
      <c r="VUN60" s="292"/>
      <c r="VUO60" s="293"/>
      <c r="VUP60" s="294"/>
      <c r="VUV60" s="292"/>
      <c r="VUW60" s="293"/>
      <c r="VUX60" s="294"/>
      <c r="VVD60" s="292"/>
      <c r="VVE60" s="293"/>
      <c r="VVF60" s="294"/>
      <c r="VVL60" s="292"/>
      <c r="VVM60" s="293"/>
      <c r="VVN60" s="294"/>
      <c r="VVT60" s="292"/>
      <c r="VVU60" s="293"/>
      <c r="VVV60" s="294"/>
      <c r="VWB60" s="292"/>
      <c r="VWC60" s="293"/>
      <c r="VWD60" s="294"/>
      <c r="VWJ60" s="292"/>
      <c r="VWK60" s="293"/>
      <c r="VWL60" s="294"/>
      <c r="VWR60" s="292"/>
      <c r="VWS60" s="293"/>
      <c r="VWT60" s="294"/>
      <c r="VWZ60" s="292"/>
      <c r="VXA60" s="293"/>
      <c r="VXB60" s="294"/>
      <c r="VXH60" s="292"/>
      <c r="VXI60" s="293"/>
      <c r="VXJ60" s="294"/>
      <c r="VXP60" s="292"/>
      <c r="VXQ60" s="293"/>
      <c r="VXR60" s="294"/>
      <c r="VXX60" s="292"/>
      <c r="VXY60" s="293"/>
      <c r="VXZ60" s="294"/>
      <c r="VYF60" s="292"/>
      <c r="VYG60" s="293"/>
      <c r="VYH60" s="294"/>
      <c r="VYN60" s="292"/>
      <c r="VYO60" s="293"/>
      <c r="VYP60" s="294"/>
      <c r="VYV60" s="292"/>
      <c r="VYW60" s="293"/>
      <c r="VYX60" s="294"/>
      <c r="VZD60" s="292"/>
      <c r="VZE60" s="293"/>
      <c r="VZF60" s="294"/>
      <c r="VZL60" s="292"/>
      <c r="VZM60" s="293"/>
      <c r="VZN60" s="294"/>
      <c r="VZT60" s="292"/>
      <c r="VZU60" s="293"/>
      <c r="VZV60" s="294"/>
      <c r="WAB60" s="292"/>
      <c r="WAC60" s="293"/>
      <c r="WAD60" s="294"/>
      <c r="WAJ60" s="292"/>
      <c r="WAK60" s="293"/>
      <c r="WAL60" s="294"/>
      <c r="WAR60" s="292"/>
      <c r="WAS60" s="293"/>
      <c r="WAT60" s="294"/>
      <c r="WAZ60" s="292"/>
      <c r="WBA60" s="293"/>
      <c r="WBB60" s="294"/>
      <c r="WBH60" s="292"/>
      <c r="WBI60" s="293"/>
      <c r="WBJ60" s="294"/>
      <c r="WBP60" s="292"/>
      <c r="WBQ60" s="293"/>
      <c r="WBR60" s="294"/>
      <c r="WBX60" s="292"/>
      <c r="WBY60" s="293"/>
      <c r="WBZ60" s="294"/>
      <c r="WCF60" s="292"/>
      <c r="WCG60" s="293"/>
      <c r="WCH60" s="294"/>
      <c r="WCN60" s="292"/>
      <c r="WCO60" s="293"/>
      <c r="WCP60" s="294"/>
      <c r="WCV60" s="292"/>
      <c r="WCW60" s="293"/>
      <c r="WCX60" s="294"/>
      <c r="WDD60" s="292"/>
      <c r="WDE60" s="293"/>
      <c r="WDF60" s="294"/>
      <c r="WDL60" s="292"/>
      <c r="WDM60" s="293"/>
      <c r="WDN60" s="294"/>
      <c r="WDT60" s="292"/>
      <c r="WDU60" s="293"/>
      <c r="WDV60" s="294"/>
      <c r="WEB60" s="292"/>
      <c r="WEC60" s="293"/>
      <c r="WED60" s="294"/>
      <c r="WEJ60" s="292"/>
      <c r="WEK60" s="293"/>
      <c r="WEL60" s="294"/>
      <c r="WER60" s="292"/>
      <c r="WES60" s="293"/>
      <c r="WET60" s="294"/>
      <c r="WEZ60" s="292"/>
      <c r="WFA60" s="293"/>
      <c r="WFB60" s="294"/>
      <c r="WFH60" s="292"/>
      <c r="WFI60" s="293"/>
      <c r="WFJ60" s="294"/>
      <c r="WFP60" s="292"/>
      <c r="WFQ60" s="293"/>
      <c r="WFR60" s="294"/>
      <c r="WFX60" s="292"/>
      <c r="WFY60" s="293"/>
      <c r="WFZ60" s="294"/>
      <c r="WGF60" s="292"/>
      <c r="WGG60" s="293"/>
      <c r="WGH60" s="294"/>
      <c r="WGN60" s="292"/>
      <c r="WGO60" s="293"/>
      <c r="WGP60" s="294"/>
      <c r="WGV60" s="292"/>
      <c r="WGW60" s="293"/>
      <c r="WGX60" s="294"/>
      <c r="WHD60" s="292"/>
      <c r="WHE60" s="293"/>
      <c r="WHF60" s="294"/>
      <c r="WHL60" s="292"/>
      <c r="WHM60" s="293"/>
      <c r="WHN60" s="294"/>
      <c r="WHT60" s="292"/>
      <c r="WHU60" s="293"/>
      <c r="WHV60" s="294"/>
      <c r="WIB60" s="292"/>
      <c r="WIC60" s="293"/>
      <c r="WID60" s="294"/>
      <c r="WIJ60" s="292"/>
      <c r="WIK60" s="293"/>
      <c r="WIL60" s="294"/>
      <c r="WIR60" s="292"/>
      <c r="WIS60" s="293"/>
      <c r="WIT60" s="294"/>
      <c r="WIZ60" s="292"/>
      <c r="WJA60" s="293"/>
      <c r="WJB60" s="294"/>
      <c r="WJH60" s="292"/>
      <c r="WJI60" s="293"/>
      <c r="WJJ60" s="294"/>
      <c r="WJP60" s="292"/>
      <c r="WJQ60" s="293"/>
      <c r="WJR60" s="294"/>
      <c r="WJX60" s="292"/>
      <c r="WJY60" s="293"/>
      <c r="WJZ60" s="294"/>
      <c r="WKF60" s="292"/>
      <c r="WKG60" s="293"/>
      <c r="WKH60" s="294"/>
      <c r="WKN60" s="292"/>
      <c r="WKO60" s="293"/>
      <c r="WKP60" s="294"/>
      <c r="WKV60" s="292"/>
      <c r="WKW60" s="293"/>
      <c r="WKX60" s="294"/>
      <c r="WLD60" s="292"/>
      <c r="WLE60" s="293"/>
      <c r="WLF60" s="294"/>
      <c r="WLL60" s="292"/>
      <c r="WLM60" s="293"/>
      <c r="WLN60" s="294"/>
      <c r="WLT60" s="292"/>
      <c r="WLU60" s="293"/>
      <c r="WLV60" s="294"/>
      <c r="WMB60" s="292"/>
      <c r="WMC60" s="293"/>
      <c r="WMD60" s="294"/>
      <c r="WMJ60" s="292"/>
      <c r="WMK60" s="293"/>
      <c r="WML60" s="294"/>
      <c r="WMR60" s="292"/>
      <c r="WMS60" s="293"/>
      <c r="WMT60" s="294"/>
      <c r="WMZ60" s="292"/>
      <c r="WNA60" s="293"/>
      <c r="WNB60" s="294"/>
      <c r="WNH60" s="292"/>
      <c r="WNI60" s="293"/>
      <c r="WNJ60" s="294"/>
      <c r="WNP60" s="292"/>
      <c r="WNQ60" s="293"/>
      <c r="WNR60" s="294"/>
      <c r="WNX60" s="292"/>
      <c r="WNY60" s="293"/>
      <c r="WNZ60" s="294"/>
      <c r="WOF60" s="292"/>
      <c r="WOG60" s="293"/>
      <c r="WOH60" s="294"/>
      <c r="WON60" s="292"/>
      <c r="WOO60" s="293"/>
      <c r="WOP60" s="294"/>
      <c r="WOV60" s="292"/>
      <c r="WOW60" s="293"/>
      <c r="WOX60" s="294"/>
      <c r="WPD60" s="292"/>
      <c r="WPE60" s="293"/>
      <c r="WPF60" s="294"/>
      <c r="WPL60" s="292"/>
      <c r="WPM60" s="293"/>
      <c r="WPN60" s="294"/>
      <c r="WPT60" s="292"/>
      <c r="WPU60" s="293"/>
      <c r="WPV60" s="294"/>
      <c r="WQB60" s="292"/>
      <c r="WQC60" s="293"/>
      <c r="WQD60" s="294"/>
      <c r="WQJ60" s="292"/>
      <c r="WQK60" s="293"/>
      <c r="WQL60" s="294"/>
      <c r="WQR60" s="292"/>
      <c r="WQS60" s="293"/>
      <c r="WQT60" s="294"/>
      <c r="WQZ60" s="292"/>
      <c r="WRA60" s="293"/>
      <c r="WRB60" s="294"/>
      <c r="WRH60" s="292"/>
      <c r="WRI60" s="293"/>
      <c r="WRJ60" s="294"/>
      <c r="WRP60" s="292"/>
      <c r="WRQ60" s="293"/>
      <c r="WRR60" s="294"/>
      <c r="WRX60" s="292"/>
      <c r="WRY60" s="293"/>
      <c r="WRZ60" s="294"/>
      <c r="WSF60" s="292"/>
      <c r="WSG60" s="293"/>
      <c r="WSH60" s="294"/>
      <c r="WSN60" s="292"/>
      <c r="WSO60" s="293"/>
      <c r="WSP60" s="294"/>
      <c r="WSV60" s="292"/>
      <c r="WSW60" s="293"/>
      <c r="WSX60" s="294"/>
      <c r="WTD60" s="292"/>
      <c r="WTE60" s="293"/>
      <c r="WTF60" s="294"/>
      <c r="WTL60" s="292"/>
      <c r="WTM60" s="293"/>
      <c r="WTN60" s="294"/>
      <c r="WTT60" s="292"/>
      <c r="WTU60" s="293"/>
      <c r="WTV60" s="294"/>
      <c r="WUB60" s="292"/>
      <c r="WUC60" s="293"/>
      <c r="WUD60" s="294"/>
      <c r="WUJ60" s="292"/>
      <c r="WUK60" s="293"/>
      <c r="WUL60" s="294"/>
      <c r="WUR60" s="292"/>
      <c r="WUS60" s="293"/>
      <c r="WUT60" s="294"/>
      <c r="WUZ60" s="292"/>
      <c r="WVA60" s="293"/>
      <c r="WVB60" s="294"/>
      <c r="WVH60" s="292"/>
      <c r="WVI60" s="293"/>
      <c r="WVJ60" s="294"/>
      <c r="WVP60" s="292"/>
      <c r="WVQ60" s="293"/>
      <c r="WVR60" s="294"/>
      <c r="WVX60" s="292"/>
      <c r="WVY60" s="293"/>
      <c r="WVZ60" s="294"/>
      <c r="WWF60" s="292"/>
      <c r="WWG60" s="293"/>
      <c r="WWH60" s="294"/>
      <c r="WWN60" s="292"/>
      <c r="WWO60" s="293"/>
      <c r="WWP60" s="294"/>
      <c r="WWV60" s="292"/>
      <c r="WWW60" s="293"/>
      <c r="WWX60" s="294"/>
      <c r="WXD60" s="292"/>
      <c r="WXE60" s="293"/>
      <c r="WXF60" s="294"/>
      <c r="WXL60" s="292"/>
      <c r="WXM60" s="293"/>
      <c r="WXN60" s="294"/>
      <c r="WXT60" s="292"/>
      <c r="WXU60" s="293"/>
      <c r="WXV60" s="294"/>
      <c r="WYB60" s="292"/>
      <c r="WYC60" s="293"/>
      <c r="WYD60" s="294"/>
      <c r="WYJ60" s="292"/>
      <c r="WYK60" s="293"/>
      <c r="WYL60" s="294"/>
      <c r="WYR60" s="292"/>
      <c r="WYS60" s="293"/>
      <c r="WYT60" s="294"/>
      <c r="WYZ60" s="292"/>
      <c r="WZA60" s="293"/>
      <c r="WZB60" s="294"/>
      <c r="WZH60" s="292"/>
      <c r="WZI60" s="293"/>
      <c r="WZJ60" s="294"/>
      <c r="WZP60" s="292"/>
      <c r="WZQ60" s="293"/>
      <c r="WZR60" s="294"/>
      <c r="WZX60" s="292"/>
      <c r="WZY60" s="293"/>
      <c r="WZZ60" s="294"/>
      <c r="XAF60" s="292"/>
      <c r="XAG60" s="293"/>
      <c r="XAH60" s="294"/>
      <c r="XAN60" s="292"/>
      <c r="XAO60" s="293"/>
      <c r="XAP60" s="294"/>
      <c r="XAV60" s="292"/>
      <c r="XAW60" s="293"/>
      <c r="XAX60" s="294"/>
      <c r="XBD60" s="292"/>
      <c r="XBE60" s="293"/>
      <c r="XBF60" s="294"/>
      <c r="XBL60" s="292"/>
      <c r="XBM60" s="293"/>
      <c r="XBN60" s="294"/>
      <c r="XBT60" s="292"/>
      <c r="XBU60" s="293"/>
      <c r="XBV60" s="294"/>
      <c r="XCB60" s="292"/>
      <c r="XCC60" s="293"/>
      <c r="XCD60" s="294"/>
      <c r="XCJ60" s="292"/>
      <c r="XCK60" s="293"/>
      <c r="XCL60" s="294"/>
      <c r="XCR60" s="292"/>
      <c r="XCS60" s="293"/>
      <c r="XCT60" s="294"/>
      <c r="XCZ60" s="292"/>
      <c r="XDA60" s="293"/>
      <c r="XDB60" s="294"/>
      <c r="XDH60" s="292"/>
      <c r="XDI60" s="293"/>
      <c r="XDJ60" s="294"/>
      <c r="XDP60" s="292"/>
      <c r="XDQ60" s="293"/>
      <c r="XDR60" s="294"/>
      <c r="XDX60" s="292"/>
      <c r="XDY60" s="293"/>
      <c r="XDZ60" s="294"/>
      <c r="XEF60" s="292"/>
      <c r="XEG60" s="293"/>
      <c r="XEH60" s="294"/>
      <c r="XEN60" s="292"/>
      <c r="XEO60" s="293"/>
      <c r="XEP60" s="294"/>
      <c r="XEV60" s="292"/>
      <c r="XEW60" s="293"/>
      <c r="XEX60" s="294"/>
    </row>
    <row r="61" spans="1:16378" x14ac:dyDescent="0.3">
      <c r="A61" s="295"/>
      <c r="B61" s="298"/>
      <c r="C61" s="318"/>
      <c r="D61" s="319"/>
      <c r="E61" s="319"/>
      <c r="F61" s="319"/>
      <c r="G61" s="319"/>
    </row>
    <row r="62" spans="1:16378" s="270" customFormat="1" ht="33" customHeight="1" x14ac:dyDescent="0.3">
      <c r="A62" s="428" t="s">
        <v>1360</v>
      </c>
      <c r="B62" s="428"/>
      <c r="C62" s="428"/>
      <c r="D62" s="428"/>
      <c r="E62" s="428"/>
      <c r="F62" s="428"/>
      <c r="G62" s="428"/>
      <c r="H62" s="271"/>
    </row>
    <row r="63" spans="1:16378" ht="12.75" customHeight="1" x14ac:dyDescent="0.3">
      <c r="A63" s="431" t="s">
        <v>1337</v>
      </c>
      <c r="B63" s="431"/>
      <c r="C63" s="431"/>
      <c r="D63" s="431"/>
      <c r="E63" s="431"/>
      <c r="F63" s="431"/>
      <c r="G63" s="431"/>
    </row>
    <row r="64" spans="1:16378" x14ac:dyDescent="0.3">
      <c r="A64" s="272"/>
      <c r="B64" s="352"/>
      <c r="C64" s="272"/>
      <c r="D64" s="272"/>
      <c r="E64" s="272"/>
      <c r="F64" s="272"/>
      <c r="G64" s="272"/>
    </row>
    <row r="65" spans="1:8" ht="15" customHeight="1" x14ac:dyDescent="0.3">
      <c r="A65" s="432" t="s">
        <v>1038</v>
      </c>
      <c r="B65" s="432" t="s">
        <v>1037</v>
      </c>
      <c r="C65" s="433" t="s">
        <v>91</v>
      </c>
      <c r="D65" s="433" t="s">
        <v>90</v>
      </c>
      <c r="E65" s="433" t="s">
        <v>89</v>
      </c>
      <c r="F65" s="433" t="s">
        <v>1186</v>
      </c>
      <c r="G65" s="433"/>
    </row>
    <row r="66" spans="1:8" ht="50.15" customHeight="1" x14ac:dyDescent="0.3">
      <c r="A66" s="432"/>
      <c r="B66" s="432"/>
      <c r="C66" s="433"/>
      <c r="D66" s="433"/>
      <c r="E66" s="433"/>
      <c r="F66" s="273" t="s">
        <v>88</v>
      </c>
      <c r="G66" s="273" t="s">
        <v>87</v>
      </c>
    </row>
    <row r="67" spans="1:8" x14ac:dyDescent="0.3">
      <c r="A67" s="299"/>
      <c r="B67" s="300"/>
      <c r="C67" s="300"/>
      <c r="D67" s="301"/>
      <c r="E67" s="301"/>
      <c r="F67" s="301"/>
      <c r="G67" s="324"/>
    </row>
    <row r="68" spans="1:8" s="279" customFormat="1" x14ac:dyDescent="0.3">
      <c r="A68" s="284" t="s">
        <v>654</v>
      </c>
      <c r="B68" s="354" t="s">
        <v>1045</v>
      </c>
      <c r="C68" s="326">
        <v>16146.02</v>
      </c>
      <c r="D68" s="326">
        <v>704.73950000000002</v>
      </c>
      <c r="E68" s="327">
        <f>IF(C68&lt;&gt;"",D68/C68*100,"")</f>
        <v>4.3647877309702325</v>
      </c>
      <c r="F68" s="326">
        <v>14986.73</v>
      </c>
      <c r="G68" s="328">
        <v>17305.3</v>
      </c>
      <c r="H68" s="278"/>
    </row>
    <row r="69" spans="1:8" s="279" customFormat="1" x14ac:dyDescent="0.3">
      <c r="A69" s="283"/>
      <c r="B69" s="330"/>
      <c r="C69" s="330"/>
      <c r="D69" s="355"/>
      <c r="E69" s="355"/>
      <c r="F69" s="355"/>
      <c r="G69" s="356"/>
    </row>
    <row r="70" spans="1:8" s="279" customFormat="1" ht="25.5" customHeight="1" x14ac:dyDescent="0.3">
      <c r="A70" s="284" t="s">
        <v>1042</v>
      </c>
      <c r="B70" s="335" t="s">
        <v>1111</v>
      </c>
      <c r="C70" s="332">
        <v>16569.740000000002</v>
      </c>
      <c r="D70" s="332">
        <v>196.8458</v>
      </c>
      <c r="E70" s="333">
        <f>IF(C70&lt;&gt;"",D70/C70*100,"")</f>
        <v>1.187983637643077</v>
      </c>
      <c r="F70" s="332">
        <v>16245.93</v>
      </c>
      <c r="G70" s="334">
        <v>16893.55</v>
      </c>
      <c r="H70" s="278"/>
    </row>
    <row r="71" spans="1:8" ht="42" x14ac:dyDescent="0.3">
      <c r="A71" s="281" t="s">
        <v>592</v>
      </c>
      <c r="B71" s="296" t="s">
        <v>1112</v>
      </c>
      <c r="C71" s="332">
        <v>14628.25</v>
      </c>
      <c r="D71" s="332">
        <v>111.0742</v>
      </c>
      <c r="E71" s="333">
        <f>IF(C71&lt;&gt;"",D71/C71*100,"")</f>
        <v>0.75931297318544599</v>
      </c>
      <c r="F71" s="332">
        <v>14445.54</v>
      </c>
      <c r="G71" s="334">
        <v>14810.97</v>
      </c>
      <c r="H71" s="278"/>
    </row>
    <row r="72" spans="1:8" ht="13.5" customHeight="1" x14ac:dyDescent="0.3">
      <c r="A72" s="281" t="s">
        <v>428</v>
      </c>
      <c r="B72" s="296" t="s">
        <v>1041</v>
      </c>
      <c r="C72" s="332">
        <v>19870.14</v>
      </c>
      <c r="D72" s="332">
        <v>459.62580000000003</v>
      </c>
      <c r="E72" s="333">
        <f>IF(C72&lt;&gt;"",D72/C72*100,"")</f>
        <v>2.3131482717283323</v>
      </c>
      <c r="F72" s="332">
        <v>19114.07</v>
      </c>
      <c r="G72" s="334">
        <v>20626.22</v>
      </c>
      <c r="H72" s="278"/>
    </row>
    <row r="73" spans="1:8" ht="15.75" customHeight="1" x14ac:dyDescent="0.3">
      <c r="A73" s="281" t="s">
        <v>311</v>
      </c>
      <c r="B73" s="296" t="s">
        <v>563</v>
      </c>
      <c r="C73" s="332">
        <v>14469.68</v>
      </c>
      <c r="D73" s="332">
        <v>98.951269999999994</v>
      </c>
      <c r="E73" s="333">
        <f>IF(C73&lt;&gt;"",D73/C73*100,"")</f>
        <v>0.68385251090556243</v>
      </c>
      <c r="F73" s="332">
        <v>14306.9</v>
      </c>
      <c r="G73" s="334">
        <v>14632.45</v>
      </c>
      <c r="H73" s="278"/>
    </row>
    <row r="74" spans="1:8" x14ac:dyDescent="0.3">
      <c r="A74" s="303"/>
      <c r="B74" s="357"/>
      <c r="C74" s="358"/>
      <c r="D74" s="319"/>
      <c r="E74" s="319"/>
      <c r="F74" s="319"/>
      <c r="G74" s="331"/>
    </row>
    <row r="75" spans="1:8" s="279" customFormat="1" x14ac:dyDescent="0.3">
      <c r="A75" s="284" t="s">
        <v>1039</v>
      </c>
      <c r="B75" s="325" t="s">
        <v>1040</v>
      </c>
      <c r="C75" s="326">
        <v>18170.77</v>
      </c>
      <c r="D75" s="326">
        <v>1649.885</v>
      </c>
      <c r="E75" s="327">
        <f t="shared" ref="E75:E81" si="2">IF(C75&lt;&gt;"",D75/C75*100,"")</f>
        <v>9.0798848920546575</v>
      </c>
      <c r="F75" s="326">
        <v>15456.73</v>
      </c>
      <c r="G75" s="328">
        <v>20884.8</v>
      </c>
      <c r="H75" s="278"/>
    </row>
    <row r="76" spans="1:8" s="279" customFormat="1" ht="28" x14ac:dyDescent="0.3">
      <c r="A76" s="281" t="s">
        <v>536</v>
      </c>
      <c r="B76" s="310" t="s">
        <v>1113</v>
      </c>
      <c r="C76" s="332">
        <v>17960</v>
      </c>
      <c r="D76" s="332">
        <v>1648.87</v>
      </c>
      <c r="E76" s="333">
        <f t="shared" si="2"/>
        <v>9.1807906458797319</v>
      </c>
      <c r="F76" s="332">
        <v>15247.63</v>
      </c>
      <c r="G76" s="334">
        <v>20672.36</v>
      </c>
      <c r="H76" s="278"/>
    </row>
    <row r="77" spans="1:8" s="279" customFormat="1" x14ac:dyDescent="0.3">
      <c r="A77" s="281" t="s">
        <v>496</v>
      </c>
      <c r="B77" s="296" t="s">
        <v>525</v>
      </c>
      <c r="C77" s="332">
        <v>12495.54</v>
      </c>
      <c r="D77" s="332">
        <v>245.57339999999999</v>
      </c>
      <c r="E77" s="333">
        <f t="shared" si="2"/>
        <v>1.9652884149064385</v>
      </c>
      <c r="F77" s="332">
        <v>12091.57</v>
      </c>
      <c r="G77" s="334">
        <v>12899.5</v>
      </c>
      <c r="H77" s="278"/>
    </row>
    <row r="78" spans="1:8" x14ac:dyDescent="0.3">
      <c r="A78" s="281" t="s">
        <v>471</v>
      </c>
      <c r="B78" s="296" t="s">
        <v>493</v>
      </c>
      <c r="C78" s="332">
        <v>17957.07</v>
      </c>
      <c r="D78" s="332">
        <v>738.95619999999997</v>
      </c>
      <c r="E78" s="333">
        <f t="shared" si="2"/>
        <v>4.1151267996393619</v>
      </c>
      <c r="F78" s="332">
        <v>16741.490000000002</v>
      </c>
      <c r="G78" s="334">
        <v>19172.64</v>
      </c>
      <c r="H78" s="278"/>
    </row>
    <row r="79" spans="1:8" x14ac:dyDescent="0.3">
      <c r="A79" s="281" t="s">
        <v>438</v>
      </c>
      <c r="B79" s="296" t="s">
        <v>469</v>
      </c>
      <c r="C79" s="332">
        <v>75340.28</v>
      </c>
      <c r="D79" s="332">
        <v>14853.07</v>
      </c>
      <c r="E79" s="333">
        <f t="shared" si="2"/>
        <v>19.714646667094947</v>
      </c>
      <c r="F79" s="332">
        <v>50907.24</v>
      </c>
      <c r="G79" s="334">
        <v>99773.33</v>
      </c>
      <c r="H79" s="278"/>
    </row>
    <row r="80" spans="1:8" ht="14.25" customHeight="1" x14ac:dyDescent="0.3">
      <c r="A80" s="281" t="s">
        <v>423</v>
      </c>
      <c r="B80" s="296" t="s">
        <v>1114</v>
      </c>
      <c r="C80" s="332">
        <v>16626.580000000002</v>
      </c>
      <c r="D80" s="332">
        <v>1479.925</v>
      </c>
      <c r="E80" s="333">
        <f t="shared" si="2"/>
        <v>8.900958585590061</v>
      </c>
      <c r="F80" s="332">
        <v>14192.13</v>
      </c>
      <c r="G80" s="334">
        <v>19061.03</v>
      </c>
      <c r="H80" s="278"/>
    </row>
    <row r="81" spans="1:16378" x14ac:dyDescent="0.3">
      <c r="A81" s="281" t="s">
        <v>325</v>
      </c>
      <c r="B81" s="296" t="s">
        <v>1115</v>
      </c>
      <c r="C81" s="332">
        <v>15246.84</v>
      </c>
      <c r="D81" s="332">
        <v>1881.2840000000001</v>
      </c>
      <c r="E81" s="333">
        <f t="shared" si="2"/>
        <v>12.338845295156242</v>
      </c>
      <c r="F81" s="332">
        <v>12152.16</v>
      </c>
      <c r="G81" s="334">
        <v>18341.52</v>
      </c>
      <c r="H81" s="278"/>
    </row>
    <row r="82" spans="1:16378" ht="12.75" customHeight="1" x14ac:dyDescent="0.3">
      <c r="A82" s="285"/>
      <c r="B82" s="359"/>
      <c r="C82" s="360"/>
      <c r="D82" s="323"/>
      <c r="E82" s="323"/>
      <c r="F82" s="323"/>
      <c r="G82" s="361"/>
    </row>
    <row r="83" spans="1:16378" s="279" customFormat="1" ht="14.25" customHeight="1" x14ac:dyDescent="0.3">
      <c r="A83" s="284" t="s">
        <v>400</v>
      </c>
      <c r="B83" s="325" t="s">
        <v>1036</v>
      </c>
      <c r="C83" s="326">
        <v>14903.7</v>
      </c>
      <c r="D83" s="326">
        <v>204.28389999999999</v>
      </c>
      <c r="E83" s="327">
        <f>IF(C83&lt;&gt;"",D83/C83*100,"")</f>
        <v>1.3706925125975429</v>
      </c>
      <c r="F83" s="326">
        <v>14567.66</v>
      </c>
      <c r="G83" s="328">
        <v>15239.75</v>
      </c>
      <c r="H83" s="278"/>
    </row>
    <row r="84" spans="1:16378" s="279" customFormat="1" ht="14.25" customHeight="1" x14ac:dyDescent="0.3">
      <c r="A84" s="284"/>
      <c r="B84" s="325"/>
      <c r="C84" s="362"/>
      <c r="D84" s="363"/>
      <c r="E84" s="363"/>
      <c r="F84" s="363"/>
      <c r="G84" s="364"/>
      <c r="H84" s="278"/>
    </row>
    <row r="85" spans="1:16378" s="279" customFormat="1" ht="13.5" customHeight="1" x14ac:dyDescent="0.3">
      <c r="A85" s="284" t="s">
        <v>1033</v>
      </c>
      <c r="B85" s="325" t="s">
        <v>1034</v>
      </c>
      <c r="C85" s="326">
        <v>40362.21</v>
      </c>
      <c r="D85" s="326">
        <v>2201.2800000000002</v>
      </c>
      <c r="E85" s="327">
        <f t="shared" ref="E85:E91" si="3">IF(C85&lt;&gt;"",D85/C85*100,"")</f>
        <v>5.4538143476286365</v>
      </c>
      <c r="F85" s="326">
        <v>36741.14</v>
      </c>
      <c r="G85" s="328">
        <v>43983.28</v>
      </c>
      <c r="H85" s="278"/>
    </row>
    <row r="86" spans="1:16378" ht="15.75" customHeight="1" x14ac:dyDescent="0.3">
      <c r="A86" s="281" t="s">
        <v>301</v>
      </c>
      <c r="B86" s="296" t="s">
        <v>370</v>
      </c>
      <c r="C86" s="332">
        <v>31996.33</v>
      </c>
      <c r="D86" s="332">
        <v>4121.5230000000001</v>
      </c>
      <c r="E86" s="333">
        <f t="shared" si="3"/>
        <v>12.881236691833095</v>
      </c>
      <c r="F86" s="332">
        <v>25216.49</v>
      </c>
      <c r="G86" s="334">
        <v>38776.160000000003</v>
      </c>
      <c r="H86" s="278"/>
    </row>
    <row r="87" spans="1:16378" ht="75.75" customHeight="1" x14ac:dyDescent="0.3">
      <c r="A87" s="281" t="s">
        <v>1032</v>
      </c>
      <c r="B87" s="296" t="s">
        <v>1365</v>
      </c>
      <c r="C87" s="332">
        <v>32298.11</v>
      </c>
      <c r="D87" s="332">
        <v>4706.6040000000003</v>
      </c>
      <c r="E87" s="333">
        <f t="shared" si="3"/>
        <v>14.572382099138309</v>
      </c>
      <c r="F87" s="332">
        <v>24555.83</v>
      </c>
      <c r="G87" s="334">
        <v>40040.39</v>
      </c>
      <c r="H87" s="278"/>
    </row>
    <row r="88" spans="1:16378" ht="16.5" x14ac:dyDescent="0.3">
      <c r="A88" s="281" t="s">
        <v>1358</v>
      </c>
      <c r="B88" s="296" t="s">
        <v>342</v>
      </c>
      <c r="C88" s="332">
        <v>20526.740000000002</v>
      </c>
      <c r="D88" s="332">
        <v>1050.3030000000001</v>
      </c>
      <c r="E88" s="333">
        <f t="shared" si="3"/>
        <v>5.1167550229602945</v>
      </c>
      <c r="F88" s="332">
        <v>18799.009999999998</v>
      </c>
      <c r="G88" s="334">
        <v>22254.47</v>
      </c>
      <c r="H88" s="278"/>
    </row>
    <row r="89" spans="1:16378" x14ac:dyDescent="0.3">
      <c r="A89" s="281" t="s">
        <v>295</v>
      </c>
      <c r="B89" s="296" t="s">
        <v>323</v>
      </c>
      <c r="C89" s="332">
        <v>37599.57</v>
      </c>
      <c r="D89" s="332">
        <v>6004.9889999999996</v>
      </c>
      <c r="E89" s="333">
        <f t="shared" si="3"/>
        <v>15.970898071440709</v>
      </c>
      <c r="F89" s="332">
        <v>27721.46</v>
      </c>
      <c r="G89" s="334">
        <v>47477.67</v>
      </c>
      <c r="H89" s="278"/>
    </row>
    <row r="90" spans="1:16378" ht="28" x14ac:dyDescent="0.3">
      <c r="A90" s="281" t="s">
        <v>279</v>
      </c>
      <c r="B90" s="298" t="s">
        <v>1100</v>
      </c>
      <c r="C90" s="332">
        <v>45649.77</v>
      </c>
      <c r="D90" s="332">
        <v>3017.0639999999999</v>
      </c>
      <c r="E90" s="333">
        <f t="shared" si="3"/>
        <v>6.6091548763553467</v>
      </c>
      <c r="F90" s="332">
        <v>40686.75</v>
      </c>
      <c r="G90" s="334">
        <v>50612.79</v>
      </c>
      <c r="H90" s="278"/>
    </row>
    <row r="91" spans="1:16378" x14ac:dyDescent="0.3">
      <c r="A91" s="281" t="s">
        <v>252</v>
      </c>
      <c r="B91" s="298" t="s">
        <v>277</v>
      </c>
      <c r="C91" s="332">
        <v>30757.23</v>
      </c>
      <c r="D91" s="332">
        <v>4055.8020000000001</v>
      </c>
      <c r="E91" s="333">
        <f t="shared" si="3"/>
        <v>13.186499564492642</v>
      </c>
      <c r="F91" s="332">
        <v>24085.51</v>
      </c>
      <c r="G91" s="334">
        <v>37428.949999999997</v>
      </c>
      <c r="H91" s="278"/>
    </row>
    <row r="92" spans="1:16378" s="287" customFormat="1" ht="5.5" customHeight="1" x14ac:dyDescent="0.3">
      <c r="A92" s="288"/>
      <c r="B92" s="289"/>
      <c r="C92" s="290"/>
      <c r="D92" s="291"/>
      <c r="E92" s="291"/>
      <c r="F92" s="291"/>
      <c r="G92" s="339"/>
      <c r="H92" s="292"/>
      <c r="I92" s="293"/>
      <c r="J92" s="294"/>
      <c r="P92" s="292"/>
      <c r="Q92" s="293"/>
      <c r="R92" s="294"/>
      <c r="X92" s="292"/>
      <c r="Y92" s="293"/>
      <c r="Z92" s="294"/>
      <c r="AF92" s="292"/>
      <c r="AG92" s="293"/>
      <c r="AH92" s="294"/>
      <c r="AN92" s="292"/>
      <c r="AO92" s="293"/>
      <c r="AP92" s="294"/>
      <c r="AV92" s="292"/>
      <c r="AW92" s="293"/>
      <c r="AX92" s="294"/>
      <c r="BD92" s="292"/>
      <c r="BE92" s="293"/>
      <c r="BF92" s="294"/>
      <c r="BL92" s="292"/>
      <c r="BM92" s="293"/>
      <c r="BN92" s="294"/>
      <c r="BT92" s="292"/>
      <c r="BU92" s="293"/>
      <c r="BV92" s="294"/>
      <c r="CB92" s="292"/>
      <c r="CC92" s="293"/>
      <c r="CD92" s="294"/>
      <c r="CJ92" s="292"/>
      <c r="CK92" s="293"/>
      <c r="CL92" s="294"/>
      <c r="CR92" s="292"/>
      <c r="CS92" s="293"/>
      <c r="CT92" s="294"/>
      <c r="CZ92" s="292"/>
      <c r="DA92" s="293"/>
      <c r="DB92" s="294"/>
      <c r="DH92" s="292"/>
      <c r="DI92" s="293"/>
      <c r="DJ92" s="294"/>
      <c r="DP92" s="292"/>
      <c r="DQ92" s="293"/>
      <c r="DR92" s="294"/>
      <c r="DX92" s="292"/>
      <c r="DY92" s="293"/>
      <c r="DZ92" s="294"/>
      <c r="EF92" s="292"/>
      <c r="EG92" s="293"/>
      <c r="EH92" s="294"/>
      <c r="EN92" s="292"/>
      <c r="EO92" s="293"/>
      <c r="EP92" s="294"/>
      <c r="EV92" s="292"/>
      <c r="EW92" s="293"/>
      <c r="EX92" s="294"/>
      <c r="FD92" s="292"/>
      <c r="FE92" s="293"/>
      <c r="FF92" s="294"/>
      <c r="FL92" s="292"/>
      <c r="FM92" s="293"/>
      <c r="FN92" s="294"/>
      <c r="FT92" s="292"/>
      <c r="FU92" s="293"/>
      <c r="FV92" s="294"/>
      <c r="GB92" s="292"/>
      <c r="GC92" s="293"/>
      <c r="GD92" s="294"/>
      <c r="GJ92" s="292"/>
      <c r="GK92" s="293"/>
      <c r="GL92" s="294"/>
      <c r="GR92" s="292"/>
      <c r="GS92" s="293"/>
      <c r="GT92" s="294"/>
      <c r="GZ92" s="292"/>
      <c r="HA92" s="293"/>
      <c r="HB92" s="294"/>
      <c r="HH92" s="292"/>
      <c r="HI92" s="293"/>
      <c r="HJ92" s="294"/>
      <c r="HP92" s="292"/>
      <c r="HQ92" s="293"/>
      <c r="HR92" s="294"/>
      <c r="HX92" s="292"/>
      <c r="HY92" s="293"/>
      <c r="HZ92" s="294"/>
      <c r="IF92" s="292"/>
      <c r="IG92" s="293"/>
      <c r="IH92" s="294"/>
      <c r="IN92" s="292"/>
      <c r="IO92" s="293"/>
      <c r="IP92" s="294"/>
      <c r="IV92" s="292"/>
      <c r="IW92" s="293"/>
      <c r="IX92" s="294"/>
      <c r="JD92" s="292"/>
      <c r="JE92" s="293"/>
      <c r="JF92" s="294"/>
      <c r="JL92" s="292"/>
      <c r="JM92" s="293"/>
      <c r="JN92" s="294"/>
      <c r="JT92" s="292"/>
      <c r="JU92" s="293"/>
      <c r="JV92" s="294"/>
      <c r="KB92" s="292"/>
      <c r="KC92" s="293"/>
      <c r="KD92" s="294"/>
      <c r="KJ92" s="292"/>
      <c r="KK92" s="293"/>
      <c r="KL92" s="294"/>
      <c r="KR92" s="292"/>
      <c r="KS92" s="293"/>
      <c r="KT92" s="294"/>
      <c r="KZ92" s="292"/>
      <c r="LA92" s="293"/>
      <c r="LB92" s="294"/>
      <c r="LH92" s="292"/>
      <c r="LI92" s="293"/>
      <c r="LJ92" s="294"/>
      <c r="LP92" s="292"/>
      <c r="LQ92" s="293"/>
      <c r="LR92" s="294"/>
      <c r="LX92" s="292"/>
      <c r="LY92" s="293"/>
      <c r="LZ92" s="294"/>
      <c r="MF92" s="292"/>
      <c r="MG92" s="293"/>
      <c r="MH92" s="294"/>
      <c r="MN92" s="292"/>
      <c r="MO92" s="293"/>
      <c r="MP92" s="294"/>
      <c r="MV92" s="292"/>
      <c r="MW92" s="293"/>
      <c r="MX92" s="294"/>
      <c r="ND92" s="292"/>
      <c r="NE92" s="293"/>
      <c r="NF92" s="294"/>
      <c r="NL92" s="292"/>
      <c r="NM92" s="293"/>
      <c r="NN92" s="294"/>
      <c r="NT92" s="292"/>
      <c r="NU92" s="293"/>
      <c r="NV92" s="294"/>
      <c r="OB92" s="292"/>
      <c r="OC92" s="293"/>
      <c r="OD92" s="294"/>
      <c r="OJ92" s="292"/>
      <c r="OK92" s="293"/>
      <c r="OL92" s="294"/>
      <c r="OR92" s="292"/>
      <c r="OS92" s="293"/>
      <c r="OT92" s="294"/>
      <c r="OZ92" s="292"/>
      <c r="PA92" s="293"/>
      <c r="PB92" s="294"/>
      <c r="PH92" s="292"/>
      <c r="PI92" s="293"/>
      <c r="PJ92" s="294"/>
      <c r="PP92" s="292"/>
      <c r="PQ92" s="293"/>
      <c r="PR92" s="294"/>
      <c r="PX92" s="292"/>
      <c r="PY92" s="293"/>
      <c r="PZ92" s="294"/>
      <c r="QF92" s="292"/>
      <c r="QG92" s="293"/>
      <c r="QH92" s="294"/>
      <c r="QN92" s="292"/>
      <c r="QO92" s="293"/>
      <c r="QP92" s="294"/>
      <c r="QV92" s="292"/>
      <c r="QW92" s="293"/>
      <c r="QX92" s="294"/>
      <c r="RD92" s="292"/>
      <c r="RE92" s="293"/>
      <c r="RF92" s="294"/>
      <c r="RL92" s="292"/>
      <c r="RM92" s="293"/>
      <c r="RN92" s="294"/>
      <c r="RT92" s="292"/>
      <c r="RU92" s="293"/>
      <c r="RV92" s="294"/>
      <c r="SB92" s="292"/>
      <c r="SC92" s="293"/>
      <c r="SD92" s="294"/>
      <c r="SJ92" s="292"/>
      <c r="SK92" s="293"/>
      <c r="SL92" s="294"/>
      <c r="SR92" s="292"/>
      <c r="SS92" s="293"/>
      <c r="ST92" s="294"/>
      <c r="SZ92" s="292"/>
      <c r="TA92" s="293"/>
      <c r="TB92" s="294"/>
      <c r="TH92" s="292"/>
      <c r="TI92" s="293"/>
      <c r="TJ92" s="294"/>
      <c r="TP92" s="292"/>
      <c r="TQ92" s="293"/>
      <c r="TR92" s="294"/>
      <c r="TX92" s="292"/>
      <c r="TY92" s="293"/>
      <c r="TZ92" s="294"/>
      <c r="UF92" s="292"/>
      <c r="UG92" s="293"/>
      <c r="UH92" s="294"/>
      <c r="UN92" s="292"/>
      <c r="UO92" s="293"/>
      <c r="UP92" s="294"/>
      <c r="UV92" s="292"/>
      <c r="UW92" s="293"/>
      <c r="UX92" s="294"/>
      <c r="VD92" s="292"/>
      <c r="VE92" s="293"/>
      <c r="VF92" s="294"/>
      <c r="VL92" s="292"/>
      <c r="VM92" s="293"/>
      <c r="VN92" s="294"/>
      <c r="VT92" s="292"/>
      <c r="VU92" s="293"/>
      <c r="VV92" s="294"/>
      <c r="WB92" s="292"/>
      <c r="WC92" s="293"/>
      <c r="WD92" s="294"/>
      <c r="WJ92" s="292"/>
      <c r="WK92" s="293"/>
      <c r="WL92" s="294"/>
      <c r="WR92" s="292"/>
      <c r="WS92" s="293"/>
      <c r="WT92" s="294"/>
      <c r="WZ92" s="292"/>
      <c r="XA92" s="293"/>
      <c r="XB92" s="294"/>
      <c r="XH92" s="292"/>
      <c r="XI92" s="293"/>
      <c r="XJ92" s="294"/>
      <c r="XP92" s="292"/>
      <c r="XQ92" s="293"/>
      <c r="XR92" s="294"/>
      <c r="XX92" s="292"/>
      <c r="XY92" s="293"/>
      <c r="XZ92" s="294"/>
      <c r="YF92" s="292"/>
      <c r="YG92" s="293"/>
      <c r="YH92" s="294"/>
      <c r="YN92" s="292"/>
      <c r="YO92" s="293"/>
      <c r="YP92" s="294"/>
      <c r="YV92" s="292"/>
      <c r="YW92" s="293"/>
      <c r="YX92" s="294"/>
      <c r="ZD92" s="292"/>
      <c r="ZE92" s="293"/>
      <c r="ZF92" s="294"/>
      <c r="ZL92" s="292"/>
      <c r="ZM92" s="293"/>
      <c r="ZN92" s="294"/>
      <c r="ZT92" s="292"/>
      <c r="ZU92" s="293"/>
      <c r="ZV92" s="294"/>
      <c r="AAB92" s="292"/>
      <c r="AAC92" s="293"/>
      <c r="AAD92" s="294"/>
      <c r="AAJ92" s="292"/>
      <c r="AAK92" s="293"/>
      <c r="AAL92" s="294"/>
      <c r="AAR92" s="292"/>
      <c r="AAS92" s="293"/>
      <c r="AAT92" s="294"/>
      <c r="AAZ92" s="292"/>
      <c r="ABA92" s="293"/>
      <c r="ABB92" s="294"/>
      <c r="ABH92" s="292"/>
      <c r="ABI92" s="293"/>
      <c r="ABJ92" s="294"/>
      <c r="ABP92" s="292"/>
      <c r="ABQ92" s="293"/>
      <c r="ABR92" s="294"/>
      <c r="ABX92" s="292"/>
      <c r="ABY92" s="293"/>
      <c r="ABZ92" s="294"/>
      <c r="ACF92" s="292"/>
      <c r="ACG92" s="293"/>
      <c r="ACH92" s="294"/>
      <c r="ACN92" s="292"/>
      <c r="ACO92" s="293"/>
      <c r="ACP92" s="294"/>
      <c r="ACV92" s="292"/>
      <c r="ACW92" s="293"/>
      <c r="ACX92" s="294"/>
      <c r="ADD92" s="292"/>
      <c r="ADE92" s="293"/>
      <c r="ADF92" s="294"/>
      <c r="ADL92" s="292"/>
      <c r="ADM92" s="293"/>
      <c r="ADN92" s="294"/>
      <c r="ADT92" s="292"/>
      <c r="ADU92" s="293"/>
      <c r="ADV92" s="294"/>
      <c r="AEB92" s="292"/>
      <c r="AEC92" s="293"/>
      <c r="AED92" s="294"/>
      <c r="AEJ92" s="292"/>
      <c r="AEK92" s="293"/>
      <c r="AEL92" s="294"/>
      <c r="AER92" s="292"/>
      <c r="AES92" s="293"/>
      <c r="AET92" s="294"/>
      <c r="AEZ92" s="292"/>
      <c r="AFA92" s="293"/>
      <c r="AFB92" s="294"/>
      <c r="AFH92" s="292"/>
      <c r="AFI92" s="293"/>
      <c r="AFJ92" s="294"/>
      <c r="AFP92" s="292"/>
      <c r="AFQ92" s="293"/>
      <c r="AFR92" s="294"/>
      <c r="AFX92" s="292"/>
      <c r="AFY92" s="293"/>
      <c r="AFZ92" s="294"/>
      <c r="AGF92" s="292"/>
      <c r="AGG92" s="293"/>
      <c r="AGH92" s="294"/>
      <c r="AGN92" s="292"/>
      <c r="AGO92" s="293"/>
      <c r="AGP92" s="294"/>
      <c r="AGV92" s="292"/>
      <c r="AGW92" s="293"/>
      <c r="AGX92" s="294"/>
      <c r="AHD92" s="292"/>
      <c r="AHE92" s="293"/>
      <c r="AHF92" s="294"/>
      <c r="AHL92" s="292"/>
      <c r="AHM92" s="293"/>
      <c r="AHN92" s="294"/>
      <c r="AHT92" s="292"/>
      <c r="AHU92" s="293"/>
      <c r="AHV92" s="294"/>
      <c r="AIB92" s="292"/>
      <c r="AIC92" s="293"/>
      <c r="AID92" s="294"/>
      <c r="AIJ92" s="292"/>
      <c r="AIK92" s="293"/>
      <c r="AIL92" s="294"/>
      <c r="AIR92" s="292"/>
      <c r="AIS92" s="293"/>
      <c r="AIT92" s="294"/>
      <c r="AIZ92" s="292"/>
      <c r="AJA92" s="293"/>
      <c r="AJB92" s="294"/>
      <c r="AJH92" s="292"/>
      <c r="AJI92" s="293"/>
      <c r="AJJ92" s="294"/>
      <c r="AJP92" s="292"/>
      <c r="AJQ92" s="293"/>
      <c r="AJR92" s="294"/>
      <c r="AJX92" s="292"/>
      <c r="AJY92" s="293"/>
      <c r="AJZ92" s="294"/>
      <c r="AKF92" s="292"/>
      <c r="AKG92" s="293"/>
      <c r="AKH92" s="294"/>
      <c r="AKN92" s="292"/>
      <c r="AKO92" s="293"/>
      <c r="AKP92" s="294"/>
      <c r="AKV92" s="292"/>
      <c r="AKW92" s="293"/>
      <c r="AKX92" s="294"/>
      <c r="ALD92" s="292"/>
      <c r="ALE92" s="293"/>
      <c r="ALF92" s="294"/>
      <c r="ALL92" s="292"/>
      <c r="ALM92" s="293"/>
      <c r="ALN92" s="294"/>
      <c r="ALT92" s="292"/>
      <c r="ALU92" s="293"/>
      <c r="ALV92" s="294"/>
      <c r="AMB92" s="292"/>
      <c r="AMC92" s="293"/>
      <c r="AMD92" s="294"/>
      <c r="AMJ92" s="292"/>
      <c r="AMK92" s="293"/>
      <c r="AML92" s="294"/>
      <c r="AMR92" s="292"/>
      <c r="AMS92" s="293"/>
      <c r="AMT92" s="294"/>
      <c r="AMZ92" s="292"/>
      <c r="ANA92" s="293"/>
      <c r="ANB92" s="294"/>
      <c r="ANH92" s="292"/>
      <c r="ANI92" s="293"/>
      <c r="ANJ92" s="294"/>
      <c r="ANP92" s="292"/>
      <c r="ANQ92" s="293"/>
      <c r="ANR92" s="294"/>
      <c r="ANX92" s="292"/>
      <c r="ANY92" s="293"/>
      <c r="ANZ92" s="294"/>
      <c r="AOF92" s="292"/>
      <c r="AOG92" s="293"/>
      <c r="AOH92" s="294"/>
      <c r="AON92" s="292"/>
      <c r="AOO92" s="293"/>
      <c r="AOP92" s="294"/>
      <c r="AOV92" s="292"/>
      <c r="AOW92" s="293"/>
      <c r="AOX92" s="294"/>
      <c r="APD92" s="292"/>
      <c r="APE92" s="293"/>
      <c r="APF92" s="294"/>
      <c r="APL92" s="292"/>
      <c r="APM92" s="293"/>
      <c r="APN92" s="294"/>
      <c r="APT92" s="292"/>
      <c r="APU92" s="293"/>
      <c r="APV92" s="294"/>
      <c r="AQB92" s="292"/>
      <c r="AQC92" s="293"/>
      <c r="AQD92" s="294"/>
      <c r="AQJ92" s="292"/>
      <c r="AQK92" s="293"/>
      <c r="AQL92" s="294"/>
      <c r="AQR92" s="292"/>
      <c r="AQS92" s="293"/>
      <c r="AQT92" s="294"/>
      <c r="AQZ92" s="292"/>
      <c r="ARA92" s="293"/>
      <c r="ARB92" s="294"/>
      <c r="ARH92" s="292"/>
      <c r="ARI92" s="293"/>
      <c r="ARJ92" s="294"/>
      <c r="ARP92" s="292"/>
      <c r="ARQ92" s="293"/>
      <c r="ARR92" s="294"/>
      <c r="ARX92" s="292"/>
      <c r="ARY92" s="293"/>
      <c r="ARZ92" s="294"/>
      <c r="ASF92" s="292"/>
      <c r="ASG92" s="293"/>
      <c r="ASH92" s="294"/>
      <c r="ASN92" s="292"/>
      <c r="ASO92" s="293"/>
      <c r="ASP92" s="294"/>
      <c r="ASV92" s="292"/>
      <c r="ASW92" s="293"/>
      <c r="ASX92" s="294"/>
      <c r="ATD92" s="292"/>
      <c r="ATE92" s="293"/>
      <c r="ATF92" s="294"/>
      <c r="ATL92" s="292"/>
      <c r="ATM92" s="293"/>
      <c r="ATN92" s="294"/>
      <c r="ATT92" s="292"/>
      <c r="ATU92" s="293"/>
      <c r="ATV92" s="294"/>
      <c r="AUB92" s="292"/>
      <c r="AUC92" s="293"/>
      <c r="AUD92" s="294"/>
      <c r="AUJ92" s="292"/>
      <c r="AUK92" s="293"/>
      <c r="AUL92" s="294"/>
      <c r="AUR92" s="292"/>
      <c r="AUS92" s="293"/>
      <c r="AUT92" s="294"/>
      <c r="AUZ92" s="292"/>
      <c r="AVA92" s="293"/>
      <c r="AVB92" s="294"/>
      <c r="AVH92" s="292"/>
      <c r="AVI92" s="293"/>
      <c r="AVJ92" s="294"/>
      <c r="AVP92" s="292"/>
      <c r="AVQ92" s="293"/>
      <c r="AVR92" s="294"/>
      <c r="AVX92" s="292"/>
      <c r="AVY92" s="293"/>
      <c r="AVZ92" s="294"/>
      <c r="AWF92" s="292"/>
      <c r="AWG92" s="293"/>
      <c r="AWH92" s="294"/>
      <c r="AWN92" s="292"/>
      <c r="AWO92" s="293"/>
      <c r="AWP92" s="294"/>
      <c r="AWV92" s="292"/>
      <c r="AWW92" s="293"/>
      <c r="AWX92" s="294"/>
      <c r="AXD92" s="292"/>
      <c r="AXE92" s="293"/>
      <c r="AXF92" s="294"/>
      <c r="AXL92" s="292"/>
      <c r="AXM92" s="293"/>
      <c r="AXN92" s="294"/>
      <c r="AXT92" s="292"/>
      <c r="AXU92" s="293"/>
      <c r="AXV92" s="294"/>
      <c r="AYB92" s="292"/>
      <c r="AYC92" s="293"/>
      <c r="AYD92" s="294"/>
      <c r="AYJ92" s="292"/>
      <c r="AYK92" s="293"/>
      <c r="AYL92" s="294"/>
      <c r="AYR92" s="292"/>
      <c r="AYS92" s="293"/>
      <c r="AYT92" s="294"/>
      <c r="AYZ92" s="292"/>
      <c r="AZA92" s="293"/>
      <c r="AZB92" s="294"/>
      <c r="AZH92" s="292"/>
      <c r="AZI92" s="293"/>
      <c r="AZJ92" s="294"/>
      <c r="AZP92" s="292"/>
      <c r="AZQ92" s="293"/>
      <c r="AZR92" s="294"/>
      <c r="AZX92" s="292"/>
      <c r="AZY92" s="293"/>
      <c r="AZZ92" s="294"/>
      <c r="BAF92" s="292"/>
      <c r="BAG92" s="293"/>
      <c r="BAH92" s="294"/>
      <c r="BAN92" s="292"/>
      <c r="BAO92" s="293"/>
      <c r="BAP92" s="294"/>
      <c r="BAV92" s="292"/>
      <c r="BAW92" s="293"/>
      <c r="BAX92" s="294"/>
      <c r="BBD92" s="292"/>
      <c r="BBE92" s="293"/>
      <c r="BBF92" s="294"/>
      <c r="BBL92" s="292"/>
      <c r="BBM92" s="293"/>
      <c r="BBN92" s="294"/>
      <c r="BBT92" s="292"/>
      <c r="BBU92" s="293"/>
      <c r="BBV92" s="294"/>
      <c r="BCB92" s="292"/>
      <c r="BCC92" s="293"/>
      <c r="BCD92" s="294"/>
      <c r="BCJ92" s="292"/>
      <c r="BCK92" s="293"/>
      <c r="BCL92" s="294"/>
      <c r="BCR92" s="292"/>
      <c r="BCS92" s="293"/>
      <c r="BCT92" s="294"/>
      <c r="BCZ92" s="292"/>
      <c r="BDA92" s="293"/>
      <c r="BDB92" s="294"/>
      <c r="BDH92" s="292"/>
      <c r="BDI92" s="293"/>
      <c r="BDJ92" s="294"/>
      <c r="BDP92" s="292"/>
      <c r="BDQ92" s="293"/>
      <c r="BDR92" s="294"/>
      <c r="BDX92" s="292"/>
      <c r="BDY92" s="293"/>
      <c r="BDZ92" s="294"/>
      <c r="BEF92" s="292"/>
      <c r="BEG92" s="293"/>
      <c r="BEH92" s="294"/>
      <c r="BEN92" s="292"/>
      <c r="BEO92" s="293"/>
      <c r="BEP92" s="294"/>
      <c r="BEV92" s="292"/>
      <c r="BEW92" s="293"/>
      <c r="BEX92" s="294"/>
      <c r="BFD92" s="292"/>
      <c r="BFE92" s="293"/>
      <c r="BFF92" s="294"/>
      <c r="BFL92" s="292"/>
      <c r="BFM92" s="293"/>
      <c r="BFN92" s="294"/>
      <c r="BFT92" s="292"/>
      <c r="BFU92" s="293"/>
      <c r="BFV92" s="294"/>
      <c r="BGB92" s="292"/>
      <c r="BGC92" s="293"/>
      <c r="BGD92" s="294"/>
      <c r="BGJ92" s="292"/>
      <c r="BGK92" s="293"/>
      <c r="BGL92" s="294"/>
      <c r="BGR92" s="292"/>
      <c r="BGS92" s="293"/>
      <c r="BGT92" s="294"/>
      <c r="BGZ92" s="292"/>
      <c r="BHA92" s="293"/>
      <c r="BHB92" s="294"/>
      <c r="BHH92" s="292"/>
      <c r="BHI92" s="293"/>
      <c r="BHJ92" s="294"/>
      <c r="BHP92" s="292"/>
      <c r="BHQ92" s="293"/>
      <c r="BHR92" s="294"/>
      <c r="BHX92" s="292"/>
      <c r="BHY92" s="293"/>
      <c r="BHZ92" s="294"/>
      <c r="BIF92" s="292"/>
      <c r="BIG92" s="293"/>
      <c r="BIH92" s="294"/>
      <c r="BIN92" s="292"/>
      <c r="BIO92" s="293"/>
      <c r="BIP92" s="294"/>
      <c r="BIV92" s="292"/>
      <c r="BIW92" s="293"/>
      <c r="BIX92" s="294"/>
      <c r="BJD92" s="292"/>
      <c r="BJE92" s="293"/>
      <c r="BJF92" s="294"/>
      <c r="BJL92" s="292"/>
      <c r="BJM92" s="293"/>
      <c r="BJN92" s="294"/>
      <c r="BJT92" s="292"/>
      <c r="BJU92" s="293"/>
      <c r="BJV92" s="294"/>
      <c r="BKB92" s="292"/>
      <c r="BKC92" s="293"/>
      <c r="BKD92" s="294"/>
      <c r="BKJ92" s="292"/>
      <c r="BKK92" s="293"/>
      <c r="BKL92" s="294"/>
      <c r="BKR92" s="292"/>
      <c r="BKS92" s="293"/>
      <c r="BKT92" s="294"/>
      <c r="BKZ92" s="292"/>
      <c r="BLA92" s="293"/>
      <c r="BLB92" s="294"/>
      <c r="BLH92" s="292"/>
      <c r="BLI92" s="293"/>
      <c r="BLJ92" s="294"/>
      <c r="BLP92" s="292"/>
      <c r="BLQ92" s="293"/>
      <c r="BLR92" s="294"/>
      <c r="BLX92" s="292"/>
      <c r="BLY92" s="293"/>
      <c r="BLZ92" s="294"/>
      <c r="BMF92" s="292"/>
      <c r="BMG92" s="293"/>
      <c r="BMH92" s="294"/>
      <c r="BMN92" s="292"/>
      <c r="BMO92" s="293"/>
      <c r="BMP92" s="294"/>
      <c r="BMV92" s="292"/>
      <c r="BMW92" s="293"/>
      <c r="BMX92" s="294"/>
      <c r="BND92" s="292"/>
      <c r="BNE92" s="293"/>
      <c r="BNF92" s="294"/>
      <c r="BNL92" s="292"/>
      <c r="BNM92" s="293"/>
      <c r="BNN92" s="294"/>
      <c r="BNT92" s="292"/>
      <c r="BNU92" s="293"/>
      <c r="BNV92" s="294"/>
      <c r="BOB92" s="292"/>
      <c r="BOC92" s="293"/>
      <c r="BOD92" s="294"/>
      <c r="BOJ92" s="292"/>
      <c r="BOK92" s="293"/>
      <c r="BOL92" s="294"/>
      <c r="BOR92" s="292"/>
      <c r="BOS92" s="293"/>
      <c r="BOT92" s="294"/>
      <c r="BOZ92" s="292"/>
      <c r="BPA92" s="293"/>
      <c r="BPB92" s="294"/>
      <c r="BPH92" s="292"/>
      <c r="BPI92" s="293"/>
      <c r="BPJ92" s="294"/>
      <c r="BPP92" s="292"/>
      <c r="BPQ92" s="293"/>
      <c r="BPR92" s="294"/>
      <c r="BPX92" s="292"/>
      <c r="BPY92" s="293"/>
      <c r="BPZ92" s="294"/>
      <c r="BQF92" s="292"/>
      <c r="BQG92" s="293"/>
      <c r="BQH92" s="294"/>
      <c r="BQN92" s="292"/>
      <c r="BQO92" s="293"/>
      <c r="BQP92" s="294"/>
      <c r="BQV92" s="292"/>
      <c r="BQW92" s="293"/>
      <c r="BQX92" s="294"/>
      <c r="BRD92" s="292"/>
      <c r="BRE92" s="293"/>
      <c r="BRF92" s="294"/>
      <c r="BRL92" s="292"/>
      <c r="BRM92" s="293"/>
      <c r="BRN92" s="294"/>
      <c r="BRT92" s="292"/>
      <c r="BRU92" s="293"/>
      <c r="BRV92" s="294"/>
      <c r="BSB92" s="292"/>
      <c r="BSC92" s="293"/>
      <c r="BSD92" s="294"/>
      <c r="BSJ92" s="292"/>
      <c r="BSK92" s="293"/>
      <c r="BSL92" s="294"/>
      <c r="BSR92" s="292"/>
      <c r="BSS92" s="293"/>
      <c r="BST92" s="294"/>
      <c r="BSZ92" s="292"/>
      <c r="BTA92" s="293"/>
      <c r="BTB92" s="294"/>
      <c r="BTH92" s="292"/>
      <c r="BTI92" s="293"/>
      <c r="BTJ92" s="294"/>
      <c r="BTP92" s="292"/>
      <c r="BTQ92" s="293"/>
      <c r="BTR92" s="294"/>
      <c r="BTX92" s="292"/>
      <c r="BTY92" s="293"/>
      <c r="BTZ92" s="294"/>
      <c r="BUF92" s="292"/>
      <c r="BUG92" s="293"/>
      <c r="BUH92" s="294"/>
      <c r="BUN92" s="292"/>
      <c r="BUO92" s="293"/>
      <c r="BUP92" s="294"/>
      <c r="BUV92" s="292"/>
      <c r="BUW92" s="293"/>
      <c r="BUX92" s="294"/>
      <c r="BVD92" s="292"/>
      <c r="BVE92" s="293"/>
      <c r="BVF92" s="294"/>
      <c r="BVL92" s="292"/>
      <c r="BVM92" s="293"/>
      <c r="BVN92" s="294"/>
      <c r="BVT92" s="292"/>
      <c r="BVU92" s="293"/>
      <c r="BVV92" s="294"/>
      <c r="BWB92" s="292"/>
      <c r="BWC92" s="293"/>
      <c r="BWD92" s="294"/>
      <c r="BWJ92" s="292"/>
      <c r="BWK92" s="293"/>
      <c r="BWL92" s="294"/>
      <c r="BWR92" s="292"/>
      <c r="BWS92" s="293"/>
      <c r="BWT92" s="294"/>
      <c r="BWZ92" s="292"/>
      <c r="BXA92" s="293"/>
      <c r="BXB92" s="294"/>
      <c r="BXH92" s="292"/>
      <c r="BXI92" s="293"/>
      <c r="BXJ92" s="294"/>
      <c r="BXP92" s="292"/>
      <c r="BXQ92" s="293"/>
      <c r="BXR92" s="294"/>
      <c r="BXX92" s="292"/>
      <c r="BXY92" s="293"/>
      <c r="BXZ92" s="294"/>
      <c r="BYF92" s="292"/>
      <c r="BYG92" s="293"/>
      <c r="BYH92" s="294"/>
      <c r="BYN92" s="292"/>
      <c r="BYO92" s="293"/>
      <c r="BYP92" s="294"/>
      <c r="BYV92" s="292"/>
      <c r="BYW92" s="293"/>
      <c r="BYX92" s="294"/>
      <c r="BZD92" s="292"/>
      <c r="BZE92" s="293"/>
      <c r="BZF92" s="294"/>
      <c r="BZL92" s="292"/>
      <c r="BZM92" s="293"/>
      <c r="BZN92" s="294"/>
      <c r="BZT92" s="292"/>
      <c r="BZU92" s="293"/>
      <c r="BZV92" s="294"/>
      <c r="CAB92" s="292"/>
      <c r="CAC92" s="293"/>
      <c r="CAD92" s="294"/>
      <c r="CAJ92" s="292"/>
      <c r="CAK92" s="293"/>
      <c r="CAL92" s="294"/>
      <c r="CAR92" s="292"/>
      <c r="CAS92" s="293"/>
      <c r="CAT92" s="294"/>
      <c r="CAZ92" s="292"/>
      <c r="CBA92" s="293"/>
      <c r="CBB92" s="294"/>
      <c r="CBH92" s="292"/>
      <c r="CBI92" s="293"/>
      <c r="CBJ92" s="294"/>
      <c r="CBP92" s="292"/>
      <c r="CBQ92" s="293"/>
      <c r="CBR92" s="294"/>
      <c r="CBX92" s="292"/>
      <c r="CBY92" s="293"/>
      <c r="CBZ92" s="294"/>
      <c r="CCF92" s="292"/>
      <c r="CCG92" s="293"/>
      <c r="CCH92" s="294"/>
      <c r="CCN92" s="292"/>
      <c r="CCO92" s="293"/>
      <c r="CCP92" s="294"/>
      <c r="CCV92" s="292"/>
      <c r="CCW92" s="293"/>
      <c r="CCX92" s="294"/>
      <c r="CDD92" s="292"/>
      <c r="CDE92" s="293"/>
      <c r="CDF92" s="294"/>
      <c r="CDL92" s="292"/>
      <c r="CDM92" s="293"/>
      <c r="CDN92" s="294"/>
      <c r="CDT92" s="292"/>
      <c r="CDU92" s="293"/>
      <c r="CDV92" s="294"/>
      <c r="CEB92" s="292"/>
      <c r="CEC92" s="293"/>
      <c r="CED92" s="294"/>
      <c r="CEJ92" s="292"/>
      <c r="CEK92" s="293"/>
      <c r="CEL92" s="294"/>
      <c r="CER92" s="292"/>
      <c r="CES92" s="293"/>
      <c r="CET92" s="294"/>
      <c r="CEZ92" s="292"/>
      <c r="CFA92" s="293"/>
      <c r="CFB92" s="294"/>
      <c r="CFH92" s="292"/>
      <c r="CFI92" s="293"/>
      <c r="CFJ92" s="294"/>
      <c r="CFP92" s="292"/>
      <c r="CFQ92" s="293"/>
      <c r="CFR92" s="294"/>
      <c r="CFX92" s="292"/>
      <c r="CFY92" s="293"/>
      <c r="CFZ92" s="294"/>
      <c r="CGF92" s="292"/>
      <c r="CGG92" s="293"/>
      <c r="CGH92" s="294"/>
      <c r="CGN92" s="292"/>
      <c r="CGO92" s="293"/>
      <c r="CGP92" s="294"/>
      <c r="CGV92" s="292"/>
      <c r="CGW92" s="293"/>
      <c r="CGX92" s="294"/>
      <c r="CHD92" s="292"/>
      <c r="CHE92" s="293"/>
      <c r="CHF92" s="294"/>
      <c r="CHL92" s="292"/>
      <c r="CHM92" s="293"/>
      <c r="CHN92" s="294"/>
      <c r="CHT92" s="292"/>
      <c r="CHU92" s="293"/>
      <c r="CHV92" s="294"/>
      <c r="CIB92" s="292"/>
      <c r="CIC92" s="293"/>
      <c r="CID92" s="294"/>
      <c r="CIJ92" s="292"/>
      <c r="CIK92" s="293"/>
      <c r="CIL92" s="294"/>
      <c r="CIR92" s="292"/>
      <c r="CIS92" s="293"/>
      <c r="CIT92" s="294"/>
      <c r="CIZ92" s="292"/>
      <c r="CJA92" s="293"/>
      <c r="CJB92" s="294"/>
      <c r="CJH92" s="292"/>
      <c r="CJI92" s="293"/>
      <c r="CJJ92" s="294"/>
      <c r="CJP92" s="292"/>
      <c r="CJQ92" s="293"/>
      <c r="CJR92" s="294"/>
      <c r="CJX92" s="292"/>
      <c r="CJY92" s="293"/>
      <c r="CJZ92" s="294"/>
      <c r="CKF92" s="292"/>
      <c r="CKG92" s="293"/>
      <c r="CKH92" s="294"/>
      <c r="CKN92" s="292"/>
      <c r="CKO92" s="293"/>
      <c r="CKP92" s="294"/>
      <c r="CKV92" s="292"/>
      <c r="CKW92" s="293"/>
      <c r="CKX92" s="294"/>
      <c r="CLD92" s="292"/>
      <c r="CLE92" s="293"/>
      <c r="CLF92" s="294"/>
      <c r="CLL92" s="292"/>
      <c r="CLM92" s="293"/>
      <c r="CLN92" s="294"/>
      <c r="CLT92" s="292"/>
      <c r="CLU92" s="293"/>
      <c r="CLV92" s="294"/>
      <c r="CMB92" s="292"/>
      <c r="CMC92" s="293"/>
      <c r="CMD92" s="294"/>
      <c r="CMJ92" s="292"/>
      <c r="CMK92" s="293"/>
      <c r="CML92" s="294"/>
      <c r="CMR92" s="292"/>
      <c r="CMS92" s="293"/>
      <c r="CMT92" s="294"/>
      <c r="CMZ92" s="292"/>
      <c r="CNA92" s="293"/>
      <c r="CNB92" s="294"/>
      <c r="CNH92" s="292"/>
      <c r="CNI92" s="293"/>
      <c r="CNJ92" s="294"/>
      <c r="CNP92" s="292"/>
      <c r="CNQ92" s="293"/>
      <c r="CNR92" s="294"/>
      <c r="CNX92" s="292"/>
      <c r="CNY92" s="293"/>
      <c r="CNZ92" s="294"/>
      <c r="COF92" s="292"/>
      <c r="COG92" s="293"/>
      <c r="COH92" s="294"/>
      <c r="CON92" s="292"/>
      <c r="COO92" s="293"/>
      <c r="COP92" s="294"/>
      <c r="COV92" s="292"/>
      <c r="COW92" s="293"/>
      <c r="COX92" s="294"/>
      <c r="CPD92" s="292"/>
      <c r="CPE92" s="293"/>
      <c r="CPF92" s="294"/>
      <c r="CPL92" s="292"/>
      <c r="CPM92" s="293"/>
      <c r="CPN92" s="294"/>
      <c r="CPT92" s="292"/>
      <c r="CPU92" s="293"/>
      <c r="CPV92" s="294"/>
      <c r="CQB92" s="292"/>
      <c r="CQC92" s="293"/>
      <c r="CQD92" s="294"/>
      <c r="CQJ92" s="292"/>
      <c r="CQK92" s="293"/>
      <c r="CQL92" s="294"/>
      <c r="CQR92" s="292"/>
      <c r="CQS92" s="293"/>
      <c r="CQT92" s="294"/>
      <c r="CQZ92" s="292"/>
      <c r="CRA92" s="293"/>
      <c r="CRB92" s="294"/>
      <c r="CRH92" s="292"/>
      <c r="CRI92" s="293"/>
      <c r="CRJ92" s="294"/>
      <c r="CRP92" s="292"/>
      <c r="CRQ92" s="293"/>
      <c r="CRR92" s="294"/>
      <c r="CRX92" s="292"/>
      <c r="CRY92" s="293"/>
      <c r="CRZ92" s="294"/>
      <c r="CSF92" s="292"/>
      <c r="CSG92" s="293"/>
      <c r="CSH92" s="294"/>
      <c r="CSN92" s="292"/>
      <c r="CSO92" s="293"/>
      <c r="CSP92" s="294"/>
      <c r="CSV92" s="292"/>
      <c r="CSW92" s="293"/>
      <c r="CSX92" s="294"/>
      <c r="CTD92" s="292"/>
      <c r="CTE92" s="293"/>
      <c r="CTF92" s="294"/>
      <c r="CTL92" s="292"/>
      <c r="CTM92" s="293"/>
      <c r="CTN92" s="294"/>
      <c r="CTT92" s="292"/>
      <c r="CTU92" s="293"/>
      <c r="CTV92" s="294"/>
      <c r="CUB92" s="292"/>
      <c r="CUC92" s="293"/>
      <c r="CUD92" s="294"/>
      <c r="CUJ92" s="292"/>
      <c r="CUK92" s="293"/>
      <c r="CUL92" s="294"/>
      <c r="CUR92" s="292"/>
      <c r="CUS92" s="293"/>
      <c r="CUT92" s="294"/>
      <c r="CUZ92" s="292"/>
      <c r="CVA92" s="293"/>
      <c r="CVB92" s="294"/>
      <c r="CVH92" s="292"/>
      <c r="CVI92" s="293"/>
      <c r="CVJ92" s="294"/>
      <c r="CVP92" s="292"/>
      <c r="CVQ92" s="293"/>
      <c r="CVR92" s="294"/>
      <c r="CVX92" s="292"/>
      <c r="CVY92" s="293"/>
      <c r="CVZ92" s="294"/>
      <c r="CWF92" s="292"/>
      <c r="CWG92" s="293"/>
      <c r="CWH92" s="294"/>
      <c r="CWN92" s="292"/>
      <c r="CWO92" s="293"/>
      <c r="CWP92" s="294"/>
      <c r="CWV92" s="292"/>
      <c r="CWW92" s="293"/>
      <c r="CWX92" s="294"/>
      <c r="CXD92" s="292"/>
      <c r="CXE92" s="293"/>
      <c r="CXF92" s="294"/>
      <c r="CXL92" s="292"/>
      <c r="CXM92" s="293"/>
      <c r="CXN92" s="294"/>
      <c r="CXT92" s="292"/>
      <c r="CXU92" s="293"/>
      <c r="CXV92" s="294"/>
      <c r="CYB92" s="292"/>
      <c r="CYC92" s="293"/>
      <c r="CYD92" s="294"/>
      <c r="CYJ92" s="292"/>
      <c r="CYK92" s="293"/>
      <c r="CYL92" s="294"/>
      <c r="CYR92" s="292"/>
      <c r="CYS92" s="293"/>
      <c r="CYT92" s="294"/>
      <c r="CYZ92" s="292"/>
      <c r="CZA92" s="293"/>
      <c r="CZB92" s="294"/>
      <c r="CZH92" s="292"/>
      <c r="CZI92" s="293"/>
      <c r="CZJ92" s="294"/>
      <c r="CZP92" s="292"/>
      <c r="CZQ92" s="293"/>
      <c r="CZR92" s="294"/>
      <c r="CZX92" s="292"/>
      <c r="CZY92" s="293"/>
      <c r="CZZ92" s="294"/>
      <c r="DAF92" s="292"/>
      <c r="DAG92" s="293"/>
      <c r="DAH92" s="294"/>
      <c r="DAN92" s="292"/>
      <c r="DAO92" s="293"/>
      <c r="DAP92" s="294"/>
      <c r="DAV92" s="292"/>
      <c r="DAW92" s="293"/>
      <c r="DAX92" s="294"/>
      <c r="DBD92" s="292"/>
      <c r="DBE92" s="293"/>
      <c r="DBF92" s="294"/>
      <c r="DBL92" s="292"/>
      <c r="DBM92" s="293"/>
      <c r="DBN92" s="294"/>
      <c r="DBT92" s="292"/>
      <c r="DBU92" s="293"/>
      <c r="DBV92" s="294"/>
      <c r="DCB92" s="292"/>
      <c r="DCC92" s="293"/>
      <c r="DCD92" s="294"/>
      <c r="DCJ92" s="292"/>
      <c r="DCK92" s="293"/>
      <c r="DCL92" s="294"/>
      <c r="DCR92" s="292"/>
      <c r="DCS92" s="293"/>
      <c r="DCT92" s="294"/>
      <c r="DCZ92" s="292"/>
      <c r="DDA92" s="293"/>
      <c r="DDB92" s="294"/>
      <c r="DDH92" s="292"/>
      <c r="DDI92" s="293"/>
      <c r="DDJ92" s="294"/>
      <c r="DDP92" s="292"/>
      <c r="DDQ92" s="293"/>
      <c r="DDR92" s="294"/>
      <c r="DDX92" s="292"/>
      <c r="DDY92" s="293"/>
      <c r="DDZ92" s="294"/>
      <c r="DEF92" s="292"/>
      <c r="DEG92" s="293"/>
      <c r="DEH92" s="294"/>
      <c r="DEN92" s="292"/>
      <c r="DEO92" s="293"/>
      <c r="DEP92" s="294"/>
      <c r="DEV92" s="292"/>
      <c r="DEW92" s="293"/>
      <c r="DEX92" s="294"/>
      <c r="DFD92" s="292"/>
      <c r="DFE92" s="293"/>
      <c r="DFF92" s="294"/>
      <c r="DFL92" s="292"/>
      <c r="DFM92" s="293"/>
      <c r="DFN92" s="294"/>
      <c r="DFT92" s="292"/>
      <c r="DFU92" s="293"/>
      <c r="DFV92" s="294"/>
      <c r="DGB92" s="292"/>
      <c r="DGC92" s="293"/>
      <c r="DGD92" s="294"/>
      <c r="DGJ92" s="292"/>
      <c r="DGK92" s="293"/>
      <c r="DGL92" s="294"/>
      <c r="DGR92" s="292"/>
      <c r="DGS92" s="293"/>
      <c r="DGT92" s="294"/>
      <c r="DGZ92" s="292"/>
      <c r="DHA92" s="293"/>
      <c r="DHB92" s="294"/>
      <c r="DHH92" s="292"/>
      <c r="DHI92" s="293"/>
      <c r="DHJ92" s="294"/>
      <c r="DHP92" s="292"/>
      <c r="DHQ92" s="293"/>
      <c r="DHR92" s="294"/>
      <c r="DHX92" s="292"/>
      <c r="DHY92" s="293"/>
      <c r="DHZ92" s="294"/>
      <c r="DIF92" s="292"/>
      <c r="DIG92" s="293"/>
      <c r="DIH92" s="294"/>
      <c r="DIN92" s="292"/>
      <c r="DIO92" s="293"/>
      <c r="DIP92" s="294"/>
      <c r="DIV92" s="292"/>
      <c r="DIW92" s="293"/>
      <c r="DIX92" s="294"/>
      <c r="DJD92" s="292"/>
      <c r="DJE92" s="293"/>
      <c r="DJF92" s="294"/>
      <c r="DJL92" s="292"/>
      <c r="DJM92" s="293"/>
      <c r="DJN92" s="294"/>
      <c r="DJT92" s="292"/>
      <c r="DJU92" s="293"/>
      <c r="DJV92" s="294"/>
      <c r="DKB92" s="292"/>
      <c r="DKC92" s="293"/>
      <c r="DKD92" s="294"/>
      <c r="DKJ92" s="292"/>
      <c r="DKK92" s="293"/>
      <c r="DKL92" s="294"/>
      <c r="DKR92" s="292"/>
      <c r="DKS92" s="293"/>
      <c r="DKT92" s="294"/>
      <c r="DKZ92" s="292"/>
      <c r="DLA92" s="293"/>
      <c r="DLB92" s="294"/>
      <c r="DLH92" s="292"/>
      <c r="DLI92" s="293"/>
      <c r="DLJ92" s="294"/>
      <c r="DLP92" s="292"/>
      <c r="DLQ92" s="293"/>
      <c r="DLR92" s="294"/>
      <c r="DLX92" s="292"/>
      <c r="DLY92" s="293"/>
      <c r="DLZ92" s="294"/>
      <c r="DMF92" s="292"/>
      <c r="DMG92" s="293"/>
      <c r="DMH92" s="294"/>
      <c r="DMN92" s="292"/>
      <c r="DMO92" s="293"/>
      <c r="DMP92" s="294"/>
      <c r="DMV92" s="292"/>
      <c r="DMW92" s="293"/>
      <c r="DMX92" s="294"/>
      <c r="DND92" s="292"/>
      <c r="DNE92" s="293"/>
      <c r="DNF92" s="294"/>
      <c r="DNL92" s="292"/>
      <c r="DNM92" s="293"/>
      <c r="DNN92" s="294"/>
      <c r="DNT92" s="292"/>
      <c r="DNU92" s="293"/>
      <c r="DNV92" s="294"/>
      <c r="DOB92" s="292"/>
      <c r="DOC92" s="293"/>
      <c r="DOD92" s="294"/>
      <c r="DOJ92" s="292"/>
      <c r="DOK92" s="293"/>
      <c r="DOL92" s="294"/>
      <c r="DOR92" s="292"/>
      <c r="DOS92" s="293"/>
      <c r="DOT92" s="294"/>
      <c r="DOZ92" s="292"/>
      <c r="DPA92" s="293"/>
      <c r="DPB92" s="294"/>
      <c r="DPH92" s="292"/>
      <c r="DPI92" s="293"/>
      <c r="DPJ92" s="294"/>
      <c r="DPP92" s="292"/>
      <c r="DPQ92" s="293"/>
      <c r="DPR92" s="294"/>
      <c r="DPX92" s="292"/>
      <c r="DPY92" s="293"/>
      <c r="DPZ92" s="294"/>
      <c r="DQF92" s="292"/>
      <c r="DQG92" s="293"/>
      <c r="DQH92" s="294"/>
      <c r="DQN92" s="292"/>
      <c r="DQO92" s="293"/>
      <c r="DQP92" s="294"/>
      <c r="DQV92" s="292"/>
      <c r="DQW92" s="293"/>
      <c r="DQX92" s="294"/>
      <c r="DRD92" s="292"/>
      <c r="DRE92" s="293"/>
      <c r="DRF92" s="294"/>
      <c r="DRL92" s="292"/>
      <c r="DRM92" s="293"/>
      <c r="DRN92" s="294"/>
      <c r="DRT92" s="292"/>
      <c r="DRU92" s="293"/>
      <c r="DRV92" s="294"/>
      <c r="DSB92" s="292"/>
      <c r="DSC92" s="293"/>
      <c r="DSD92" s="294"/>
      <c r="DSJ92" s="292"/>
      <c r="DSK92" s="293"/>
      <c r="DSL92" s="294"/>
      <c r="DSR92" s="292"/>
      <c r="DSS92" s="293"/>
      <c r="DST92" s="294"/>
      <c r="DSZ92" s="292"/>
      <c r="DTA92" s="293"/>
      <c r="DTB92" s="294"/>
      <c r="DTH92" s="292"/>
      <c r="DTI92" s="293"/>
      <c r="DTJ92" s="294"/>
      <c r="DTP92" s="292"/>
      <c r="DTQ92" s="293"/>
      <c r="DTR92" s="294"/>
      <c r="DTX92" s="292"/>
      <c r="DTY92" s="293"/>
      <c r="DTZ92" s="294"/>
      <c r="DUF92" s="292"/>
      <c r="DUG92" s="293"/>
      <c r="DUH92" s="294"/>
      <c r="DUN92" s="292"/>
      <c r="DUO92" s="293"/>
      <c r="DUP92" s="294"/>
      <c r="DUV92" s="292"/>
      <c r="DUW92" s="293"/>
      <c r="DUX92" s="294"/>
      <c r="DVD92" s="292"/>
      <c r="DVE92" s="293"/>
      <c r="DVF92" s="294"/>
      <c r="DVL92" s="292"/>
      <c r="DVM92" s="293"/>
      <c r="DVN92" s="294"/>
      <c r="DVT92" s="292"/>
      <c r="DVU92" s="293"/>
      <c r="DVV92" s="294"/>
      <c r="DWB92" s="292"/>
      <c r="DWC92" s="293"/>
      <c r="DWD92" s="294"/>
      <c r="DWJ92" s="292"/>
      <c r="DWK92" s="293"/>
      <c r="DWL92" s="294"/>
      <c r="DWR92" s="292"/>
      <c r="DWS92" s="293"/>
      <c r="DWT92" s="294"/>
      <c r="DWZ92" s="292"/>
      <c r="DXA92" s="293"/>
      <c r="DXB92" s="294"/>
      <c r="DXH92" s="292"/>
      <c r="DXI92" s="293"/>
      <c r="DXJ92" s="294"/>
      <c r="DXP92" s="292"/>
      <c r="DXQ92" s="293"/>
      <c r="DXR92" s="294"/>
      <c r="DXX92" s="292"/>
      <c r="DXY92" s="293"/>
      <c r="DXZ92" s="294"/>
      <c r="DYF92" s="292"/>
      <c r="DYG92" s="293"/>
      <c r="DYH92" s="294"/>
      <c r="DYN92" s="292"/>
      <c r="DYO92" s="293"/>
      <c r="DYP92" s="294"/>
      <c r="DYV92" s="292"/>
      <c r="DYW92" s="293"/>
      <c r="DYX92" s="294"/>
      <c r="DZD92" s="292"/>
      <c r="DZE92" s="293"/>
      <c r="DZF92" s="294"/>
      <c r="DZL92" s="292"/>
      <c r="DZM92" s="293"/>
      <c r="DZN92" s="294"/>
      <c r="DZT92" s="292"/>
      <c r="DZU92" s="293"/>
      <c r="DZV92" s="294"/>
      <c r="EAB92" s="292"/>
      <c r="EAC92" s="293"/>
      <c r="EAD92" s="294"/>
      <c r="EAJ92" s="292"/>
      <c r="EAK92" s="293"/>
      <c r="EAL92" s="294"/>
      <c r="EAR92" s="292"/>
      <c r="EAS92" s="293"/>
      <c r="EAT92" s="294"/>
      <c r="EAZ92" s="292"/>
      <c r="EBA92" s="293"/>
      <c r="EBB92" s="294"/>
      <c r="EBH92" s="292"/>
      <c r="EBI92" s="293"/>
      <c r="EBJ92" s="294"/>
      <c r="EBP92" s="292"/>
      <c r="EBQ92" s="293"/>
      <c r="EBR92" s="294"/>
      <c r="EBX92" s="292"/>
      <c r="EBY92" s="293"/>
      <c r="EBZ92" s="294"/>
      <c r="ECF92" s="292"/>
      <c r="ECG92" s="293"/>
      <c r="ECH92" s="294"/>
      <c r="ECN92" s="292"/>
      <c r="ECO92" s="293"/>
      <c r="ECP92" s="294"/>
      <c r="ECV92" s="292"/>
      <c r="ECW92" s="293"/>
      <c r="ECX92" s="294"/>
      <c r="EDD92" s="292"/>
      <c r="EDE92" s="293"/>
      <c r="EDF92" s="294"/>
      <c r="EDL92" s="292"/>
      <c r="EDM92" s="293"/>
      <c r="EDN92" s="294"/>
      <c r="EDT92" s="292"/>
      <c r="EDU92" s="293"/>
      <c r="EDV92" s="294"/>
      <c r="EEB92" s="292"/>
      <c r="EEC92" s="293"/>
      <c r="EED92" s="294"/>
      <c r="EEJ92" s="292"/>
      <c r="EEK92" s="293"/>
      <c r="EEL92" s="294"/>
      <c r="EER92" s="292"/>
      <c r="EES92" s="293"/>
      <c r="EET92" s="294"/>
      <c r="EEZ92" s="292"/>
      <c r="EFA92" s="293"/>
      <c r="EFB92" s="294"/>
      <c r="EFH92" s="292"/>
      <c r="EFI92" s="293"/>
      <c r="EFJ92" s="294"/>
      <c r="EFP92" s="292"/>
      <c r="EFQ92" s="293"/>
      <c r="EFR92" s="294"/>
      <c r="EFX92" s="292"/>
      <c r="EFY92" s="293"/>
      <c r="EFZ92" s="294"/>
      <c r="EGF92" s="292"/>
      <c r="EGG92" s="293"/>
      <c r="EGH92" s="294"/>
      <c r="EGN92" s="292"/>
      <c r="EGO92" s="293"/>
      <c r="EGP92" s="294"/>
      <c r="EGV92" s="292"/>
      <c r="EGW92" s="293"/>
      <c r="EGX92" s="294"/>
      <c r="EHD92" s="292"/>
      <c r="EHE92" s="293"/>
      <c r="EHF92" s="294"/>
      <c r="EHL92" s="292"/>
      <c r="EHM92" s="293"/>
      <c r="EHN92" s="294"/>
      <c r="EHT92" s="292"/>
      <c r="EHU92" s="293"/>
      <c r="EHV92" s="294"/>
      <c r="EIB92" s="292"/>
      <c r="EIC92" s="293"/>
      <c r="EID92" s="294"/>
      <c r="EIJ92" s="292"/>
      <c r="EIK92" s="293"/>
      <c r="EIL92" s="294"/>
      <c r="EIR92" s="292"/>
      <c r="EIS92" s="293"/>
      <c r="EIT92" s="294"/>
      <c r="EIZ92" s="292"/>
      <c r="EJA92" s="293"/>
      <c r="EJB92" s="294"/>
      <c r="EJH92" s="292"/>
      <c r="EJI92" s="293"/>
      <c r="EJJ92" s="294"/>
      <c r="EJP92" s="292"/>
      <c r="EJQ92" s="293"/>
      <c r="EJR92" s="294"/>
      <c r="EJX92" s="292"/>
      <c r="EJY92" s="293"/>
      <c r="EJZ92" s="294"/>
      <c r="EKF92" s="292"/>
      <c r="EKG92" s="293"/>
      <c r="EKH92" s="294"/>
      <c r="EKN92" s="292"/>
      <c r="EKO92" s="293"/>
      <c r="EKP92" s="294"/>
      <c r="EKV92" s="292"/>
      <c r="EKW92" s="293"/>
      <c r="EKX92" s="294"/>
      <c r="ELD92" s="292"/>
      <c r="ELE92" s="293"/>
      <c r="ELF92" s="294"/>
      <c r="ELL92" s="292"/>
      <c r="ELM92" s="293"/>
      <c r="ELN92" s="294"/>
      <c r="ELT92" s="292"/>
      <c r="ELU92" s="293"/>
      <c r="ELV92" s="294"/>
      <c r="EMB92" s="292"/>
      <c r="EMC92" s="293"/>
      <c r="EMD92" s="294"/>
      <c r="EMJ92" s="292"/>
      <c r="EMK92" s="293"/>
      <c r="EML92" s="294"/>
      <c r="EMR92" s="292"/>
      <c r="EMS92" s="293"/>
      <c r="EMT92" s="294"/>
      <c r="EMZ92" s="292"/>
      <c r="ENA92" s="293"/>
      <c r="ENB92" s="294"/>
      <c r="ENH92" s="292"/>
      <c r="ENI92" s="293"/>
      <c r="ENJ92" s="294"/>
      <c r="ENP92" s="292"/>
      <c r="ENQ92" s="293"/>
      <c r="ENR92" s="294"/>
      <c r="ENX92" s="292"/>
      <c r="ENY92" s="293"/>
      <c r="ENZ92" s="294"/>
      <c r="EOF92" s="292"/>
      <c r="EOG92" s="293"/>
      <c r="EOH92" s="294"/>
      <c r="EON92" s="292"/>
      <c r="EOO92" s="293"/>
      <c r="EOP92" s="294"/>
      <c r="EOV92" s="292"/>
      <c r="EOW92" s="293"/>
      <c r="EOX92" s="294"/>
      <c r="EPD92" s="292"/>
      <c r="EPE92" s="293"/>
      <c r="EPF92" s="294"/>
      <c r="EPL92" s="292"/>
      <c r="EPM92" s="293"/>
      <c r="EPN92" s="294"/>
      <c r="EPT92" s="292"/>
      <c r="EPU92" s="293"/>
      <c r="EPV92" s="294"/>
      <c r="EQB92" s="292"/>
      <c r="EQC92" s="293"/>
      <c r="EQD92" s="294"/>
      <c r="EQJ92" s="292"/>
      <c r="EQK92" s="293"/>
      <c r="EQL92" s="294"/>
      <c r="EQR92" s="292"/>
      <c r="EQS92" s="293"/>
      <c r="EQT92" s="294"/>
      <c r="EQZ92" s="292"/>
      <c r="ERA92" s="293"/>
      <c r="ERB92" s="294"/>
      <c r="ERH92" s="292"/>
      <c r="ERI92" s="293"/>
      <c r="ERJ92" s="294"/>
      <c r="ERP92" s="292"/>
      <c r="ERQ92" s="293"/>
      <c r="ERR92" s="294"/>
      <c r="ERX92" s="292"/>
      <c r="ERY92" s="293"/>
      <c r="ERZ92" s="294"/>
      <c r="ESF92" s="292"/>
      <c r="ESG92" s="293"/>
      <c r="ESH92" s="294"/>
      <c r="ESN92" s="292"/>
      <c r="ESO92" s="293"/>
      <c r="ESP92" s="294"/>
      <c r="ESV92" s="292"/>
      <c r="ESW92" s="293"/>
      <c r="ESX92" s="294"/>
      <c r="ETD92" s="292"/>
      <c r="ETE92" s="293"/>
      <c r="ETF92" s="294"/>
      <c r="ETL92" s="292"/>
      <c r="ETM92" s="293"/>
      <c r="ETN92" s="294"/>
      <c r="ETT92" s="292"/>
      <c r="ETU92" s="293"/>
      <c r="ETV92" s="294"/>
      <c r="EUB92" s="292"/>
      <c r="EUC92" s="293"/>
      <c r="EUD92" s="294"/>
      <c r="EUJ92" s="292"/>
      <c r="EUK92" s="293"/>
      <c r="EUL92" s="294"/>
      <c r="EUR92" s="292"/>
      <c r="EUS92" s="293"/>
      <c r="EUT92" s="294"/>
      <c r="EUZ92" s="292"/>
      <c r="EVA92" s="293"/>
      <c r="EVB92" s="294"/>
      <c r="EVH92" s="292"/>
      <c r="EVI92" s="293"/>
      <c r="EVJ92" s="294"/>
      <c r="EVP92" s="292"/>
      <c r="EVQ92" s="293"/>
      <c r="EVR92" s="294"/>
      <c r="EVX92" s="292"/>
      <c r="EVY92" s="293"/>
      <c r="EVZ92" s="294"/>
      <c r="EWF92" s="292"/>
      <c r="EWG92" s="293"/>
      <c r="EWH92" s="294"/>
      <c r="EWN92" s="292"/>
      <c r="EWO92" s="293"/>
      <c r="EWP92" s="294"/>
      <c r="EWV92" s="292"/>
      <c r="EWW92" s="293"/>
      <c r="EWX92" s="294"/>
      <c r="EXD92" s="292"/>
      <c r="EXE92" s="293"/>
      <c r="EXF92" s="294"/>
      <c r="EXL92" s="292"/>
      <c r="EXM92" s="293"/>
      <c r="EXN92" s="294"/>
      <c r="EXT92" s="292"/>
      <c r="EXU92" s="293"/>
      <c r="EXV92" s="294"/>
      <c r="EYB92" s="292"/>
      <c r="EYC92" s="293"/>
      <c r="EYD92" s="294"/>
      <c r="EYJ92" s="292"/>
      <c r="EYK92" s="293"/>
      <c r="EYL92" s="294"/>
      <c r="EYR92" s="292"/>
      <c r="EYS92" s="293"/>
      <c r="EYT92" s="294"/>
      <c r="EYZ92" s="292"/>
      <c r="EZA92" s="293"/>
      <c r="EZB92" s="294"/>
      <c r="EZH92" s="292"/>
      <c r="EZI92" s="293"/>
      <c r="EZJ92" s="294"/>
      <c r="EZP92" s="292"/>
      <c r="EZQ92" s="293"/>
      <c r="EZR92" s="294"/>
      <c r="EZX92" s="292"/>
      <c r="EZY92" s="293"/>
      <c r="EZZ92" s="294"/>
      <c r="FAF92" s="292"/>
      <c r="FAG92" s="293"/>
      <c r="FAH92" s="294"/>
      <c r="FAN92" s="292"/>
      <c r="FAO92" s="293"/>
      <c r="FAP92" s="294"/>
      <c r="FAV92" s="292"/>
      <c r="FAW92" s="293"/>
      <c r="FAX92" s="294"/>
      <c r="FBD92" s="292"/>
      <c r="FBE92" s="293"/>
      <c r="FBF92" s="294"/>
      <c r="FBL92" s="292"/>
      <c r="FBM92" s="293"/>
      <c r="FBN92" s="294"/>
      <c r="FBT92" s="292"/>
      <c r="FBU92" s="293"/>
      <c r="FBV92" s="294"/>
      <c r="FCB92" s="292"/>
      <c r="FCC92" s="293"/>
      <c r="FCD92" s="294"/>
      <c r="FCJ92" s="292"/>
      <c r="FCK92" s="293"/>
      <c r="FCL92" s="294"/>
      <c r="FCR92" s="292"/>
      <c r="FCS92" s="293"/>
      <c r="FCT92" s="294"/>
      <c r="FCZ92" s="292"/>
      <c r="FDA92" s="293"/>
      <c r="FDB92" s="294"/>
      <c r="FDH92" s="292"/>
      <c r="FDI92" s="293"/>
      <c r="FDJ92" s="294"/>
      <c r="FDP92" s="292"/>
      <c r="FDQ92" s="293"/>
      <c r="FDR92" s="294"/>
      <c r="FDX92" s="292"/>
      <c r="FDY92" s="293"/>
      <c r="FDZ92" s="294"/>
      <c r="FEF92" s="292"/>
      <c r="FEG92" s="293"/>
      <c r="FEH92" s="294"/>
      <c r="FEN92" s="292"/>
      <c r="FEO92" s="293"/>
      <c r="FEP92" s="294"/>
      <c r="FEV92" s="292"/>
      <c r="FEW92" s="293"/>
      <c r="FEX92" s="294"/>
      <c r="FFD92" s="292"/>
      <c r="FFE92" s="293"/>
      <c r="FFF92" s="294"/>
      <c r="FFL92" s="292"/>
      <c r="FFM92" s="293"/>
      <c r="FFN92" s="294"/>
      <c r="FFT92" s="292"/>
      <c r="FFU92" s="293"/>
      <c r="FFV92" s="294"/>
      <c r="FGB92" s="292"/>
      <c r="FGC92" s="293"/>
      <c r="FGD92" s="294"/>
      <c r="FGJ92" s="292"/>
      <c r="FGK92" s="293"/>
      <c r="FGL92" s="294"/>
      <c r="FGR92" s="292"/>
      <c r="FGS92" s="293"/>
      <c r="FGT92" s="294"/>
      <c r="FGZ92" s="292"/>
      <c r="FHA92" s="293"/>
      <c r="FHB92" s="294"/>
      <c r="FHH92" s="292"/>
      <c r="FHI92" s="293"/>
      <c r="FHJ92" s="294"/>
      <c r="FHP92" s="292"/>
      <c r="FHQ92" s="293"/>
      <c r="FHR92" s="294"/>
      <c r="FHX92" s="292"/>
      <c r="FHY92" s="293"/>
      <c r="FHZ92" s="294"/>
      <c r="FIF92" s="292"/>
      <c r="FIG92" s="293"/>
      <c r="FIH92" s="294"/>
      <c r="FIN92" s="292"/>
      <c r="FIO92" s="293"/>
      <c r="FIP92" s="294"/>
      <c r="FIV92" s="292"/>
      <c r="FIW92" s="293"/>
      <c r="FIX92" s="294"/>
      <c r="FJD92" s="292"/>
      <c r="FJE92" s="293"/>
      <c r="FJF92" s="294"/>
      <c r="FJL92" s="292"/>
      <c r="FJM92" s="293"/>
      <c r="FJN92" s="294"/>
      <c r="FJT92" s="292"/>
      <c r="FJU92" s="293"/>
      <c r="FJV92" s="294"/>
      <c r="FKB92" s="292"/>
      <c r="FKC92" s="293"/>
      <c r="FKD92" s="294"/>
      <c r="FKJ92" s="292"/>
      <c r="FKK92" s="293"/>
      <c r="FKL92" s="294"/>
      <c r="FKR92" s="292"/>
      <c r="FKS92" s="293"/>
      <c r="FKT92" s="294"/>
      <c r="FKZ92" s="292"/>
      <c r="FLA92" s="293"/>
      <c r="FLB92" s="294"/>
      <c r="FLH92" s="292"/>
      <c r="FLI92" s="293"/>
      <c r="FLJ92" s="294"/>
      <c r="FLP92" s="292"/>
      <c r="FLQ92" s="293"/>
      <c r="FLR92" s="294"/>
      <c r="FLX92" s="292"/>
      <c r="FLY92" s="293"/>
      <c r="FLZ92" s="294"/>
      <c r="FMF92" s="292"/>
      <c r="FMG92" s="293"/>
      <c r="FMH92" s="294"/>
      <c r="FMN92" s="292"/>
      <c r="FMO92" s="293"/>
      <c r="FMP92" s="294"/>
      <c r="FMV92" s="292"/>
      <c r="FMW92" s="293"/>
      <c r="FMX92" s="294"/>
      <c r="FND92" s="292"/>
      <c r="FNE92" s="293"/>
      <c r="FNF92" s="294"/>
      <c r="FNL92" s="292"/>
      <c r="FNM92" s="293"/>
      <c r="FNN92" s="294"/>
      <c r="FNT92" s="292"/>
      <c r="FNU92" s="293"/>
      <c r="FNV92" s="294"/>
      <c r="FOB92" s="292"/>
      <c r="FOC92" s="293"/>
      <c r="FOD92" s="294"/>
      <c r="FOJ92" s="292"/>
      <c r="FOK92" s="293"/>
      <c r="FOL92" s="294"/>
      <c r="FOR92" s="292"/>
      <c r="FOS92" s="293"/>
      <c r="FOT92" s="294"/>
      <c r="FOZ92" s="292"/>
      <c r="FPA92" s="293"/>
      <c r="FPB92" s="294"/>
      <c r="FPH92" s="292"/>
      <c r="FPI92" s="293"/>
      <c r="FPJ92" s="294"/>
      <c r="FPP92" s="292"/>
      <c r="FPQ92" s="293"/>
      <c r="FPR92" s="294"/>
      <c r="FPX92" s="292"/>
      <c r="FPY92" s="293"/>
      <c r="FPZ92" s="294"/>
      <c r="FQF92" s="292"/>
      <c r="FQG92" s="293"/>
      <c r="FQH92" s="294"/>
      <c r="FQN92" s="292"/>
      <c r="FQO92" s="293"/>
      <c r="FQP92" s="294"/>
      <c r="FQV92" s="292"/>
      <c r="FQW92" s="293"/>
      <c r="FQX92" s="294"/>
      <c r="FRD92" s="292"/>
      <c r="FRE92" s="293"/>
      <c r="FRF92" s="294"/>
      <c r="FRL92" s="292"/>
      <c r="FRM92" s="293"/>
      <c r="FRN92" s="294"/>
      <c r="FRT92" s="292"/>
      <c r="FRU92" s="293"/>
      <c r="FRV92" s="294"/>
      <c r="FSB92" s="292"/>
      <c r="FSC92" s="293"/>
      <c r="FSD92" s="294"/>
      <c r="FSJ92" s="292"/>
      <c r="FSK92" s="293"/>
      <c r="FSL92" s="294"/>
      <c r="FSR92" s="292"/>
      <c r="FSS92" s="293"/>
      <c r="FST92" s="294"/>
      <c r="FSZ92" s="292"/>
      <c r="FTA92" s="293"/>
      <c r="FTB92" s="294"/>
      <c r="FTH92" s="292"/>
      <c r="FTI92" s="293"/>
      <c r="FTJ92" s="294"/>
      <c r="FTP92" s="292"/>
      <c r="FTQ92" s="293"/>
      <c r="FTR92" s="294"/>
      <c r="FTX92" s="292"/>
      <c r="FTY92" s="293"/>
      <c r="FTZ92" s="294"/>
      <c r="FUF92" s="292"/>
      <c r="FUG92" s="293"/>
      <c r="FUH92" s="294"/>
      <c r="FUN92" s="292"/>
      <c r="FUO92" s="293"/>
      <c r="FUP92" s="294"/>
      <c r="FUV92" s="292"/>
      <c r="FUW92" s="293"/>
      <c r="FUX92" s="294"/>
      <c r="FVD92" s="292"/>
      <c r="FVE92" s="293"/>
      <c r="FVF92" s="294"/>
      <c r="FVL92" s="292"/>
      <c r="FVM92" s="293"/>
      <c r="FVN92" s="294"/>
      <c r="FVT92" s="292"/>
      <c r="FVU92" s="293"/>
      <c r="FVV92" s="294"/>
      <c r="FWB92" s="292"/>
      <c r="FWC92" s="293"/>
      <c r="FWD92" s="294"/>
      <c r="FWJ92" s="292"/>
      <c r="FWK92" s="293"/>
      <c r="FWL92" s="294"/>
      <c r="FWR92" s="292"/>
      <c r="FWS92" s="293"/>
      <c r="FWT92" s="294"/>
      <c r="FWZ92" s="292"/>
      <c r="FXA92" s="293"/>
      <c r="FXB92" s="294"/>
      <c r="FXH92" s="292"/>
      <c r="FXI92" s="293"/>
      <c r="FXJ92" s="294"/>
      <c r="FXP92" s="292"/>
      <c r="FXQ92" s="293"/>
      <c r="FXR92" s="294"/>
      <c r="FXX92" s="292"/>
      <c r="FXY92" s="293"/>
      <c r="FXZ92" s="294"/>
      <c r="FYF92" s="292"/>
      <c r="FYG92" s="293"/>
      <c r="FYH92" s="294"/>
      <c r="FYN92" s="292"/>
      <c r="FYO92" s="293"/>
      <c r="FYP92" s="294"/>
      <c r="FYV92" s="292"/>
      <c r="FYW92" s="293"/>
      <c r="FYX92" s="294"/>
      <c r="FZD92" s="292"/>
      <c r="FZE92" s="293"/>
      <c r="FZF92" s="294"/>
      <c r="FZL92" s="292"/>
      <c r="FZM92" s="293"/>
      <c r="FZN92" s="294"/>
      <c r="FZT92" s="292"/>
      <c r="FZU92" s="293"/>
      <c r="FZV92" s="294"/>
      <c r="GAB92" s="292"/>
      <c r="GAC92" s="293"/>
      <c r="GAD92" s="294"/>
      <c r="GAJ92" s="292"/>
      <c r="GAK92" s="293"/>
      <c r="GAL92" s="294"/>
      <c r="GAR92" s="292"/>
      <c r="GAS92" s="293"/>
      <c r="GAT92" s="294"/>
      <c r="GAZ92" s="292"/>
      <c r="GBA92" s="293"/>
      <c r="GBB92" s="294"/>
      <c r="GBH92" s="292"/>
      <c r="GBI92" s="293"/>
      <c r="GBJ92" s="294"/>
      <c r="GBP92" s="292"/>
      <c r="GBQ92" s="293"/>
      <c r="GBR92" s="294"/>
      <c r="GBX92" s="292"/>
      <c r="GBY92" s="293"/>
      <c r="GBZ92" s="294"/>
      <c r="GCF92" s="292"/>
      <c r="GCG92" s="293"/>
      <c r="GCH92" s="294"/>
      <c r="GCN92" s="292"/>
      <c r="GCO92" s="293"/>
      <c r="GCP92" s="294"/>
      <c r="GCV92" s="292"/>
      <c r="GCW92" s="293"/>
      <c r="GCX92" s="294"/>
      <c r="GDD92" s="292"/>
      <c r="GDE92" s="293"/>
      <c r="GDF92" s="294"/>
      <c r="GDL92" s="292"/>
      <c r="GDM92" s="293"/>
      <c r="GDN92" s="294"/>
      <c r="GDT92" s="292"/>
      <c r="GDU92" s="293"/>
      <c r="GDV92" s="294"/>
      <c r="GEB92" s="292"/>
      <c r="GEC92" s="293"/>
      <c r="GED92" s="294"/>
      <c r="GEJ92" s="292"/>
      <c r="GEK92" s="293"/>
      <c r="GEL92" s="294"/>
      <c r="GER92" s="292"/>
      <c r="GES92" s="293"/>
      <c r="GET92" s="294"/>
      <c r="GEZ92" s="292"/>
      <c r="GFA92" s="293"/>
      <c r="GFB92" s="294"/>
      <c r="GFH92" s="292"/>
      <c r="GFI92" s="293"/>
      <c r="GFJ92" s="294"/>
      <c r="GFP92" s="292"/>
      <c r="GFQ92" s="293"/>
      <c r="GFR92" s="294"/>
      <c r="GFX92" s="292"/>
      <c r="GFY92" s="293"/>
      <c r="GFZ92" s="294"/>
      <c r="GGF92" s="292"/>
      <c r="GGG92" s="293"/>
      <c r="GGH92" s="294"/>
      <c r="GGN92" s="292"/>
      <c r="GGO92" s="293"/>
      <c r="GGP92" s="294"/>
      <c r="GGV92" s="292"/>
      <c r="GGW92" s="293"/>
      <c r="GGX92" s="294"/>
      <c r="GHD92" s="292"/>
      <c r="GHE92" s="293"/>
      <c r="GHF92" s="294"/>
      <c r="GHL92" s="292"/>
      <c r="GHM92" s="293"/>
      <c r="GHN92" s="294"/>
      <c r="GHT92" s="292"/>
      <c r="GHU92" s="293"/>
      <c r="GHV92" s="294"/>
      <c r="GIB92" s="292"/>
      <c r="GIC92" s="293"/>
      <c r="GID92" s="294"/>
      <c r="GIJ92" s="292"/>
      <c r="GIK92" s="293"/>
      <c r="GIL92" s="294"/>
      <c r="GIR92" s="292"/>
      <c r="GIS92" s="293"/>
      <c r="GIT92" s="294"/>
      <c r="GIZ92" s="292"/>
      <c r="GJA92" s="293"/>
      <c r="GJB92" s="294"/>
      <c r="GJH92" s="292"/>
      <c r="GJI92" s="293"/>
      <c r="GJJ92" s="294"/>
      <c r="GJP92" s="292"/>
      <c r="GJQ92" s="293"/>
      <c r="GJR92" s="294"/>
      <c r="GJX92" s="292"/>
      <c r="GJY92" s="293"/>
      <c r="GJZ92" s="294"/>
      <c r="GKF92" s="292"/>
      <c r="GKG92" s="293"/>
      <c r="GKH92" s="294"/>
      <c r="GKN92" s="292"/>
      <c r="GKO92" s="293"/>
      <c r="GKP92" s="294"/>
      <c r="GKV92" s="292"/>
      <c r="GKW92" s="293"/>
      <c r="GKX92" s="294"/>
      <c r="GLD92" s="292"/>
      <c r="GLE92" s="293"/>
      <c r="GLF92" s="294"/>
      <c r="GLL92" s="292"/>
      <c r="GLM92" s="293"/>
      <c r="GLN92" s="294"/>
      <c r="GLT92" s="292"/>
      <c r="GLU92" s="293"/>
      <c r="GLV92" s="294"/>
      <c r="GMB92" s="292"/>
      <c r="GMC92" s="293"/>
      <c r="GMD92" s="294"/>
      <c r="GMJ92" s="292"/>
      <c r="GMK92" s="293"/>
      <c r="GML92" s="294"/>
      <c r="GMR92" s="292"/>
      <c r="GMS92" s="293"/>
      <c r="GMT92" s="294"/>
      <c r="GMZ92" s="292"/>
      <c r="GNA92" s="293"/>
      <c r="GNB92" s="294"/>
      <c r="GNH92" s="292"/>
      <c r="GNI92" s="293"/>
      <c r="GNJ92" s="294"/>
      <c r="GNP92" s="292"/>
      <c r="GNQ92" s="293"/>
      <c r="GNR92" s="294"/>
      <c r="GNX92" s="292"/>
      <c r="GNY92" s="293"/>
      <c r="GNZ92" s="294"/>
      <c r="GOF92" s="292"/>
      <c r="GOG92" s="293"/>
      <c r="GOH92" s="294"/>
      <c r="GON92" s="292"/>
      <c r="GOO92" s="293"/>
      <c r="GOP92" s="294"/>
      <c r="GOV92" s="292"/>
      <c r="GOW92" s="293"/>
      <c r="GOX92" s="294"/>
      <c r="GPD92" s="292"/>
      <c r="GPE92" s="293"/>
      <c r="GPF92" s="294"/>
      <c r="GPL92" s="292"/>
      <c r="GPM92" s="293"/>
      <c r="GPN92" s="294"/>
      <c r="GPT92" s="292"/>
      <c r="GPU92" s="293"/>
      <c r="GPV92" s="294"/>
      <c r="GQB92" s="292"/>
      <c r="GQC92" s="293"/>
      <c r="GQD92" s="294"/>
      <c r="GQJ92" s="292"/>
      <c r="GQK92" s="293"/>
      <c r="GQL92" s="294"/>
      <c r="GQR92" s="292"/>
      <c r="GQS92" s="293"/>
      <c r="GQT92" s="294"/>
      <c r="GQZ92" s="292"/>
      <c r="GRA92" s="293"/>
      <c r="GRB92" s="294"/>
      <c r="GRH92" s="292"/>
      <c r="GRI92" s="293"/>
      <c r="GRJ92" s="294"/>
      <c r="GRP92" s="292"/>
      <c r="GRQ92" s="293"/>
      <c r="GRR92" s="294"/>
      <c r="GRX92" s="292"/>
      <c r="GRY92" s="293"/>
      <c r="GRZ92" s="294"/>
      <c r="GSF92" s="292"/>
      <c r="GSG92" s="293"/>
      <c r="GSH92" s="294"/>
      <c r="GSN92" s="292"/>
      <c r="GSO92" s="293"/>
      <c r="GSP92" s="294"/>
      <c r="GSV92" s="292"/>
      <c r="GSW92" s="293"/>
      <c r="GSX92" s="294"/>
      <c r="GTD92" s="292"/>
      <c r="GTE92" s="293"/>
      <c r="GTF92" s="294"/>
      <c r="GTL92" s="292"/>
      <c r="GTM92" s="293"/>
      <c r="GTN92" s="294"/>
      <c r="GTT92" s="292"/>
      <c r="GTU92" s="293"/>
      <c r="GTV92" s="294"/>
      <c r="GUB92" s="292"/>
      <c r="GUC92" s="293"/>
      <c r="GUD92" s="294"/>
      <c r="GUJ92" s="292"/>
      <c r="GUK92" s="293"/>
      <c r="GUL92" s="294"/>
      <c r="GUR92" s="292"/>
      <c r="GUS92" s="293"/>
      <c r="GUT92" s="294"/>
      <c r="GUZ92" s="292"/>
      <c r="GVA92" s="293"/>
      <c r="GVB92" s="294"/>
      <c r="GVH92" s="292"/>
      <c r="GVI92" s="293"/>
      <c r="GVJ92" s="294"/>
      <c r="GVP92" s="292"/>
      <c r="GVQ92" s="293"/>
      <c r="GVR92" s="294"/>
      <c r="GVX92" s="292"/>
      <c r="GVY92" s="293"/>
      <c r="GVZ92" s="294"/>
      <c r="GWF92" s="292"/>
      <c r="GWG92" s="293"/>
      <c r="GWH92" s="294"/>
      <c r="GWN92" s="292"/>
      <c r="GWO92" s="293"/>
      <c r="GWP92" s="294"/>
      <c r="GWV92" s="292"/>
      <c r="GWW92" s="293"/>
      <c r="GWX92" s="294"/>
      <c r="GXD92" s="292"/>
      <c r="GXE92" s="293"/>
      <c r="GXF92" s="294"/>
      <c r="GXL92" s="292"/>
      <c r="GXM92" s="293"/>
      <c r="GXN92" s="294"/>
      <c r="GXT92" s="292"/>
      <c r="GXU92" s="293"/>
      <c r="GXV92" s="294"/>
      <c r="GYB92" s="292"/>
      <c r="GYC92" s="293"/>
      <c r="GYD92" s="294"/>
      <c r="GYJ92" s="292"/>
      <c r="GYK92" s="293"/>
      <c r="GYL92" s="294"/>
      <c r="GYR92" s="292"/>
      <c r="GYS92" s="293"/>
      <c r="GYT92" s="294"/>
      <c r="GYZ92" s="292"/>
      <c r="GZA92" s="293"/>
      <c r="GZB92" s="294"/>
      <c r="GZH92" s="292"/>
      <c r="GZI92" s="293"/>
      <c r="GZJ92" s="294"/>
      <c r="GZP92" s="292"/>
      <c r="GZQ92" s="293"/>
      <c r="GZR92" s="294"/>
      <c r="GZX92" s="292"/>
      <c r="GZY92" s="293"/>
      <c r="GZZ92" s="294"/>
      <c r="HAF92" s="292"/>
      <c r="HAG92" s="293"/>
      <c r="HAH92" s="294"/>
      <c r="HAN92" s="292"/>
      <c r="HAO92" s="293"/>
      <c r="HAP92" s="294"/>
      <c r="HAV92" s="292"/>
      <c r="HAW92" s="293"/>
      <c r="HAX92" s="294"/>
      <c r="HBD92" s="292"/>
      <c r="HBE92" s="293"/>
      <c r="HBF92" s="294"/>
      <c r="HBL92" s="292"/>
      <c r="HBM92" s="293"/>
      <c r="HBN92" s="294"/>
      <c r="HBT92" s="292"/>
      <c r="HBU92" s="293"/>
      <c r="HBV92" s="294"/>
      <c r="HCB92" s="292"/>
      <c r="HCC92" s="293"/>
      <c r="HCD92" s="294"/>
      <c r="HCJ92" s="292"/>
      <c r="HCK92" s="293"/>
      <c r="HCL92" s="294"/>
      <c r="HCR92" s="292"/>
      <c r="HCS92" s="293"/>
      <c r="HCT92" s="294"/>
      <c r="HCZ92" s="292"/>
      <c r="HDA92" s="293"/>
      <c r="HDB92" s="294"/>
      <c r="HDH92" s="292"/>
      <c r="HDI92" s="293"/>
      <c r="HDJ92" s="294"/>
      <c r="HDP92" s="292"/>
      <c r="HDQ92" s="293"/>
      <c r="HDR92" s="294"/>
      <c r="HDX92" s="292"/>
      <c r="HDY92" s="293"/>
      <c r="HDZ92" s="294"/>
      <c r="HEF92" s="292"/>
      <c r="HEG92" s="293"/>
      <c r="HEH92" s="294"/>
      <c r="HEN92" s="292"/>
      <c r="HEO92" s="293"/>
      <c r="HEP92" s="294"/>
      <c r="HEV92" s="292"/>
      <c r="HEW92" s="293"/>
      <c r="HEX92" s="294"/>
      <c r="HFD92" s="292"/>
      <c r="HFE92" s="293"/>
      <c r="HFF92" s="294"/>
      <c r="HFL92" s="292"/>
      <c r="HFM92" s="293"/>
      <c r="HFN92" s="294"/>
      <c r="HFT92" s="292"/>
      <c r="HFU92" s="293"/>
      <c r="HFV92" s="294"/>
      <c r="HGB92" s="292"/>
      <c r="HGC92" s="293"/>
      <c r="HGD92" s="294"/>
      <c r="HGJ92" s="292"/>
      <c r="HGK92" s="293"/>
      <c r="HGL92" s="294"/>
      <c r="HGR92" s="292"/>
      <c r="HGS92" s="293"/>
      <c r="HGT92" s="294"/>
      <c r="HGZ92" s="292"/>
      <c r="HHA92" s="293"/>
      <c r="HHB92" s="294"/>
      <c r="HHH92" s="292"/>
      <c r="HHI92" s="293"/>
      <c r="HHJ92" s="294"/>
      <c r="HHP92" s="292"/>
      <c r="HHQ92" s="293"/>
      <c r="HHR92" s="294"/>
      <c r="HHX92" s="292"/>
      <c r="HHY92" s="293"/>
      <c r="HHZ92" s="294"/>
      <c r="HIF92" s="292"/>
      <c r="HIG92" s="293"/>
      <c r="HIH92" s="294"/>
      <c r="HIN92" s="292"/>
      <c r="HIO92" s="293"/>
      <c r="HIP92" s="294"/>
      <c r="HIV92" s="292"/>
      <c r="HIW92" s="293"/>
      <c r="HIX92" s="294"/>
      <c r="HJD92" s="292"/>
      <c r="HJE92" s="293"/>
      <c r="HJF92" s="294"/>
      <c r="HJL92" s="292"/>
      <c r="HJM92" s="293"/>
      <c r="HJN92" s="294"/>
      <c r="HJT92" s="292"/>
      <c r="HJU92" s="293"/>
      <c r="HJV92" s="294"/>
      <c r="HKB92" s="292"/>
      <c r="HKC92" s="293"/>
      <c r="HKD92" s="294"/>
      <c r="HKJ92" s="292"/>
      <c r="HKK92" s="293"/>
      <c r="HKL92" s="294"/>
      <c r="HKR92" s="292"/>
      <c r="HKS92" s="293"/>
      <c r="HKT92" s="294"/>
      <c r="HKZ92" s="292"/>
      <c r="HLA92" s="293"/>
      <c r="HLB92" s="294"/>
      <c r="HLH92" s="292"/>
      <c r="HLI92" s="293"/>
      <c r="HLJ92" s="294"/>
      <c r="HLP92" s="292"/>
      <c r="HLQ92" s="293"/>
      <c r="HLR92" s="294"/>
      <c r="HLX92" s="292"/>
      <c r="HLY92" s="293"/>
      <c r="HLZ92" s="294"/>
      <c r="HMF92" s="292"/>
      <c r="HMG92" s="293"/>
      <c r="HMH92" s="294"/>
      <c r="HMN92" s="292"/>
      <c r="HMO92" s="293"/>
      <c r="HMP92" s="294"/>
      <c r="HMV92" s="292"/>
      <c r="HMW92" s="293"/>
      <c r="HMX92" s="294"/>
      <c r="HND92" s="292"/>
      <c r="HNE92" s="293"/>
      <c r="HNF92" s="294"/>
      <c r="HNL92" s="292"/>
      <c r="HNM92" s="293"/>
      <c r="HNN92" s="294"/>
      <c r="HNT92" s="292"/>
      <c r="HNU92" s="293"/>
      <c r="HNV92" s="294"/>
      <c r="HOB92" s="292"/>
      <c r="HOC92" s="293"/>
      <c r="HOD92" s="294"/>
      <c r="HOJ92" s="292"/>
      <c r="HOK92" s="293"/>
      <c r="HOL92" s="294"/>
      <c r="HOR92" s="292"/>
      <c r="HOS92" s="293"/>
      <c r="HOT92" s="294"/>
      <c r="HOZ92" s="292"/>
      <c r="HPA92" s="293"/>
      <c r="HPB92" s="294"/>
      <c r="HPH92" s="292"/>
      <c r="HPI92" s="293"/>
      <c r="HPJ92" s="294"/>
      <c r="HPP92" s="292"/>
      <c r="HPQ92" s="293"/>
      <c r="HPR92" s="294"/>
      <c r="HPX92" s="292"/>
      <c r="HPY92" s="293"/>
      <c r="HPZ92" s="294"/>
      <c r="HQF92" s="292"/>
      <c r="HQG92" s="293"/>
      <c r="HQH92" s="294"/>
      <c r="HQN92" s="292"/>
      <c r="HQO92" s="293"/>
      <c r="HQP92" s="294"/>
      <c r="HQV92" s="292"/>
      <c r="HQW92" s="293"/>
      <c r="HQX92" s="294"/>
      <c r="HRD92" s="292"/>
      <c r="HRE92" s="293"/>
      <c r="HRF92" s="294"/>
      <c r="HRL92" s="292"/>
      <c r="HRM92" s="293"/>
      <c r="HRN92" s="294"/>
      <c r="HRT92" s="292"/>
      <c r="HRU92" s="293"/>
      <c r="HRV92" s="294"/>
      <c r="HSB92" s="292"/>
      <c r="HSC92" s="293"/>
      <c r="HSD92" s="294"/>
      <c r="HSJ92" s="292"/>
      <c r="HSK92" s="293"/>
      <c r="HSL92" s="294"/>
      <c r="HSR92" s="292"/>
      <c r="HSS92" s="293"/>
      <c r="HST92" s="294"/>
      <c r="HSZ92" s="292"/>
      <c r="HTA92" s="293"/>
      <c r="HTB92" s="294"/>
      <c r="HTH92" s="292"/>
      <c r="HTI92" s="293"/>
      <c r="HTJ92" s="294"/>
      <c r="HTP92" s="292"/>
      <c r="HTQ92" s="293"/>
      <c r="HTR92" s="294"/>
      <c r="HTX92" s="292"/>
      <c r="HTY92" s="293"/>
      <c r="HTZ92" s="294"/>
      <c r="HUF92" s="292"/>
      <c r="HUG92" s="293"/>
      <c r="HUH92" s="294"/>
      <c r="HUN92" s="292"/>
      <c r="HUO92" s="293"/>
      <c r="HUP92" s="294"/>
      <c r="HUV92" s="292"/>
      <c r="HUW92" s="293"/>
      <c r="HUX92" s="294"/>
      <c r="HVD92" s="292"/>
      <c r="HVE92" s="293"/>
      <c r="HVF92" s="294"/>
      <c r="HVL92" s="292"/>
      <c r="HVM92" s="293"/>
      <c r="HVN92" s="294"/>
      <c r="HVT92" s="292"/>
      <c r="HVU92" s="293"/>
      <c r="HVV92" s="294"/>
      <c r="HWB92" s="292"/>
      <c r="HWC92" s="293"/>
      <c r="HWD92" s="294"/>
      <c r="HWJ92" s="292"/>
      <c r="HWK92" s="293"/>
      <c r="HWL92" s="294"/>
      <c r="HWR92" s="292"/>
      <c r="HWS92" s="293"/>
      <c r="HWT92" s="294"/>
      <c r="HWZ92" s="292"/>
      <c r="HXA92" s="293"/>
      <c r="HXB92" s="294"/>
      <c r="HXH92" s="292"/>
      <c r="HXI92" s="293"/>
      <c r="HXJ92" s="294"/>
      <c r="HXP92" s="292"/>
      <c r="HXQ92" s="293"/>
      <c r="HXR92" s="294"/>
      <c r="HXX92" s="292"/>
      <c r="HXY92" s="293"/>
      <c r="HXZ92" s="294"/>
      <c r="HYF92" s="292"/>
      <c r="HYG92" s="293"/>
      <c r="HYH92" s="294"/>
      <c r="HYN92" s="292"/>
      <c r="HYO92" s="293"/>
      <c r="HYP92" s="294"/>
      <c r="HYV92" s="292"/>
      <c r="HYW92" s="293"/>
      <c r="HYX92" s="294"/>
      <c r="HZD92" s="292"/>
      <c r="HZE92" s="293"/>
      <c r="HZF92" s="294"/>
      <c r="HZL92" s="292"/>
      <c r="HZM92" s="293"/>
      <c r="HZN92" s="294"/>
      <c r="HZT92" s="292"/>
      <c r="HZU92" s="293"/>
      <c r="HZV92" s="294"/>
      <c r="IAB92" s="292"/>
      <c r="IAC92" s="293"/>
      <c r="IAD92" s="294"/>
      <c r="IAJ92" s="292"/>
      <c r="IAK92" s="293"/>
      <c r="IAL92" s="294"/>
      <c r="IAR92" s="292"/>
      <c r="IAS92" s="293"/>
      <c r="IAT92" s="294"/>
      <c r="IAZ92" s="292"/>
      <c r="IBA92" s="293"/>
      <c r="IBB92" s="294"/>
      <c r="IBH92" s="292"/>
      <c r="IBI92" s="293"/>
      <c r="IBJ92" s="294"/>
      <c r="IBP92" s="292"/>
      <c r="IBQ92" s="293"/>
      <c r="IBR92" s="294"/>
      <c r="IBX92" s="292"/>
      <c r="IBY92" s="293"/>
      <c r="IBZ92" s="294"/>
      <c r="ICF92" s="292"/>
      <c r="ICG92" s="293"/>
      <c r="ICH92" s="294"/>
      <c r="ICN92" s="292"/>
      <c r="ICO92" s="293"/>
      <c r="ICP92" s="294"/>
      <c r="ICV92" s="292"/>
      <c r="ICW92" s="293"/>
      <c r="ICX92" s="294"/>
      <c r="IDD92" s="292"/>
      <c r="IDE92" s="293"/>
      <c r="IDF92" s="294"/>
      <c r="IDL92" s="292"/>
      <c r="IDM92" s="293"/>
      <c r="IDN92" s="294"/>
      <c r="IDT92" s="292"/>
      <c r="IDU92" s="293"/>
      <c r="IDV92" s="294"/>
      <c r="IEB92" s="292"/>
      <c r="IEC92" s="293"/>
      <c r="IED92" s="294"/>
      <c r="IEJ92" s="292"/>
      <c r="IEK92" s="293"/>
      <c r="IEL92" s="294"/>
      <c r="IER92" s="292"/>
      <c r="IES92" s="293"/>
      <c r="IET92" s="294"/>
      <c r="IEZ92" s="292"/>
      <c r="IFA92" s="293"/>
      <c r="IFB92" s="294"/>
      <c r="IFH92" s="292"/>
      <c r="IFI92" s="293"/>
      <c r="IFJ92" s="294"/>
      <c r="IFP92" s="292"/>
      <c r="IFQ92" s="293"/>
      <c r="IFR92" s="294"/>
      <c r="IFX92" s="292"/>
      <c r="IFY92" s="293"/>
      <c r="IFZ92" s="294"/>
      <c r="IGF92" s="292"/>
      <c r="IGG92" s="293"/>
      <c r="IGH92" s="294"/>
      <c r="IGN92" s="292"/>
      <c r="IGO92" s="293"/>
      <c r="IGP92" s="294"/>
      <c r="IGV92" s="292"/>
      <c r="IGW92" s="293"/>
      <c r="IGX92" s="294"/>
      <c r="IHD92" s="292"/>
      <c r="IHE92" s="293"/>
      <c r="IHF92" s="294"/>
      <c r="IHL92" s="292"/>
      <c r="IHM92" s="293"/>
      <c r="IHN92" s="294"/>
      <c r="IHT92" s="292"/>
      <c r="IHU92" s="293"/>
      <c r="IHV92" s="294"/>
      <c r="IIB92" s="292"/>
      <c r="IIC92" s="293"/>
      <c r="IID92" s="294"/>
      <c r="IIJ92" s="292"/>
      <c r="IIK92" s="293"/>
      <c r="IIL92" s="294"/>
      <c r="IIR92" s="292"/>
      <c r="IIS92" s="293"/>
      <c r="IIT92" s="294"/>
      <c r="IIZ92" s="292"/>
      <c r="IJA92" s="293"/>
      <c r="IJB92" s="294"/>
      <c r="IJH92" s="292"/>
      <c r="IJI92" s="293"/>
      <c r="IJJ92" s="294"/>
      <c r="IJP92" s="292"/>
      <c r="IJQ92" s="293"/>
      <c r="IJR92" s="294"/>
      <c r="IJX92" s="292"/>
      <c r="IJY92" s="293"/>
      <c r="IJZ92" s="294"/>
      <c r="IKF92" s="292"/>
      <c r="IKG92" s="293"/>
      <c r="IKH92" s="294"/>
      <c r="IKN92" s="292"/>
      <c r="IKO92" s="293"/>
      <c r="IKP92" s="294"/>
      <c r="IKV92" s="292"/>
      <c r="IKW92" s="293"/>
      <c r="IKX92" s="294"/>
      <c r="ILD92" s="292"/>
      <c r="ILE92" s="293"/>
      <c r="ILF92" s="294"/>
      <c r="ILL92" s="292"/>
      <c r="ILM92" s="293"/>
      <c r="ILN92" s="294"/>
      <c r="ILT92" s="292"/>
      <c r="ILU92" s="293"/>
      <c r="ILV92" s="294"/>
      <c r="IMB92" s="292"/>
      <c r="IMC92" s="293"/>
      <c r="IMD92" s="294"/>
      <c r="IMJ92" s="292"/>
      <c r="IMK92" s="293"/>
      <c r="IML92" s="294"/>
      <c r="IMR92" s="292"/>
      <c r="IMS92" s="293"/>
      <c r="IMT92" s="294"/>
      <c r="IMZ92" s="292"/>
      <c r="INA92" s="293"/>
      <c r="INB92" s="294"/>
      <c r="INH92" s="292"/>
      <c r="INI92" s="293"/>
      <c r="INJ92" s="294"/>
      <c r="INP92" s="292"/>
      <c r="INQ92" s="293"/>
      <c r="INR92" s="294"/>
      <c r="INX92" s="292"/>
      <c r="INY92" s="293"/>
      <c r="INZ92" s="294"/>
      <c r="IOF92" s="292"/>
      <c r="IOG92" s="293"/>
      <c r="IOH92" s="294"/>
      <c r="ION92" s="292"/>
      <c r="IOO92" s="293"/>
      <c r="IOP92" s="294"/>
      <c r="IOV92" s="292"/>
      <c r="IOW92" s="293"/>
      <c r="IOX92" s="294"/>
      <c r="IPD92" s="292"/>
      <c r="IPE92" s="293"/>
      <c r="IPF92" s="294"/>
      <c r="IPL92" s="292"/>
      <c r="IPM92" s="293"/>
      <c r="IPN92" s="294"/>
      <c r="IPT92" s="292"/>
      <c r="IPU92" s="293"/>
      <c r="IPV92" s="294"/>
      <c r="IQB92" s="292"/>
      <c r="IQC92" s="293"/>
      <c r="IQD92" s="294"/>
      <c r="IQJ92" s="292"/>
      <c r="IQK92" s="293"/>
      <c r="IQL92" s="294"/>
      <c r="IQR92" s="292"/>
      <c r="IQS92" s="293"/>
      <c r="IQT92" s="294"/>
      <c r="IQZ92" s="292"/>
      <c r="IRA92" s="293"/>
      <c r="IRB92" s="294"/>
      <c r="IRH92" s="292"/>
      <c r="IRI92" s="293"/>
      <c r="IRJ92" s="294"/>
      <c r="IRP92" s="292"/>
      <c r="IRQ92" s="293"/>
      <c r="IRR92" s="294"/>
      <c r="IRX92" s="292"/>
      <c r="IRY92" s="293"/>
      <c r="IRZ92" s="294"/>
      <c r="ISF92" s="292"/>
      <c r="ISG92" s="293"/>
      <c r="ISH92" s="294"/>
      <c r="ISN92" s="292"/>
      <c r="ISO92" s="293"/>
      <c r="ISP92" s="294"/>
      <c r="ISV92" s="292"/>
      <c r="ISW92" s="293"/>
      <c r="ISX92" s="294"/>
      <c r="ITD92" s="292"/>
      <c r="ITE92" s="293"/>
      <c r="ITF92" s="294"/>
      <c r="ITL92" s="292"/>
      <c r="ITM92" s="293"/>
      <c r="ITN92" s="294"/>
      <c r="ITT92" s="292"/>
      <c r="ITU92" s="293"/>
      <c r="ITV92" s="294"/>
      <c r="IUB92" s="292"/>
      <c r="IUC92" s="293"/>
      <c r="IUD92" s="294"/>
      <c r="IUJ92" s="292"/>
      <c r="IUK92" s="293"/>
      <c r="IUL92" s="294"/>
      <c r="IUR92" s="292"/>
      <c r="IUS92" s="293"/>
      <c r="IUT92" s="294"/>
      <c r="IUZ92" s="292"/>
      <c r="IVA92" s="293"/>
      <c r="IVB92" s="294"/>
      <c r="IVH92" s="292"/>
      <c r="IVI92" s="293"/>
      <c r="IVJ92" s="294"/>
      <c r="IVP92" s="292"/>
      <c r="IVQ92" s="293"/>
      <c r="IVR92" s="294"/>
      <c r="IVX92" s="292"/>
      <c r="IVY92" s="293"/>
      <c r="IVZ92" s="294"/>
      <c r="IWF92" s="292"/>
      <c r="IWG92" s="293"/>
      <c r="IWH92" s="294"/>
      <c r="IWN92" s="292"/>
      <c r="IWO92" s="293"/>
      <c r="IWP92" s="294"/>
      <c r="IWV92" s="292"/>
      <c r="IWW92" s="293"/>
      <c r="IWX92" s="294"/>
      <c r="IXD92" s="292"/>
      <c r="IXE92" s="293"/>
      <c r="IXF92" s="294"/>
      <c r="IXL92" s="292"/>
      <c r="IXM92" s="293"/>
      <c r="IXN92" s="294"/>
      <c r="IXT92" s="292"/>
      <c r="IXU92" s="293"/>
      <c r="IXV92" s="294"/>
      <c r="IYB92" s="292"/>
      <c r="IYC92" s="293"/>
      <c r="IYD92" s="294"/>
      <c r="IYJ92" s="292"/>
      <c r="IYK92" s="293"/>
      <c r="IYL92" s="294"/>
      <c r="IYR92" s="292"/>
      <c r="IYS92" s="293"/>
      <c r="IYT92" s="294"/>
      <c r="IYZ92" s="292"/>
      <c r="IZA92" s="293"/>
      <c r="IZB92" s="294"/>
      <c r="IZH92" s="292"/>
      <c r="IZI92" s="293"/>
      <c r="IZJ92" s="294"/>
      <c r="IZP92" s="292"/>
      <c r="IZQ92" s="293"/>
      <c r="IZR92" s="294"/>
      <c r="IZX92" s="292"/>
      <c r="IZY92" s="293"/>
      <c r="IZZ92" s="294"/>
      <c r="JAF92" s="292"/>
      <c r="JAG92" s="293"/>
      <c r="JAH92" s="294"/>
      <c r="JAN92" s="292"/>
      <c r="JAO92" s="293"/>
      <c r="JAP92" s="294"/>
      <c r="JAV92" s="292"/>
      <c r="JAW92" s="293"/>
      <c r="JAX92" s="294"/>
      <c r="JBD92" s="292"/>
      <c r="JBE92" s="293"/>
      <c r="JBF92" s="294"/>
      <c r="JBL92" s="292"/>
      <c r="JBM92" s="293"/>
      <c r="JBN92" s="294"/>
      <c r="JBT92" s="292"/>
      <c r="JBU92" s="293"/>
      <c r="JBV92" s="294"/>
      <c r="JCB92" s="292"/>
      <c r="JCC92" s="293"/>
      <c r="JCD92" s="294"/>
      <c r="JCJ92" s="292"/>
      <c r="JCK92" s="293"/>
      <c r="JCL92" s="294"/>
      <c r="JCR92" s="292"/>
      <c r="JCS92" s="293"/>
      <c r="JCT92" s="294"/>
      <c r="JCZ92" s="292"/>
      <c r="JDA92" s="293"/>
      <c r="JDB92" s="294"/>
      <c r="JDH92" s="292"/>
      <c r="JDI92" s="293"/>
      <c r="JDJ92" s="294"/>
      <c r="JDP92" s="292"/>
      <c r="JDQ92" s="293"/>
      <c r="JDR92" s="294"/>
      <c r="JDX92" s="292"/>
      <c r="JDY92" s="293"/>
      <c r="JDZ92" s="294"/>
      <c r="JEF92" s="292"/>
      <c r="JEG92" s="293"/>
      <c r="JEH92" s="294"/>
      <c r="JEN92" s="292"/>
      <c r="JEO92" s="293"/>
      <c r="JEP92" s="294"/>
      <c r="JEV92" s="292"/>
      <c r="JEW92" s="293"/>
      <c r="JEX92" s="294"/>
      <c r="JFD92" s="292"/>
      <c r="JFE92" s="293"/>
      <c r="JFF92" s="294"/>
      <c r="JFL92" s="292"/>
      <c r="JFM92" s="293"/>
      <c r="JFN92" s="294"/>
      <c r="JFT92" s="292"/>
      <c r="JFU92" s="293"/>
      <c r="JFV92" s="294"/>
      <c r="JGB92" s="292"/>
      <c r="JGC92" s="293"/>
      <c r="JGD92" s="294"/>
      <c r="JGJ92" s="292"/>
      <c r="JGK92" s="293"/>
      <c r="JGL92" s="294"/>
      <c r="JGR92" s="292"/>
      <c r="JGS92" s="293"/>
      <c r="JGT92" s="294"/>
      <c r="JGZ92" s="292"/>
      <c r="JHA92" s="293"/>
      <c r="JHB92" s="294"/>
      <c r="JHH92" s="292"/>
      <c r="JHI92" s="293"/>
      <c r="JHJ92" s="294"/>
      <c r="JHP92" s="292"/>
      <c r="JHQ92" s="293"/>
      <c r="JHR92" s="294"/>
      <c r="JHX92" s="292"/>
      <c r="JHY92" s="293"/>
      <c r="JHZ92" s="294"/>
      <c r="JIF92" s="292"/>
      <c r="JIG92" s="293"/>
      <c r="JIH92" s="294"/>
      <c r="JIN92" s="292"/>
      <c r="JIO92" s="293"/>
      <c r="JIP92" s="294"/>
      <c r="JIV92" s="292"/>
      <c r="JIW92" s="293"/>
      <c r="JIX92" s="294"/>
      <c r="JJD92" s="292"/>
      <c r="JJE92" s="293"/>
      <c r="JJF92" s="294"/>
      <c r="JJL92" s="292"/>
      <c r="JJM92" s="293"/>
      <c r="JJN92" s="294"/>
      <c r="JJT92" s="292"/>
      <c r="JJU92" s="293"/>
      <c r="JJV92" s="294"/>
      <c r="JKB92" s="292"/>
      <c r="JKC92" s="293"/>
      <c r="JKD92" s="294"/>
      <c r="JKJ92" s="292"/>
      <c r="JKK92" s="293"/>
      <c r="JKL92" s="294"/>
      <c r="JKR92" s="292"/>
      <c r="JKS92" s="293"/>
      <c r="JKT92" s="294"/>
      <c r="JKZ92" s="292"/>
      <c r="JLA92" s="293"/>
      <c r="JLB92" s="294"/>
      <c r="JLH92" s="292"/>
      <c r="JLI92" s="293"/>
      <c r="JLJ92" s="294"/>
      <c r="JLP92" s="292"/>
      <c r="JLQ92" s="293"/>
      <c r="JLR92" s="294"/>
      <c r="JLX92" s="292"/>
      <c r="JLY92" s="293"/>
      <c r="JLZ92" s="294"/>
      <c r="JMF92" s="292"/>
      <c r="JMG92" s="293"/>
      <c r="JMH92" s="294"/>
      <c r="JMN92" s="292"/>
      <c r="JMO92" s="293"/>
      <c r="JMP92" s="294"/>
      <c r="JMV92" s="292"/>
      <c r="JMW92" s="293"/>
      <c r="JMX92" s="294"/>
      <c r="JND92" s="292"/>
      <c r="JNE92" s="293"/>
      <c r="JNF92" s="294"/>
      <c r="JNL92" s="292"/>
      <c r="JNM92" s="293"/>
      <c r="JNN92" s="294"/>
      <c r="JNT92" s="292"/>
      <c r="JNU92" s="293"/>
      <c r="JNV92" s="294"/>
      <c r="JOB92" s="292"/>
      <c r="JOC92" s="293"/>
      <c r="JOD92" s="294"/>
      <c r="JOJ92" s="292"/>
      <c r="JOK92" s="293"/>
      <c r="JOL92" s="294"/>
      <c r="JOR92" s="292"/>
      <c r="JOS92" s="293"/>
      <c r="JOT92" s="294"/>
      <c r="JOZ92" s="292"/>
      <c r="JPA92" s="293"/>
      <c r="JPB92" s="294"/>
      <c r="JPH92" s="292"/>
      <c r="JPI92" s="293"/>
      <c r="JPJ92" s="294"/>
      <c r="JPP92" s="292"/>
      <c r="JPQ92" s="293"/>
      <c r="JPR92" s="294"/>
      <c r="JPX92" s="292"/>
      <c r="JPY92" s="293"/>
      <c r="JPZ92" s="294"/>
      <c r="JQF92" s="292"/>
      <c r="JQG92" s="293"/>
      <c r="JQH92" s="294"/>
      <c r="JQN92" s="292"/>
      <c r="JQO92" s="293"/>
      <c r="JQP92" s="294"/>
      <c r="JQV92" s="292"/>
      <c r="JQW92" s="293"/>
      <c r="JQX92" s="294"/>
      <c r="JRD92" s="292"/>
      <c r="JRE92" s="293"/>
      <c r="JRF92" s="294"/>
      <c r="JRL92" s="292"/>
      <c r="JRM92" s="293"/>
      <c r="JRN92" s="294"/>
      <c r="JRT92" s="292"/>
      <c r="JRU92" s="293"/>
      <c r="JRV92" s="294"/>
      <c r="JSB92" s="292"/>
      <c r="JSC92" s="293"/>
      <c r="JSD92" s="294"/>
      <c r="JSJ92" s="292"/>
      <c r="JSK92" s="293"/>
      <c r="JSL92" s="294"/>
      <c r="JSR92" s="292"/>
      <c r="JSS92" s="293"/>
      <c r="JST92" s="294"/>
      <c r="JSZ92" s="292"/>
      <c r="JTA92" s="293"/>
      <c r="JTB92" s="294"/>
      <c r="JTH92" s="292"/>
      <c r="JTI92" s="293"/>
      <c r="JTJ92" s="294"/>
      <c r="JTP92" s="292"/>
      <c r="JTQ92" s="293"/>
      <c r="JTR92" s="294"/>
      <c r="JTX92" s="292"/>
      <c r="JTY92" s="293"/>
      <c r="JTZ92" s="294"/>
      <c r="JUF92" s="292"/>
      <c r="JUG92" s="293"/>
      <c r="JUH92" s="294"/>
      <c r="JUN92" s="292"/>
      <c r="JUO92" s="293"/>
      <c r="JUP92" s="294"/>
      <c r="JUV92" s="292"/>
      <c r="JUW92" s="293"/>
      <c r="JUX92" s="294"/>
      <c r="JVD92" s="292"/>
      <c r="JVE92" s="293"/>
      <c r="JVF92" s="294"/>
      <c r="JVL92" s="292"/>
      <c r="JVM92" s="293"/>
      <c r="JVN92" s="294"/>
      <c r="JVT92" s="292"/>
      <c r="JVU92" s="293"/>
      <c r="JVV92" s="294"/>
      <c r="JWB92" s="292"/>
      <c r="JWC92" s="293"/>
      <c r="JWD92" s="294"/>
      <c r="JWJ92" s="292"/>
      <c r="JWK92" s="293"/>
      <c r="JWL92" s="294"/>
      <c r="JWR92" s="292"/>
      <c r="JWS92" s="293"/>
      <c r="JWT92" s="294"/>
      <c r="JWZ92" s="292"/>
      <c r="JXA92" s="293"/>
      <c r="JXB92" s="294"/>
      <c r="JXH92" s="292"/>
      <c r="JXI92" s="293"/>
      <c r="JXJ92" s="294"/>
      <c r="JXP92" s="292"/>
      <c r="JXQ92" s="293"/>
      <c r="JXR92" s="294"/>
      <c r="JXX92" s="292"/>
      <c r="JXY92" s="293"/>
      <c r="JXZ92" s="294"/>
      <c r="JYF92" s="292"/>
      <c r="JYG92" s="293"/>
      <c r="JYH92" s="294"/>
      <c r="JYN92" s="292"/>
      <c r="JYO92" s="293"/>
      <c r="JYP92" s="294"/>
      <c r="JYV92" s="292"/>
      <c r="JYW92" s="293"/>
      <c r="JYX92" s="294"/>
      <c r="JZD92" s="292"/>
      <c r="JZE92" s="293"/>
      <c r="JZF92" s="294"/>
      <c r="JZL92" s="292"/>
      <c r="JZM92" s="293"/>
      <c r="JZN92" s="294"/>
      <c r="JZT92" s="292"/>
      <c r="JZU92" s="293"/>
      <c r="JZV92" s="294"/>
      <c r="KAB92" s="292"/>
      <c r="KAC92" s="293"/>
      <c r="KAD92" s="294"/>
      <c r="KAJ92" s="292"/>
      <c r="KAK92" s="293"/>
      <c r="KAL92" s="294"/>
      <c r="KAR92" s="292"/>
      <c r="KAS92" s="293"/>
      <c r="KAT92" s="294"/>
      <c r="KAZ92" s="292"/>
      <c r="KBA92" s="293"/>
      <c r="KBB92" s="294"/>
      <c r="KBH92" s="292"/>
      <c r="KBI92" s="293"/>
      <c r="KBJ92" s="294"/>
      <c r="KBP92" s="292"/>
      <c r="KBQ92" s="293"/>
      <c r="KBR92" s="294"/>
      <c r="KBX92" s="292"/>
      <c r="KBY92" s="293"/>
      <c r="KBZ92" s="294"/>
      <c r="KCF92" s="292"/>
      <c r="KCG92" s="293"/>
      <c r="KCH92" s="294"/>
      <c r="KCN92" s="292"/>
      <c r="KCO92" s="293"/>
      <c r="KCP92" s="294"/>
      <c r="KCV92" s="292"/>
      <c r="KCW92" s="293"/>
      <c r="KCX92" s="294"/>
      <c r="KDD92" s="292"/>
      <c r="KDE92" s="293"/>
      <c r="KDF92" s="294"/>
      <c r="KDL92" s="292"/>
      <c r="KDM92" s="293"/>
      <c r="KDN92" s="294"/>
      <c r="KDT92" s="292"/>
      <c r="KDU92" s="293"/>
      <c r="KDV92" s="294"/>
      <c r="KEB92" s="292"/>
      <c r="KEC92" s="293"/>
      <c r="KED92" s="294"/>
      <c r="KEJ92" s="292"/>
      <c r="KEK92" s="293"/>
      <c r="KEL92" s="294"/>
      <c r="KER92" s="292"/>
      <c r="KES92" s="293"/>
      <c r="KET92" s="294"/>
      <c r="KEZ92" s="292"/>
      <c r="KFA92" s="293"/>
      <c r="KFB92" s="294"/>
      <c r="KFH92" s="292"/>
      <c r="KFI92" s="293"/>
      <c r="KFJ92" s="294"/>
      <c r="KFP92" s="292"/>
      <c r="KFQ92" s="293"/>
      <c r="KFR92" s="294"/>
      <c r="KFX92" s="292"/>
      <c r="KFY92" s="293"/>
      <c r="KFZ92" s="294"/>
      <c r="KGF92" s="292"/>
      <c r="KGG92" s="293"/>
      <c r="KGH92" s="294"/>
      <c r="KGN92" s="292"/>
      <c r="KGO92" s="293"/>
      <c r="KGP92" s="294"/>
      <c r="KGV92" s="292"/>
      <c r="KGW92" s="293"/>
      <c r="KGX92" s="294"/>
      <c r="KHD92" s="292"/>
      <c r="KHE92" s="293"/>
      <c r="KHF92" s="294"/>
      <c r="KHL92" s="292"/>
      <c r="KHM92" s="293"/>
      <c r="KHN92" s="294"/>
      <c r="KHT92" s="292"/>
      <c r="KHU92" s="293"/>
      <c r="KHV92" s="294"/>
      <c r="KIB92" s="292"/>
      <c r="KIC92" s="293"/>
      <c r="KID92" s="294"/>
      <c r="KIJ92" s="292"/>
      <c r="KIK92" s="293"/>
      <c r="KIL92" s="294"/>
      <c r="KIR92" s="292"/>
      <c r="KIS92" s="293"/>
      <c r="KIT92" s="294"/>
      <c r="KIZ92" s="292"/>
      <c r="KJA92" s="293"/>
      <c r="KJB92" s="294"/>
      <c r="KJH92" s="292"/>
      <c r="KJI92" s="293"/>
      <c r="KJJ92" s="294"/>
      <c r="KJP92" s="292"/>
      <c r="KJQ92" s="293"/>
      <c r="KJR92" s="294"/>
      <c r="KJX92" s="292"/>
      <c r="KJY92" s="293"/>
      <c r="KJZ92" s="294"/>
      <c r="KKF92" s="292"/>
      <c r="KKG92" s="293"/>
      <c r="KKH92" s="294"/>
      <c r="KKN92" s="292"/>
      <c r="KKO92" s="293"/>
      <c r="KKP92" s="294"/>
      <c r="KKV92" s="292"/>
      <c r="KKW92" s="293"/>
      <c r="KKX92" s="294"/>
      <c r="KLD92" s="292"/>
      <c r="KLE92" s="293"/>
      <c r="KLF92" s="294"/>
      <c r="KLL92" s="292"/>
      <c r="KLM92" s="293"/>
      <c r="KLN92" s="294"/>
      <c r="KLT92" s="292"/>
      <c r="KLU92" s="293"/>
      <c r="KLV92" s="294"/>
      <c r="KMB92" s="292"/>
      <c r="KMC92" s="293"/>
      <c r="KMD92" s="294"/>
      <c r="KMJ92" s="292"/>
      <c r="KMK92" s="293"/>
      <c r="KML92" s="294"/>
      <c r="KMR92" s="292"/>
      <c r="KMS92" s="293"/>
      <c r="KMT92" s="294"/>
      <c r="KMZ92" s="292"/>
      <c r="KNA92" s="293"/>
      <c r="KNB92" s="294"/>
      <c r="KNH92" s="292"/>
      <c r="KNI92" s="293"/>
      <c r="KNJ92" s="294"/>
      <c r="KNP92" s="292"/>
      <c r="KNQ92" s="293"/>
      <c r="KNR92" s="294"/>
      <c r="KNX92" s="292"/>
      <c r="KNY92" s="293"/>
      <c r="KNZ92" s="294"/>
      <c r="KOF92" s="292"/>
      <c r="KOG92" s="293"/>
      <c r="KOH92" s="294"/>
      <c r="KON92" s="292"/>
      <c r="KOO92" s="293"/>
      <c r="KOP92" s="294"/>
      <c r="KOV92" s="292"/>
      <c r="KOW92" s="293"/>
      <c r="KOX92" s="294"/>
      <c r="KPD92" s="292"/>
      <c r="KPE92" s="293"/>
      <c r="KPF92" s="294"/>
      <c r="KPL92" s="292"/>
      <c r="KPM92" s="293"/>
      <c r="KPN92" s="294"/>
      <c r="KPT92" s="292"/>
      <c r="KPU92" s="293"/>
      <c r="KPV92" s="294"/>
      <c r="KQB92" s="292"/>
      <c r="KQC92" s="293"/>
      <c r="KQD92" s="294"/>
      <c r="KQJ92" s="292"/>
      <c r="KQK92" s="293"/>
      <c r="KQL92" s="294"/>
      <c r="KQR92" s="292"/>
      <c r="KQS92" s="293"/>
      <c r="KQT92" s="294"/>
      <c r="KQZ92" s="292"/>
      <c r="KRA92" s="293"/>
      <c r="KRB92" s="294"/>
      <c r="KRH92" s="292"/>
      <c r="KRI92" s="293"/>
      <c r="KRJ92" s="294"/>
      <c r="KRP92" s="292"/>
      <c r="KRQ92" s="293"/>
      <c r="KRR92" s="294"/>
      <c r="KRX92" s="292"/>
      <c r="KRY92" s="293"/>
      <c r="KRZ92" s="294"/>
      <c r="KSF92" s="292"/>
      <c r="KSG92" s="293"/>
      <c r="KSH92" s="294"/>
      <c r="KSN92" s="292"/>
      <c r="KSO92" s="293"/>
      <c r="KSP92" s="294"/>
      <c r="KSV92" s="292"/>
      <c r="KSW92" s="293"/>
      <c r="KSX92" s="294"/>
      <c r="KTD92" s="292"/>
      <c r="KTE92" s="293"/>
      <c r="KTF92" s="294"/>
      <c r="KTL92" s="292"/>
      <c r="KTM92" s="293"/>
      <c r="KTN92" s="294"/>
      <c r="KTT92" s="292"/>
      <c r="KTU92" s="293"/>
      <c r="KTV92" s="294"/>
      <c r="KUB92" s="292"/>
      <c r="KUC92" s="293"/>
      <c r="KUD92" s="294"/>
      <c r="KUJ92" s="292"/>
      <c r="KUK92" s="293"/>
      <c r="KUL92" s="294"/>
      <c r="KUR92" s="292"/>
      <c r="KUS92" s="293"/>
      <c r="KUT92" s="294"/>
      <c r="KUZ92" s="292"/>
      <c r="KVA92" s="293"/>
      <c r="KVB92" s="294"/>
      <c r="KVH92" s="292"/>
      <c r="KVI92" s="293"/>
      <c r="KVJ92" s="294"/>
      <c r="KVP92" s="292"/>
      <c r="KVQ92" s="293"/>
      <c r="KVR92" s="294"/>
      <c r="KVX92" s="292"/>
      <c r="KVY92" s="293"/>
      <c r="KVZ92" s="294"/>
      <c r="KWF92" s="292"/>
      <c r="KWG92" s="293"/>
      <c r="KWH92" s="294"/>
      <c r="KWN92" s="292"/>
      <c r="KWO92" s="293"/>
      <c r="KWP92" s="294"/>
      <c r="KWV92" s="292"/>
      <c r="KWW92" s="293"/>
      <c r="KWX92" s="294"/>
      <c r="KXD92" s="292"/>
      <c r="KXE92" s="293"/>
      <c r="KXF92" s="294"/>
      <c r="KXL92" s="292"/>
      <c r="KXM92" s="293"/>
      <c r="KXN92" s="294"/>
      <c r="KXT92" s="292"/>
      <c r="KXU92" s="293"/>
      <c r="KXV92" s="294"/>
      <c r="KYB92" s="292"/>
      <c r="KYC92" s="293"/>
      <c r="KYD92" s="294"/>
      <c r="KYJ92" s="292"/>
      <c r="KYK92" s="293"/>
      <c r="KYL92" s="294"/>
      <c r="KYR92" s="292"/>
      <c r="KYS92" s="293"/>
      <c r="KYT92" s="294"/>
      <c r="KYZ92" s="292"/>
      <c r="KZA92" s="293"/>
      <c r="KZB92" s="294"/>
      <c r="KZH92" s="292"/>
      <c r="KZI92" s="293"/>
      <c r="KZJ92" s="294"/>
      <c r="KZP92" s="292"/>
      <c r="KZQ92" s="293"/>
      <c r="KZR92" s="294"/>
      <c r="KZX92" s="292"/>
      <c r="KZY92" s="293"/>
      <c r="KZZ92" s="294"/>
      <c r="LAF92" s="292"/>
      <c r="LAG92" s="293"/>
      <c r="LAH92" s="294"/>
      <c r="LAN92" s="292"/>
      <c r="LAO92" s="293"/>
      <c r="LAP92" s="294"/>
      <c r="LAV92" s="292"/>
      <c r="LAW92" s="293"/>
      <c r="LAX92" s="294"/>
      <c r="LBD92" s="292"/>
      <c r="LBE92" s="293"/>
      <c r="LBF92" s="294"/>
      <c r="LBL92" s="292"/>
      <c r="LBM92" s="293"/>
      <c r="LBN92" s="294"/>
      <c r="LBT92" s="292"/>
      <c r="LBU92" s="293"/>
      <c r="LBV92" s="294"/>
      <c r="LCB92" s="292"/>
      <c r="LCC92" s="293"/>
      <c r="LCD92" s="294"/>
      <c r="LCJ92" s="292"/>
      <c r="LCK92" s="293"/>
      <c r="LCL92" s="294"/>
      <c r="LCR92" s="292"/>
      <c r="LCS92" s="293"/>
      <c r="LCT92" s="294"/>
      <c r="LCZ92" s="292"/>
      <c r="LDA92" s="293"/>
      <c r="LDB92" s="294"/>
      <c r="LDH92" s="292"/>
      <c r="LDI92" s="293"/>
      <c r="LDJ92" s="294"/>
      <c r="LDP92" s="292"/>
      <c r="LDQ92" s="293"/>
      <c r="LDR92" s="294"/>
      <c r="LDX92" s="292"/>
      <c r="LDY92" s="293"/>
      <c r="LDZ92" s="294"/>
      <c r="LEF92" s="292"/>
      <c r="LEG92" s="293"/>
      <c r="LEH92" s="294"/>
      <c r="LEN92" s="292"/>
      <c r="LEO92" s="293"/>
      <c r="LEP92" s="294"/>
      <c r="LEV92" s="292"/>
      <c r="LEW92" s="293"/>
      <c r="LEX92" s="294"/>
      <c r="LFD92" s="292"/>
      <c r="LFE92" s="293"/>
      <c r="LFF92" s="294"/>
      <c r="LFL92" s="292"/>
      <c r="LFM92" s="293"/>
      <c r="LFN92" s="294"/>
      <c r="LFT92" s="292"/>
      <c r="LFU92" s="293"/>
      <c r="LFV92" s="294"/>
      <c r="LGB92" s="292"/>
      <c r="LGC92" s="293"/>
      <c r="LGD92" s="294"/>
      <c r="LGJ92" s="292"/>
      <c r="LGK92" s="293"/>
      <c r="LGL92" s="294"/>
      <c r="LGR92" s="292"/>
      <c r="LGS92" s="293"/>
      <c r="LGT92" s="294"/>
      <c r="LGZ92" s="292"/>
      <c r="LHA92" s="293"/>
      <c r="LHB92" s="294"/>
      <c r="LHH92" s="292"/>
      <c r="LHI92" s="293"/>
      <c r="LHJ92" s="294"/>
      <c r="LHP92" s="292"/>
      <c r="LHQ92" s="293"/>
      <c r="LHR92" s="294"/>
      <c r="LHX92" s="292"/>
      <c r="LHY92" s="293"/>
      <c r="LHZ92" s="294"/>
      <c r="LIF92" s="292"/>
      <c r="LIG92" s="293"/>
      <c r="LIH92" s="294"/>
      <c r="LIN92" s="292"/>
      <c r="LIO92" s="293"/>
      <c r="LIP92" s="294"/>
      <c r="LIV92" s="292"/>
      <c r="LIW92" s="293"/>
      <c r="LIX92" s="294"/>
      <c r="LJD92" s="292"/>
      <c r="LJE92" s="293"/>
      <c r="LJF92" s="294"/>
      <c r="LJL92" s="292"/>
      <c r="LJM92" s="293"/>
      <c r="LJN92" s="294"/>
      <c r="LJT92" s="292"/>
      <c r="LJU92" s="293"/>
      <c r="LJV92" s="294"/>
      <c r="LKB92" s="292"/>
      <c r="LKC92" s="293"/>
      <c r="LKD92" s="294"/>
      <c r="LKJ92" s="292"/>
      <c r="LKK92" s="293"/>
      <c r="LKL92" s="294"/>
      <c r="LKR92" s="292"/>
      <c r="LKS92" s="293"/>
      <c r="LKT92" s="294"/>
      <c r="LKZ92" s="292"/>
      <c r="LLA92" s="293"/>
      <c r="LLB92" s="294"/>
      <c r="LLH92" s="292"/>
      <c r="LLI92" s="293"/>
      <c r="LLJ92" s="294"/>
      <c r="LLP92" s="292"/>
      <c r="LLQ92" s="293"/>
      <c r="LLR92" s="294"/>
      <c r="LLX92" s="292"/>
      <c r="LLY92" s="293"/>
      <c r="LLZ92" s="294"/>
      <c r="LMF92" s="292"/>
      <c r="LMG92" s="293"/>
      <c r="LMH92" s="294"/>
      <c r="LMN92" s="292"/>
      <c r="LMO92" s="293"/>
      <c r="LMP92" s="294"/>
      <c r="LMV92" s="292"/>
      <c r="LMW92" s="293"/>
      <c r="LMX92" s="294"/>
      <c r="LND92" s="292"/>
      <c r="LNE92" s="293"/>
      <c r="LNF92" s="294"/>
      <c r="LNL92" s="292"/>
      <c r="LNM92" s="293"/>
      <c r="LNN92" s="294"/>
      <c r="LNT92" s="292"/>
      <c r="LNU92" s="293"/>
      <c r="LNV92" s="294"/>
      <c r="LOB92" s="292"/>
      <c r="LOC92" s="293"/>
      <c r="LOD92" s="294"/>
      <c r="LOJ92" s="292"/>
      <c r="LOK92" s="293"/>
      <c r="LOL92" s="294"/>
      <c r="LOR92" s="292"/>
      <c r="LOS92" s="293"/>
      <c r="LOT92" s="294"/>
      <c r="LOZ92" s="292"/>
      <c r="LPA92" s="293"/>
      <c r="LPB92" s="294"/>
      <c r="LPH92" s="292"/>
      <c r="LPI92" s="293"/>
      <c r="LPJ92" s="294"/>
      <c r="LPP92" s="292"/>
      <c r="LPQ92" s="293"/>
      <c r="LPR92" s="294"/>
      <c r="LPX92" s="292"/>
      <c r="LPY92" s="293"/>
      <c r="LPZ92" s="294"/>
      <c r="LQF92" s="292"/>
      <c r="LQG92" s="293"/>
      <c r="LQH92" s="294"/>
      <c r="LQN92" s="292"/>
      <c r="LQO92" s="293"/>
      <c r="LQP92" s="294"/>
      <c r="LQV92" s="292"/>
      <c r="LQW92" s="293"/>
      <c r="LQX92" s="294"/>
      <c r="LRD92" s="292"/>
      <c r="LRE92" s="293"/>
      <c r="LRF92" s="294"/>
      <c r="LRL92" s="292"/>
      <c r="LRM92" s="293"/>
      <c r="LRN92" s="294"/>
      <c r="LRT92" s="292"/>
      <c r="LRU92" s="293"/>
      <c r="LRV92" s="294"/>
      <c r="LSB92" s="292"/>
      <c r="LSC92" s="293"/>
      <c r="LSD92" s="294"/>
      <c r="LSJ92" s="292"/>
      <c r="LSK92" s="293"/>
      <c r="LSL92" s="294"/>
      <c r="LSR92" s="292"/>
      <c r="LSS92" s="293"/>
      <c r="LST92" s="294"/>
      <c r="LSZ92" s="292"/>
      <c r="LTA92" s="293"/>
      <c r="LTB92" s="294"/>
      <c r="LTH92" s="292"/>
      <c r="LTI92" s="293"/>
      <c r="LTJ92" s="294"/>
      <c r="LTP92" s="292"/>
      <c r="LTQ92" s="293"/>
      <c r="LTR92" s="294"/>
      <c r="LTX92" s="292"/>
      <c r="LTY92" s="293"/>
      <c r="LTZ92" s="294"/>
      <c r="LUF92" s="292"/>
      <c r="LUG92" s="293"/>
      <c r="LUH92" s="294"/>
      <c r="LUN92" s="292"/>
      <c r="LUO92" s="293"/>
      <c r="LUP92" s="294"/>
      <c r="LUV92" s="292"/>
      <c r="LUW92" s="293"/>
      <c r="LUX92" s="294"/>
      <c r="LVD92" s="292"/>
      <c r="LVE92" s="293"/>
      <c r="LVF92" s="294"/>
      <c r="LVL92" s="292"/>
      <c r="LVM92" s="293"/>
      <c r="LVN92" s="294"/>
      <c r="LVT92" s="292"/>
      <c r="LVU92" s="293"/>
      <c r="LVV92" s="294"/>
      <c r="LWB92" s="292"/>
      <c r="LWC92" s="293"/>
      <c r="LWD92" s="294"/>
      <c r="LWJ92" s="292"/>
      <c r="LWK92" s="293"/>
      <c r="LWL92" s="294"/>
      <c r="LWR92" s="292"/>
      <c r="LWS92" s="293"/>
      <c r="LWT92" s="294"/>
      <c r="LWZ92" s="292"/>
      <c r="LXA92" s="293"/>
      <c r="LXB92" s="294"/>
      <c r="LXH92" s="292"/>
      <c r="LXI92" s="293"/>
      <c r="LXJ92" s="294"/>
      <c r="LXP92" s="292"/>
      <c r="LXQ92" s="293"/>
      <c r="LXR92" s="294"/>
      <c r="LXX92" s="292"/>
      <c r="LXY92" s="293"/>
      <c r="LXZ92" s="294"/>
      <c r="LYF92" s="292"/>
      <c r="LYG92" s="293"/>
      <c r="LYH92" s="294"/>
      <c r="LYN92" s="292"/>
      <c r="LYO92" s="293"/>
      <c r="LYP92" s="294"/>
      <c r="LYV92" s="292"/>
      <c r="LYW92" s="293"/>
      <c r="LYX92" s="294"/>
      <c r="LZD92" s="292"/>
      <c r="LZE92" s="293"/>
      <c r="LZF92" s="294"/>
      <c r="LZL92" s="292"/>
      <c r="LZM92" s="293"/>
      <c r="LZN92" s="294"/>
      <c r="LZT92" s="292"/>
      <c r="LZU92" s="293"/>
      <c r="LZV92" s="294"/>
      <c r="MAB92" s="292"/>
      <c r="MAC92" s="293"/>
      <c r="MAD92" s="294"/>
      <c r="MAJ92" s="292"/>
      <c r="MAK92" s="293"/>
      <c r="MAL92" s="294"/>
      <c r="MAR92" s="292"/>
      <c r="MAS92" s="293"/>
      <c r="MAT92" s="294"/>
      <c r="MAZ92" s="292"/>
      <c r="MBA92" s="293"/>
      <c r="MBB92" s="294"/>
      <c r="MBH92" s="292"/>
      <c r="MBI92" s="293"/>
      <c r="MBJ92" s="294"/>
      <c r="MBP92" s="292"/>
      <c r="MBQ92" s="293"/>
      <c r="MBR92" s="294"/>
      <c r="MBX92" s="292"/>
      <c r="MBY92" s="293"/>
      <c r="MBZ92" s="294"/>
      <c r="MCF92" s="292"/>
      <c r="MCG92" s="293"/>
      <c r="MCH92" s="294"/>
      <c r="MCN92" s="292"/>
      <c r="MCO92" s="293"/>
      <c r="MCP92" s="294"/>
      <c r="MCV92" s="292"/>
      <c r="MCW92" s="293"/>
      <c r="MCX92" s="294"/>
      <c r="MDD92" s="292"/>
      <c r="MDE92" s="293"/>
      <c r="MDF92" s="294"/>
      <c r="MDL92" s="292"/>
      <c r="MDM92" s="293"/>
      <c r="MDN92" s="294"/>
      <c r="MDT92" s="292"/>
      <c r="MDU92" s="293"/>
      <c r="MDV92" s="294"/>
      <c r="MEB92" s="292"/>
      <c r="MEC92" s="293"/>
      <c r="MED92" s="294"/>
      <c r="MEJ92" s="292"/>
      <c r="MEK92" s="293"/>
      <c r="MEL92" s="294"/>
      <c r="MER92" s="292"/>
      <c r="MES92" s="293"/>
      <c r="MET92" s="294"/>
      <c r="MEZ92" s="292"/>
      <c r="MFA92" s="293"/>
      <c r="MFB92" s="294"/>
      <c r="MFH92" s="292"/>
      <c r="MFI92" s="293"/>
      <c r="MFJ92" s="294"/>
      <c r="MFP92" s="292"/>
      <c r="MFQ92" s="293"/>
      <c r="MFR92" s="294"/>
      <c r="MFX92" s="292"/>
      <c r="MFY92" s="293"/>
      <c r="MFZ92" s="294"/>
      <c r="MGF92" s="292"/>
      <c r="MGG92" s="293"/>
      <c r="MGH92" s="294"/>
      <c r="MGN92" s="292"/>
      <c r="MGO92" s="293"/>
      <c r="MGP92" s="294"/>
      <c r="MGV92" s="292"/>
      <c r="MGW92" s="293"/>
      <c r="MGX92" s="294"/>
      <c r="MHD92" s="292"/>
      <c r="MHE92" s="293"/>
      <c r="MHF92" s="294"/>
      <c r="MHL92" s="292"/>
      <c r="MHM92" s="293"/>
      <c r="MHN92" s="294"/>
      <c r="MHT92" s="292"/>
      <c r="MHU92" s="293"/>
      <c r="MHV92" s="294"/>
      <c r="MIB92" s="292"/>
      <c r="MIC92" s="293"/>
      <c r="MID92" s="294"/>
      <c r="MIJ92" s="292"/>
      <c r="MIK92" s="293"/>
      <c r="MIL92" s="294"/>
      <c r="MIR92" s="292"/>
      <c r="MIS92" s="293"/>
      <c r="MIT92" s="294"/>
      <c r="MIZ92" s="292"/>
      <c r="MJA92" s="293"/>
      <c r="MJB92" s="294"/>
      <c r="MJH92" s="292"/>
      <c r="MJI92" s="293"/>
      <c r="MJJ92" s="294"/>
      <c r="MJP92" s="292"/>
      <c r="MJQ92" s="293"/>
      <c r="MJR92" s="294"/>
      <c r="MJX92" s="292"/>
      <c r="MJY92" s="293"/>
      <c r="MJZ92" s="294"/>
      <c r="MKF92" s="292"/>
      <c r="MKG92" s="293"/>
      <c r="MKH92" s="294"/>
      <c r="MKN92" s="292"/>
      <c r="MKO92" s="293"/>
      <c r="MKP92" s="294"/>
      <c r="MKV92" s="292"/>
      <c r="MKW92" s="293"/>
      <c r="MKX92" s="294"/>
      <c r="MLD92" s="292"/>
      <c r="MLE92" s="293"/>
      <c r="MLF92" s="294"/>
      <c r="MLL92" s="292"/>
      <c r="MLM92" s="293"/>
      <c r="MLN92" s="294"/>
      <c r="MLT92" s="292"/>
      <c r="MLU92" s="293"/>
      <c r="MLV92" s="294"/>
      <c r="MMB92" s="292"/>
      <c r="MMC92" s="293"/>
      <c r="MMD92" s="294"/>
      <c r="MMJ92" s="292"/>
      <c r="MMK92" s="293"/>
      <c r="MML92" s="294"/>
      <c r="MMR92" s="292"/>
      <c r="MMS92" s="293"/>
      <c r="MMT92" s="294"/>
      <c r="MMZ92" s="292"/>
      <c r="MNA92" s="293"/>
      <c r="MNB92" s="294"/>
      <c r="MNH92" s="292"/>
      <c r="MNI92" s="293"/>
      <c r="MNJ92" s="294"/>
      <c r="MNP92" s="292"/>
      <c r="MNQ92" s="293"/>
      <c r="MNR92" s="294"/>
      <c r="MNX92" s="292"/>
      <c r="MNY92" s="293"/>
      <c r="MNZ92" s="294"/>
      <c r="MOF92" s="292"/>
      <c r="MOG92" s="293"/>
      <c r="MOH92" s="294"/>
      <c r="MON92" s="292"/>
      <c r="MOO92" s="293"/>
      <c r="MOP92" s="294"/>
      <c r="MOV92" s="292"/>
      <c r="MOW92" s="293"/>
      <c r="MOX92" s="294"/>
      <c r="MPD92" s="292"/>
      <c r="MPE92" s="293"/>
      <c r="MPF92" s="294"/>
      <c r="MPL92" s="292"/>
      <c r="MPM92" s="293"/>
      <c r="MPN92" s="294"/>
      <c r="MPT92" s="292"/>
      <c r="MPU92" s="293"/>
      <c r="MPV92" s="294"/>
      <c r="MQB92" s="292"/>
      <c r="MQC92" s="293"/>
      <c r="MQD92" s="294"/>
      <c r="MQJ92" s="292"/>
      <c r="MQK92" s="293"/>
      <c r="MQL92" s="294"/>
      <c r="MQR92" s="292"/>
      <c r="MQS92" s="293"/>
      <c r="MQT92" s="294"/>
      <c r="MQZ92" s="292"/>
      <c r="MRA92" s="293"/>
      <c r="MRB92" s="294"/>
      <c r="MRH92" s="292"/>
      <c r="MRI92" s="293"/>
      <c r="MRJ92" s="294"/>
      <c r="MRP92" s="292"/>
      <c r="MRQ92" s="293"/>
      <c r="MRR92" s="294"/>
      <c r="MRX92" s="292"/>
      <c r="MRY92" s="293"/>
      <c r="MRZ92" s="294"/>
      <c r="MSF92" s="292"/>
      <c r="MSG92" s="293"/>
      <c r="MSH92" s="294"/>
      <c r="MSN92" s="292"/>
      <c r="MSO92" s="293"/>
      <c r="MSP92" s="294"/>
      <c r="MSV92" s="292"/>
      <c r="MSW92" s="293"/>
      <c r="MSX92" s="294"/>
      <c r="MTD92" s="292"/>
      <c r="MTE92" s="293"/>
      <c r="MTF92" s="294"/>
      <c r="MTL92" s="292"/>
      <c r="MTM92" s="293"/>
      <c r="MTN92" s="294"/>
      <c r="MTT92" s="292"/>
      <c r="MTU92" s="293"/>
      <c r="MTV92" s="294"/>
      <c r="MUB92" s="292"/>
      <c r="MUC92" s="293"/>
      <c r="MUD92" s="294"/>
      <c r="MUJ92" s="292"/>
      <c r="MUK92" s="293"/>
      <c r="MUL92" s="294"/>
      <c r="MUR92" s="292"/>
      <c r="MUS92" s="293"/>
      <c r="MUT92" s="294"/>
      <c r="MUZ92" s="292"/>
      <c r="MVA92" s="293"/>
      <c r="MVB92" s="294"/>
      <c r="MVH92" s="292"/>
      <c r="MVI92" s="293"/>
      <c r="MVJ92" s="294"/>
      <c r="MVP92" s="292"/>
      <c r="MVQ92" s="293"/>
      <c r="MVR92" s="294"/>
      <c r="MVX92" s="292"/>
      <c r="MVY92" s="293"/>
      <c r="MVZ92" s="294"/>
      <c r="MWF92" s="292"/>
      <c r="MWG92" s="293"/>
      <c r="MWH92" s="294"/>
      <c r="MWN92" s="292"/>
      <c r="MWO92" s="293"/>
      <c r="MWP92" s="294"/>
      <c r="MWV92" s="292"/>
      <c r="MWW92" s="293"/>
      <c r="MWX92" s="294"/>
      <c r="MXD92" s="292"/>
      <c r="MXE92" s="293"/>
      <c r="MXF92" s="294"/>
      <c r="MXL92" s="292"/>
      <c r="MXM92" s="293"/>
      <c r="MXN92" s="294"/>
      <c r="MXT92" s="292"/>
      <c r="MXU92" s="293"/>
      <c r="MXV92" s="294"/>
      <c r="MYB92" s="292"/>
      <c r="MYC92" s="293"/>
      <c r="MYD92" s="294"/>
      <c r="MYJ92" s="292"/>
      <c r="MYK92" s="293"/>
      <c r="MYL92" s="294"/>
      <c r="MYR92" s="292"/>
      <c r="MYS92" s="293"/>
      <c r="MYT92" s="294"/>
      <c r="MYZ92" s="292"/>
      <c r="MZA92" s="293"/>
      <c r="MZB92" s="294"/>
      <c r="MZH92" s="292"/>
      <c r="MZI92" s="293"/>
      <c r="MZJ92" s="294"/>
      <c r="MZP92" s="292"/>
      <c r="MZQ92" s="293"/>
      <c r="MZR92" s="294"/>
      <c r="MZX92" s="292"/>
      <c r="MZY92" s="293"/>
      <c r="MZZ92" s="294"/>
      <c r="NAF92" s="292"/>
      <c r="NAG92" s="293"/>
      <c r="NAH92" s="294"/>
      <c r="NAN92" s="292"/>
      <c r="NAO92" s="293"/>
      <c r="NAP92" s="294"/>
      <c r="NAV92" s="292"/>
      <c r="NAW92" s="293"/>
      <c r="NAX92" s="294"/>
      <c r="NBD92" s="292"/>
      <c r="NBE92" s="293"/>
      <c r="NBF92" s="294"/>
      <c r="NBL92" s="292"/>
      <c r="NBM92" s="293"/>
      <c r="NBN92" s="294"/>
      <c r="NBT92" s="292"/>
      <c r="NBU92" s="293"/>
      <c r="NBV92" s="294"/>
      <c r="NCB92" s="292"/>
      <c r="NCC92" s="293"/>
      <c r="NCD92" s="294"/>
      <c r="NCJ92" s="292"/>
      <c r="NCK92" s="293"/>
      <c r="NCL92" s="294"/>
      <c r="NCR92" s="292"/>
      <c r="NCS92" s="293"/>
      <c r="NCT92" s="294"/>
      <c r="NCZ92" s="292"/>
      <c r="NDA92" s="293"/>
      <c r="NDB92" s="294"/>
      <c r="NDH92" s="292"/>
      <c r="NDI92" s="293"/>
      <c r="NDJ92" s="294"/>
      <c r="NDP92" s="292"/>
      <c r="NDQ92" s="293"/>
      <c r="NDR92" s="294"/>
      <c r="NDX92" s="292"/>
      <c r="NDY92" s="293"/>
      <c r="NDZ92" s="294"/>
      <c r="NEF92" s="292"/>
      <c r="NEG92" s="293"/>
      <c r="NEH92" s="294"/>
      <c r="NEN92" s="292"/>
      <c r="NEO92" s="293"/>
      <c r="NEP92" s="294"/>
      <c r="NEV92" s="292"/>
      <c r="NEW92" s="293"/>
      <c r="NEX92" s="294"/>
      <c r="NFD92" s="292"/>
      <c r="NFE92" s="293"/>
      <c r="NFF92" s="294"/>
      <c r="NFL92" s="292"/>
      <c r="NFM92" s="293"/>
      <c r="NFN92" s="294"/>
      <c r="NFT92" s="292"/>
      <c r="NFU92" s="293"/>
      <c r="NFV92" s="294"/>
      <c r="NGB92" s="292"/>
      <c r="NGC92" s="293"/>
      <c r="NGD92" s="294"/>
      <c r="NGJ92" s="292"/>
      <c r="NGK92" s="293"/>
      <c r="NGL92" s="294"/>
      <c r="NGR92" s="292"/>
      <c r="NGS92" s="293"/>
      <c r="NGT92" s="294"/>
      <c r="NGZ92" s="292"/>
      <c r="NHA92" s="293"/>
      <c r="NHB92" s="294"/>
      <c r="NHH92" s="292"/>
      <c r="NHI92" s="293"/>
      <c r="NHJ92" s="294"/>
      <c r="NHP92" s="292"/>
      <c r="NHQ92" s="293"/>
      <c r="NHR92" s="294"/>
      <c r="NHX92" s="292"/>
      <c r="NHY92" s="293"/>
      <c r="NHZ92" s="294"/>
      <c r="NIF92" s="292"/>
      <c r="NIG92" s="293"/>
      <c r="NIH92" s="294"/>
      <c r="NIN92" s="292"/>
      <c r="NIO92" s="293"/>
      <c r="NIP92" s="294"/>
      <c r="NIV92" s="292"/>
      <c r="NIW92" s="293"/>
      <c r="NIX92" s="294"/>
      <c r="NJD92" s="292"/>
      <c r="NJE92" s="293"/>
      <c r="NJF92" s="294"/>
      <c r="NJL92" s="292"/>
      <c r="NJM92" s="293"/>
      <c r="NJN92" s="294"/>
      <c r="NJT92" s="292"/>
      <c r="NJU92" s="293"/>
      <c r="NJV92" s="294"/>
      <c r="NKB92" s="292"/>
      <c r="NKC92" s="293"/>
      <c r="NKD92" s="294"/>
      <c r="NKJ92" s="292"/>
      <c r="NKK92" s="293"/>
      <c r="NKL92" s="294"/>
      <c r="NKR92" s="292"/>
      <c r="NKS92" s="293"/>
      <c r="NKT92" s="294"/>
      <c r="NKZ92" s="292"/>
      <c r="NLA92" s="293"/>
      <c r="NLB92" s="294"/>
      <c r="NLH92" s="292"/>
      <c r="NLI92" s="293"/>
      <c r="NLJ92" s="294"/>
      <c r="NLP92" s="292"/>
      <c r="NLQ92" s="293"/>
      <c r="NLR92" s="294"/>
      <c r="NLX92" s="292"/>
      <c r="NLY92" s="293"/>
      <c r="NLZ92" s="294"/>
      <c r="NMF92" s="292"/>
      <c r="NMG92" s="293"/>
      <c r="NMH92" s="294"/>
      <c r="NMN92" s="292"/>
      <c r="NMO92" s="293"/>
      <c r="NMP92" s="294"/>
      <c r="NMV92" s="292"/>
      <c r="NMW92" s="293"/>
      <c r="NMX92" s="294"/>
      <c r="NND92" s="292"/>
      <c r="NNE92" s="293"/>
      <c r="NNF92" s="294"/>
      <c r="NNL92" s="292"/>
      <c r="NNM92" s="293"/>
      <c r="NNN92" s="294"/>
      <c r="NNT92" s="292"/>
      <c r="NNU92" s="293"/>
      <c r="NNV92" s="294"/>
      <c r="NOB92" s="292"/>
      <c r="NOC92" s="293"/>
      <c r="NOD92" s="294"/>
      <c r="NOJ92" s="292"/>
      <c r="NOK92" s="293"/>
      <c r="NOL92" s="294"/>
      <c r="NOR92" s="292"/>
      <c r="NOS92" s="293"/>
      <c r="NOT92" s="294"/>
      <c r="NOZ92" s="292"/>
      <c r="NPA92" s="293"/>
      <c r="NPB92" s="294"/>
      <c r="NPH92" s="292"/>
      <c r="NPI92" s="293"/>
      <c r="NPJ92" s="294"/>
      <c r="NPP92" s="292"/>
      <c r="NPQ92" s="293"/>
      <c r="NPR92" s="294"/>
      <c r="NPX92" s="292"/>
      <c r="NPY92" s="293"/>
      <c r="NPZ92" s="294"/>
      <c r="NQF92" s="292"/>
      <c r="NQG92" s="293"/>
      <c r="NQH92" s="294"/>
      <c r="NQN92" s="292"/>
      <c r="NQO92" s="293"/>
      <c r="NQP92" s="294"/>
      <c r="NQV92" s="292"/>
      <c r="NQW92" s="293"/>
      <c r="NQX92" s="294"/>
      <c r="NRD92" s="292"/>
      <c r="NRE92" s="293"/>
      <c r="NRF92" s="294"/>
      <c r="NRL92" s="292"/>
      <c r="NRM92" s="293"/>
      <c r="NRN92" s="294"/>
      <c r="NRT92" s="292"/>
      <c r="NRU92" s="293"/>
      <c r="NRV92" s="294"/>
      <c r="NSB92" s="292"/>
      <c r="NSC92" s="293"/>
      <c r="NSD92" s="294"/>
      <c r="NSJ92" s="292"/>
      <c r="NSK92" s="293"/>
      <c r="NSL92" s="294"/>
      <c r="NSR92" s="292"/>
      <c r="NSS92" s="293"/>
      <c r="NST92" s="294"/>
      <c r="NSZ92" s="292"/>
      <c r="NTA92" s="293"/>
      <c r="NTB92" s="294"/>
      <c r="NTH92" s="292"/>
      <c r="NTI92" s="293"/>
      <c r="NTJ92" s="294"/>
      <c r="NTP92" s="292"/>
      <c r="NTQ92" s="293"/>
      <c r="NTR92" s="294"/>
      <c r="NTX92" s="292"/>
      <c r="NTY92" s="293"/>
      <c r="NTZ92" s="294"/>
      <c r="NUF92" s="292"/>
      <c r="NUG92" s="293"/>
      <c r="NUH92" s="294"/>
      <c r="NUN92" s="292"/>
      <c r="NUO92" s="293"/>
      <c r="NUP92" s="294"/>
      <c r="NUV92" s="292"/>
      <c r="NUW92" s="293"/>
      <c r="NUX92" s="294"/>
      <c r="NVD92" s="292"/>
      <c r="NVE92" s="293"/>
      <c r="NVF92" s="294"/>
      <c r="NVL92" s="292"/>
      <c r="NVM92" s="293"/>
      <c r="NVN92" s="294"/>
      <c r="NVT92" s="292"/>
      <c r="NVU92" s="293"/>
      <c r="NVV92" s="294"/>
      <c r="NWB92" s="292"/>
      <c r="NWC92" s="293"/>
      <c r="NWD92" s="294"/>
      <c r="NWJ92" s="292"/>
      <c r="NWK92" s="293"/>
      <c r="NWL92" s="294"/>
      <c r="NWR92" s="292"/>
      <c r="NWS92" s="293"/>
      <c r="NWT92" s="294"/>
      <c r="NWZ92" s="292"/>
      <c r="NXA92" s="293"/>
      <c r="NXB92" s="294"/>
      <c r="NXH92" s="292"/>
      <c r="NXI92" s="293"/>
      <c r="NXJ92" s="294"/>
      <c r="NXP92" s="292"/>
      <c r="NXQ92" s="293"/>
      <c r="NXR92" s="294"/>
      <c r="NXX92" s="292"/>
      <c r="NXY92" s="293"/>
      <c r="NXZ92" s="294"/>
      <c r="NYF92" s="292"/>
      <c r="NYG92" s="293"/>
      <c r="NYH92" s="294"/>
      <c r="NYN92" s="292"/>
      <c r="NYO92" s="293"/>
      <c r="NYP92" s="294"/>
      <c r="NYV92" s="292"/>
      <c r="NYW92" s="293"/>
      <c r="NYX92" s="294"/>
      <c r="NZD92" s="292"/>
      <c r="NZE92" s="293"/>
      <c r="NZF92" s="294"/>
      <c r="NZL92" s="292"/>
      <c r="NZM92" s="293"/>
      <c r="NZN92" s="294"/>
      <c r="NZT92" s="292"/>
      <c r="NZU92" s="293"/>
      <c r="NZV92" s="294"/>
      <c r="OAB92" s="292"/>
      <c r="OAC92" s="293"/>
      <c r="OAD92" s="294"/>
      <c r="OAJ92" s="292"/>
      <c r="OAK92" s="293"/>
      <c r="OAL92" s="294"/>
      <c r="OAR92" s="292"/>
      <c r="OAS92" s="293"/>
      <c r="OAT92" s="294"/>
      <c r="OAZ92" s="292"/>
      <c r="OBA92" s="293"/>
      <c r="OBB92" s="294"/>
      <c r="OBH92" s="292"/>
      <c r="OBI92" s="293"/>
      <c r="OBJ92" s="294"/>
      <c r="OBP92" s="292"/>
      <c r="OBQ92" s="293"/>
      <c r="OBR92" s="294"/>
      <c r="OBX92" s="292"/>
      <c r="OBY92" s="293"/>
      <c r="OBZ92" s="294"/>
      <c r="OCF92" s="292"/>
      <c r="OCG92" s="293"/>
      <c r="OCH92" s="294"/>
      <c r="OCN92" s="292"/>
      <c r="OCO92" s="293"/>
      <c r="OCP92" s="294"/>
      <c r="OCV92" s="292"/>
      <c r="OCW92" s="293"/>
      <c r="OCX92" s="294"/>
      <c r="ODD92" s="292"/>
      <c r="ODE92" s="293"/>
      <c r="ODF92" s="294"/>
      <c r="ODL92" s="292"/>
      <c r="ODM92" s="293"/>
      <c r="ODN92" s="294"/>
      <c r="ODT92" s="292"/>
      <c r="ODU92" s="293"/>
      <c r="ODV92" s="294"/>
      <c r="OEB92" s="292"/>
      <c r="OEC92" s="293"/>
      <c r="OED92" s="294"/>
      <c r="OEJ92" s="292"/>
      <c r="OEK92" s="293"/>
      <c r="OEL92" s="294"/>
      <c r="OER92" s="292"/>
      <c r="OES92" s="293"/>
      <c r="OET92" s="294"/>
      <c r="OEZ92" s="292"/>
      <c r="OFA92" s="293"/>
      <c r="OFB92" s="294"/>
      <c r="OFH92" s="292"/>
      <c r="OFI92" s="293"/>
      <c r="OFJ92" s="294"/>
      <c r="OFP92" s="292"/>
      <c r="OFQ92" s="293"/>
      <c r="OFR92" s="294"/>
      <c r="OFX92" s="292"/>
      <c r="OFY92" s="293"/>
      <c r="OFZ92" s="294"/>
      <c r="OGF92" s="292"/>
      <c r="OGG92" s="293"/>
      <c r="OGH92" s="294"/>
      <c r="OGN92" s="292"/>
      <c r="OGO92" s="293"/>
      <c r="OGP92" s="294"/>
      <c r="OGV92" s="292"/>
      <c r="OGW92" s="293"/>
      <c r="OGX92" s="294"/>
      <c r="OHD92" s="292"/>
      <c r="OHE92" s="293"/>
      <c r="OHF92" s="294"/>
      <c r="OHL92" s="292"/>
      <c r="OHM92" s="293"/>
      <c r="OHN92" s="294"/>
      <c r="OHT92" s="292"/>
      <c r="OHU92" s="293"/>
      <c r="OHV92" s="294"/>
      <c r="OIB92" s="292"/>
      <c r="OIC92" s="293"/>
      <c r="OID92" s="294"/>
      <c r="OIJ92" s="292"/>
      <c r="OIK92" s="293"/>
      <c r="OIL92" s="294"/>
      <c r="OIR92" s="292"/>
      <c r="OIS92" s="293"/>
      <c r="OIT92" s="294"/>
      <c r="OIZ92" s="292"/>
      <c r="OJA92" s="293"/>
      <c r="OJB92" s="294"/>
      <c r="OJH92" s="292"/>
      <c r="OJI92" s="293"/>
      <c r="OJJ92" s="294"/>
      <c r="OJP92" s="292"/>
      <c r="OJQ92" s="293"/>
      <c r="OJR92" s="294"/>
      <c r="OJX92" s="292"/>
      <c r="OJY92" s="293"/>
      <c r="OJZ92" s="294"/>
      <c r="OKF92" s="292"/>
      <c r="OKG92" s="293"/>
      <c r="OKH92" s="294"/>
      <c r="OKN92" s="292"/>
      <c r="OKO92" s="293"/>
      <c r="OKP92" s="294"/>
      <c r="OKV92" s="292"/>
      <c r="OKW92" s="293"/>
      <c r="OKX92" s="294"/>
      <c r="OLD92" s="292"/>
      <c r="OLE92" s="293"/>
      <c r="OLF92" s="294"/>
      <c r="OLL92" s="292"/>
      <c r="OLM92" s="293"/>
      <c r="OLN92" s="294"/>
      <c r="OLT92" s="292"/>
      <c r="OLU92" s="293"/>
      <c r="OLV92" s="294"/>
      <c r="OMB92" s="292"/>
      <c r="OMC92" s="293"/>
      <c r="OMD92" s="294"/>
      <c r="OMJ92" s="292"/>
      <c r="OMK92" s="293"/>
      <c r="OML92" s="294"/>
      <c r="OMR92" s="292"/>
      <c r="OMS92" s="293"/>
      <c r="OMT92" s="294"/>
      <c r="OMZ92" s="292"/>
      <c r="ONA92" s="293"/>
      <c r="ONB92" s="294"/>
      <c r="ONH92" s="292"/>
      <c r="ONI92" s="293"/>
      <c r="ONJ92" s="294"/>
      <c r="ONP92" s="292"/>
      <c r="ONQ92" s="293"/>
      <c r="ONR92" s="294"/>
      <c r="ONX92" s="292"/>
      <c r="ONY92" s="293"/>
      <c r="ONZ92" s="294"/>
      <c r="OOF92" s="292"/>
      <c r="OOG92" s="293"/>
      <c r="OOH92" s="294"/>
      <c r="OON92" s="292"/>
      <c r="OOO92" s="293"/>
      <c r="OOP92" s="294"/>
      <c r="OOV92" s="292"/>
      <c r="OOW92" s="293"/>
      <c r="OOX92" s="294"/>
      <c r="OPD92" s="292"/>
      <c r="OPE92" s="293"/>
      <c r="OPF92" s="294"/>
      <c r="OPL92" s="292"/>
      <c r="OPM92" s="293"/>
      <c r="OPN92" s="294"/>
      <c r="OPT92" s="292"/>
      <c r="OPU92" s="293"/>
      <c r="OPV92" s="294"/>
      <c r="OQB92" s="292"/>
      <c r="OQC92" s="293"/>
      <c r="OQD92" s="294"/>
      <c r="OQJ92" s="292"/>
      <c r="OQK92" s="293"/>
      <c r="OQL92" s="294"/>
      <c r="OQR92" s="292"/>
      <c r="OQS92" s="293"/>
      <c r="OQT92" s="294"/>
      <c r="OQZ92" s="292"/>
      <c r="ORA92" s="293"/>
      <c r="ORB92" s="294"/>
      <c r="ORH92" s="292"/>
      <c r="ORI92" s="293"/>
      <c r="ORJ92" s="294"/>
      <c r="ORP92" s="292"/>
      <c r="ORQ92" s="293"/>
      <c r="ORR92" s="294"/>
      <c r="ORX92" s="292"/>
      <c r="ORY92" s="293"/>
      <c r="ORZ92" s="294"/>
      <c r="OSF92" s="292"/>
      <c r="OSG92" s="293"/>
      <c r="OSH92" s="294"/>
      <c r="OSN92" s="292"/>
      <c r="OSO92" s="293"/>
      <c r="OSP92" s="294"/>
      <c r="OSV92" s="292"/>
      <c r="OSW92" s="293"/>
      <c r="OSX92" s="294"/>
      <c r="OTD92" s="292"/>
      <c r="OTE92" s="293"/>
      <c r="OTF92" s="294"/>
      <c r="OTL92" s="292"/>
      <c r="OTM92" s="293"/>
      <c r="OTN92" s="294"/>
      <c r="OTT92" s="292"/>
      <c r="OTU92" s="293"/>
      <c r="OTV92" s="294"/>
      <c r="OUB92" s="292"/>
      <c r="OUC92" s="293"/>
      <c r="OUD92" s="294"/>
      <c r="OUJ92" s="292"/>
      <c r="OUK92" s="293"/>
      <c r="OUL92" s="294"/>
      <c r="OUR92" s="292"/>
      <c r="OUS92" s="293"/>
      <c r="OUT92" s="294"/>
      <c r="OUZ92" s="292"/>
      <c r="OVA92" s="293"/>
      <c r="OVB92" s="294"/>
      <c r="OVH92" s="292"/>
      <c r="OVI92" s="293"/>
      <c r="OVJ92" s="294"/>
      <c r="OVP92" s="292"/>
      <c r="OVQ92" s="293"/>
      <c r="OVR92" s="294"/>
      <c r="OVX92" s="292"/>
      <c r="OVY92" s="293"/>
      <c r="OVZ92" s="294"/>
      <c r="OWF92" s="292"/>
      <c r="OWG92" s="293"/>
      <c r="OWH92" s="294"/>
      <c r="OWN92" s="292"/>
      <c r="OWO92" s="293"/>
      <c r="OWP92" s="294"/>
      <c r="OWV92" s="292"/>
      <c r="OWW92" s="293"/>
      <c r="OWX92" s="294"/>
      <c r="OXD92" s="292"/>
      <c r="OXE92" s="293"/>
      <c r="OXF92" s="294"/>
      <c r="OXL92" s="292"/>
      <c r="OXM92" s="293"/>
      <c r="OXN92" s="294"/>
      <c r="OXT92" s="292"/>
      <c r="OXU92" s="293"/>
      <c r="OXV92" s="294"/>
      <c r="OYB92" s="292"/>
      <c r="OYC92" s="293"/>
      <c r="OYD92" s="294"/>
      <c r="OYJ92" s="292"/>
      <c r="OYK92" s="293"/>
      <c r="OYL92" s="294"/>
      <c r="OYR92" s="292"/>
      <c r="OYS92" s="293"/>
      <c r="OYT92" s="294"/>
      <c r="OYZ92" s="292"/>
      <c r="OZA92" s="293"/>
      <c r="OZB92" s="294"/>
      <c r="OZH92" s="292"/>
      <c r="OZI92" s="293"/>
      <c r="OZJ92" s="294"/>
      <c r="OZP92" s="292"/>
      <c r="OZQ92" s="293"/>
      <c r="OZR92" s="294"/>
      <c r="OZX92" s="292"/>
      <c r="OZY92" s="293"/>
      <c r="OZZ92" s="294"/>
      <c r="PAF92" s="292"/>
      <c r="PAG92" s="293"/>
      <c r="PAH92" s="294"/>
      <c r="PAN92" s="292"/>
      <c r="PAO92" s="293"/>
      <c r="PAP92" s="294"/>
      <c r="PAV92" s="292"/>
      <c r="PAW92" s="293"/>
      <c r="PAX92" s="294"/>
      <c r="PBD92" s="292"/>
      <c r="PBE92" s="293"/>
      <c r="PBF92" s="294"/>
      <c r="PBL92" s="292"/>
      <c r="PBM92" s="293"/>
      <c r="PBN92" s="294"/>
      <c r="PBT92" s="292"/>
      <c r="PBU92" s="293"/>
      <c r="PBV92" s="294"/>
      <c r="PCB92" s="292"/>
      <c r="PCC92" s="293"/>
      <c r="PCD92" s="294"/>
      <c r="PCJ92" s="292"/>
      <c r="PCK92" s="293"/>
      <c r="PCL92" s="294"/>
      <c r="PCR92" s="292"/>
      <c r="PCS92" s="293"/>
      <c r="PCT92" s="294"/>
      <c r="PCZ92" s="292"/>
      <c r="PDA92" s="293"/>
      <c r="PDB92" s="294"/>
      <c r="PDH92" s="292"/>
      <c r="PDI92" s="293"/>
      <c r="PDJ92" s="294"/>
      <c r="PDP92" s="292"/>
      <c r="PDQ92" s="293"/>
      <c r="PDR92" s="294"/>
      <c r="PDX92" s="292"/>
      <c r="PDY92" s="293"/>
      <c r="PDZ92" s="294"/>
      <c r="PEF92" s="292"/>
      <c r="PEG92" s="293"/>
      <c r="PEH92" s="294"/>
      <c r="PEN92" s="292"/>
      <c r="PEO92" s="293"/>
      <c r="PEP92" s="294"/>
      <c r="PEV92" s="292"/>
      <c r="PEW92" s="293"/>
      <c r="PEX92" s="294"/>
      <c r="PFD92" s="292"/>
      <c r="PFE92" s="293"/>
      <c r="PFF92" s="294"/>
      <c r="PFL92" s="292"/>
      <c r="PFM92" s="293"/>
      <c r="PFN92" s="294"/>
      <c r="PFT92" s="292"/>
      <c r="PFU92" s="293"/>
      <c r="PFV92" s="294"/>
      <c r="PGB92" s="292"/>
      <c r="PGC92" s="293"/>
      <c r="PGD92" s="294"/>
      <c r="PGJ92" s="292"/>
      <c r="PGK92" s="293"/>
      <c r="PGL92" s="294"/>
      <c r="PGR92" s="292"/>
      <c r="PGS92" s="293"/>
      <c r="PGT92" s="294"/>
      <c r="PGZ92" s="292"/>
      <c r="PHA92" s="293"/>
      <c r="PHB92" s="294"/>
      <c r="PHH92" s="292"/>
      <c r="PHI92" s="293"/>
      <c r="PHJ92" s="294"/>
      <c r="PHP92" s="292"/>
      <c r="PHQ92" s="293"/>
      <c r="PHR92" s="294"/>
      <c r="PHX92" s="292"/>
      <c r="PHY92" s="293"/>
      <c r="PHZ92" s="294"/>
      <c r="PIF92" s="292"/>
      <c r="PIG92" s="293"/>
      <c r="PIH92" s="294"/>
      <c r="PIN92" s="292"/>
      <c r="PIO92" s="293"/>
      <c r="PIP92" s="294"/>
      <c r="PIV92" s="292"/>
      <c r="PIW92" s="293"/>
      <c r="PIX92" s="294"/>
      <c r="PJD92" s="292"/>
      <c r="PJE92" s="293"/>
      <c r="PJF92" s="294"/>
      <c r="PJL92" s="292"/>
      <c r="PJM92" s="293"/>
      <c r="PJN92" s="294"/>
      <c r="PJT92" s="292"/>
      <c r="PJU92" s="293"/>
      <c r="PJV92" s="294"/>
      <c r="PKB92" s="292"/>
      <c r="PKC92" s="293"/>
      <c r="PKD92" s="294"/>
      <c r="PKJ92" s="292"/>
      <c r="PKK92" s="293"/>
      <c r="PKL92" s="294"/>
      <c r="PKR92" s="292"/>
      <c r="PKS92" s="293"/>
      <c r="PKT92" s="294"/>
      <c r="PKZ92" s="292"/>
      <c r="PLA92" s="293"/>
      <c r="PLB92" s="294"/>
      <c r="PLH92" s="292"/>
      <c r="PLI92" s="293"/>
      <c r="PLJ92" s="294"/>
      <c r="PLP92" s="292"/>
      <c r="PLQ92" s="293"/>
      <c r="PLR92" s="294"/>
      <c r="PLX92" s="292"/>
      <c r="PLY92" s="293"/>
      <c r="PLZ92" s="294"/>
      <c r="PMF92" s="292"/>
      <c r="PMG92" s="293"/>
      <c r="PMH92" s="294"/>
      <c r="PMN92" s="292"/>
      <c r="PMO92" s="293"/>
      <c r="PMP92" s="294"/>
      <c r="PMV92" s="292"/>
      <c r="PMW92" s="293"/>
      <c r="PMX92" s="294"/>
      <c r="PND92" s="292"/>
      <c r="PNE92" s="293"/>
      <c r="PNF92" s="294"/>
      <c r="PNL92" s="292"/>
      <c r="PNM92" s="293"/>
      <c r="PNN92" s="294"/>
      <c r="PNT92" s="292"/>
      <c r="PNU92" s="293"/>
      <c r="PNV92" s="294"/>
      <c r="POB92" s="292"/>
      <c r="POC92" s="293"/>
      <c r="POD92" s="294"/>
      <c r="POJ92" s="292"/>
      <c r="POK92" s="293"/>
      <c r="POL92" s="294"/>
      <c r="POR92" s="292"/>
      <c r="POS92" s="293"/>
      <c r="POT92" s="294"/>
      <c r="POZ92" s="292"/>
      <c r="PPA92" s="293"/>
      <c r="PPB92" s="294"/>
      <c r="PPH92" s="292"/>
      <c r="PPI92" s="293"/>
      <c r="PPJ92" s="294"/>
      <c r="PPP92" s="292"/>
      <c r="PPQ92" s="293"/>
      <c r="PPR92" s="294"/>
      <c r="PPX92" s="292"/>
      <c r="PPY92" s="293"/>
      <c r="PPZ92" s="294"/>
      <c r="PQF92" s="292"/>
      <c r="PQG92" s="293"/>
      <c r="PQH92" s="294"/>
      <c r="PQN92" s="292"/>
      <c r="PQO92" s="293"/>
      <c r="PQP92" s="294"/>
      <c r="PQV92" s="292"/>
      <c r="PQW92" s="293"/>
      <c r="PQX92" s="294"/>
      <c r="PRD92" s="292"/>
      <c r="PRE92" s="293"/>
      <c r="PRF92" s="294"/>
      <c r="PRL92" s="292"/>
      <c r="PRM92" s="293"/>
      <c r="PRN92" s="294"/>
      <c r="PRT92" s="292"/>
      <c r="PRU92" s="293"/>
      <c r="PRV92" s="294"/>
      <c r="PSB92" s="292"/>
      <c r="PSC92" s="293"/>
      <c r="PSD92" s="294"/>
      <c r="PSJ92" s="292"/>
      <c r="PSK92" s="293"/>
      <c r="PSL92" s="294"/>
      <c r="PSR92" s="292"/>
      <c r="PSS92" s="293"/>
      <c r="PST92" s="294"/>
      <c r="PSZ92" s="292"/>
      <c r="PTA92" s="293"/>
      <c r="PTB92" s="294"/>
      <c r="PTH92" s="292"/>
      <c r="PTI92" s="293"/>
      <c r="PTJ92" s="294"/>
      <c r="PTP92" s="292"/>
      <c r="PTQ92" s="293"/>
      <c r="PTR92" s="294"/>
      <c r="PTX92" s="292"/>
      <c r="PTY92" s="293"/>
      <c r="PTZ92" s="294"/>
      <c r="PUF92" s="292"/>
      <c r="PUG92" s="293"/>
      <c r="PUH92" s="294"/>
      <c r="PUN92" s="292"/>
      <c r="PUO92" s="293"/>
      <c r="PUP92" s="294"/>
      <c r="PUV92" s="292"/>
      <c r="PUW92" s="293"/>
      <c r="PUX92" s="294"/>
      <c r="PVD92" s="292"/>
      <c r="PVE92" s="293"/>
      <c r="PVF92" s="294"/>
      <c r="PVL92" s="292"/>
      <c r="PVM92" s="293"/>
      <c r="PVN92" s="294"/>
      <c r="PVT92" s="292"/>
      <c r="PVU92" s="293"/>
      <c r="PVV92" s="294"/>
      <c r="PWB92" s="292"/>
      <c r="PWC92" s="293"/>
      <c r="PWD92" s="294"/>
      <c r="PWJ92" s="292"/>
      <c r="PWK92" s="293"/>
      <c r="PWL92" s="294"/>
      <c r="PWR92" s="292"/>
      <c r="PWS92" s="293"/>
      <c r="PWT92" s="294"/>
      <c r="PWZ92" s="292"/>
      <c r="PXA92" s="293"/>
      <c r="PXB92" s="294"/>
      <c r="PXH92" s="292"/>
      <c r="PXI92" s="293"/>
      <c r="PXJ92" s="294"/>
      <c r="PXP92" s="292"/>
      <c r="PXQ92" s="293"/>
      <c r="PXR92" s="294"/>
      <c r="PXX92" s="292"/>
      <c r="PXY92" s="293"/>
      <c r="PXZ92" s="294"/>
      <c r="PYF92" s="292"/>
      <c r="PYG92" s="293"/>
      <c r="PYH92" s="294"/>
      <c r="PYN92" s="292"/>
      <c r="PYO92" s="293"/>
      <c r="PYP92" s="294"/>
      <c r="PYV92" s="292"/>
      <c r="PYW92" s="293"/>
      <c r="PYX92" s="294"/>
      <c r="PZD92" s="292"/>
      <c r="PZE92" s="293"/>
      <c r="PZF92" s="294"/>
      <c r="PZL92" s="292"/>
      <c r="PZM92" s="293"/>
      <c r="PZN92" s="294"/>
      <c r="PZT92" s="292"/>
      <c r="PZU92" s="293"/>
      <c r="PZV92" s="294"/>
      <c r="QAB92" s="292"/>
      <c r="QAC92" s="293"/>
      <c r="QAD92" s="294"/>
      <c r="QAJ92" s="292"/>
      <c r="QAK92" s="293"/>
      <c r="QAL92" s="294"/>
      <c r="QAR92" s="292"/>
      <c r="QAS92" s="293"/>
      <c r="QAT92" s="294"/>
      <c r="QAZ92" s="292"/>
      <c r="QBA92" s="293"/>
      <c r="QBB92" s="294"/>
      <c r="QBH92" s="292"/>
      <c r="QBI92" s="293"/>
      <c r="QBJ92" s="294"/>
      <c r="QBP92" s="292"/>
      <c r="QBQ92" s="293"/>
      <c r="QBR92" s="294"/>
      <c r="QBX92" s="292"/>
      <c r="QBY92" s="293"/>
      <c r="QBZ92" s="294"/>
      <c r="QCF92" s="292"/>
      <c r="QCG92" s="293"/>
      <c r="QCH92" s="294"/>
      <c r="QCN92" s="292"/>
      <c r="QCO92" s="293"/>
      <c r="QCP92" s="294"/>
      <c r="QCV92" s="292"/>
      <c r="QCW92" s="293"/>
      <c r="QCX92" s="294"/>
      <c r="QDD92" s="292"/>
      <c r="QDE92" s="293"/>
      <c r="QDF92" s="294"/>
      <c r="QDL92" s="292"/>
      <c r="QDM92" s="293"/>
      <c r="QDN92" s="294"/>
      <c r="QDT92" s="292"/>
      <c r="QDU92" s="293"/>
      <c r="QDV92" s="294"/>
      <c r="QEB92" s="292"/>
      <c r="QEC92" s="293"/>
      <c r="QED92" s="294"/>
      <c r="QEJ92" s="292"/>
      <c r="QEK92" s="293"/>
      <c r="QEL92" s="294"/>
      <c r="QER92" s="292"/>
      <c r="QES92" s="293"/>
      <c r="QET92" s="294"/>
      <c r="QEZ92" s="292"/>
      <c r="QFA92" s="293"/>
      <c r="QFB92" s="294"/>
      <c r="QFH92" s="292"/>
      <c r="QFI92" s="293"/>
      <c r="QFJ92" s="294"/>
      <c r="QFP92" s="292"/>
      <c r="QFQ92" s="293"/>
      <c r="QFR92" s="294"/>
      <c r="QFX92" s="292"/>
      <c r="QFY92" s="293"/>
      <c r="QFZ92" s="294"/>
      <c r="QGF92" s="292"/>
      <c r="QGG92" s="293"/>
      <c r="QGH92" s="294"/>
      <c r="QGN92" s="292"/>
      <c r="QGO92" s="293"/>
      <c r="QGP92" s="294"/>
      <c r="QGV92" s="292"/>
      <c r="QGW92" s="293"/>
      <c r="QGX92" s="294"/>
      <c r="QHD92" s="292"/>
      <c r="QHE92" s="293"/>
      <c r="QHF92" s="294"/>
      <c r="QHL92" s="292"/>
      <c r="QHM92" s="293"/>
      <c r="QHN92" s="294"/>
      <c r="QHT92" s="292"/>
      <c r="QHU92" s="293"/>
      <c r="QHV92" s="294"/>
      <c r="QIB92" s="292"/>
      <c r="QIC92" s="293"/>
      <c r="QID92" s="294"/>
      <c r="QIJ92" s="292"/>
      <c r="QIK92" s="293"/>
      <c r="QIL92" s="294"/>
      <c r="QIR92" s="292"/>
      <c r="QIS92" s="293"/>
      <c r="QIT92" s="294"/>
      <c r="QIZ92" s="292"/>
      <c r="QJA92" s="293"/>
      <c r="QJB92" s="294"/>
      <c r="QJH92" s="292"/>
      <c r="QJI92" s="293"/>
      <c r="QJJ92" s="294"/>
      <c r="QJP92" s="292"/>
      <c r="QJQ92" s="293"/>
      <c r="QJR92" s="294"/>
      <c r="QJX92" s="292"/>
      <c r="QJY92" s="293"/>
      <c r="QJZ92" s="294"/>
      <c r="QKF92" s="292"/>
      <c r="QKG92" s="293"/>
      <c r="QKH92" s="294"/>
      <c r="QKN92" s="292"/>
      <c r="QKO92" s="293"/>
      <c r="QKP92" s="294"/>
      <c r="QKV92" s="292"/>
      <c r="QKW92" s="293"/>
      <c r="QKX92" s="294"/>
      <c r="QLD92" s="292"/>
      <c r="QLE92" s="293"/>
      <c r="QLF92" s="294"/>
      <c r="QLL92" s="292"/>
      <c r="QLM92" s="293"/>
      <c r="QLN92" s="294"/>
      <c r="QLT92" s="292"/>
      <c r="QLU92" s="293"/>
      <c r="QLV92" s="294"/>
      <c r="QMB92" s="292"/>
      <c r="QMC92" s="293"/>
      <c r="QMD92" s="294"/>
      <c r="QMJ92" s="292"/>
      <c r="QMK92" s="293"/>
      <c r="QML92" s="294"/>
      <c r="QMR92" s="292"/>
      <c r="QMS92" s="293"/>
      <c r="QMT92" s="294"/>
      <c r="QMZ92" s="292"/>
      <c r="QNA92" s="293"/>
      <c r="QNB92" s="294"/>
      <c r="QNH92" s="292"/>
      <c r="QNI92" s="293"/>
      <c r="QNJ92" s="294"/>
      <c r="QNP92" s="292"/>
      <c r="QNQ92" s="293"/>
      <c r="QNR92" s="294"/>
      <c r="QNX92" s="292"/>
      <c r="QNY92" s="293"/>
      <c r="QNZ92" s="294"/>
      <c r="QOF92" s="292"/>
      <c r="QOG92" s="293"/>
      <c r="QOH92" s="294"/>
      <c r="QON92" s="292"/>
      <c r="QOO92" s="293"/>
      <c r="QOP92" s="294"/>
      <c r="QOV92" s="292"/>
      <c r="QOW92" s="293"/>
      <c r="QOX92" s="294"/>
      <c r="QPD92" s="292"/>
      <c r="QPE92" s="293"/>
      <c r="QPF92" s="294"/>
      <c r="QPL92" s="292"/>
      <c r="QPM92" s="293"/>
      <c r="QPN92" s="294"/>
      <c r="QPT92" s="292"/>
      <c r="QPU92" s="293"/>
      <c r="QPV92" s="294"/>
      <c r="QQB92" s="292"/>
      <c r="QQC92" s="293"/>
      <c r="QQD92" s="294"/>
      <c r="QQJ92" s="292"/>
      <c r="QQK92" s="293"/>
      <c r="QQL92" s="294"/>
      <c r="QQR92" s="292"/>
      <c r="QQS92" s="293"/>
      <c r="QQT92" s="294"/>
      <c r="QQZ92" s="292"/>
      <c r="QRA92" s="293"/>
      <c r="QRB92" s="294"/>
      <c r="QRH92" s="292"/>
      <c r="QRI92" s="293"/>
      <c r="QRJ92" s="294"/>
      <c r="QRP92" s="292"/>
      <c r="QRQ92" s="293"/>
      <c r="QRR92" s="294"/>
      <c r="QRX92" s="292"/>
      <c r="QRY92" s="293"/>
      <c r="QRZ92" s="294"/>
      <c r="QSF92" s="292"/>
      <c r="QSG92" s="293"/>
      <c r="QSH92" s="294"/>
      <c r="QSN92" s="292"/>
      <c r="QSO92" s="293"/>
      <c r="QSP92" s="294"/>
      <c r="QSV92" s="292"/>
      <c r="QSW92" s="293"/>
      <c r="QSX92" s="294"/>
      <c r="QTD92" s="292"/>
      <c r="QTE92" s="293"/>
      <c r="QTF92" s="294"/>
      <c r="QTL92" s="292"/>
      <c r="QTM92" s="293"/>
      <c r="QTN92" s="294"/>
      <c r="QTT92" s="292"/>
      <c r="QTU92" s="293"/>
      <c r="QTV92" s="294"/>
      <c r="QUB92" s="292"/>
      <c r="QUC92" s="293"/>
      <c r="QUD92" s="294"/>
      <c r="QUJ92" s="292"/>
      <c r="QUK92" s="293"/>
      <c r="QUL92" s="294"/>
      <c r="QUR92" s="292"/>
      <c r="QUS92" s="293"/>
      <c r="QUT92" s="294"/>
      <c r="QUZ92" s="292"/>
      <c r="QVA92" s="293"/>
      <c r="QVB92" s="294"/>
      <c r="QVH92" s="292"/>
      <c r="QVI92" s="293"/>
      <c r="QVJ92" s="294"/>
      <c r="QVP92" s="292"/>
      <c r="QVQ92" s="293"/>
      <c r="QVR92" s="294"/>
      <c r="QVX92" s="292"/>
      <c r="QVY92" s="293"/>
      <c r="QVZ92" s="294"/>
      <c r="QWF92" s="292"/>
      <c r="QWG92" s="293"/>
      <c r="QWH92" s="294"/>
      <c r="QWN92" s="292"/>
      <c r="QWO92" s="293"/>
      <c r="QWP92" s="294"/>
      <c r="QWV92" s="292"/>
      <c r="QWW92" s="293"/>
      <c r="QWX92" s="294"/>
      <c r="QXD92" s="292"/>
      <c r="QXE92" s="293"/>
      <c r="QXF92" s="294"/>
      <c r="QXL92" s="292"/>
      <c r="QXM92" s="293"/>
      <c r="QXN92" s="294"/>
      <c r="QXT92" s="292"/>
      <c r="QXU92" s="293"/>
      <c r="QXV92" s="294"/>
      <c r="QYB92" s="292"/>
      <c r="QYC92" s="293"/>
      <c r="QYD92" s="294"/>
      <c r="QYJ92" s="292"/>
      <c r="QYK92" s="293"/>
      <c r="QYL92" s="294"/>
      <c r="QYR92" s="292"/>
      <c r="QYS92" s="293"/>
      <c r="QYT92" s="294"/>
      <c r="QYZ92" s="292"/>
      <c r="QZA92" s="293"/>
      <c r="QZB92" s="294"/>
      <c r="QZH92" s="292"/>
      <c r="QZI92" s="293"/>
      <c r="QZJ92" s="294"/>
      <c r="QZP92" s="292"/>
      <c r="QZQ92" s="293"/>
      <c r="QZR92" s="294"/>
      <c r="QZX92" s="292"/>
      <c r="QZY92" s="293"/>
      <c r="QZZ92" s="294"/>
      <c r="RAF92" s="292"/>
      <c r="RAG92" s="293"/>
      <c r="RAH92" s="294"/>
      <c r="RAN92" s="292"/>
      <c r="RAO92" s="293"/>
      <c r="RAP92" s="294"/>
      <c r="RAV92" s="292"/>
      <c r="RAW92" s="293"/>
      <c r="RAX92" s="294"/>
      <c r="RBD92" s="292"/>
      <c r="RBE92" s="293"/>
      <c r="RBF92" s="294"/>
      <c r="RBL92" s="292"/>
      <c r="RBM92" s="293"/>
      <c r="RBN92" s="294"/>
      <c r="RBT92" s="292"/>
      <c r="RBU92" s="293"/>
      <c r="RBV92" s="294"/>
      <c r="RCB92" s="292"/>
      <c r="RCC92" s="293"/>
      <c r="RCD92" s="294"/>
      <c r="RCJ92" s="292"/>
      <c r="RCK92" s="293"/>
      <c r="RCL92" s="294"/>
      <c r="RCR92" s="292"/>
      <c r="RCS92" s="293"/>
      <c r="RCT92" s="294"/>
      <c r="RCZ92" s="292"/>
      <c r="RDA92" s="293"/>
      <c r="RDB92" s="294"/>
      <c r="RDH92" s="292"/>
      <c r="RDI92" s="293"/>
      <c r="RDJ92" s="294"/>
      <c r="RDP92" s="292"/>
      <c r="RDQ92" s="293"/>
      <c r="RDR92" s="294"/>
      <c r="RDX92" s="292"/>
      <c r="RDY92" s="293"/>
      <c r="RDZ92" s="294"/>
      <c r="REF92" s="292"/>
      <c r="REG92" s="293"/>
      <c r="REH92" s="294"/>
      <c r="REN92" s="292"/>
      <c r="REO92" s="293"/>
      <c r="REP92" s="294"/>
      <c r="REV92" s="292"/>
      <c r="REW92" s="293"/>
      <c r="REX92" s="294"/>
      <c r="RFD92" s="292"/>
      <c r="RFE92" s="293"/>
      <c r="RFF92" s="294"/>
      <c r="RFL92" s="292"/>
      <c r="RFM92" s="293"/>
      <c r="RFN92" s="294"/>
      <c r="RFT92" s="292"/>
      <c r="RFU92" s="293"/>
      <c r="RFV92" s="294"/>
      <c r="RGB92" s="292"/>
      <c r="RGC92" s="293"/>
      <c r="RGD92" s="294"/>
      <c r="RGJ92" s="292"/>
      <c r="RGK92" s="293"/>
      <c r="RGL92" s="294"/>
      <c r="RGR92" s="292"/>
      <c r="RGS92" s="293"/>
      <c r="RGT92" s="294"/>
      <c r="RGZ92" s="292"/>
      <c r="RHA92" s="293"/>
      <c r="RHB92" s="294"/>
      <c r="RHH92" s="292"/>
      <c r="RHI92" s="293"/>
      <c r="RHJ92" s="294"/>
      <c r="RHP92" s="292"/>
      <c r="RHQ92" s="293"/>
      <c r="RHR92" s="294"/>
      <c r="RHX92" s="292"/>
      <c r="RHY92" s="293"/>
      <c r="RHZ92" s="294"/>
      <c r="RIF92" s="292"/>
      <c r="RIG92" s="293"/>
      <c r="RIH92" s="294"/>
      <c r="RIN92" s="292"/>
      <c r="RIO92" s="293"/>
      <c r="RIP92" s="294"/>
      <c r="RIV92" s="292"/>
      <c r="RIW92" s="293"/>
      <c r="RIX92" s="294"/>
      <c r="RJD92" s="292"/>
      <c r="RJE92" s="293"/>
      <c r="RJF92" s="294"/>
      <c r="RJL92" s="292"/>
      <c r="RJM92" s="293"/>
      <c r="RJN92" s="294"/>
      <c r="RJT92" s="292"/>
      <c r="RJU92" s="293"/>
      <c r="RJV92" s="294"/>
      <c r="RKB92" s="292"/>
      <c r="RKC92" s="293"/>
      <c r="RKD92" s="294"/>
      <c r="RKJ92" s="292"/>
      <c r="RKK92" s="293"/>
      <c r="RKL92" s="294"/>
      <c r="RKR92" s="292"/>
      <c r="RKS92" s="293"/>
      <c r="RKT92" s="294"/>
      <c r="RKZ92" s="292"/>
      <c r="RLA92" s="293"/>
      <c r="RLB92" s="294"/>
      <c r="RLH92" s="292"/>
      <c r="RLI92" s="293"/>
      <c r="RLJ92" s="294"/>
      <c r="RLP92" s="292"/>
      <c r="RLQ92" s="293"/>
      <c r="RLR92" s="294"/>
      <c r="RLX92" s="292"/>
      <c r="RLY92" s="293"/>
      <c r="RLZ92" s="294"/>
      <c r="RMF92" s="292"/>
      <c r="RMG92" s="293"/>
      <c r="RMH92" s="294"/>
      <c r="RMN92" s="292"/>
      <c r="RMO92" s="293"/>
      <c r="RMP92" s="294"/>
      <c r="RMV92" s="292"/>
      <c r="RMW92" s="293"/>
      <c r="RMX92" s="294"/>
      <c r="RND92" s="292"/>
      <c r="RNE92" s="293"/>
      <c r="RNF92" s="294"/>
      <c r="RNL92" s="292"/>
      <c r="RNM92" s="293"/>
      <c r="RNN92" s="294"/>
      <c r="RNT92" s="292"/>
      <c r="RNU92" s="293"/>
      <c r="RNV92" s="294"/>
      <c r="ROB92" s="292"/>
      <c r="ROC92" s="293"/>
      <c r="ROD92" s="294"/>
      <c r="ROJ92" s="292"/>
      <c r="ROK92" s="293"/>
      <c r="ROL92" s="294"/>
      <c r="ROR92" s="292"/>
      <c r="ROS92" s="293"/>
      <c r="ROT92" s="294"/>
      <c r="ROZ92" s="292"/>
      <c r="RPA92" s="293"/>
      <c r="RPB92" s="294"/>
      <c r="RPH92" s="292"/>
      <c r="RPI92" s="293"/>
      <c r="RPJ92" s="294"/>
      <c r="RPP92" s="292"/>
      <c r="RPQ92" s="293"/>
      <c r="RPR92" s="294"/>
      <c r="RPX92" s="292"/>
      <c r="RPY92" s="293"/>
      <c r="RPZ92" s="294"/>
      <c r="RQF92" s="292"/>
      <c r="RQG92" s="293"/>
      <c r="RQH92" s="294"/>
      <c r="RQN92" s="292"/>
      <c r="RQO92" s="293"/>
      <c r="RQP92" s="294"/>
      <c r="RQV92" s="292"/>
      <c r="RQW92" s="293"/>
      <c r="RQX92" s="294"/>
      <c r="RRD92" s="292"/>
      <c r="RRE92" s="293"/>
      <c r="RRF92" s="294"/>
      <c r="RRL92" s="292"/>
      <c r="RRM92" s="293"/>
      <c r="RRN92" s="294"/>
      <c r="RRT92" s="292"/>
      <c r="RRU92" s="293"/>
      <c r="RRV92" s="294"/>
      <c r="RSB92" s="292"/>
      <c r="RSC92" s="293"/>
      <c r="RSD92" s="294"/>
      <c r="RSJ92" s="292"/>
      <c r="RSK92" s="293"/>
      <c r="RSL92" s="294"/>
      <c r="RSR92" s="292"/>
      <c r="RSS92" s="293"/>
      <c r="RST92" s="294"/>
      <c r="RSZ92" s="292"/>
      <c r="RTA92" s="293"/>
      <c r="RTB92" s="294"/>
      <c r="RTH92" s="292"/>
      <c r="RTI92" s="293"/>
      <c r="RTJ92" s="294"/>
      <c r="RTP92" s="292"/>
      <c r="RTQ92" s="293"/>
      <c r="RTR92" s="294"/>
      <c r="RTX92" s="292"/>
      <c r="RTY92" s="293"/>
      <c r="RTZ92" s="294"/>
      <c r="RUF92" s="292"/>
      <c r="RUG92" s="293"/>
      <c r="RUH92" s="294"/>
      <c r="RUN92" s="292"/>
      <c r="RUO92" s="293"/>
      <c r="RUP92" s="294"/>
      <c r="RUV92" s="292"/>
      <c r="RUW92" s="293"/>
      <c r="RUX92" s="294"/>
      <c r="RVD92" s="292"/>
      <c r="RVE92" s="293"/>
      <c r="RVF92" s="294"/>
      <c r="RVL92" s="292"/>
      <c r="RVM92" s="293"/>
      <c r="RVN92" s="294"/>
      <c r="RVT92" s="292"/>
      <c r="RVU92" s="293"/>
      <c r="RVV92" s="294"/>
      <c r="RWB92" s="292"/>
      <c r="RWC92" s="293"/>
      <c r="RWD92" s="294"/>
      <c r="RWJ92" s="292"/>
      <c r="RWK92" s="293"/>
      <c r="RWL92" s="294"/>
      <c r="RWR92" s="292"/>
      <c r="RWS92" s="293"/>
      <c r="RWT92" s="294"/>
      <c r="RWZ92" s="292"/>
      <c r="RXA92" s="293"/>
      <c r="RXB92" s="294"/>
      <c r="RXH92" s="292"/>
      <c r="RXI92" s="293"/>
      <c r="RXJ92" s="294"/>
      <c r="RXP92" s="292"/>
      <c r="RXQ92" s="293"/>
      <c r="RXR92" s="294"/>
      <c r="RXX92" s="292"/>
      <c r="RXY92" s="293"/>
      <c r="RXZ92" s="294"/>
      <c r="RYF92" s="292"/>
      <c r="RYG92" s="293"/>
      <c r="RYH92" s="294"/>
      <c r="RYN92" s="292"/>
      <c r="RYO92" s="293"/>
      <c r="RYP92" s="294"/>
      <c r="RYV92" s="292"/>
      <c r="RYW92" s="293"/>
      <c r="RYX92" s="294"/>
      <c r="RZD92" s="292"/>
      <c r="RZE92" s="293"/>
      <c r="RZF92" s="294"/>
      <c r="RZL92" s="292"/>
      <c r="RZM92" s="293"/>
      <c r="RZN92" s="294"/>
      <c r="RZT92" s="292"/>
      <c r="RZU92" s="293"/>
      <c r="RZV92" s="294"/>
      <c r="SAB92" s="292"/>
      <c r="SAC92" s="293"/>
      <c r="SAD92" s="294"/>
      <c r="SAJ92" s="292"/>
      <c r="SAK92" s="293"/>
      <c r="SAL92" s="294"/>
      <c r="SAR92" s="292"/>
      <c r="SAS92" s="293"/>
      <c r="SAT92" s="294"/>
      <c r="SAZ92" s="292"/>
      <c r="SBA92" s="293"/>
      <c r="SBB92" s="294"/>
      <c r="SBH92" s="292"/>
      <c r="SBI92" s="293"/>
      <c r="SBJ92" s="294"/>
      <c r="SBP92" s="292"/>
      <c r="SBQ92" s="293"/>
      <c r="SBR92" s="294"/>
      <c r="SBX92" s="292"/>
      <c r="SBY92" s="293"/>
      <c r="SBZ92" s="294"/>
      <c r="SCF92" s="292"/>
      <c r="SCG92" s="293"/>
      <c r="SCH92" s="294"/>
      <c r="SCN92" s="292"/>
      <c r="SCO92" s="293"/>
      <c r="SCP92" s="294"/>
      <c r="SCV92" s="292"/>
      <c r="SCW92" s="293"/>
      <c r="SCX92" s="294"/>
      <c r="SDD92" s="292"/>
      <c r="SDE92" s="293"/>
      <c r="SDF92" s="294"/>
      <c r="SDL92" s="292"/>
      <c r="SDM92" s="293"/>
      <c r="SDN92" s="294"/>
      <c r="SDT92" s="292"/>
      <c r="SDU92" s="293"/>
      <c r="SDV92" s="294"/>
      <c r="SEB92" s="292"/>
      <c r="SEC92" s="293"/>
      <c r="SED92" s="294"/>
      <c r="SEJ92" s="292"/>
      <c r="SEK92" s="293"/>
      <c r="SEL92" s="294"/>
      <c r="SER92" s="292"/>
      <c r="SES92" s="293"/>
      <c r="SET92" s="294"/>
      <c r="SEZ92" s="292"/>
      <c r="SFA92" s="293"/>
      <c r="SFB92" s="294"/>
      <c r="SFH92" s="292"/>
      <c r="SFI92" s="293"/>
      <c r="SFJ92" s="294"/>
      <c r="SFP92" s="292"/>
      <c r="SFQ92" s="293"/>
      <c r="SFR92" s="294"/>
      <c r="SFX92" s="292"/>
      <c r="SFY92" s="293"/>
      <c r="SFZ92" s="294"/>
      <c r="SGF92" s="292"/>
      <c r="SGG92" s="293"/>
      <c r="SGH92" s="294"/>
      <c r="SGN92" s="292"/>
      <c r="SGO92" s="293"/>
      <c r="SGP92" s="294"/>
      <c r="SGV92" s="292"/>
      <c r="SGW92" s="293"/>
      <c r="SGX92" s="294"/>
      <c r="SHD92" s="292"/>
      <c r="SHE92" s="293"/>
      <c r="SHF92" s="294"/>
      <c r="SHL92" s="292"/>
      <c r="SHM92" s="293"/>
      <c r="SHN92" s="294"/>
      <c r="SHT92" s="292"/>
      <c r="SHU92" s="293"/>
      <c r="SHV92" s="294"/>
      <c r="SIB92" s="292"/>
      <c r="SIC92" s="293"/>
      <c r="SID92" s="294"/>
      <c r="SIJ92" s="292"/>
      <c r="SIK92" s="293"/>
      <c r="SIL92" s="294"/>
      <c r="SIR92" s="292"/>
      <c r="SIS92" s="293"/>
      <c r="SIT92" s="294"/>
      <c r="SIZ92" s="292"/>
      <c r="SJA92" s="293"/>
      <c r="SJB92" s="294"/>
      <c r="SJH92" s="292"/>
      <c r="SJI92" s="293"/>
      <c r="SJJ92" s="294"/>
      <c r="SJP92" s="292"/>
      <c r="SJQ92" s="293"/>
      <c r="SJR92" s="294"/>
      <c r="SJX92" s="292"/>
      <c r="SJY92" s="293"/>
      <c r="SJZ92" s="294"/>
      <c r="SKF92" s="292"/>
      <c r="SKG92" s="293"/>
      <c r="SKH92" s="294"/>
      <c r="SKN92" s="292"/>
      <c r="SKO92" s="293"/>
      <c r="SKP92" s="294"/>
      <c r="SKV92" s="292"/>
      <c r="SKW92" s="293"/>
      <c r="SKX92" s="294"/>
      <c r="SLD92" s="292"/>
      <c r="SLE92" s="293"/>
      <c r="SLF92" s="294"/>
      <c r="SLL92" s="292"/>
      <c r="SLM92" s="293"/>
      <c r="SLN92" s="294"/>
      <c r="SLT92" s="292"/>
      <c r="SLU92" s="293"/>
      <c r="SLV92" s="294"/>
      <c r="SMB92" s="292"/>
      <c r="SMC92" s="293"/>
      <c r="SMD92" s="294"/>
      <c r="SMJ92" s="292"/>
      <c r="SMK92" s="293"/>
      <c r="SML92" s="294"/>
      <c r="SMR92" s="292"/>
      <c r="SMS92" s="293"/>
      <c r="SMT92" s="294"/>
      <c r="SMZ92" s="292"/>
      <c r="SNA92" s="293"/>
      <c r="SNB92" s="294"/>
      <c r="SNH92" s="292"/>
      <c r="SNI92" s="293"/>
      <c r="SNJ92" s="294"/>
      <c r="SNP92" s="292"/>
      <c r="SNQ92" s="293"/>
      <c r="SNR92" s="294"/>
      <c r="SNX92" s="292"/>
      <c r="SNY92" s="293"/>
      <c r="SNZ92" s="294"/>
      <c r="SOF92" s="292"/>
      <c r="SOG92" s="293"/>
      <c r="SOH92" s="294"/>
      <c r="SON92" s="292"/>
      <c r="SOO92" s="293"/>
      <c r="SOP92" s="294"/>
      <c r="SOV92" s="292"/>
      <c r="SOW92" s="293"/>
      <c r="SOX92" s="294"/>
      <c r="SPD92" s="292"/>
      <c r="SPE92" s="293"/>
      <c r="SPF92" s="294"/>
      <c r="SPL92" s="292"/>
      <c r="SPM92" s="293"/>
      <c r="SPN92" s="294"/>
      <c r="SPT92" s="292"/>
      <c r="SPU92" s="293"/>
      <c r="SPV92" s="294"/>
      <c r="SQB92" s="292"/>
      <c r="SQC92" s="293"/>
      <c r="SQD92" s="294"/>
      <c r="SQJ92" s="292"/>
      <c r="SQK92" s="293"/>
      <c r="SQL92" s="294"/>
      <c r="SQR92" s="292"/>
      <c r="SQS92" s="293"/>
      <c r="SQT92" s="294"/>
      <c r="SQZ92" s="292"/>
      <c r="SRA92" s="293"/>
      <c r="SRB92" s="294"/>
      <c r="SRH92" s="292"/>
      <c r="SRI92" s="293"/>
      <c r="SRJ92" s="294"/>
      <c r="SRP92" s="292"/>
      <c r="SRQ92" s="293"/>
      <c r="SRR92" s="294"/>
      <c r="SRX92" s="292"/>
      <c r="SRY92" s="293"/>
      <c r="SRZ92" s="294"/>
      <c r="SSF92" s="292"/>
      <c r="SSG92" s="293"/>
      <c r="SSH92" s="294"/>
      <c r="SSN92" s="292"/>
      <c r="SSO92" s="293"/>
      <c r="SSP92" s="294"/>
      <c r="SSV92" s="292"/>
      <c r="SSW92" s="293"/>
      <c r="SSX92" s="294"/>
      <c r="STD92" s="292"/>
      <c r="STE92" s="293"/>
      <c r="STF92" s="294"/>
      <c r="STL92" s="292"/>
      <c r="STM92" s="293"/>
      <c r="STN92" s="294"/>
      <c r="STT92" s="292"/>
      <c r="STU92" s="293"/>
      <c r="STV92" s="294"/>
      <c r="SUB92" s="292"/>
      <c r="SUC92" s="293"/>
      <c r="SUD92" s="294"/>
      <c r="SUJ92" s="292"/>
      <c r="SUK92" s="293"/>
      <c r="SUL92" s="294"/>
      <c r="SUR92" s="292"/>
      <c r="SUS92" s="293"/>
      <c r="SUT92" s="294"/>
      <c r="SUZ92" s="292"/>
      <c r="SVA92" s="293"/>
      <c r="SVB92" s="294"/>
      <c r="SVH92" s="292"/>
      <c r="SVI92" s="293"/>
      <c r="SVJ92" s="294"/>
      <c r="SVP92" s="292"/>
      <c r="SVQ92" s="293"/>
      <c r="SVR92" s="294"/>
      <c r="SVX92" s="292"/>
      <c r="SVY92" s="293"/>
      <c r="SVZ92" s="294"/>
      <c r="SWF92" s="292"/>
      <c r="SWG92" s="293"/>
      <c r="SWH92" s="294"/>
      <c r="SWN92" s="292"/>
      <c r="SWO92" s="293"/>
      <c r="SWP92" s="294"/>
      <c r="SWV92" s="292"/>
      <c r="SWW92" s="293"/>
      <c r="SWX92" s="294"/>
      <c r="SXD92" s="292"/>
      <c r="SXE92" s="293"/>
      <c r="SXF92" s="294"/>
      <c r="SXL92" s="292"/>
      <c r="SXM92" s="293"/>
      <c r="SXN92" s="294"/>
      <c r="SXT92" s="292"/>
      <c r="SXU92" s="293"/>
      <c r="SXV92" s="294"/>
      <c r="SYB92" s="292"/>
      <c r="SYC92" s="293"/>
      <c r="SYD92" s="294"/>
      <c r="SYJ92" s="292"/>
      <c r="SYK92" s="293"/>
      <c r="SYL92" s="294"/>
      <c r="SYR92" s="292"/>
      <c r="SYS92" s="293"/>
      <c r="SYT92" s="294"/>
      <c r="SYZ92" s="292"/>
      <c r="SZA92" s="293"/>
      <c r="SZB92" s="294"/>
      <c r="SZH92" s="292"/>
      <c r="SZI92" s="293"/>
      <c r="SZJ92" s="294"/>
      <c r="SZP92" s="292"/>
      <c r="SZQ92" s="293"/>
      <c r="SZR92" s="294"/>
      <c r="SZX92" s="292"/>
      <c r="SZY92" s="293"/>
      <c r="SZZ92" s="294"/>
      <c r="TAF92" s="292"/>
      <c r="TAG92" s="293"/>
      <c r="TAH92" s="294"/>
      <c r="TAN92" s="292"/>
      <c r="TAO92" s="293"/>
      <c r="TAP92" s="294"/>
      <c r="TAV92" s="292"/>
      <c r="TAW92" s="293"/>
      <c r="TAX92" s="294"/>
      <c r="TBD92" s="292"/>
      <c r="TBE92" s="293"/>
      <c r="TBF92" s="294"/>
      <c r="TBL92" s="292"/>
      <c r="TBM92" s="293"/>
      <c r="TBN92" s="294"/>
      <c r="TBT92" s="292"/>
      <c r="TBU92" s="293"/>
      <c r="TBV92" s="294"/>
      <c r="TCB92" s="292"/>
      <c r="TCC92" s="293"/>
      <c r="TCD92" s="294"/>
      <c r="TCJ92" s="292"/>
      <c r="TCK92" s="293"/>
      <c r="TCL92" s="294"/>
      <c r="TCR92" s="292"/>
      <c r="TCS92" s="293"/>
      <c r="TCT92" s="294"/>
      <c r="TCZ92" s="292"/>
      <c r="TDA92" s="293"/>
      <c r="TDB92" s="294"/>
      <c r="TDH92" s="292"/>
      <c r="TDI92" s="293"/>
      <c r="TDJ92" s="294"/>
      <c r="TDP92" s="292"/>
      <c r="TDQ92" s="293"/>
      <c r="TDR92" s="294"/>
      <c r="TDX92" s="292"/>
      <c r="TDY92" s="293"/>
      <c r="TDZ92" s="294"/>
      <c r="TEF92" s="292"/>
      <c r="TEG92" s="293"/>
      <c r="TEH92" s="294"/>
      <c r="TEN92" s="292"/>
      <c r="TEO92" s="293"/>
      <c r="TEP92" s="294"/>
      <c r="TEV92" s="292"/>
      <c r="TEW92" s="293"/>
      <c r="TEX92" s="294"/>
      <c r="TFD92" s="292"/>
      <c r="TFE92" s="293"/>
      <c r="TFF92" s="294"/>
      <c r="TFL92" s="292"/>
      <c r="TFM92" s="293"/>
      <c r="TFN92" s="294"/>
      <c r="TFT92" s="292"/>
      <c r="TFU92" s="293"/>
      <c r="TFV92" s="294"/>
      <c r="TGB92" s="292"/>
      <c r="TGC92" s="293"/>
      <c r="TGD92" s="294"/>
      <c r="TGJ92" s="292"/>
      <c r="TGK92" s="293"/>
      <c r="TGL92" s="294"/>
      <c r="TGR92" s="292"/>
      <c r="TGS92" s="293"/>
      <c r="TGT92" s="294"/>
      <c r="TGZ92" s="292"/>
      <c r="THA92" s="293"/>
      <c r="THB92" s="294"/>
      <c r="THH92" s="292"/>
      <c r="THI92" s="293"/>
      <c r="THJ92" s="294"/>
      <c r="THP92" s="292"/>
      <c r="THQ92" s="293"/>
      <c r="THR92" s="294"/>
      <c r="THX92" s="292"/>
      <c r="THY92" s="293"/>
      <c r="THZ92" s="294"/>
      <c r="TIF92" s="292"/>
      <c r="TIG92" s="293"/>
      <c r="TIH92" s="294"/>
      <c r="TIN92" s="292"/>
      <c r="TIO92" s="293"/>
      <c r="TIP92" s="294"/>
      <c r="TIV92" s="292"/>
      <c r="TIW92" s="293"/>
      <c r="TIX92" s="294"/>
      <c r="TJD92" s="292"/>
      <c r="TJE92" s="293"/>
      <c r="TJF92" s="294"/>
      <c r="TJL92" s="292"/>
      <c r="TJM92" s="293"/>
      <c r="TJN92" s="294"/>
      <c r="TJT92" s="292"/>
      <c r="TJU92" s="293"/>
      <c r="TJV92" s="294"/>
      <c r="TKB92" s="292"/>
      <c r="TKC92" s="293"/>
      <c r="TKD92" s="294"/>
      <c r="TKJ92" s="292"/>
      <c r="TKK92" s="293"/>
      <c r="TKL92" s="294"/>
      <c r="TKR92" s="292"/>
      <c r="TKS92" s="293"/>
      <c r="TKT92" s="294"/>
      <c r="TKZ92" s="292"/>
      <c r="TLA92" s="293"/>
      <c r="TLB92" s="294"/>
      <c r="TLH92" s="292"/>
      <c r="TLI92" s="293"/>
      <c r="TLJ92" s="294"/>
      <c r="TLP92" s="292"/>
      <c r="TLQ92" s="293"/>
      <c r="TLR92" s="294"/>
      <c r="TLX92" s="292"/>
      <c r="TLY92" s="293"/>
      <c r="TLZ92" s="294"/>
      <c r="TMF92" s="292"/>
      <c r="TMG92" s="293"/>
      <c r="TMH92" s="294"/>
      <c r="TMN92" s="292"/>
      <c r="TMO92" s="293"/>
      <c r="TMP92" s="294"/>
      <c r="TMV92" s="292"/>
      <c r="TMW92" s="293"/>
      <c r="TMX92" s="294"/>
      <c r="TND92" s="292"/>
      <c r="TNE92" s="293"/>
      <c r="TNF92" s="294"/>
      <c r="TNL92" s="292"/>
      <c r="TNM92" s="293"/>
      <c r="TNN92" s="294"/>
      <c r="TNT92" s="292"/>
      <c r="TNU92" s="293"/>
      <c r="TNV92" s="294"/>
      <c r="TOB92" s="292"/>
      <c r="TOC92" s="293"/>
      <c r="TOD92" s="294"/>
      <c r="TOJ92" s="292"/>
      <c r="TOK92" s="293"/>
      <c r="TOL92" s="294"/>
      <c r="TOR92" s="292"/>
      <c r="TOS92" s="293"/>
      <c r="TOT92" s="294"/>
      <c r="TOZ92" s="292"/>
      <c r="TPA92" s="293"/>
      <c r="TPB92" s="294"/>
      <c r="TPH92" s="292"/>
      <c r="TPI92" s="293"/>
      <c r="TPJ92" s="294"/>
      <c r="TPP92" s="292"/>
      <c r="TPQ92" s="293"/>
      <c r="TPR92" s="294"/>
      <c r="TPX92" s="292"/>
      <c r="TPY92" s="293"/>
      <c r="TPZ92" s="294"/>
      <c r="TQF92" s="292"/>
      <c r="TQG92" s="293"/>
      <c r="TQH92" s="294"/>
      <c r="TQN92" s="292"/>
      <c r="TQO92" s="293"/>
      <c r="TQP92" s="294"/>
      <c r="TQV92" s="292"/>
      <c r="TQW92" s="293"/>
      <c r="TQX92" s="294"/>
      <c r="TRD92" s="292"/>
      <c r="TRE92" s="293"/>
      <c r="TRF92" s="294"/>
      <c r="TRL92" s="292"/>
      <c r="TRM92" s="293"/>
      <c r="TRN92" s="294"/>
      <c r="TRT92" s="292"/>
      <c r="TRU92" s="293"/>
      <c r="TRV92" s="294"/>
      <c r="TSB92" s="292"/>
      <c r="TSC92" s="293"/>
      <c r="TSD92" s="294"/>
      <c r="TSJ92" s="292"/>
      <c r="TSK92" s="293"/>
      <c r="TSL92" s="294"/>
      <c r="TSR92" s="292"/>
      <c r="TSS92" s="293"/>
      <c r="TST92" s="294"/>
      <c r="TSZ92" s="292"/>
      <c r="TTA92" s="293"/>
      <c r="TTB92" s="294"/>
      <c r="TTH92" s="292"/>
      <c r="TTI92" s="293"/>
      <c r="TTJ92" s="294"/>
      <c r="TTP92" s="292"/>
      <c r="TTQ92" s="293"/>
      <c r="TTR92" s="294"/>
      <c r="TTX92" s="292"/>
      <c r="TTY92" s="293"/>
      <c r="TTZ92" s="294"/>
      <c r="TUF92" s="292"/>
      <c r="TUG92" s="293"/>
      <c r="TUH92" s="294"/>
      <c r="TUN92" s="292"/>
      <c r="TUO92" s="293"/>
      <c r="TUP92" s="294"/>
      <c r="TUV92" s="292"/>
      <c r="TUW92" s="293"/>
      <c r="TUX92" s="294"/>
      <c r="TVD92" s="292"/>
      <c r="TVE92" s="293"/>
      <c r="TVF92" s="294"/>
      <c r="TVL92" s="292"/>
      <c r="TVM92" s="293"/>
      <c r="TVN92" s="294"/>
      <c r="TVT92" s="292"/>
      <c r="TVU92" s="293"/>
      <c r="TVV92" s="294"/>
      <c r="TWB92" s="292"/>
      <c r="TWC92" s="293"/>
      <c r="TWD92" s="294"/>
      <c r="TWJ92" s="292"/>
      <c r="TWK92" s="293"/>
      <c r="TWL92" s="294"/>
      <c r="TWR92" s="292"/>
      <c r="TWS92" s="293"/>
      <c r="TWT92" s="294"/>
      <c r="TWZ92" s="292"/>
      <c r="TXA92" s="293"/>
      <c r="TXB92" s="294"/>
      <c r="TXH92" s="292"/>
      <c r="TXI92" s="293"/>
      <c r="TXJ92" s="294"/>
      <c r="TXP92" s="292"/>
      <c r="TXQ92" s="293"/>
      <c r="TXR92" s="294"/>
      <c r="TXX92" s="292"/>
      <c r="TXY92" s="293"/>
      <c r="TXZ92" s="294"/>
      <c r="TYF92" s="292"/>
      <c r="TYG92" s="293"/>
      <c r="TYH92" s="294"/>
      <c r="TYN92" s="292"/>
      <c r="TYO92" s="293"/>
      <c r="TYP92" s="294"/>
      <c r="TYV92" s="292"/>
      <c r="TYW92" s="293"/>
      <c r="TYX92" s="294"/>
      <c r="TZD92" s="292"/>
      <c r="TZE92" s="293"/>
      <c r="TZF92" s="294"/>
      <c r="TZL92" s="292"/>
      <c r="TZM92" s="293"/>
      <c r="TZN92" s="294"/>
      <c r="TZT92" s="292"/>
      <c r="TZU92" s="293"/>
      <c r="TZV92" s="294"/>
      <c r="UAB92" s="292"/>
      <c r="UAC92" s="293"/>
      <c r="UAD92" s="294"/>
      <c r="UAJ92" s="292"/>
      <c r="UAK92" s="293"/>
      <c r="UAL92" s="294"/>
      <c r="UAR92" s="292"/>
      <c r="UAS92" s="293"/>
      <c r="UAT92" s="294"/>
      <c r="UAZ92" s="292"/>
      <c r="UBA92" s="293"/>
      <c r="UBB92" s="294"/>
      <c r="UBH92" s="292"/>
      <c r="UBI92" s="293"/>
      <c r="UBJ92" s="294"/>
      <c r="UBP92" s="292"/>
      <c r="UBQ92" s="293"/>
      <c r="UBR92" s="294"/>
      <c r="UBX92" s="292"/>
      <c r="UBY92" s="293"/>
      <c r="UBZ92" s="294"/>
      <c r="UCF92" s="292"/>
      <c r="UCG92" s="293"/>
      <c r="UCH92" s="294"/>
      <c r="UCN92" s="292"/>
      <c r="UCO92" s="293"/>
      <c r="UCP92" s="294"/>
      <c r="UCV92" s="292"/>
      <c r="UCW92" s="293"/>
      <c r="UCX92" s="294"/>
      <c r="UDD92" s="292"/>
      <c r="UDE92" s="293"/>
      <c r="UDF92" s="294"/>
      <c r="UDL92" s="292"/>
      <c r="UDM92" s="293"/>
      <c r="UDN92" s="294"/>
      <c r="UDT92" s="292"/>
      <c r="UDU92" s="293"/>
      <c r="UDV92" s="294"/>
      <c r="UEB92" s="292"/>
      <c r="UEC92" s="293"/>
      <c r="UED92" s="294"/>
      <c r="UEJ92" s="292"/>
      <c r="UEK92" s="293"/>
      <c r="UEL92" s="294"/>
      <c r="UER92" s="292"/>
      <c r="UES92" s="293"/>
      <c r="UET92" s="294"/>
      <c r="UEZ92" s="292"/>
      <c r="UFA92" s="293"/>
      <c r="UFB92" s="294"/>
      <c r="UFH92" s="292"/>
      <c r="UFI92" s="293"/>
      <c r="UFJ92" s="294"/>
      <c r="UFP92" s="292"/>
      <c r="UFQ92" s="293"/>
      <c r="UFR92" s="294"/>
      <c r="UFX92" s="292"/>
      <c r="UFY92" s="293"/>
      <c r="UFZ92" s="294"/>
      <c r="UGF92" s="292"/>
      <c r="UGG92" s="293"/>
      <c r="UGH92" s="294"/>
      <c r="UGN92" s="292"/>
      <c r="UGO92" s="293"/>
      <c r="UGP92" s="294"/>
      <c r="UGV92" s="292"/>
      <c r="UGW92" s="293"/>
      <c r="UGX92" s="294"/>
      <c r="UHD92" s="292"/>
      <c r="UHE92" s="293"/>
      <c r="UHF92" s="294"/>
      <c r="UHL92" s="292"/>
      <c r="UHM92" s="293"/>
      <c r="UHN92" s="294"/>
      <c r="UHT92" s="292"/>
      <c r="UHU92" s="293"/>
      <c r="UHV92" s="294"/>
      <c r="UIB92" s="292"/>
      <c r="UIC92" s="293"/>
      <c r="UID92" s="294"/>
      <c r="UIJ92" s="292"/>
      <c r="UIK92" s="293"/>
      <c r="UIL92" s="294"/>
      <c r="UIR92" s="292"/>
      <c r="UIS92" s="293"/>
      <c r="UIT92" s="294"/>
      <c r="UIZ92" s="292"/>
      <c r="UJA92" s="293"/>
      <c r="UJB92" s="294"/>
      <c r="UJH92" s="292"/>
      <c r="UJI92" s="293"/>
      <c r="UJJ92" s="294"/>
      <c r="UJP92" s="292"/>
      <c r="UJQ92" s="293"/>
      <c r="UJR92" s="294"/>
      <c r="UJX92" s="292"/>
      <c r="UJY92" s="293"/>
      <c r="UJZ92" s="294"/>
      <c r="UKF92" s="292"/>
      <c r="UKG92" s="293"/>
      <c r="UKH92" s="294"/>
      <c r="UKN92" s="292"/>
      <c r="UKO92" s="293"/>
      <c r="UKP92" s="294"/>
      <c r="UKV92" s="292"/>
      <c r="UKW92" s="293"/>
      <c r="UKX92" s="294"/>
      <c r="ULD92" s="292"/>
      <c r="ULE92" s="293"/>
      <c r="ULF92" s="294"/>
      <c r="ULL92" s="292"/>
      <c r="ULM92" s="293"/>
      <c r="ULN92" s="294"/>
      <c r="ULT92" s="292"/>
      <c r="ULU92" s="293"/>
      <c r="ULV92" s="294"/>
      <c r="UMB92" s="292"/>
      <c r="UMC92" s="293"/>
      <c r="UMD92" s="294"/>
      <c r="UMJ92" s="292"/>
      <c r="UMK92" s="293"/>
      <c r="UML92" s="294"/>
      <c r="UMR92" s="292"/>
      <c r="UMS92" s="293"/>
      <c r="UMT92" s="294"/>
      <c r="UMZ92" s="292"/>
      <c r="UNA92" s="293"/>
      <c r="UNB92" s="294"/>
      <c r="UNH92" s="292"/>
      <c r="UNI92" s="293"/>
      <c r="UNJ92" s="294"/>
      <c r="UNP92" s="292"/>
      <c r="UNQ92" s="293"/>
      <c r="UNR92" s="294"/>
      <c r="UNX92" s="292"/>
      <c r="UNY92" s="293"/>
      <c r="UNZ92" s="294"/>
      <c r="UOF92" s="292"/>
      <c r="UOG92" s="293"/>
      <c r="UOH92" s="294"/>
      <c r="UON92" s="292"/>
      <c r="UOO92" s="293"/>
      <c r="UOP92" s="294"/>
      <c r="UOV92" s="292"/>
      <c r="UOW92" s="293"/>
      <c r="UOX92" s="294"/>
      <c r="UPD92" s="292"/>
      <c r="UPE92" s="293"/>
      <c r="UPF92" s="294"/>
      <c r="UPL92" s="292"/>
      <c r="UPM92" s="293"/>
      <c r="UPN92" s="294"/>
      <c r="UPT92" s="292"/>
      <c r="UPU92" s="293"/>
      <c r="UPV92" s="294"/>
      <c r="UQB92" s="292"/>
      <c r="UQC92" s="293"/>
      <c r="UQD92" s="294"/>
      <c r="UQJ92" s="292"/>
      <c r="UQK92" s="293"/>
      <c r="UQL92" s="294"/>
      <c r="UQR92" s="292"/>
      <c r="UQS92" s="293"/>
      <c r="UQT92" s="294"/>
      <c r="UQZ92" s="292"/>
      <c r="URA92" s="293"/>
      <c r="URB92" s="294"/>
      <c r="URH92" s="292"/>
      <c r="URI92" s="293"/>
      <c r="URJ92" s="294"/>
      <c r="URP92" s="292"/>
      <c r="URQ92" s="293"/>
      <c r="URR92" s="294"/>
      <c r="URX92" s="292"/>
      <c r="URY92" s="293"/>
      <c r="URZ92" s="294"/>
      <c r="USF92" s="292"/>
      <c r="USG92" s="293"/>
      <c r="USH92" s="294"/>
      <c r="USN92" s="292"/>
      <c r="USO92" s="293"/>
      <c r="USP92" s="294"/>
      <c r="USV92" s="292"/>
      <c r="USW92" s="293"/>
      <c r="USX92" s="294"/>
      <c r="UTD92" s="292"/>
      <c r="UTE92" s="293"/>
      <c r="UTF92" s="294"/>
      <c r="UTL92" s="292"/>
      <c r="UTM92" s="293"/>
      <c r="UTN92" s="294"/>
      <c r="UTT92" s="292"/>
      <c r="UTU92" s="293"/>
      <c r="UTV92" s="294"/>
      <c r="UUB92" s="292"/>
      <c r="UUC92" s="293"/>
      <c r="UUD92" s="294"/>
      <c r="UUJ92" s="292"/>
      <c r="UUK92" s="293"/>
      <c r="UUL92" s="294"/>
      <c r="UUR92" s="292"/>
      <c r="UUS92" s="293"/>
      <c r="UUT92" s="294"/>
      <c r="UUZ92" s="292"/>
      <c r="UVA92" s="293"/>
      <c r="UVB92" s="294"/>
      <c r="UVH92" s="292"/>
      <c r="UVI92" s="293"/>
      <c r="UVJ92" s="294"/>
      <c r="UVP92" s="292"/>
      <c r="UVQ92" s="293"/>
      <c r="UVR92" s="294"/>
      <c r="UVX92" s="292"/>
      <c r="UVY92" s="293"/>
      <c r="UVZ92" s="294"/>
      <c r="UWF92" s="292"/>
      <c r="UWG92" s="293"/>
      <c r="UWH92" s="294"/>
      <c r="UWN92" s="292"/>
      <c r="UWO92" s="293"/>
      <c r="UWP92" s="294"/>
      <c r="UWV92" s="292"/>
      <c r="UWW92" s="293"/>
      <c r="UWX92" s="294"/>
      <c r="UXD92" s="292"/>
      <c r="UXE92" s="293"/>
      <c r="UXF92" s="294"/>
      <c r="UXL92" s="292"/>
      <c r="UXM92" s="293"/>
      <c r="UXN92" s="294"/>
      <c r="UXT92" s="292"/>
      <c r="UXU92" s="293"/>
      <c r="UXV92" s="294"/>
      <c r="UYB92" s="292"/>
      <c r="UYC92" s="293"/>
      <c r="UYD92" s="294"/>
      <c r="UYJ92" s="292"/>
      <c r="UYK92" s="293"/>
      <c r="UYL92" s="294"/>
      <c r="UYR92" s="292"/>
      <c r="UYS92" s="293"/>
      <c r="UYT92" s="294"/>
      <c r="UYZ92" s="292"/>
      <c r="UZA92" s="293"/>
      <c r="UZB92" s="294"/>
      <c r="UZH92" s="292"/>
      <c r="UZI92" s="293"/>
      <c r="UZJ92" s="294"/>
      <c r="UZP92" s="292"/>
      <c r="UZQ92" s="293"/>
      <c r="UZR92" s="294"/>
      <c r="UZX92" s="292"/>
      <c r="UZY92" s="293"/>
      <c r="UZZ92" s="294"/>
      <c r="VAF92" s="292"/>
      <c r="VAG92" s="293"/>
      <c r="VAH92" s="294"/>
      <c r="VAN92" s="292"/>
      <c r="VAO92" s="293"/>
      <c r="VAP92" s="294"/>
      <c r="VAV92" s="292"/>
      <c r="VAW92" s="293"/>
      <c r="VAX92" s="294"/>
      <c r="VBD92" s="292"/>
      <c r="VBE92" s="293"/>
      <c r="VBF92" s="294"/>
      <c r="VBL92" s="292"/>
      <c r="VBM92" s="293"/>
      <c r="VBN92" s="294"/>
      <c r="VBT92" s="292"/>
      <c r="VBU92" s="293"/>
      <c r="VBV92" s="294"/>
      <c r="VCB92" s="292"/>
      <c r="VCC92" s="293"/>
      <c r="VCD92" s="294"/>
      <c r="VCJ92" s="292"/>
      <c r="VCK92" s="293"/>
      <c r="VCL92" s="294"/>
      <c r="VCR92" s="292"/>
      <c r="VCS92" s="293"/>
      <c r="VCT92" s="294"/>
      <c r="VCZ92" s="292"/>
      <c r="VDA92" s="293"/>
      <c r="VDB92" s="294"/>
      <c r="VDH92" s="292"/>
      <c r="VDI92" s="293"/>
      <c r="VDJ92" s="294"/>
      <c r="VDP92" s="292"/>
      <c r="VDQ92" s="293"/>
      <c r="VDR92" s="294"/>
      <c r="VDX92" s="292"/>
      <c r="VDY92" s="293"/>
      <c r="VDZ92" s="294"/>
      <c r="VEF92" s="292"/>
      <c r="VEG92" s="293"/>
      <c r="VEH92" s="294"/>
      <c r="VEN92" s="292"/>
      <c r="VEO92" s="293"/>
      <c r="VEP92" s="294"/>
      <c r="VEV92" s="292"/>
      <c r="VEW92" s="293"/>
      <c r="VEX92" s="294"/>
      <c r="VFD92" s="292"/>
      <c r="VFE92" s="293"/>
      <c r="VFF92" s="294"/>
      <c r="VFL92" s="292"/>
      <c r="VFM92" s="293"/>
      <c r="VFN92" s="294"/>
      <c r="VFT92" s="292"/>
      <c r="VFU92" s="293"/>
      <c r="VFV92" s="294"/>
      <c r="VGB92" s="292"/>
      <c r="VGC92" s="293"/>
      <c r="VGD92" s="294"/>
      <c r="VGJ92" s="292"/>
      <c r="VGK92" s="293"/>
      <c r="VGL92" s="294"/>
      <c r="VGR92" s="292"/>
      <c r="VGS92" s="293"/>
      <c r="VGT92" s="294"/>
      <c r="VGZ92" s="292"/>
      <c r="VHA92" s="293"/>
      <c r="VHB92" s="294"/>
      <c r="VHH92" s="292"/>
      <c r="VHI92" s="293"/>
      <c r="VHJ92" s="294"/>
      <c r="VHP92" s="292"/>
      <c r="VHQ92" s="293"/>
      <c r="VHR92" s="294"/>
      <c r="VHX92" s="292"/>
      <c r="VHY92" s="293"/>
      <c r="VHZ92" s="294"/>
      <c r="VIF92" s="292"/>
      <c r="VIG92" s="293"/>
      <c r="VIH92" s="294"/>
      <c r="VIN92" s="292"/>
      <c r="VIO92" s="293"/>
      <c r="VIP92" s="294"/>
      <c r="VIV92" s="292"/>
      <c r="VIW92" s="293"/>
      <c r="VIX92" s="294"/>
      <c r="VJD92" s="292"/>
      <c r="VJE92" s="293"/>
      <c r="VJF92" s="294"/>
      <c r="VJL92" s="292"/>
      <c r="VJM92" s="293"/>
      <c r="VJN92" s="294"/>
      <c r="VJT92" s="292"/>
      <c r="VJU92" s="293"/>
      <c r="VJV92" s="294"/>
      <c r="VKB92" s="292"/>
      <c r="VKC92" s="293"/>
      <c r="VKD92" s="294"/>
      <c r="VKJ92" s="292"/>
      <c r="VKK92" s="293"/>
      <c r="VKL92" s="294"/>
      <c r="VKR92" s="292"/>
      <c r="VKS92" s="293"/>
      <c r="VKT92" s="294"/>
      <c r="VKZ92" s="292"/>
      <c r="VLA92" s="293"/>
      <c r="VLB92" s="294"/>
      <c r="VLH92" s="292"/>
      <c r="VLI92" s="293"/>
      <c r="VLJ92" s="294"/>
      <c r="VLP92" s="292"/>
      <c r="VLQ92" s="293"/>
      <c r="VLR92" s="294"/>
      <c r="VLX92" s="292"/>
      <c r="VLY92" s="293"/>
      <c r="VLZ92" s="294"/>
      <c r="VMF92" s="292"/>
      <c r="VMG92" s="293"/>
      <c r="VMH92" s="294"/>
      <c r="VMN92" s="292"/>
      <c r="VMO92" s="293"/>
      <c r="VMP92" s="294"/>
      <c r="VMV92" s="292"/>
      <c r="VMW92" s="293"/>
      <c r="VMX92" s="294"/>
      <c r="VND92" s="292"/>
      <c r="VNE92" s="293"/>
      <c r="VNF92" s="294"/>
      <c r="VNL92" s="292"/>
      <c r="VNM92" s="293"/>
      <c r="VNN92" s="294"/>
      <c r="VNT92" s="292"/>
      <c r="VNU92" s="293"/>
      <c r="VNV92" s="294"/>
      <c r="VOB92" s="292"/>
      <c r="VOC92" s="293"/>
      <c r="VOD92" s="294"/>
      <c r="VOJ92" s="292"/>
      <c r="VOK92" s="293"/>
      <c r="VOL92" s="294"/>
      <c r="VOR92" s="292"/>
      <c r="VOS92" s="293"/>
      <c r="VOT92" s="294"/>
      <c r="VOZ92" s="292"/>
      <c r="VPA92" s="293"/>
      <c r="VPB92" s="294"/>
      <c r="VPH92" s="292"/>
      <c r="VPI92" s="293"/>
      <c r="VPJ92" s="294"/>
      <c r="VPP92" s="292"/>
      <c r="VPQ92" s="293"/>
      <c r="VPR92" s="294"/>
      <c r="VPX92" s="292"/>
      <c r="VPY92" s="293"/>
      <c r="VPZ92" s="294"/>
      <c r="VQF92" s="292"/>
      <c r="VQG92" s="293"/>
      <c r="VQH92" s="294"/>
      <c r="VQN92" s="292"/>
      <c r="VQO92" s="293"/>
      <c r="VQP92" s="294"/>
      <c r="VQV92" s="292"/>
      <c r="VQW92" s="293"/>
      <c r="VQX92" s="294"/>
      <c r="VRD92" s="292"/>
      <c r="VRE92" s="293"/>
      <c r="VRF92" s="294"/>
      <c r="VRL92" s="292"/>
      <c r="VRM92" s="293"/>
      <c r="VRN92" s="294"/>
      <c r="VRT92" s="292"/>
      <c r="VRU92" s="293"/>
      <c r="VRV92" s="294"/>
      <c r="VSB92" s="292"/>
      <c r="VSC92" s="293"/>
      <c r="VSD92" s="294"/>
      <c r="VSJ92" s="292"/>
      <c r="VSK92" s="293"/>
      <c r="VSL92" s="294"/>
      <c r="VSR92" s="292"/>
      <c r="VSS92" s="293"/>
      <c r="VST92" s="294"/>
      <c r="VSZ92" s="292"/>
      <c r="VTA92" s="293"/>
      <c r="VTB92" s="294"/>
      <c r="VTH92" s="292"/>
      <c r="VTI92" s="293"/>
      <c r="VTJ92" s="294"/>
      <c r="VTP92" s="292"/>
      <c r="VTQ92" s="293"/>
      <c r="VTR92" s="294"/>
      <c r="VTX92" s="292"/>
      <c r="VTY92" s="293"/>
      <c r="VTZ92" s="294"/>
      <c r="VUF92" s="292"/>
      <c r="VUG92" s="293"/>
      <c r="VUH92" s="294"/>
      <c r="VUN92" s="292"/>
      <c r="VUO92" s="293"/>
      <c r="VUP92" s="294"/>
      <c r="VUV92" s="292"/>
      <c r="VUW92" s="293"/>
      <c r="VUX92" s="294"/>
      <c r="VVD92" s="292"/>
      <c r="VVE92" s="293"/>
      <c r="VVF92" s="294"/>
      <c r="VVL92" s="292"/>
      <c r="VVM92" s="293"/>
      <c r="VVN92" s="294"/>
      <c r="VVT92" s="292"/>
      <c r="VVU92" s="293"/>
      <c r="VVV92" s="294"/>
      <c r="VWB92" s="292"/>
      <c r="VWC92" s="293"/>
      <c r="VWD92" s="294"/>
      <c r="VWJ92" s="292"/>
      <c r="VWK92" s="293"/>
      <c r="VWL92" s="294"/>
      <c r="VWR92" s="292"/>
      <c r="VWS92" s="293"/>
      <c r="VWT92" s="294"/>
      <c r="VWZ92" s="292"/>
      <c r="VXA92" s="293"/>
      <c r="VXB92" s="294"/>
      <c r="VXH92" s="292"/>
      <c r="VXI92" s="293"/>
      <c r="VXJ92" s="294"/>
      <c r="VXP92" s="292"/>
      <c r="VXQ92" s="293"/>
      <c r="VXR92" s="294"/>
      <c r="VXX92" s="292"/>
      <c r="VXY92" s="293"/>
      <c r="VXZ92" s="294"/>
      <c r="VYF92" s="292"/>
      <c r="VYG92" s="293"/>
      <c r="VYH92" s="294"/>
      <c r="VYN92" s="292"/>
      <c r="VYO92" s="293"/>
      <c r="VYP92" s="294"/>
      <c r="VYV92" s="292"/>
      <c r="VYW92" s="293"/>
      <c r="VYX92" s="294"/>
      <c r="VZD92" s="292"/>
      <c r="VZE92" s="293"/>
      <c r="VZF92" s="294"/>
      <c r="VZL92" s="292"/>
      <c r="VZM92" s="293"/>
      <c r="VZN92" s="294"/>
      <c r="VZT92" s="292"/>
      <c r="VZU92" s="293"/>
      <c r="VZV92" s="294"/>
      <c r="WAB92" s="292"/>
      <c r="WAC92" s="293"/>
      <c r="WAD92" s="294"/>
      <c r="WAJ92" s="292"/>
      <c r="WAK92" s="293"/>
      <c r="WAL92" s="294"/>
      <c r="WAR92" s="292"/>
      <c r="WAS92" s="293"/>
      <c r="WAT92" s="294"/>
      <c r="WAZ92" s="292"/>
      <c r="WBA92" s="293"/>
      <c r="WBB92" s="294"/>
      <c r="WBH92" s="292"/>
      <c r="WBI92" s="293"/>
      <c r="WBJ92" s="294"/>
      <c r="WBP92" s="292"/>
      <c r="WBQ92" s="293"/>
      <c r="WBR92" s="294"/>
      <c r="WBX92" s="292"/>
      <c r="WBY92" s="293"/>
      <c r="WBZ92" s="294"/>
      <c r="WCF92" s="292"/>
      <c r="WCG92" s="293"/>
      <c r="WCH92" s="294"/>
      <c r="WCN92" s="292"/>
      <c r="WCO92" s="293"/>
      <c r="WCP92" s="294"/>
      <c r="WCV92" s="292"/>
      <c r="WCW92" s="293"/>
      <c r="WCX92" s="294"/>
      <c r="WDD92" s="292"/>
      <c r="WDE92" s="293"/>
      <c r="WDF92" s="294"/>
      <c r="WDL92" s="292"/>
      <c r="WDM92" s="293"/>
      <c r="WDN92" s="294"/>
      <c r="WDT92" s="292"/>
      <c r="WDU92" s="293"/>
      <c r="WDV92" s="294"/>
      <c r="WEB92" s="292"/>
      <c r="WEC92" s="293"/>
      <c r="WED92" s="294"/>
      <c r="WEJ92" s="292"/>
      <c r="WEK92" s="293"/>
      <c r="WEL92" s="294"/>
      <c r="WER92" s="292"/>
      <c r="WES92" s="293"/>
      <c r="WET92" s="294"/>
      <c r="WEZ92" s="292"/>
      <c r="WFA92" s="293"/>
      <c r="WFB92" s="294"/>
      <c r="WFH92" s="292"/>
      <c r="WFI92" s="293"/>
      <c r="WFJ92" s="294"/>
      <c r="WFP92" s="292"/>
      <c r="WFQ92" s="293"/>
      <c r="WFR92" s="294"/>
      <c r="WFX92" s="292"/>
      <c r="WFY92" s="293"/>
      <c r="WFZ92" s="294"/>
      <c r="WGF92" s="292"/>
      <c r="WGG92" s="293"/>
      <c r="WGH92" s="294"/>
      <c r="WGN92" s="292"/>
      <c r="WGO92" s="293"/>
      <c r="WGP92" s="294"/>
      <c r="WGV92" s="292"/>
      <c r="WGW92" s="293"/>
      <c r="WGX92" s="294"/>
      <c r="WHD92" s="292"/>
      <c r="WHE92" s="293"/>
      <c r="WHF92" s="294"/>
      <c r="WHL92" s="292"/>
      <c r="WHM92" s="293"/>
      <c r="WHN92" s="294"/>
      <c r="WHT92" s="292"/>
      <c r="WHU92" s="293"/>
      <c r="WHV92" s="294"/>
      <c r="WIB92" s="292"/>
      <c r="WIC92" s="293"/>
      <c r="WID92" s="294"/>
      <c r="WIJ92" s="292"/>
      <c r="WIK92" s="293"/>
      <c r="WIL92" s="294"/>
      <c r="WIR92" s="292"/>
      <c r="WIS92" s="293"/>
      <c r="WIT92" s="294"/>
      <c r="WIZ92" s="292"/>
      <c r="WJA92" s="293"/>
      <c r="WJB92" s="294"/>
      <c r="WJH92" s="292"/>
      <c r="WJI92" s="293"/>
      <c r="WJJ92" s="294"/>
      <c r="WJP92" s="292"/>
      <c r="WJQ92" s="293"/>
      <c r="WJR92" s="294"/>
      <c r="WJX92" s="292"/>
      <c r="WJY92" s="293"/>
      <c r="WJZ92" s="294"/>
      <c r="WKF92" s="292"/>
      <c r="WKG92" s="293"/>
      <c r="WKH92" s="294"/>
      <c r="WKN92" s="292"/>
      <c r="WKO92" s="293"/>
      <c r="WKP92" s="294"/>
      <c r="WKV92" s="292"/>
      <c r="WKW92" s="293"/>
      <c r="WKX92" s="294"/>
      <c r="WLD92" s="292"/>
      <c r="WLE92" s="293"/>
      <c r="WLF92" s="294"/>
      <c r="WLL92" s="292"/>
      <c r="WLM92" s="293"/>
      <c r="WLN92" s="294"/>
      <c r="WLT92" s="292"/>
      <c r="WLU92" s="293"/>
      <c r="WLV92" s="294"/>
      <c r="WMB92" s="292"/>
      <c r="WMC92" s="293"/>
      <c r="WMD92" s="294"/>
      <c r="WMJ92" s="292"/>
      <c r="WMK92" s="293"/>
      <c r="WML92" s="294"/>
      <c r="WMR92" s="292"/>
      <c r="WMS92" s="293"/>
      <c r="WMT92" s="294"/>
      <c r="WMZ92" s="292"/>
      <c r="WNA92" s="293"/>
      <c r="WNB92" s="294"/>
      <c r="WNH92" s="292"/>
      <c r="WNI92" s="293"/>
      <c r="WNJ92" s="294"/>
      <c r="WNP92" s="292"/>
      <c r="WNQ92" s="293"/>
      <c r="WNR92" s="294"/>
      <c r="WNX92" s="292"/>
      <c r="WNY92" s="293"/>
      <c r="WNZ92" s="294"/>
      <c r="WOF92" s="292"/>
      <c r="WOG92" s="293"/>
      <c r="WOH92" s="294"/>
      <c r="WON92" s="292"/>
      <c r="WOO92" s="293"/>
      <c r="WOP92" s="294"/>
      <c r="WOV92" s="292"/>
      <c r="WOW92" s="293"/>
      <c r="WOX92" s="294"/>
      <c r="WPD92" s="292"/>
      <c r="WPE92" s="293"/>
      <c r="WPF92" s="294"/>
      <c r="WPL92" s="292"/>
      <c r="WPM92" s="293"/>
      <c r="WPN92" s="294"/>
      <c r="WPT92" s="292"/>
      <c r="WPU92" s="293"/>
      <c r="WPV92" s="294"/>
      <c r="WQB92" s="292"/>
      <c r="WQC92" s="293"/>
      <c r="WQD92" s="294"/>
      <c r="WQJ92" s="292"/>
      <c r="WQK92" s="293"/>
      <c r="WQL92" s="294"/>
      <c r="WQR92" s="292"/>
      <c r="WQS92" s="293"/>
      <c r="WQT92" s="294"/>
      <c r="WQZ92" s="292"/>
      <c r="WRA92" s="293"/>
      <c r="WRB92" s="294"/>
      <c r="WRH92" s="292"/>
      <c r="WRI92" s="293"/>
      <c r="WRJ92" s="294"/>
      <c r="WRP92" s="292"/>
      <c r="WRQ92" s="293"/>
      <c r="WRR92" s="294"/>
      <c r="WRX92" s="292"/>
      <c r="WRY92" s="293"/>
      <c r="WRZ92" s="294"/>
      <c r="WSF92" s="292"/>
      <c r="WSG92" s="293"/>
      <c r="WSH92" s="294"/>
      <c r="WSN92" s="292"/>
      <c r="WSO92" s="293"/>
      <c r="WSP92" s="294"/>
      <c r="WSV92" s="292"/>
      <c r="WSW92" s="293"/>
      <c r="WSX92" s="294"/>
      <c r="WTD92" s="292"/>
      <c r="WTE92" s="293"/>
      <c r="WTF92" s="294"/>
      <c r="WTL92" s="292"/>
      <c r="WTM92" s="293"/>
      <c r="WTN92" s="294"/>
      <c r="WTT92" s="292"/>
      <c r="WTU92" s="293"/>
      <c r="WTV92" s="294"/>
      <c r="WUB92" s="292"/>
      <c r="WUC92" s="293"/>
      <c r="WUD92" s="294"/>
      <c r="WUJ92" s="292"/>
      <c r="WUK92" s="293"/>
      <c r="WUL92" s="294"/>
      <c r="WUR92" s="292"/>
      <c r="WUS92" s="293"/>
      <c r="WUT92" s="294"/>
      <c r="WUZ92" s="292"/>
      <c r="WVA92" s="293"/>
      <c r="WVB92" s="294"/>
      <c r="WVH92" s="292"/>
      <c r="WVI92" s="293"/>
      <c r="WVJ92" s="294"/>
      <c r="WVP92" s="292"/>
      <c r="WVQ92" s="293"/>
      <c r="WVR92" s="294"/>
      <c r="WVX92" s="292"/>
      <c r="WVY92" s="293"/>
      <c r="WVZ92" s="294"/>
      <c r="WWF92" s="292"/>
      <c r="WWG92" s="293"/>
      <c r="WWH92" s="294"/>
      <c r="WWN92" s="292"/>
      <c r="WWO92" s="293"/>
      <c r="WWP92" s="294"/>
      <c r="WWV92" s="292"/>
      <c r="WWW92" s="293"/>
      <c r="WWX92" s="294"/>
      <c r="WXD92" s="292"/>
      <c r="WXE92" s="293"/>
      <c r="WXF92" s="294"/>
      <c r="WXL92" s="292"/>
      <c r="WXM92" s="293"/>
      <c r="WXN92" s="294"/>
      <c r="WXT92" s="292"/>
      <c r="WXU92" s="293"/>
      <c r="WXV92" s="294"/>
      <c r="WYB92" s="292"/>
      <c r="WYC92" s="293"/>
      <c r="WYD92" s="294"/>
      <c r="WYJ92" s="292"/>
      <c r="WYK92" s="293"/>
      <c r="WYL92" s="294"/>
      <c r="WYR92" s="292"/>
      <c r="WYS92" s="293"/>
      <c r="WYT92" s="294"/>
      <c r="WYZ92" s="292"/>
      <c r="WZA92" s="293"/>
      <c r="WZB92" s="294"/>
      <c r="WZH92" s="292"/>
      <c r="WZI92" s="293"/>
      <c r="WZJ92" s="294"/>
      <c r="WZP92" s="292"/>
      <c r="WZQ92" s="293"/>
      <c r="WZR92" s="294"/>
      <c r="WZX92" s="292"/>
      <c r="WZY92" s="293"/>
      <c r="WZZ92" s="294"/>
      <c r="XAF92" s="292"/>
      <c r="XAG92" s="293"/>
      <c r="XAH92" s="294"/>
      <c r="XAN92" s="292"/>
      <c r="XAO92" s="293"/>
      <c r="XAP92" s="294"/>
      <c r="XAV92" s="292"/>
      <c r="XAW92" s="293"/>
      <c r="XAX92" s="294"/>
      <c r="XBD92" s="292"/>
      <c r="XBE92" s="293"/>
      <c r="XBF92" s="294"/>
      <c r="XBL92" s="292"/>
      <c r="XBM92" s="293"/>
      <c r="XBN92" s="294"/>
      <c r="XBT92" s="292"/>
      <c r="XBU92" s="293"/>
      <c r="XBV92" s="294"/>
      <c r="XCB92" s="292"/>
      <c r="XCC92" s="293"/>
      <c r="XCD92" s="294"/>
      <c r="XCJ92" s="292"/>
      <c r="XCK92" s="293"/>
      <c r="XCL92" s="294"/>
      <c r="XCR92" s="292"/>
      <c r="XCS92" s="293"/>
      <c r="XCT92" s="294"/>
      <c r="XCZ92" s="292"/>
      <c r="XDA92" s="293"/>
      <c r="XDB92" s="294"/>
      <c r="XDH92" s="292"/>
      <c r="XDI92" s="293"/>
      <c r="XDJ92" s="294"/>
      <c r="XDP92" s="292"/>
      <c r="XDQ92" s="293"/>
      <c r="XDR92" s="294"/>
      <c r="XDX92" s="292"/>
      <c r="XDY92" s="293"/>
      <c r="XDZ92" s="294"/>
      <c r="XEF92" s="292"/>
      <c r="XEG92" s="293"/>
      <c r="XEH92" s="294"/>
      <c r="XEN92" s="292"/>
      <c r="XEO92" s="293"/>
      <c r="XEP92" s="294"/>
      <c r="XEV92" s="292"/>
      <c r="XEW92" s="293"/>
      <c r="XEX92" s="294"/>
    </row>
    <row r="93" spans="1:16378" s="287" customFormat="1" ht="20.149999999999999" customHeight="1" x14ac:dyDescent="0.3">
      <c r="A93" s="305" t="s">
        <v>1117</v>
      </c>
      <c r="B93" s="293"/>
      <c r="C93" s="294"/>
      <c r="H93" s="271"/>
      <c r="I93" s="293"/>
      <c r="J93" s="294"/>
      <c r="P93" s="292"/>
      <c r="Q93" s="293"/>
      <c r="R93" s="294"/>
      <c r="X93" s="292"/>
      <c r="Y93" s="293"/>
      <c r="Z93" s="294"/>
      <c r="AF93" s="292"/>
      <c r="AG93" s="293"/>
      <c r="AH93" s="294"/>
      <c r="AN93" s="292"/>
      <c r="AO93" s="293"/>
      <c r="AP93" s="294"/>
      <c r="AV93" s="292"/>
      <c r="AW93" s="293"/>
      <c r="AX93" s="294"/>
      <c r="BD93" s="292"/>
      <c r="BE93" s="293"/>
      <c r="BF93" s="294"/>
      <c r="BL93" s="292"/>
      <c r="BM93" s="293"/>
      <c r="BN93" s="294"/>
      <c r="BT93" s="292"/>
      <c r="BU93" s="293"/>
      <c r="BV93" s="294"/>
      <c r="CB93" s="292"/>
      <c r="CC93" s="293"/>
      <c r="CD93" s="294"/>
      <c r="CJ93" s="292"/>
      <c r="CK93" s="293"/>
      <c r="CL93" s="294"/>
      <c r="CR93" s="292"/>
      <c r="CS93" s="293"/>
      <c r="CT93" s="294"/>
      <c r="CZ93" s="292"/>
      <c r="DA93" s="293"/>
      <c r="DB93" s="294"/>
      <c r="DH93" s="292"/>
      <c r="DI93" s="293"/>
      <c r="DJ93" s="294"/>
      <c r="DP93" s="292"/>
      <c r="DQ93" s="293"/>
      <c r="DR93" s="294"/>
      <c r="DX93" s="292"/>
      <c r="DY93" s="293"/>
      <c r="DZ93" s="294"/>
      <c r="EF93" s="292"/>
      <c r="EG93" s="293"/>
      <c r="EH93" s="294"/>
      <c r="EN93" s="292"/>
      <c r="EO93" s="293"/>
      <c r="EP93" s="294"/>
      <c r="EV93" s="292"/>
      <c r="EW93" s="293"/>
      <c r="EX93" s="294"/>
      <c r="FD93" s="292"/>
      <c r="FE93" s="293"/>
      <c r="FF93" s="294"/>
      <c r="FL93" s="292"/>
      <c r="FM93" s="293"/>
      <c r="FN93" s="294"/>
      <c r="FT93" s="292"/>
      <c r="FU93" s="293"/>
      <c r="FV93" s="294"/>
      <c r="GB93" s="292"/>
      <c r="GC93" s="293"/>
      <c r="GD93" s="294"/>
      <c r="GJ93" s="292"/>
      <c r="GK93" s="293"/>
      <c r="GL93" s="294"/>
      <c r="GR93" s="292"/>
      <c r="GS93" s="293"/>
      <c r="GT93" s="294"/>
      <c r="GZ93" s="292"/>
      <c r="HA93" s="293"/>
      <c r="HB93" s="294"/>
      <c r="HH93" s="292"/>
      <c r="HI93" s="293"/>
      <c r="HJ93" s="294"/>
      <c r="HP93" s="292"/>
      <c r="HQ93" s="293"/>
      <c r="HR93" s="294"/>
      <c r="HX93" s="292"/>
      <c r="HY93" s="293"/>
      <c r="HZ93" s="294"/>
      <c r="IF93" s="292"/>
      <c r="IG93" s="293"/>
      <c r="IH93" s="294"/>
      <c r="IN93" s="292"/>
      <c r="IO93" s="293"/>
      <c r="IP93" s="294"/>
      <c r="IV93" s="292"/>
      <c r="IW93" s="293"/>
      <c r="IX93" s="294"/>
      <c r="JD93" s="292"/>
      <c r="JE93" s="293"/>
      <c r="JF93" s="294"/>
      <c r="JL93" s="292"/>
      <c r="JM93" s="293"/>
      <c r="JN93" s="294"/>
      <c r="JT93" s="292"/>
      <c r="JU93" s="293"/>
      <c r="JV93" s="294"/>
      <c r="KB93" s="292"/>
      <c r="KC93" s="293"/>
      <c r="KD93" s="294"/>
      <c r="KJ93" s="292"/>
      <c r="KK93" s="293"/>
      <c r="KL93" s="294"/>
      <c r="KR93" s="292"/>
      <c r="KS93" s="293"/>
      <c r="KT93" s="294"/>
      <c r="KZ93" s="292"/>
      <c r="LA93" s="293"/>
      <c r="LB93" s="294"/>
      <c r="LH93" s="292"/>
      <c r="LI93" s="293"/>
      <c r="LJ93" s="294"/>
      <c r="LP93" s="292"/>
      <c r="LQ93" s="293"/>
      <c r="LR93" s="294"/>
      <c r="LX93" s="292"/>
      <c r="LY93" s="293"/>
      <c r="LZ93" s="294"/>
      <c r="MF93" s="292"/>
      <c r="MG93" s="293"/>
      <c r="MH93" s="294"/>
      <c r="MN93" s="292"/>
      <c r="MO93" s="293"/>
      <c r="MP93" s="294"/>
      <c r="MV93" s="292"/>
      <c r="MW93" s="293"/>
      <c r="MX93" s="294"/>
      <c r="ND93" s="292"/>
      <c r="NE93" s="293"/>
      <c r="NF93" s="294"/>
      <c r="NL93" s="292"/>
      <c r="NM93" s="293"/>
      <c r="NN93" s="294"/>
      <c r="NT93" s="292"/>
      <c r="NU93" s="293"/>
      <c r="NV93" s="294"/>
      <c r="OB93" s="292"/>
      <c r="OC93" s="293"/>
      <c r="OD93" s="294"/>
      <c r="OJ93" s="292"/>
      <c r="OK93" s="293"/>
      <c r="OL93" s="294"/>
      <c r="OR93" s="292"/>
      <c r="OS93" s="293"/>
      <c r="OT93" s="294"/>
      <c r="OZ93" s="292"/>
      <c r="PA93" s="293"/>
      <c r="PB93" s="294"/>
      <c r="PH93" s="292"/>
      <c r="PI93" s="293"/>
      <c r="PJ93" s="294"/>
      <c r="PP93" s="292"/>
      <c r="PQ93" s="293"/>
      <c r="PR93" s="294"/>
      <c r="PX93" s="292"/>
      <c r="PY93" s="293"/>
      <c r="PZ93" s="294"/>
      <c r="QF93" s="292"/>
      <c r="QG93" s="293"/>
      <c r="QH93" s="294"/>
      <c r="QN93" s="292"/>
      <c r="QO93" s="293"/>
      <c r="QP93" s="294"/>
      <c r="QV93" s="292"/>
      <c r="QW93" s="293"/>
      <c r="QX93" s="294"/>
      <c r="RD93" s="292"/>
      <c r="RE93" s="293"/>
      <c r="RF93" s="294"/>
      <c r="RL93" s="292"/>
      <c r="RM93" s="293"/>
      <c r="RN93" s="294"/>
      <c r="RT93" s="292"/>
      <c r="RU93" s="293"/>
      <c r="RV93" s="294"/>
      <c r="SB93" s="292"/>
      <c r="SC93" s="293"/>
      <c r="SD93" s="294"/>
      <c r="SJ93" s="292"/>
      <c r="SK93" s="293"/>
      <c r="SL93" s="294"/>
      <c r="SR93" s="292"/>
      <c r="SS93" s="293"/>
      <c r="ST93" s="294"/>
      <c r="SZ93" s="292"/>
      <c r="TA93" s="293"/>
      <c r="TB93" s="294"/>
      <c r="TH93" s="292"/>
      <c r="TI93" s="293"/>
      <c r="TJ93" s="294"/>
      <c r="TP93" s="292"/>
      <c r="TQ93" s="293"/>
      <c r="TR93" s="294"/>
      <c r="TX93" s="292"/>
      <c r="TY93" s="293"/>
      <c r="TZ93" s="294"/>
      <c r="UF93" s="292"/>
      <c r="UG93" s="293"/>
      <c r="UH93" s="294"/>
      <c r="UN93" s="292"/>
      <c r="UO93" s="293"/>
      <c r="UP93" s="294"/>
      <c r="UV93" s="292"/>
      <c r="UW93" s="293"/>
      <c r="UX93" s="294"/>
      <c r="VD93" s="292"/>
      <c r="VE93" s="293"/>
      <c r="VF93" s="294"/>
      <c r="VL93" s="292"/>
      <c r="VM93" s="293"/>
      <c r="VN93" s="294"/>
      <c r="VT93" s="292"/>
      <c r="VU93" s="293"/>
      <c r="VV93" s="294"/>
      <c r="WB93" s="292"/>
      <c r="WC93" s="293"/>
      <c r="WD93" s="294"/>
      <c r="WJ93" s="292"/>
      <c r="WK93" s="293"/>
      <c r="WL93" s="294"/>
      <c r="WR93" s="292"/>
      <c r="WS93" s="293"/>
      <c r="WT93" s="294"/>
      <c r="WZ93" s="292"/>
      <c r="XA93" s="293"/>
      <c r="XB93" s="294"/>
      <c r="XH93" s="292"/>
      <c r="XI93" s="293"/>
      <c r="XJ93" s="294"/>
      <c r="XP93" s="292"/>
      <c r="XQ93" s="293"/>
      <c r="XR93" s="294"/>
      <c r="XX93" s="292"/>
      <c r="XY93" s="293"/>
      <c r="XZ93" s="294"/>
      <c r="YF93" s="292"/>
      <c r="YG93" s="293"/>
      <c r="YH93" s="294"/>
      <c r="YN93" s="292"/>
      <c r="YO93" s="293"/>
      <c r="YP93" s="294"/>
      <c r="YV93" s="292"/>
      <c r="YW93" s="293"/>
      <c r="YX93" s="294"/>
      <c r="ZD93" s="292"/>
      <c r="ZE93" s="293"/>
      <c r="ZF93" s="294"/>
      <c r="ZL93" s="292"/>
      <c r="ZM93" s="293"/>
      <c r="ZN93" s="294"/>
      <c r="ZT93" s="292"/>
      <c r="ZU93" s="293"/>
      <c r="ZV93" s="294"/>
      <c r="AAB93" s="292"/>
      <c r="AAC93" s="293"/>
      <c r="AAD93" s="294"/>
      <c r="AAJ93" s="292"/>
      <c r="AAK93" s="293"/>
      <c r="AAL93" s="294"/>
      <c r="AAR93" s="292"/>
      <c r="AAS93" s="293"/>
      <c r="AAT93" s="294"/>
      <c r="AAZ93" s="292"/>
      <c r="ABA93" s="293"/>
      <c r="ABB93" s="294"/>
      <c r="ABH93" s="292"/>
      <c r="ABI93" s="293"/>
      <c r="ABJ93" s="294"/>
      <c r="ABP93" s="292"/>
      <c r="ABQ93" s="293"/>
      <c r="ABR93" s="294"/>
      <c r="ABX93" s="292"/>
      <c r="ABY93" s="293"/>
      <c r="ABZ93" s="294"/>
      <c r="ACF93" s="292"/>
      <c r="ACG93" s="293"/>
      <c r="ACH93" s="294"/>
      <c r="ACN93" s="292"/>
      <c r="ACO93" s="293"/>
      <c r="ACP93" s="294"/>
      <c r="ACV93" s="292"/>
      <c r="ACW93" s="293"/>
      <c r="ACX93" s="294"/>
      <c r="ADD93" s="292"/>
      <c r="ADE93" s="293"/>
      <c r="ADF93" s="294"/>
      <c r="ADL93" s="292"/>
      <c r="ADM93" s="293"/>
      <c r="ADN93" s="294"/>
      <c r="ADT93" s="292"/>
      <c r="ADU93" s="293"/>
      <c r="ADV93" s="294"/>
      <c r="AEB93" s="292"/>
      <c r="AEC93" s="293"/>
      <c r="AED93" s="294"/>
      <c r="AEJ93" s="292"/>
      <c r="AEK93" s="293"/>
      <c r="AEL93" s="294"/>
      <c r="AER93" s="292"/>
      <c r="AES93" s="293"/>
      <c r="AET93" s="294"/>
      <c r="AEZ93" s="292"/>
      <c r="AFA93" s="293"/>
      <c r="AFB93" s="294"/>
      <c r="AFH93" s="292"/>
      <c r="AFI93" s="293"/>
      <c r="AFJ93" s="294"/>
      <c r="AFP93" s="292"/>
      <c r="AFQ93" s="293"/>
      <c r="AFR93" s="294"/>
      <c r="AFX93" s="292"/>
      <c r="AFY93" s="293"/>
      <c r="AFZ93" s="294"/>
      <c r="AGF93" s="292"/>
      <c r="AGG93" s="293"/>
      <c r="AGH93" s="294"/>
      <c r="AGN93" s="292"/>
      <c r="AGO93" s="293"/>
      <c r="AGP93" s="294"/>
      <c r="AGV93" s="292"/>
      <c r="AGW93" s="293"/>
      <c r="AGX93" s="294"/>
      <c r="AHD93" s="292"/>
      <c r="AHE93" s="293"/>
      <c r="AHF93" s="294"/>
      <c r="AHL93" s="292"/>
      <c r="AHM93" s="293"/>
      <c r="AHN93" s="294"/>
      <c r="AHT93" s="292"/>
      <c r="AHU93" s="293"/>
      <c r="AHV93" s="294"/>
      <c r="AIB93" s="292"/>
      <c r="AIC93" s="293"/>
      <c r="AID93" s="294"/>
      <c r="AIJ93" s="292"/>
      <c r="AIK93" s="293"/>
      <c r="AIL93" s="294"/>
      <c r="AIR93" s="292"/>
      <c r="AIS93" s="293"/>
      <c r="AIT93" s="294"/>
      <c r="AIZ93" s="292"/>
      <c r="AJA93" s="293"/>
      <c r="AJB93" s="294"/>
      <c r="AJH93" s="292"/>
      <c r="AJI93" s="293"/>
      <c r="AJJ93" s="294"/>
      <c r="AJP93" s="292"/>
      <c r="AJQ93" s="293"/>
      <c r="AJR93" s="294"/>
      <c r="AJX93" s="292"/>
      <c r="AJY93" s="293"/>
      <c r="AJZ93" s="294"/>
      <c r="AKF93" s="292"/>
      <c r="AKG93" s="293"/>
      <c r="AKH93" s="294"/>
      <c r="AKN93" s="292"/>
      <c r="AKO93" s="293"/>
      <c r="AKP93" s="294"/>
      <c r="AKV93" s="292"/>
      <c r="AKW93" s="293"/>
      <c r="AKX93" s="294"/>
      <c r="ALD93" s="292"/>
      <c r="ALE93" s="293"/>
      <c r="ALF93" s="294"/>
      <c r="ALL93" s="292"/>
      <c r="ALM93" s="293"/>
      <c r="ALN93" s="294"/>
      <c r="ALT93" s="292"/>
      <c r="ALU93" s="293"/>
      <c r="ALV93" s="294"/>
      <c r="AMB93" s="292"/>
      <c r="AMC93" s="293"/>
      <c r="AMD93" s="294"/>
      <c r="AMJ93" s="292"/>
      <c r="AMK93" s="293"/>
      <c r="AML93" s="294"/>
      <c r="AMR93" s="292"/>
      <c r="AMS93" s="293"/>
      <c r="AMT93" s="294"/>
      <c r="AMZ93" s="292"/>
      <c r="ANA93" s="293"/>
      <c r="ANB93" s="294"/>
      <c r="ANH93" s="292"/>
      <c r="ANI93" s="293"/>
      <c r="ANJ93" s="294"/>
      <c r="ANP93" s="292"/>
      <c r="ANQ93" s="293"/>
      <c r="ANR93" s="294"/>
      <c r="ANX93" s="292"/>
      <c r="ANY93" s="293"/>
      <c r="ANZ93" s="294"/>
      <c r="AOF93" s="292"/>
      <c r="AOG93" s="293"/>
      <c r="AOH93" s="294"/>
      <c r="AON93" s="292"/>
      <c r="AOO93" s="293"/>
      <c r="AOP93" s="294"/>
      <c r="AOV93" s="292"/>
      <c r="AOW93" s="293"/>
      <c r="AOX93" s="294"/>
      <c r="APD93" s="292"/>
      <c r="APE93" s="293"/>
      <c r="APF93" s="294"/>
      <c r="APL93" s="292"/>
      <c r="APM93" s="293"/>
      <c r="APN93" s="294"/>
      <c r="APT93" s="292"/>
      <c r="APU93" s="293"/>
      <c r="APV93" s="294"/>
      <c r="AQB93" s="292"/>
      <c r="AQC93" s="293"/>
      <c r="AQD93" s="294"/>
      <c r="AQJ93" s="292"/>
      <c r="AQK93" s="293"/>
      <c r="AQL93" s="294"/>
      <c r="AQR93" s="292"/>
      <c r="AQS93" s="293"/>
      <c r="AQT93" s="294"/>
      <c r="AQZ93" s="292"/>
      <c r="ARA93" s="293"/>
      <c r="ARB93" s="294"/>
      <c r="ARH93" s="292"/>
      <c r="ARI93" s="293"/>
      <c r="ARJ93" s="294"/>
      <c r="ARP93" s="292"/>
      <c r="ARQ93" s="293"/>
      <c r="ARR93" s="294"/>
      <c r="ARX93" s="292"/>
      <c r="ARY93" s="293"/>
      <c r="ARZ93" s="294"/>
      <c r="ASF93" s="292"/>
      <c r="ASG93" s="293"/>
      <c r="ASH93" s="294"/>
      <c r="ASN93" s="292"/>
      <c r="ASO93" s="293"/>
      <c r="ASP93" s="294"/>
      <c r="ASV93" s="292"/>
      <c r="ASW93" s="293"/>
      <c r="ASX93" s="294"/>
      <c r="ATD93" s="292"/>
      <c r="ATE93" s="293"/>
      <c r="ATF93" s="294"/>
      <c r="ATL93" s="292"/>
      <c r="ATM93" s="293"/>
      <c r="ATN93" s="294"/>
      <c r="ATT93" s="292"/>
      <c r="ATU93" s="293"/>
      <c r="ATV93" s="294"/>
      <c r="AUB93" s="292"/>
      <c r="AUC93" s="293"/>
      <c r="AUD93" s="294"/>
      <c r="AUJ93" s="292"/>
      <c r="AUK93" s="293"/>
      <c r="AUL93" s="294"/>
      <c r="AUR93" s="292"/>
      <c r="AUS93" s="293"/>
      <c r="AUT93" s="294"/>
      <c r="AUZ93" s="292"/>
      <c r="AVA93" s="293"/>
      <c r="AVB93" s="294"/>
      <c r="AVH93" s="292"/>
      <c r="AVI93" s="293"/>
      <c r="AVJ93" s="294"/>
      <c r="AVP93" s="292"/>
      <c r="AVQ93" s="293"/>
      <c r="AVR93" s="294"/>
      <c r="AVX93" s="292"/>
      <c r="AVY93" s="293"/>
      <c r="AVZ93" s="294"/>
      <c r="AWF93" s="292"/>
      <c r="AWG93" s="293"/>
      <c r="AWH93" s="294"/>
      <c r="AWN93" s="292"/>
      <c r="AWO93" s="293"/>
      <c r="AWP93" s="294"/>
      <c r="AWV93" s="292"/>
      <c r="AWW93" s="293"/>
      <c r="AWX93" s="294"/>
      <c r="AXD93" s="292"/>
      <c r="AXE93" s="293"/>
      <c r="AXF93" s="294"/>
      <c r="AXL93" s="292"/>
      <c r="AXM93" s="293"/>
      <c r="AXN93" s="294"/>
      <c r="AXT93" s="292"/>
      <c r="AXU93" s="293"/>
      <c r="AXV93" s="294"/>
      <c r="AYB93" s="292"/>
      <c r="AYC93" s="293"/>
      <c r="AYD93" s="294"/>
      <c r="AYJ93" s="292"/>
      <c r="AYK93" s="293"/>
      <c r="AYL93" s="294"/>
      <c r="AYR93" s="292"/>
      <c r="AYS93" s="293"/>
      <c r="AYT93" s="294"/>
      <c r="AYZ93" s="292"/>
      <c r="AZA93" s="293"/>
      <c r="AZB93" s="294"/>
      <c r="AZH93" s="292"/>
      <c r="AZI93" s="293"/>
      <c r="AZJ93" s="294"/>
      <c r="AZP93" s="292"/>
      <c r="AZQ93" s="293"/>
      <c r="AZR93" s="294"/>
      <c r="AZX93" s="292"/>
      <c r="AZY93" s="293"/>
      <c r="AZZ93" s="294"/>
      <c r="BAF93" s="292"/>
      <c r="BAG93" s="293"/>
      <c r="BAH93" s="294"/>
      <c r="BAN93" s="292"/>
      <c r="BAO93" s="293"/>
      <c r="BAP93" s="294"/>
      <c r="BAV93" s="292"/>
      <c r="BAW93" s="293"/>
      <c r="BAX93" s="294"/>
      <c r="BBD93" s="292"/>
      <c r="BBE93" s="293"/>
      <c r="BBF93" s="294"/>
      <c r="BBL93" s="292"/>
      <c r="BBM93" s="293"/>
      <c r="BBN93" s="294"/>
      <c r="BBT93" s="292"/>
      <c r="BBU93" s="293"/>
      <c r="BBV93" s="294"/>
      <c r="BCB93" s="292"/>
      <c r="BCC93" s="293"/>
      <c r="BCD93" s="294"/>
      <c r="BCJ93" s="292"/>
      <c r="BCK93" s="293"/>
      <c r="BCL93" s="294"/>
      <c r="BCR93" s="292"/>
      <c r="BCS93" s="293"/>
      <c r="BCT93" s="294"/>
      <c r="BCZ93" s="292"/>
      <c r="BDA93" s="293"/>
      <c r="BDB93" s="294"/>
      <c r="BDH93" s="292"/>
      <c r="BDI93" s="293"/>
      <c r="BDJ93" s="294"/>
      <c r="BDP93" s="292"/>
      <c r="BDQ93" s="293"/>
      <c r="BDR93" s="294"/>
      <c r="BDX93" s="292"/>
      <c r="BDY93" s="293"/>
      <c r="BDZ93" s="294"/>
      <c r="BEF93" s="292"/>
      <c r="BEG93" s="293"/>
      <c r="BEH93" s="294"/>
      <c r="BEN93" s="292"/>
      <c r="BEO93" s="293"/>
      <c r="BEP93" s="294"/>
      <c r="BEV93" s="292"/>
      <c r="BEW93" s="293"/>
      <c r="BEX93" s="294"/>
      <c r="BFD93" s="292"/>
      <c r="BFE93" s="293"/>
      <c r="BFF93" s="294"/>
      <c r="BFL93" s="292"/>
      <c r="BFM93" s="293"/>
      <c r="BFN93" s="294"/>
      <c r="BFT93" s="292"/>
      <c r="BFU93" s="293"/>
      <c r="BFV93" s="294"/>
      <c r="BGB93" s="292"/>
      <c r="BGC93" s="293"/>
      <c r="BGD93" s="294"/>
      <c r="BGJ93" s="292"/>
      <c r="BGK93" s="293"/>
      <c r="BGL93" s="294"/>
      <c r="BGR93" s="292"/>
      <c r="BGS93" s="293"/>
      <c r="BGT93" s="294"/>
      <c r="BGZ93" s="292"/>
      <c r="BHA93" s="293"/>
      <c r="BHB93" s="294"/>
      <c r="BHH93" s="292"/>
      <c r="BHI93" s="293"/>
      <c r="BHJ93" s="294"/>
      <c r="BHP93" s="292"/>
      <c r="BHQ93" s="293"/>
      <c r="BHR93" s="294"/>
      <c r="BHX93" s="292"/>
      <c r="BHY93" s="293"/>
      <c r="BHZ93" s="294"/>
      <c r="BIF93" s="292"/>
      <c r="BIG93" s="293"/>
      <c r="BIH93" s="294"/>
      <c r="BIN93" s="292"/>
      <c r="BIO93" s="293"/>
      <c r="BIP93" s="294"/>
      <c r="BIV93" s="292"/>
      <c r="BIW93" s="293"/>
      <c r="BIX93" s="294"/>
      <c r="BJD93" s="292"/>
      <c r="BJE93" s="293"/>
      <c r="BJF93" s="294"/>
      <c r="BJL93" s="292"/>
      <c r="BJM93" s="293"/>
      <c r="BJN93" s="294"/>
      <c r="BJT93" s="292"/>
      <c r="BJU93" s="293"/>
      <c r="BJV93" s="294"/>
      <c r="BKB93" s="292"/>
      <c r="BKC93" s="293"/>
      <c r="BKD93" s="294"/>
      <c r="BKJ93" s="292"/>
      <c r="BKK93" s="293"/>
      <c r="BKL93" s="294"/>
      <c r="BKR93" s="292"/>
      <c r="BKS93" s="293"/>
      <c r="BKT93" s="294"/>
      <c r="BKZ93" s="292"/>
      <c r="BLA93" s="293"/>
      <c r="BLB93" s="294"/>
      <c r="BLH93" s="292"/>
      <c r="BLI93" s="293"/>
      <c r="BLJ93" s="294"/>
      <c r="BLP93" s="292"/>
      <c r="BLQ93" s="293"/>
      <c r="BLR93" s="294"/>
      <c r="BLX93" s="292"/>
      <c r="BLY93" s="293"/>
      <c r="BLZ93" s="294"/>
      <c r="BMF93" s="292"/>
      <c r="BMG93" s="293"/>
      <c r="BMH93" s="294"/>
      <c r="BMN93" s="292"/>
      <c r="BMO93" s="293"/>
      <c r="BMP93" s="294"/>
      <c r="BMV93" s="292"/>
      <c r="BMW93" s="293"/>
      <c r="BMX93" s="294"/>
      <c r="BND93" s="292"/>
      <c r="BNE93" s="293"/>
      <c r="BNF93" s="294"/>
      <c r="BNL93" s="292"/>
      <c r="BNM93" s="293"/>
      <c r="BNN93" s="294"/>
      <c r="BNT93" s="292"/>
      <c r="BNU93" s="293"/>
      <c r="BNV93" s="294"/>
      <c r="BOB93" s="292"/>
      <c r="BOC93" s="293"/>
      <c r="BOD93" s="294"/>
      <c r="BOJ93" s="292"/>
      <c r="BOK93" s="293"/>
      <c r="BOL93" s="294"/>
      <c r="BOR93" s="292"/>
      <c r="BOS93" s="293"/>
      <c r="BOT93" s="294"/>
      <c r="BOZ93" s="292"/>
      <c r="BPA93" s="293"/>
      <c r="BPB93" s="294"/>
      <c r="BPH93" s="292"/>
      <c r="BPI93" s="293"/>
      <c r="BPJ93" s="294"/>
      <c r="BPP93" s="292"/>
      <c r="BPQ93" s="293"/>
      <c r="BPR93" s="294"/>
      <c r="BPX93" s="292"/>
      <c r="BPY93" s="293"/>
      <c r="BPZ93" s="294"/>
      <c r="BQF93" s="292"/>
      <c r="BQG93" s="293"/>
      <c r="BQH93" s="294"/>
      <c r="BQN93" s="292"/>
      <c r="BQO93" s="293"/>
      <c r="BQP93" s="294"/>
      <c r="BQV93" s="292"/>
      <c r="BQW93" s="293"/>
      <c r="BQX93" s="294"/>
      <c r="BRD93" s="292"/>
      <c r="BRE93" s="293"/>
      <c r="BRF93" s="294"/>
      <c r="BRL93" s="292"/>
      <c r="BRM93" s="293"/>
      <c r="BRN93" s="294"/>
      <c r="BRT93" s="292"/>
      <c r="BRU93" s="293"/>
      <c r="BRV93" s="294"/>
      <c r="BSB93" s="292"/>
      <c r="BSC93" s="293"/>
      <c r="BSD93" s="294"/>
      <c r="BSJ93" s="292"/>
      <c r="BSK93" s="293"/>
      <c r="BSL93" s="294"/>
      <c r="BSR93" s="292"/>
      <c r="BSS93" s="293"/>
      <c r="BST93" s="294"/>
      <c r="BSZ93" s="292"/>
      <c r="BTA93" s="293"/>
      <c r="BTB93" s="294"/>
      <c r="BTH93" s="292"/>
      <c r="BTI93" s="293"/>
      <c r="BTJ93" s="294"/>
      <c r="BTP93" s="292"/>
      <c r="BTQ93" s="293"/>
      <c r="BTR93" s="294"/>
      <c r="BTX93" s="292"/>
      <c r="BTY93" s="293"/>
      <c r="BTZ93" s="294"/>
      <c r="BUF93" s="292"/>
      <c r="BUG93" s="293"/>
      <c r="BUH93" s="294"/>
      <c r="BUN93" s="292"/>
      <c r="BUO93" s="293"/>
      <c r="BUP93" s="294"/>
      <c r="BUV93" s="292"/>
      <c r="BUW93" s="293"/>
      <c r="BUX93" s="294"/>
      <c r="BVD93" s="292"/>
      <c r="BVE93" s="293"/>
      <c r="BVF93" s="294"/>
      <c r="BVL93" s="292"/>
      <c r="BVM93" s="293"/>
      <c r="BVN93" s="294"/>
      <c r="BVT93" s="292"/>
      <c r="BVU93" s="293"/>
      <c r="BVV93" s="294"/>
      <c r="BWB93" s="292"/>
      <c r="BWC93" s="293"/>
      <c r="BWD93" s="294"/>
      <c r="BWJ93" s="292"/>
      <c r="BWK93" s="293"/>
      <c r="BWL93" s="294"/>
      <c r="BWR93" s="292"/>
      <c r="BWS93" s="293"/>
      <c r="BWT93" s="294"/>
      <c r="BWZ93" s="292"/>
      <c r="BXA93" s="293"/>
      <c r="BXB93" s="294"/>
      <c r="BXH93" s="292"/>
      <c r="BXI93" s="293"/>
      <c r="BXJ93" s="294"/>
      <c r="BXP93" s="292"/>
      <c r="BXQ93" s="293"/>
      <c r="BXR93" s="294"/>
      <c r="BXX93" s="292"/>
      <c r="BXY93" s="293"/>
      <c r="BXZ93" s="294"/>
      <c r="BYF93" s="292"/>
      <c r="BYG93" s="293"/>
      <c r="BYH93" s="294"/>
      <c r="BYN93" s="292"/>
      <c r="BYO93" s="293"/>
      <c r="BYP93" s="294"/>
      <c r="BYV93" s="292"/>
      <c r="BYW93" s="293"/>
      <c r="BYX93" s="294"/>
      <c r="BZD93" s="292"/>
      <c r="BZE93" s="293"/>
      <c r="BZF93" s="294"/>
      <c r="BZL93" s="292"/>
      <c r="BZM93" s="293"/>
      <c r="BZN93" s="294"/>
      <c r="BZT93" s="292"/>
      <c r="BZU93" s="293"/>
      <c r="BZV93" s="294"/>
      <c r="CAB93" s="292"/>
      <c r="CAC93" s="293"/>
      <c r="CAD93" s="294"/>
      <c r="CAJ93" s="292"/>
      <c r="CAK93" s="293"/>
      <c r="CAL93" s="294"/>
      <c r="CAR93" s="292"/>
      <c r="CAS93" s="293"/>
      <c r="CAT93" s="294"/>
      <c r="CAZ93" s="292"/>
      <c r="CBA93" s="293"/>
      <c r="CBB93" s="294"/>
      <c r="CBH93" s="292"/>
      <c r="CBI93" s="293"/>
      <c r="CBJ93" s="294"/>
      <c r="CBP93" s="292"/>
      <c r="CBQ93" s="293"/>
      <c r="CBR93" s="294"/>
      <c r="CBX93" s="292"/>
      <c r="CBY93" s="293"/>
      <c r="CBZ93" s="294"/>
      <c r="CCF93" s="292"/>
      <c r="CCG93" s="293"/>
      <c r="CCH93" s="294"/>
      <c r="CCN93" s="292"/>
      <c r="CCO93" s="293"/>
      <c r="CCP93" s="294"/>
      <c r="CCV93" s="292"/>
      <c r="CCW93" s="293"/>
      <c r="CCX93" s="294"/>
      <c r="CDD93" s="292"/>
      <c r="CDE93" s="293"/>
      <c r="CDF93" s="294"/>
      <c r="CDL93" s="292"/>
      <c r="CDM93" s="293"/>
      <c r="CDN93" s="294"/>
      <c r="CDT93" s="292"/>
      <c r="CDU93" s="293"/>
      <c r="CDV93" s="294"/>
      <c r="CEB93" s="292"/>
      <c r="CEC93" s="293"/>
      <c r="CED93" s="294"/>
      <c r="CEJ93" s="292"/>
      <c r="CEK93" s="293"/>
      <c r="CEL93" s="294"/>
      <c r="CER93" s="292"/>
      <c r="CES93" s="293"/>
      <c r="CET93" s="294"/>
      <c r="CEZ93" s="292"/>
      <c r="CFA93" s="293"/>
      <c r="CFB93" s="294"/>
      <c r="CFH93" s="292"/>
      <c r="CFI93" s="293"/>
      <c r="CFJ93" s="294"/>
      <c r="CFP93" s="292"/>
      <c r="CFQ93" s="293"/>
      <c r="CFR93" s="294"/>
      <c r="CFX93" s="292"/>
      <c r="CFY93" s="293"/>
      <c r="CFZ93" s="294"/>
      <c r="CGF93" s="292"/>
      <c r="CGG93" s="293"/>
      <c r="CGH93" s="294"/>
      <c r="CGN93" s="292"/>
      <c r="CGO93" s="293"/>
      <c r="CGP93" s="294"/>
      <c r="CGV93" s="292"/>
      <c r="CGW93" s="293"/>
      <c r="CGX93" s="294"/>
      <c r="CHD93" s="292"/>
      <c r="CHE93" s="293"/>
      <c r="CHF93" s="294"/>
      <c r="CHL93" s="292"/>
      <c r="CHM93" s="293"/>
      <c r="CHN93" s="294"/>
      <c r="CHT93" s="292"/>
      <c r="CHU93" s="293"/>
      <c r="CHV93" s="294"/>
      <c r="CIB93" s="292"/>
      <c r="CIC93" s="293"/>
      <c r="CID93" s="294"/>
      <c r="CIJ93" s="292"/>
      <c r="CIK93" s="293"/>
      <c r="CIL93" s="294"/>
      <c r="CIR93" s="292"/>
      <c r="CIS93" s="293"/>
      <c r="CIT93" s="294"/>
      <c r="CIZ93" s="292"/>
      <c r="CJA93" s="293"/>
      <c r="CJB93" s="294"/>
      <c r="CJH93" s="292"/>
      <c r="CJI93" s="293"/>
      <c r="CJJ93" s="294"/>
      <c r="CJP93" s="292"/>
      <c r="CJQ93" s="293"/>
      <c r="CJR93" s="294"/>
      <c r="CJX93" s="292"/>
      <c r="CJY93" s="293"/>
      <c r="CJZ93" s="294"/>
      <c r="CKF93" s="292"/>
      <c r="CKG93" s="293"/>
      <c r="CKH93" s="294"/>
      <c r="CKN93" s="292"/>
      <c r="CKO93" s="293"/>
      <c r="CKP93" s="294"/>
      <c r="CKV93" s="292"/>
      <c r="CKW93" s="293"/>
      <c r="CKX93" s="294"/>
      <c r="CLD93" s="292"/>
      <c r="CLE93" s="293"/>
      <c r="CLF93" s="294"/>
      <c r="CLL93" s="292"/>
      <c r="CLM93" s="293"/>
      <c r="CLN93" s="294"/>
      <c r="CLT93" s="292"/>
      <c r="CLU93" s="293"/>
      <c r="CLV93" s="294"/>
      <c r="CMB93" s="292"/>
      <c r="CMC93" s="293"/>
      <c r="CMD93" s="294"/>
      <c r="CMJ93" s="292"/>
      <c r="CMK93" s="293"/>
      <c r="CML93" s="294"/>
      <c r="CMR93" s="292"/>
      <c r="CMS93" s="293"/>
      <c r="CMT93" s="294"/>
      <c r="CMZ93" s="292"/>
      <c r="CNA93" s="293"/>
      <c r="CNB93" s="294"/>
      <c r="CNH93" s="292"/>
      <c r="CNI93" s="293"/>
      <c r="CNJ93" s="294"/>
      <c r="CNP93" s="292"/>
      <c r="CNQ93" s="293"/>
      <c r="CNR93" s="294"/>
      <c r="CNX93" s="292"/>
      <c r="CNY93" s="293"/>
      <c r="CNZ93" s="294"/>
      <c r="COF93" s="292"/>
      <c r="COG93" s="293"/>
      <c r="COH93" s="294"/>
      <c r="CON93" s="292"/>
      <c r="COO93" s="293"/>
      <c r="COP93" s="294"/>
      <c r="COV93" s="292"/>
      <c r="COW93" s="293"/>
      <c r="COX93" s="294"/>
      <c r="CPD93" s="292"/>
      <c r="CPE93" s="293"/>
      <c r="CPF93" s="294"/>
      <c r="CPL93" s="292"/>
      <c r="CPM93" s="293"/>
      <c r="CPN93" s="294"/>
      <c r="CPT93" s="292"/>
      <c r="CPU93" s="293"/>
      <c r="CPV93" s="294"/>
      <c r="CQB93" s="292"/>
      <c r="CQC93" s="293"/>
      <c r="CQD93" s="294"/>
      <c r="CQJ93" s="292"/>
      <c r="CQK93" s="293"/>
      <c r="CQL93" s="294"/>
      <c r="CQR93" s="292"/>
      <c r="CQS93" s="293"/>
      <c r="CQT93" s="294"/>
      <c r="CQZ93" s="292"/>
      <c r="CRA93" s="293"/>
      <c r="CRB93" s="294"/>
      <c r="CRH93" s="292"/>
      <c r="CRI93" s="293"/>
      <c r="CRJ93" s="294"/>
      <c r="CRP93" s="292"/>
      <c r="CRQ93" s="293"/>
      <c r="CRR93" s="294"/>
      <c r="CRX93" s="292"/>
      <c r="CRY93" s="293"/>
      <c r="CRZ93" s="294"/>
      <c r="CSF93" s="292"/>
      <c r="CSG93" s="293"/>
      <c r="CSH93" s="294"/>
      <c r="CSN93" s="292"/>
      <c r="CSO93" s="293"/>
      <c r="CSP93" s="294"/>
      <c r="CSV93" s="292"/>
      <c r="CSW93" s="293"/>
      <c r="CSX93" s="294"/>
      <c r="CTD93" s="292"/>
      <c r="CTE93" s="293"/>
      <c r="CTF93" s="294"/>
      <c r="CTL93" s="292"/>
      <c r="CTM93" s="293"/>
      <c r="CTN93" s="294"/>
      <c r="CTT93" s="292"/>
      <c r="CTU93" s="293"/>
      <c r="CTV93" s="294"/>
      <c r="CUB93" s="292"/>
      <c r="CUC93" s="293"/>
      <c r="CUD93" s="294"/>
      <c r="CUJ93" s="292"/>
      <c r="CUK93" s="293"/>
      <c r="CUL93" s="294"/>
      <c r="CUR93" s="292"/>
      <c r="CUS93" s="293"/>
      <c r="CUT93" s="294"/>
      <c r="CUZ93" s="292"/>
      <c r="CVA93" s="293"/>
      <c r="CVB93" s="294"/>
      <c r="CVH93" s="292"/>
      <c r="CVI93" s="293"/>
      <c r="CVJ93" s="294"/>
      <c r="CVP93" s="292"/>
      <c r="CVQ93" s="293"/>
      <c r="CVR93" s="294"/>
      <c r="CVX93" s="292"/>
      <c r="CVY93" s="293"/>
      <c r="CVZ93" s="294"/>
      <c r="CWF93" s="292"/>
      <c r="CWG93" s="293"/>
      <c r="CWH93" s="294"/>
      <c r="CWN93" s="292"/>
      <c r="CWO93" s="293"/>
      <c r="CWP93" s="294"/>
      <c r="CWV93" s="292"/>
      <c r="CWW93" s="293"/>
      <c r="CWX93" s="294"/>
      <c r="CXD93" s="292"/>
      <c r="CXE93" s="293"/>
      <c r="CXF93" s="294"/>
      <c r="CXL93" s="292"/>
      <c r="CXM93" s="293"/>
      <c r="CXN93" s="294"/>
      <c r="CXT93" s="292"/>
      <c r="CXU93" s="293"/>
      <c r="CXV93" s="294"/>
      <c r="CYB93" s="292"/>
      <c r="CYC93" s="293"/>
      <c r="CYD93" s="294"/>
      <c r="CYJ93" s="292"/>
      <c r="CYK93" s="293"/>
      <c r="CYL93" s="294"/>
      <c r="CYR93" s="292"/>
      <c r="CYS93" s="293"/>
      <c r="CYT93" s="294"/>
      <c r="CYZ93" s="292"/>
      <c r="CZA93" s="293"/>
      <c r="CZB93" s="294"/>
      <c r="CZH93" s="292"/>
      <c r="CZI93" s="293"/>
      <c r="CZJ93" s="294"/>
      <c r="CZP93" s="292"/>
      <c r="CZQ93" s="293"/>
      <c r="CZR93" s="294"/>
      <c r="CZX93" s="292"/>
      <c r="CZY93" s="293"/>
      <c r="CZZ93" s="294"/>
      <c r="DAF93" s="292"/>
      <c r="DAG93" s="293"/>
      <c r="DAH93" s="294"/>
      <c r="DAN93" s="292"/>
      <c r="DAO93" s="293"/>
      <c r="DAP93" s="294"/>
      <c r="DAV93" s="292"/>
      <c r="DAW93" s="293"/>
      <c r="DAX93" s="294"/>
      <c r="DBD93" s="292"/>
      <c r="DBE93" s="293"/>
      <c r="DBF93" s="294"/>
      <c r="DBL93" s="292"/>
      <c r="DBM93" s="293"/>
      <c r="DBN93" s="294"/>
      <c r="DBT93" s="292"/>
      <c r="DBU93" s="293"/>
      <c r="DBV93" s="294"/>
      <c r="DCB93" s="292"/>
      <c r="DCC93" s="293"/>
      <c r="DCD93" s="294"/>
      <c r="DCJ93" s="292"/>
      <c r="DCK93" s="293"/>
      <c r="DCL93" s="294"/>
      <c r="DCR93" s="292"/>
      <c r="DCS93" s="293"/>
      <c r="DCT93" s="294"/>
      <c r="DCZ93" s="292"/>
      <c r="DDA93" s="293"/>
      <c r="DDB93" s="294"/>
      <c r="DDH93" s="292"/>
      <c r="DDI93" s="293"/>
      <c r="DDJ93" s="294"/>
      <c r="DDP93" s="292"/>
      <c r="DDQ93" s="293"/>
      <c r="DDR93" s="294"/>
      <c r="DDX93" s="292"/>
      <c r="DDY93" s="293"/>
      <c r="DDZ93" s="294"/>
      <c r="DEF93" s="292"/>
      <c r="DEG93" s="293"/>
      <c r="DEH93" s="294"/>
      <c r="DEN93" s="292"/>
      <c r="DEO93" s="293"/>
      <c r="DEP93" s="294"/>
      <c r="DEV93" s="292"/>
      <c r="DEW93" s="293"/>
      <c r="DEX93" s="294"/>
      <c r="DFD93" s="292"/>
      <c r="DFE93" s="293"/>
      <c r="DFF93" s="294"/>
      <c r="DFL93" s="292"/>
      <c r="DFM93" s="293"/>
      <c r="DFN93" s="294"/>
      <c r="DFT93" s="292"/>
      <c r="DFU93" s="293"/>
      <c r="DFV93" s="294"/>
      <c r="DGB93" s="292"/>
      <c r="DGC93" s="293"/>
      <c r="DGD93" s="294"/>
      <c r="DGJ93" s="292"/>
      <c r="DGK93" s="293"/>
      <c r="DGL93" s="294"/>
      <c r="DGR93" s="292"/>
      <c r="DGS93" s="293"/>
      <c r="DGT93" s="294"/>
      <c r="DGZ93" s="292"/>
      <c r="DHA93" s="293"/>
      <c r="DHB93" s="294"/>
      <c r="DHH93" s="292"/>
      <c r="DHI93" s="293"/>
      <c r="DHJ93" s="294"/>
      <c r="DHP93" s="292"/>
      <c r="DHQ93" s="293"/>
      <c r="DHR93" s="294"/>
      <c r="DHX93" s="292"/>
      <c r="DHY93" s="293"/>
      <c r="DHZ93" s="294"/>
      <c r="DIF93" s="292"/>
      <c r="DIG93" s="293"/>
      <c r="DIH93" s="294"/>
      <c r="DIN93" s="292"/>
      <c r="DIO93" s="293"/>
      <c r="DIP93" s="294"/>
      <c r="DIV93" s="292"/>
      <c r="DIW93" s="293"/>
      <c r="DIX93" s="294"/>
      <c r="DJD93" s="292"/>
      <c r="DJE93" s="293"/>
      <c r="DJF93" s="294"/>
      <c r="DJL93" s="292"/>
      <c r="DJM93" s="293"/>
      <c r="DJN93" s="294"/>
      <c r="DJT93" s="292"/>
      <c r="DJU93" s="293"/>
      <c r="DJV93" s="294"/>
      <c r="DKB93" s="292"/>
      <c r="DKC93" s="293"/>
      <c r="DKD93" s="294"/>
      <c r="DKJ93" s="292"/>
      <c r="DKK93" s="293"/>
      <c r="DKL93" s="294"/>
      <c r="DKR93" s="292"/>
      <c r="DKS93" s="293"/>
      <c r="DKT93" s="294"/>
      <c r="DKZ93" s="292"/>
      <c r="DLA93" s="293"/>
      <c r="DLB93" s="294"/>
      <c r="DLH93" s="292"/>
      <c r="DLI93" s="293"/>
      <c r="DLJ93" s="294"/>
      <c r="DLP93" s="292"/>
      <c r="DLQ93" s="293"/>
      <c r="DLR93" s="294"/>
      <c r="DLX93" s="292"/>
      <c r="DLY93" s="293"/>
      <c r="DLZ93" s="294"/>
      <c r="DMF93" s="292"/>
      <c r="DMG93" s="293"/>
      <c r="DMH93" s="294"/>
      <c r="DMN93" s="292"/>
      <c r="DMO93" s="293"/>
      <c r="DMP93" s="294"/>
      <c r="DMV93" s="292"/>
      <c r="DMW93" s="293"/>
      <c r="DMX93" s="294"/>
      <c r="DND93" s="292"/>
      <c r="DNE93" s="293"/>
      <c r="DNF93" s="294"/>
      <c r="DNL93" s="292"/>
      <c r="DNM93" s="293"/>
      <c r="DNN93" s="294"/>
      <c r="DNT93" s="292"/>
      <c r="DNU93" s="293"/>
      <c r="DNV93" s="294"/>
      <c r="DOB93" s="292"/>
      <c r="DOC93" s="293"/>
      <c r="DOD93" s="294"/>
      <c r="DOJ93" s="292"/>
      <c r="DOK93" s="293"/>
      <c r="DOL93" s="294"/>
      <c r="DOR93" s="292"/>
      <c r="DOS93" s="293"/>
      <c r="DOT93" s="294"/>
      <c r="DOZ93" s="292"/>
      <c r="DPA93" s="293"/>
      <c r="DPB93" s="294"/>
      <c r="DPH93" s="292"/>
      <c r="DPI93" s="293"/>
      <c r="DPJ93" s="294"/>
      <c r="DPP93" s="292"/>
      <c r="DPQ93" s="293"/>
      <c r="DPR93" s="294"/>
      <c r="DPX93" s="292"/>
      <c r="DPY93" s="293"/>
      <c r="DPZ93" s="294"/>
      <c r="DQF93" s="292"/>
      <c r="DQG93" s="293"/>
      <c r="DQH93" s="294"/>
      <c r="DQN93" s="292"/>
      <c r="DQO93" s="293"/>
      <c r="DQP93" s="294"/>
      <c r="DQV93" s="292"/>
      <c r="DQW93" s="293"/>
      <c r="DQX93" s="294"/>
      <c r="DRD93" s="292"/>
      <c r="DRE93" s="293"/>
      <c r="DRF93" s="294"/>
      <c r="DRL93" s="292"/>
      <c r="DRM93" s="293"/>
      <c r="DRN93" s="294"/>
      <c r="DRT93" s="292"/>
      <c r="DRU93" s="293"/>
      <c r="DRV93" s="294"/>
      <c r="DSB93" s="292"/>
      <c r="DSC93" s="293"/>
      <c r="DSD93" s="294"/>
      <c r="DSJ93" s="292"/>
      <c r="DSK93" s="293"/>
      <c r="DSL93" s="294"/>
      <c r="DSR93" s="292"/>
      <c r="DSS93" s="293"/>
      <c r="DST93" s="294"/>
      <c r="DSZ93" s="292"/>
      <c r="DTA93" s="293"/>
      <c r="DTB93" s="294"/>
      <c r="DTH93" s="292"/>
      <c r="DTI93" s="293"/>
      <c r="DTJ93" s="294"/>
      <c r="DTP93" s="292"/>
      <c r="DTQ93" s="293"/>
      <c r="DTR93" s="294"/>
      <c r="DTX93" s="292"/>
      <c r="DTY93" s="293"/>
      <c r="DTZ93" s="294"/>
      <c r="DUF93" s="292"/>
      <c r="DUG93" s="293"/>
      <c r="DUH93" s="294"/>
      <c r="DUN93" s="292"/>
      <c r="DUO93" s="293"/>
      <c r="DUP93" s="294"/>
      <c r="DUV93" s="292"/>
      <c r="DUW93" s="293"/>
      <c r="DUX93" s="294"/>
      <c r="DVD93" s="292"/>
      <c r="DVE93" s="293"/>
      <c r="DVF93" s="294"/>
      <c r="DVL93" s="292"/>
      <c r="DVM93" s="293"/>
      <c r="DVN93" s="294"/>
      <c r="DVT93" s="292"/>
      <c r="DVU93" s="293"/>
      <c r="DVV93" s="294"/>
      <c r="DWB93" s="292"/>
      <c r="DWC93" s="293"/>
      <c r="DWD93" s="294"/>
      <c r="DWJ93" s="292"/>
      <c r="DWK93" s="293"/>
      <c r="DWL93" s="294"/>
      <c r="DWR93" s="292"/>
      <c r="DWS93" s="293"/>
      <c r="DWT93" s="294"/>
      <c r="DWZ93" s="292"/>
      <c r="DXA93" s="293"/>
      <c r="DXB93" s="294"/>
      <c r="DXH93" s="292"/>
      <c r="DXI93" s="293"/>
      <c r="DXJ93" s="294"/>
      <c r="DXP93" s="292"/>
      <c r="DXQ93" s="293"/>
      <c r="DXR93" s="294"/>
      <c r="DXX93" s="292"/>
      <c r="DXY93" s="293"/>
      <c r="DXZ93" s="294"/>
      <c r="DYF93" s="292"/>
      <c r="DYG93" s="293"/>
      <c r="DYH93" s="294"/>
      <c r="DYN93" s="292"/>
      <c r="DYO93" s="293"/>
      <c r="DYP93" s="294"/>
      <c r="DYV93" s="292"/>
      <c r="DYW93" s="293"/>
      <c r="DYX93" s="294"/>
      <c r="DZD93" s="292"/>
      <c r="DZE93" s="293"/>
      <c r="DZF93" s="294"/>
      <c r="DZL93" s="292"/>
      <c r="DZM93" s="293"/>
      <c r="DZN93" s="294"/>
      <c r="DZT93" s="292"/>
      <c r="DZU93" s="293"/>
      <c r="DZV93" s="294"/>
      <c r="EAB93" s="292"/>
      <c r="EAC93" s="293"/>
      <c r="EAD93" s="294"/>
      <c r="EAJ93" s="292"/>
      <c r="EAK93" s="293"/>
      <c r="EAL93" s="294"/>
      <c r="EAR93" s="292"/>
      <c r="EAS93" s="293"/>
      <c r="EAT93" s="294"/>
      <c r="EAZ93" s="292"/>
      <c r="EBA93" s="293"/>
      <c r="EBB93" s="294"/>
      <c r="EBH93" s="292"/>
      <c r="EBI93" s="293"/>
      <c r="EBJ93" s="294"/>
      <c r="EBP93" s="292"/>
      <c r="EBQ93" s="293"/>
      <c r="EBR93" s="294"/>
      <c r="EBX93" s="292"/>
      <c r="EBY93" s="293"/>
      <c r="EBZ93" s="294"/>
      <c r="ECF93" s="292"/>
      <c r="ECG93" s="293"/>
      <c r="ECH93" s="294"/>
      <c r="ECN93" s="292"/>
      <c r="ECO93" s="293"/>
      <c r="ECP93" s="294"/>
      <c r="ECV93" s="292"/>
      <c r="ECW93" s="293"/>
      <c r="ECX93" s="294"/>
      <c r="EDD93" s="292"/>
      <c r="EDE93" s="293"/>
      <c r="EDF93" s="294"/>
      <c r="EDL93" s="292"/>
      <c r="EDM93" s="293"/>
      <c r="EDN93" s="294"/>
      <c r="EDT93" s="292"/>
      <c r="EDU93" s="293"/>
      <c r="EDV93" s="294"/>
      <c r="EEB93" s="292"/>
      <c r="EEC93" s="293"/>
      <c r="EED93" s="294"/>
      <c r="EEJ93" s="292"/>
      <c r="EEK93" s="293"/>
      <c r="EEL93" s="294"/>
      <c r="EER93" s="292"/>
      <c r="EES93" s="293"/>
      <c r="EET93" s="294"/>
      <c r="EEZ93" s="292"/>
      <c r="EFA93" s="293"/>
      <c r="EFB93" s="294"/>
      <c r="EFH93" s="292"/>
      <c r="EFI93" s="293"/>
      <c r="EFJ93" s="294"/>
      <c r="EFP93" s="292"/>
      <c r="EFQ93" s="293"/>
      <c r="EFR93" s="294"/>
      <c r="EFX93" s="292"/>
      <c r="EFY93" s="293"/>
      <c r="EFZ93" s="294"/>
      <c r="EGF93" s="292"/>
      <c r="EGG93" s="293"/>
      <c r="EGH93" s="294"/>
      <c r="EGN93" s="292"/>
      <c r="EGO93" s="293"/>
      <c r="EGP93" s="294"/>
      <c r="EGV93" s="292"/>
      <c r="EGW93" s="293"/>
      <c r="EGX93" s="294"/>
      <c r="EHD93" s="292"/>
      <c r="EHE93" s="293"/>
      <c r="EHF93" s="294"/>
      <c r="EHL93" s="292"/>
      <c r="EHM93" s="293"/>
      <c r="EHN93" s="294"/>
      <c r="EHT93" s="292"/>
      <c r="EHU93" s="293"/>
      <c r="EHV93" s="294"/>
      <c r="EIB93" s="292"/>
      <c r="EIC93" s="293"/>
      <c r="EID93" s="294"/>
      <c r="EIJ93" s="292"/>
      <c r="EIK93" s="293"/>
      <c r="EIL93" s="294"/>
      <c r="EIR93" s="292"/>
      <c r="EIS93" s="293"/>
      <c r="EIT93" s="294"/>
      <c r="EIZ93" s="292"/>
      <c r="EJA93" s="293"/>
      <c r="EJB93" s="294"/>
      <c r="EJH93" s="292"/>
      <c r="EJI93" s="293"/>
      <c r="EJJ93" s="294"/>
      <c r="EJP93" s="292"/>
      <c r="EJQ93" s="293"/>
      <c r="EJR93" s="294"/>
      <c r="EJX93" s="292"/>
      <c r="EJY93" s="293"/>
      <c r="EJZ93" s="294"/>
      <c r="EKF93" s="292"/>
      <c r="EKG93" s="293"/>
      <c r="EKH93" s="294"/>
      <c r="EKN93" s="292"/>
      <c r="EKO93" s="293"/>
      <c r="EKP93" s="294"/>
      <c r="EKV93" s="292"/>
      <c r="EKW93" s="293"/>
      <c r="EKX93" s="294"/>
      <c r="ELD93" s="292"/>
      <c r="ELE93" s="293"/>
      <c r="ELF93" s="294"/>
      <c r="ELL93" s="292"/>
      <c r="ELM93" s="293"/>
      <c r="ELN93" s="294"/>
      <c r="ELT93" s="292"/>
      <c r="ELU93" s="293"/>
      <c r="ELV93" s="294"/>
      <c r="EMB93" s="292"/>
      <c r="EMC93" s="293"/>
      <c r="EMD93" s="294"/>
      <c r="EMJ93" s="292"/>
      <c r="EMK93" s="293"/>
      <c r="EML93" s="294"/>
      <c r="EMR93" s="292"/>
      <c r="EMS93" s="293"/>
      <c r="EMT93" s="294"/>
      <c r="EMZ93" s="292"/>
      <c r="ENA93" s="293"/>
      <c r="ENB93" s="294"/>
      <c r="ENH93" s="292"/>
      <c r="ENI93" s="293"/>
      <c r="ENJ93" s="294"/>
      <c r="ENP93" s="292"/>
      <c r="ENQ93" s="293"/>
      <c r="ENR93" s="294"/>
      <c r="ENX93" s="292"/>
      <c r="ENY93" s="293"/>
      <c r="ENZ93" s="294"/>
      <c r="EOF93" s="292"/>
      <c r="EOG93" s="293"/>
      <c r="EOH93" s="294"/>
      <c r="EON93" s="292"/>
      <c r="EOO93" s="293"/>
      <c r="EOP93" s="294"/>
      <c r="EOV93" s="292"/>
      <c r="EOW93" s="293"/>
      <c r="EOX93" s="294"/>
      <c r="EPD93" s="292"/>
      <c r="EPE93" s="293"/>
      <c r="EPF93" s="294"/>
      <c r="EPL93" s="292"/>
      <c r="EPM93" s="293"/>
      <c r="EPN93" s="294"/>
      <c r="EPT93" s="292"/>
      <c r="EPU93" s="293"/>
      <c r="EPV93" s="294"/>
      <c r="EQB93" s="292"/>
      <c r="EQC93" s="293"/>
      <c r="EQD93" s="294"/>
      <c r="EQJ93" s="292"/>
      <c r="EQK93" s="293"/>
      <c r="EQL93" s="294"/>
      <c r="EQR93" s="292"/>
      <c r="EQS93" s="293"/>
      <c r="EQT93" s="294"/>
      <c r="EQZ93" s="292"/>
      <c r="ERA93" s="293"/>
      <c r="ERB93" s="294"/>
      <c r="ERH93" s="292"/>
      <c r="ERI93" s="293"/>
      <c r="ERJ93" s="294"/>
      <c r="ERP93" s="292"/>
      <c r="ERQ93" s="293"/>
      <c r="ERR93" s="294"/>
      <c r="ERX93" s="292"/>
      <c r="ERY93" s="293"/>
      <c r="ERZ93" s="294"/>
      <c r="ESF93" s="292"/>
      <c r="ESG93" s="293"/>
      <c r="ESH93" s="294"/>
      <c r="ESN93" s="292"/>
      <c r="ESO93" s="293"/>
      <c r="ESP93" s="294"/>
      <c r="ESV93" s="292"/>
      <c r="ESW93" s="293"/>
      <c r="ESX93" s="294"/>
      <c r="ETD93" s="292"/>
      <c r="ETE93" s="293"/>
      <c r="ETF93" s="294"/>
      <c r="ETL93" s="292"/>
      <c r="ETM93" s="293"/>
      <c r="ETN93" s="294"/>
      <c r="ETT93" s="292"/>
      <c r="ETU93" s="293"/>
      <c r="ETV93" s="294"/>
      <c r="EUB93" s="292"/>
      <c r="EUC93" s="293"/>
      <c r="EUD93" s="294"/>
      <c r="EUJ93" s="292"/>
      <c r="EUK93" s="293"/>
      <c r="EUL93" s="294"/>
      <c r="EUR93" s="292"/>
      <c r="EUS93" s="293"/>
      <c r="EUT93" s="294"/>
      <c r="EUZ93" s="292"/>
      <c r="EVA93" s="293"/>
      <c r="EVB93" s="294"/>
      <c r="EVH93" s="292"/>
      <c r="EVI93" s="293"/>
      <c r="EVJ93" s="294"/>
      <c r="EVP93" s="292"/>
      <c r="EVQ93" s="293"/>
      <c r="EVR93" s="294"/>
      <c r="EVX93" s="292"/>
      <c r="EVY93" s="293"/>
      <c r="EVZ93" s="294"/>
      <c r="EWF93" s="292"/>
      <c r="EWG93" s="293"/>
      <c r="EWH93" s="294"/>
      <c r="EWN93" s="292"/>
      <c r="EWO93" s="293"/>
      <c r="EWP93" s="294"/>
      <c r="EWV93" s="292"/>
      <c r="EWW93" s="293"/>
      <c r="EWX93" s="294"/>
      <c r="EXD93" s="292"/>
      <c r="EXE93" s="293"/>
      <c r="EXF93" s="294"/>
      <c r="EXL93" s="292"/>
      <c r="EXM93" s="293"/>
      <c r="EXN93" s="294"/>
      <c r="EXT93" s="292"/>
      <c r="EXU93" s="293"/>
      <c r="EXV93" s="294"/>
      <c r="EYB93" s="292"/>
      <c r="EYC93" s="293"/>
      <c r="EYD93" s="294"/>
      <c r="EYJ93" s="292"/>
      <c r="EYK93" s="293"/>
      <c r="EYL93" s="294"/>
      <c r="EYR93" s="292"/>
      <c r="EYS93" s="293"/>
      <c r="EYT93" s="294"/>
      <c r="EYZ93" s="292"/>
      <c r="EZA93" s="293"/>
      <c r="EZB93" s="294"/>
      <c r="EZH93" s="292"/>
      <c r="EZI93" s="293"/>
      <c r="EZJ93" s="294"/>
      <c r="EZP93" s="292"/>
      <c r="EZQ93" s="293"/>
      <c r="EZR93" s="294"/>
      <c r="EZX93" s="292"/>
      <c r="EZY93" s="293"/>
      <c r="EZZ93" s="294"/>
      <c r="FAF93" s="292"/>
      <c r="FAG93" s="293"/>
      <c r="FAH93" s="294"/>
      <c r="FAN93" s="292"/>
      <c r="FAO93" s="293"/>
      <c r="FAP93" s="294"/>
      <c r="FAV93" s="292"/>
      <c r="FAW93" s="293"/>
      <c r="FAX93" s="294"/>
      <c r="FBD93" s="292"/>
      <c r="FBE93" s="293"/>
      <c r="FBF93" s="294"/>
      <c r="FBL93" s="292"/>
      <c r="FBM93" s="293"/>
      <c r="FBN93" s="294"/>
      <c r="FBT93" s="292"/>
      <c r="FBU93" s="293"/>
      <c r="FBV93" s="294"/>
      <c r="FCB93" s="292"/>
      <c r="FCC93" s="293"/>
      <c r="FCD93" s="294"/>
      <c r="FCJ93" s="292"/>
      <c r="FCK93" s="293"/>
      <c r="FCL93" s="294"/>
      <c r="FCR93" s="292"/>
      <c r="FCS93" s="293"/>
      <c r="FCT93" s="294"/>
      <c r="FCZ93" s="292"/>
      <c r="FDA93" s="293"/>
      <c r="FDB93" s="294"/>
      <c r="FDH93" s="292"/>
      <c r="FDI93" s="293"/>
      <c r="FDJ93" s="294"/>
      <c r="FDP93" s="292"/>
      <c r="FDQ93" s="293"/>
      <c r="FDR93" s="294"/>
      <c r="FDX93" s="292"/>
      <c r="FDY93" s="293"/>
      <c r="FDZ93" s="294"/>
      <c r="FEF93" s="292"/>
      <c r="FEG93" s="293"/>
      <c r="FEH93" s="294"/>
      <c r="FEN93" s="292"/>
      <c r="FEO93" s="293"/>
      <c r="FEP93" s="294"/>
      <c r="FEV93" s="292"/>
      <c r="FEW93" s="293"/>
      <c r="FEX93" s="294"/>
      <c r="FFD93" s="292"/>
      <c r="FFE93" s="293"/>
      <c r="FFF93" s="294"/>
      <c r="FFL93" s="292"/>
      <c r="FFM93" s="293"/>
      <c r="FFN93" s="294"/>
      <c r="FFT93" s="292"/>
      <c r="FFU93" s="293"/>
      <c r="FFV93" s="294"/>
      <c r="FGB93" s="292"/>
      <c r="FGC93" s="293"/>
      <c r="FGD93" s="294"/>
      <c r="FGJ93" s="292"/>
      <c r="FGK93" s="293"/>
      <c r="FGL93" s="294"/>
      <c r="FGR93" s="292"/>
      <c r="FGS93" s="293"/>
      <c r="FGT93" s="294"/>
      <c r="FGZ93" s="292"/>
      <c r="FHA93" s="293"/>
      <c r="FHB93" s="294"/>
      <c r="FHH93" s="292"/>
      <c r="FHI93" s="293"/>
      <c r="FHJ93" s="294"/>
      <c r="FHP93" s="292"/>
      <c r="FHQ93" s="293"/>
      <c r="FHR93" s="294"/>
      <c r="FHX93" s="292"/>
      <c r="FHY93" s="293"/>
      <c r="FHZ93" s="294"/>
      <c r="FIF93" s="292"/>
      <c r="FIG93" s="293"/>
      <c r="FIH93" s="294"/>
      <c r="FIN93" s="292"/>
      <c r="FIO93" s="293"/>
      <c r="FIP93" s="294"/>
      <c r="FIV93" s="292"/>
      <c r="FIW93" s="293"/>
      <c r="FIX93" s="294"/>
      <c r="FJD93" s="292"/>
      <c r="FJE93" s="293"/>
      <c r="FJF93" s="294"/>
      <c r="FJL93" s="292"/>
      <c r="FJM93" s="293"/>
      <c r="FJN93" s="294"/>
      <c r="FJT93" s="292"/>
      <c r="FJU93" s="293"/>
      <c r="FJV93" s="294"/>
      <c r="FKB93" s="292"/>
      <c r="FKC93" s="293"/>
      <c r="FKD93" s="294"/>
      <c r="FKJ93" s="292"/>
      <c r="FKK93" s="293"/>
      <c r="FKL93" s="294"/>
      <c r="FKR93" s="292"/>
      <c r="FKS93" s="293"/>
      <c r="FKT93" s="294"/>
      <c r="FKZ93" s="292"/>
      <c r="FLA93" s="293"/>
      <c r="FLB93" s="294"/>
      <c r="FLH93" s="292"/>
      <c r="FLI93" s="293"/>
      <c r="FLJ93" s="294"/>
      <c r="FLP93" s="292"/>
      <c r="FLQ93" s="293"/>
      <c r="FLR93" s="294"/>
      <c r="FLX93" s="292"/>
      <c r="FLY93" s="293"/>
      <c r="FLZ93" s="294"/>
      <c r="FMF93" s="292"/>
      <c r="FMG93" s="293"/>
      <c r="FMH93" s="294"/>
      <c r="FMN93" s="292"/>
      <c r="FMO93" s="293"/>
      <c r="FMP93" s="294"/>
      <c r="FMV93" s="292"/>
      <c r="FMW93" s="293"/>
      <c r="FMX93" s="294"/>
      <c r="FND93" s="292"/>
      <c r="FNE93" s="293"/>
      <c r="FNF93" s="294"/>
      <c r="FNL93" s="292"/>
      <c r="FNM93" s="293"/>
      <c r="FNN93" s="294"/>
      <c r="FNT93" s="292"/>
      <c r="FNU93" s="293"/>
      <c r="FNV93" s="294"/>
      <c r="FOB93" s="292"/>
      <c r="FOC93" s="293"/>
      <c r="FOD93" s="294"/>
      <c r="FOJ93" s="292"/>
      <c r="FOK93" s="293"/>
      <c r="FOL93" s="294"/>
      <c r="FOR93" s="292"/>
      <c r="FOS93" s="293"/>
      <c r="FOT93" s="294"/>
      <c r="FOZ93" s="292"/>
      <c r="FPA93" s="293"/>
      <c r="FPB93" s="294"/>
      <c r="FPH93" s="292"/>
      <c r="FPI93" s="293"/>
      <c r="FPJ93" s="294"/>
      <c r="FPP93" s="292"/>
      <c r="FPQ93" s="293"/>
      <c r="FPR93" s="294"/>
      <c r="FPX93" s="292"/>
      <c r="FPY93" s="293"/>
      <c r="FPZ93" s="294"/>
      <c r="FQF93" s="292"/>
      <c r="FQG93" s="293"/>
      <c r="FQH93" s="294"/>
      <c r="FQN93" s="292"/>
      <c r="FQO93" s="293"/>
      <c r="FQP93" s="294"/>
      <c r="FQV93" s="292"/>
      <c r="FQW93" s="293"/>
      <c r="FQX93" s="294"/>
      <c r="FRD93" s="292"/>
      <c r="FRE93" s="293"/>
      <c r="FRF93" s="294"/>
      <c r="FRL93" s="292"/>
      <c r="FRM93" s="293"/>
      <c r="FRN93" s="294"/>
      <c r="FRT93" s="292"/>
      <c r="FRU93" s="293"/>
      <c r="FRV93" s="294"/>
      <c r="FSB93" s="292"/>
      <c r="FSC93" s="293"/>
      <c r="FSD93" s="294"/>
      <c r="FSJ93" s="292"/>
      <c r="FSK93" s="293"/>
      <c r="FSL93" s="294"/>
      <c r="FSR93" s="292"/>
      <c r="FSS93" s="293"/>
      <c r="FST93" s="294"/>
      <c r="FSZ93" s="292"/>
      <c r="FTA93" s="293"/>
      <c r="FTB93" s="294"/>
      <c r="FTH93" s="292"/>
      <c r="FTI93" s="293"/>
      <c r="FTJ93" s="294"/>
      <c r="FTP93" s="292"/>
      <c r="FTQ93" s="293"/>
      <c r="FTR93" s="294"/>
      <c r="FTX93" s="292"/>
      <c r="FTY93" s="293"/>
      <c r="FTZ93" s="294"/>
      <c r="FUF93" s="292"/>
      <c r="FUG93" s="293"/>
      <c r="FUH93" s="294"/>
      <c r="FUN93" s="292"/>
      <c r="FUO93" s="293"/>
      <c r="FUP93" s="294"/>
      <c r="FUV93" s="292"/>
      <c r="FUW93" s="293"/>
      <c r="FUX93" s="294"/>
      <c r="FVD93" s="292"/>
      <c r="FVE93" s="293"/>
      <c r="FVF93" s="294"/>
      <c r="FVL93" s="292"/>
      <c r="FVM93" s="293"/>
      <c r="FVN93" s="294"/>
      <c r="FVT93" s="292"/>
      <c r="FVU93" s="293"/>
      <c r="FVV93" s="294"/>
      <c r="FWB93" s="292"/>
      <c r="FWC93" s="293"/>
      <c r="FWD93" s="294"/>
      <c r="FWJ93" s="292"/>
      <c r="FWK93" s="293"/>
      <c r="FWL93" s="294"/>
      <c r="FWR93" s="292"/>
      <c r="FWS93" s="293"/>
      <c r="FWT93" s="294"/>
      <c r="FWZ93" s="292"/>
      <c r="FXA93" s="293"/>
      <c r="FXB93" s="294"/>
      <c r="FXH93" s="292"/>
      <c r="FXI93" s="293"/>
      <c r="FXJ93" s="294"/>
      <c r="FXP93" s="292"/>
      <c r="FXQ93" s="293"/>
      <c r="FXR93" s="294"/>
      <c r="FXX93" s="292"/>
      <c r="FXY93" s="293"/>
      <c r="FXZ93" s="294"/>
      <c r="FYF93" s="292"/>
      <c r="FYG93" s="293"/>
      <c r="FYH93" s="294"/>
      <c r="FYN93" s="292"/>
      <c r="FYO93" s="293"/>
      <c r="FYP93" s="294"/>
      <c r="FYV93" s="292"/>
      <c r="FYW93" s="293"/>
      <c r="FYX93" s="294"/>
      <c r="FZD93" s="292"/>
      <c r="FZE93" s="293"/>
      <c r="FZF93" s="294"/>
      <c r="FZL93" s="292"/>
      <c r="FZM93" s="293"/>
      <c r="FZN93" s="294"/>
      <c r="FZT93" s="292"/>
      <c r="FZU93" s="293"/>
      <c r="FZV93" s="294"/>
      <c r="GAB93" s="292"/>
      <c r="GAC93" s="293"/>
      <c r="GAD93" s="294"/>
      <c r="GAJ93" s="292"/>
      <c r="GAK93" s="293"/>
      <c r="GAL93" s="294"/>
      <c r="GAR93" s="292"/>
      <c r="GAS93" s="293"/>
      <c r="GAT93" s="294"/>
      <c r="GAZ93" s="292"/>
      <c r="GBA93" s="293"/>
      <c r="GBB93" s="294"/>
      <c r="GBH93" s="292"/>
      <c r="GBI93" s="293"/>
      <c r="GBJ93" s="294"/>
      <c r="GBP93" s="292"/>
      <c r="GBQ93" s="293"/>
      <c r="GBR93" s="294"/>
      <c r="GBX93" s="292"/>
      <c r="GBY93" s="293"/>
      <c r="GBZ93" s="294"/>
      <c r="GCF93" s="292"/>
      <c r="GCG93" s="293"/>
      <c r="GCH93" s="294"/>
      <c r="GCN93" s="292"/>
      <c r="GCO93" s="293"/>
      <c r="GCP93" s="294"/>
      <c r="GCV93" s="292"/>
      <c r="GCW93" s="293"/>
      <c r="GCX93" s="294"/>
      <c r="GDD93" s="292"/>
      <c r="GDE93" s="293"/>
      <c r="GDF93" s="294"/>
      <c r="GDL93" s="292"/>
      <c r="GDM93" s="293"/>
      <c r="GDN93" s="294"/>
      <c r="GDT93" s="292"/>
      <c r="GDU93" s="293"/>
      <c r="GDV93" s="294"/>
      <c r="GEB93" s="292"/>
      <c r="GEC93" s="293"/>
      <c r="GED93" s="294"/>
      <c r="GEJ93" s="292"/>
      <c r="GEK93" s="293"/>
      <c r="GEL93" s="294"/>
      <c r="GER93" s="292"/>
      <c r="GES93" s="293"/>
      <c r="GET93" s="294"/>
      <c r="GEZ93" s="292"/>
      <c r="GFA93" s="293"/>
      <c r="GFB93" s="294"/>
      <c r="GFH93" s="292"/>
      <c r="GFI93" s="293"/>
      <c r="GFJ93" s="294"/>
      <c r="GFP93" s="292"/>
      <c r="GFQ93" s="293"/>
      <c r="GFR93" s="294"/>
      <c r="GFX93" s="292"/>
      <c r="GFY93" s="293"/>
      <c r="GFZ93" s="294"/>
      <c r="GGF93" s="292"/>
      <c r="GGG93" s="293"/>
      <c r="GGH93" s="294"/>
      <c r="GGN93" s="292"/>
      <c r="GGO93" s="293"/>
      <c r="GGP93" s="294"/>
      <c r="GGV93" s="292"/>
      <c r="GGW93" s="293"/>
      <c r="GGX93" s="294"/>
      <c r="GHD93" s="292"/>
      <c r="GHE93" s="293"/>
      <c r="GHF93" s="294"/>
      <c r="GHL93" s="292"/>
      <c r="GHM93" s="293"/>
      <c r="GHN93" s="294"/>
      <c r="GHT93" s="292"/>
      <c r="GHU93" s="293"/>
      <c r="GHV93" s="294"/>
      <c r="GIB93" s="292"/>
      <c r="GIC93" s="293"/>
      <c r="GID93" s="294"/>
      <c r="GIJ93" s="292"/>
      <c r="GIK93" s="293"/>
      <c r="GIL93" s="294"/>
      <c r="GIR93" s="292"/>
      <c r="GIS93" s="293"/>
      <c r="GIT93" s="294"/>
      <c r="GIZ93" s="292"/>
      <c r="GJA93" s="293"/>
      <c r="GJB93" s="294"/>
      <c r="GJH93" s="292"/>
      <c r="GJI93" s="293"/>
      <c r="GJJ93" s="294"/>
      <c r="GJP93" s="292"/>
      <c r="GJQ93" s="293"/>
      <c r="GJR93" s="294"/>
      <c r="GJX93" s="292"/>
      <c r="GJY93" s="293"/>
      <c r="GJZ93" s="294"/>
      <c r="GKF93" s="292"/>
      <c r="GKG93" s="293"/>
      <c r="GKH93" s="294"/>
      <c r="GKN93" s="292"/>
      <c r="GKO93" s="293"/>
      <c r="GKP93" s="294"/>
      <c r="GKV93" s="292"/>
      <c r="GKW93" s="293"/>
      <c r="GKX93" s="294"/>
      <c r="GLD93" s="292"/>
      <c r="GLE93" s="293"/>
      <c r="GLF93" s="294"/>
      <c r="GLL93" s="292"/>
      <c r="GLM93" s="293"/>
      <c r="GLN93" s="294"/>
      <c r="GLT93" s="292"/>
      <c r="GLU93" s="293"/>
      <c r="GLV93" s="294"/>
      <c r="GMB93" s="292"/>
      <c r="GMC93" s="293"/>
      <c r="GMD93" s="294"/>
      <c r="GMJ93" s="292"/>
      <c r="GMK93" s="293"/>
      <c r="GML93" s="294"/>
      <c r="GMR93" s="292"/>
      <c r="GMS93" s="293"/>
      <c r="GMT93" s="294"/>
      <c r="GMZ93" s="292"/>
      <c r="GNA93" s="293"/>
      <c r="GNB93" s="294"/>
      <c r="GNH93" s="292"/>
      <c r="GNI93" s="293"/>
      <c r="GNJ93" s="294"/>
      <c r="GNP93" s="292"/>
      <c r="GNQ93" s="293"/>
      <c r="GNR93" s="294"/>
      <c r="GNX93" s="292"/>
      <c r="GNY93" s="293"/>
      <c r="GNZ93" s="294"/>
      <c r="GOF93" s="292"/>
      <c r="GOG93" s="293"/>
      <c r="GOH93" s="294"/>
      <c r="GON93" s="292"/>
      <c r="GOO93" s="293"/>
      <c r="GOP93" s="294"/>
      <c r="GOV93" s="292"/>
      <c r="GOW93" s="293"/>
      <c r="GOX93" s="294"/>
      <c r="GPD93" s="292"/>
      <c r="GPE93" s="293"/>
      <c r="GPF93" s="294"/>
      <c r="GPL93" s="292"/>
      <c r="GPM93" s="293"/>
      <c r="GPN93" s="294"/>
      <c r="GPT93" s="292"/>
      <c r="GPU93" s="293"/>
      <c r="GPV93" s="294"/>
      <c r="GQB93" s="292"/>
      <c r="GQC93" s="293"/>
      <c r="GQD93" s="294"/>
      <c r="GQJ93" s="292"/>
      <c r="GQK93" s="293"/>
      <c r="GQL93" s="294"/>
      <c r="GQR93" s="292"/>
      <c r="GQS93" s="293"/>
      <c r="GQT93" s="294"/>
      <c r="GQZ93" s="292"/>
      <c r="GRA93" s="293"/>
      <c r="GRB93" s="294"/>
      <c r="GRH93" s="292"/>
      <c r="GRI93" s="293"/>
      <c r="GRJ93" s="294"/>
      <c r="GRP93" s="292"/>
      <c r="GRQ93" s="293"/>
      <c r="GRR93" s="294"/>
      <c r="GRX93" s="292"/>
      <c r="GRY93" s="293"/>
      <c r="GRZ93" s="294"/>
      <c r="GSF93" s="292"/>
      <c r="GSG93" s="293"/>
      <c r="GSH93" s="294"/>
      <c r="GSN93" s="292"/>
      <c r="GSO93" s="293"/>
      <c r="GSP93" s="294"/>
      <c r="GSV93" s="292"/>
      <c r="GSW93" s="293"/>
      <c r="GSX93" s="294"/>
      <c r="GTD93" s="292"/>
      <c r="GTE93" s="293"/>
      <c r="GTF93" s="294"/>
      <c r="GTL93" s="292"/>
      <c r="GTM93" s="293"/>
      <c r="GTN93" s="294"/>
      <c r="GTT93" s="292"/>
      <c r="GTU93" s="293"/>
      <c r="GTV93" s="294"/>
      <c r="GUB93" s="292"/>
      <c r="GUC93" s="293"/>
      <c r="GUD93" s="294"/>
      <c r="GUJ93" s="292"/>
      <c r="GUK93" s="293"/>
      <c r="GUL93" s="294"/>
      <c r="GUR93" s="292"/>
      <c r="GUS93" s="293"/>
      <c r="GUT93" s="294"/>
      <c r="GUZ93" s="292"/>
      <c r="GVA93" s="293"/>
      <c r="GVB93" s="294"/>
      <c r="GVH93" s="292"/>
      <c r="GVI93" s="293"/>
      <c r="GVJ93" s="294"/>
      <c r="GVP93" s="292"/>
      <c r="GVQ93" s="293"/>
      <c r="GVR93" s="294"/>
      <c r="GVX93" s="292"/>
      <c r="GVY93" s="293"/>
      <c r="GVZ93" s="294"/>
      <c r="GWF93" s="292"/>
      <c r="GWG93" s="293"/>
      <c r="GWH93" s="294"/>
      <c r="GWN93" s="292"/>
      <c r="GWO93" s="293"/>
      <c r="GWP93" s="294"/>
      <c r="GWV93" s="292"/>
      <c r="GWW93" s="293"/>
      <c r="GWX93" s="294"/>
      <c r="GXD93" s="292"/>
      <c r="GXE93" s="293"/>
      <c r="GXF93" s="294"/>
      <c r="GXL93" s="292"/>
      <c r="GXM93" s="293"/>
      <c r="GXN93" s="294"/>
      <c r="GXT93" s="292"/>
      <c r="GXU93" s="293"/>
      <c r="GXV93" s="294"/>
      <c r="GYB93" s="292"/>
      <c r="GYC93" s="293"/>
      <c r="GYD93" s="294"/>
      <c r="GYJ93" s="292"/>
      <c r="GYK93" s="293"/>
      <c r="GYL93" s="294"/>
      <c r="GYR93" s="292"/>
      <c r="GYS93" s="293"/>
      <c r="GYT93" s="294"/>
      <c r="GYZ93" s="292"/>
      <c r="GZA93" s="293"/>
      <c r="GZB93" s="294"/>
      <c r="GZH93" s="292"/>
      <c r="GZI93" s="293"/>
      <c r="GZJ93" s="294"/>
      <c r="GZP93" s="292"/>
      <c r="GZQ93" s="293"/>
      <c r="GZR93" s="294"/>
      <c r="GZX93" s="292"/>
      <c r="GZY93" s="293"/>
      <c r="GZZ93" s="294"/>
      <c r="HAF93" s="292"/>
      <c r="HAG93" s="293"/>
      <c r="HAH93" s="294"/>
      <c r="HAN93" s="292"/>
      <c r="HAO93" s="293"/>
      <c r="HAP93" s="294"/>
      <c r="HAV93" s="292"/>
      <c r="HAW93" s="293"/>
      <c r="HAX93" s="294"/>
      <c r="HBD93" s="292"/>
      <c r="HBE93" s="293"/>
      <c r="HBF93" s="294"/>
      <c r="HBL93" s="292"/>
      <c r="HBM93" s="293"/>
      <c r="HBN93" s="294"/>
      <c r="HBT93" s="292"/>
      <c r="HBU93" s="293"/>
      <c r="HBV93" s="294"/>
      <c r="HCB93" s="292"/>
      <c r="HCC93" s="293"/>
      <c r="HCD93" s="294"/>
      <c r="HCJ93" s="292"/>
      <c r="HCK93" s="293"/>
      <c r="HCL93" s="294"/>
      <c r="HCR93" s="292"/>
      <c r="HCS93" s="293"/>
      <c r="HCT93" s="294"/>
      <c r="HCZ93" s="292"/>
      <c r="HDA93" s="293"/>
      <c r="HDB93" s="294"/>
      <c r="HDH93" s="292"/>
      <c r="HDI93" s="293"/>
      <c r="HDJ93" s="294"/>
      <c r="HDP93" s="292"/>
      <c r="HDQ93" s="293"/>
      <c r="HDR93" s="294"/>
      <c r="HDX93" s="292"/>
      <c r="HDY93" s="293"/>
      <c r="HDZ93" s="294"/>
      <c r="HEF93" s="292"/>
      <c r="HEG93" s="293"/>
      <c r="HEH93" s="294"/>
      <c r="HEN93" s="292"/>
      <c r="HEO93" s="293"/>
      <c r="HEP93" s="294"/>
      <c r="HEV93" s="292"/>
      <c r="HEW93" s="293"/>
      <c r="HEX93" s="294"/>
      <c r="HFD93" s="292"/>
      <c r="HFE93" s="293"/>
      <c r="HFF93" s="294"/>
      <c r="HFL93" s="292"/>
      <c r="HFM93" s="293"/>
      <c r="HFN93" s="294"/>
      <c r="HFT93" s="292"/>
      <c r="HFU93" s="293"/>
      <c r="HFV93" s="294"/>
      <c r="HGB93" s="292"/>
      <c r="HGC93" s="293"/>
      <c r="HGD93" s="294"/>
      <c r="HGJ93" s="292"/>
      <c r="HGK93" s="293"/>
      <c r="HGL93" s="294"/>
      <c r="HGR93" s="292"/>
      <c r="HGS93" s="293"/>
      <c r="HGT93" s="294"/>
      <c r="HGZ93" s="292"/>
      <c r="HHA93" s="293"/>
      <c r="HHB93" s="294"/>
      <c r="HHH93" s="292"/>
      <c r="HHI93" s="293"/>
      <c r="HHJ93" s="294"/>
      <c r="HHP93" s="292"/>
      <c r="HHQ93" s="293"/>
      <c r="HHR93" s="294"/>
      <c r="HHX93" s="292"/>
      <c r="HHY93" s="293"/>
      <c r="HHZ93" s="294"/>
      <c r="HIF93" s="292"/>
      <c r="HIG93" s="293"/>
      <c r="HIH93" s="294"/>
      <c r="HIN93" s="292"/>
      <c r="HIO93" s="293"/>
      <c r="HIP93" s="294"/>
      <c r="HIV93" s="292"/>
      <c r="HIW93" s="293"/>
      <c r="HIX93" s="294"/>
      <c r="HJD93" s="292"/>
      <c r="HJE93" s="293"/>
      <c r="HJF93" s="294"/>
      <c r="HJL93" s="292"/>
      <c r="HJM93" s="293"/>
      <c r="HJN93" s="294"/>
      <c r="HJT93" s="292"/>
      <c r="HJU93" s="293"/>
      <c r="HJV93" s="294"/>
      <c r="HKB93" s="292"/>
      <c r="HKC93" s="293"/>
      <c r="HKD93" s="294"/>
      <c r="HKJ93" s="292"/>
      <c r="HKK93" s="293"/>
      <c r="HKL93" s="294"/>
      <c r="HKR93" s="292"/>
      <c r="HKS93" s="293"/>
      <c r="HKT93" s="294"/>
      <c r="HKZ93" s="292"/>
      <c r="HLA93" s="293"/>
      <c r="HLB93" s="294"/>
      <c r="HLH93" s="292"/>
      <c r="HLI93" s="293"/>
      <c r="HLJ93" s="294"/>
      <c r="HLP93" s="292"/>
      <c r="HLQ93" s="293"/>
      <c r="HLR93" s="294"/>
      <c r="HLX93" s="292"/>
      <c r="HLY93" s="293"/>
      <c r="HLZ93" s="294"/>
      <c r="HMF93" s="292"/>
      <c r="HMG93" s="293"/>
      <c r="HMH93" s="294"/>
      <c r="HMN93" s="292"/>
      <c r="HMO93" s="293"/>
      <c r="HMP93" s="294"/>
      <c r="HMV93" s="292"/>
      <c r="HMW93" s="293"/>
      <c r="HMX93" s="294"/>
      <c r="HND93" s="292"/>
      <c r="HNE93" s="293"/>
      <c r="HNF93" s="294"/>
      <c r="HNL93" s="292"/>
      <c r="HNM93" s="293"/>
      <c r="HNN93" s="294"/>
      <c r="HNT93" s="292"/>
      <c r="HNU93" s="293"/>
      <c r="HNV93" s="294"/>
      <c r="HOB93" s="292"/>
      <c r="HOC93" s="293"/>
      <c r="HOD93" s="294"/>
      <c r="HOJ93" s="292"/>
      <c r="HOK93" s="293"/>
      <c r="HOL93" s="294"/>
      <c r="HOR93" s="292"/>
      <c r="HOS93" s="293"/>
      <c r="HOT93" s="294"/>
      <c r="HOZ93" s="292"/>
      <c r="HPA93" s="293"/>
      <c r="HPB93" s="294"/>
      <c r="HPH93" s="292"/>
      <c r="HPI93" s="293"/>
      <c r="HPJ93" s="294"/>
      <c r="HPP93" s="292"/>
      <c r="HPQ93" s="293"/>
      <c r="HPR93" s="294"/>
      <c r="HPX93" s="292"/>
      <c r="HPY93" s="293"/>
      <c r="HPZ93" s="294"/>
      <c r="HQF93" s="292"/>
      <c r="HQG93" s="293"/>
      <c r="HQH93" s="294"/>
      <c r="HQN93" s="292"/>
      <c r="HQO93" s="293"/>
      <c r="HQP93" s="294"/>
      <c r="HQV93" s="292"/>
      <c r="HQW93" s="293"/>
      <c r="HQX93" s="294"/>
      <c r="HRD93" s="292"/>
      <c r="HRE93" s="293"/>
      <c r="HRF93" s="294"/>
      <c r="HRL93" s="292"/>
      <c r="HRM93" s="293"/>
      <c r="HRN93" s="294"/>
      <c r="HRT93" s="292"/>
      <c r="HRU93" s="293"/>
      <c r="HRV93" s="294"/>
      <c r="HSB93" s="292"/>
      <c r="HSC93" s="293"/>
      <c r="HSD93" s="294"/>
      <c r="HSJ93" s="292"/>
      <c r="HSK93" s="293"/>
      <c r="HSL93" s="294"/>
      <c r="HSR93" s="292"/>
      <c r="HSS93" s="293"/>
      <c r="HST93" s="294"/>
      <c r="HSZ93" s="292"/>
      <c r="HTA93" s="293"/>
      <c r="HTB93" s="294"/>
      <c r="HTH93" s="292"/>
      <c r="HTI93" s="293"/>
      <c r="HTJ93" s="294"/>
      <c r="HTP93" s="292"/>
      <c r="HTQ93" s="293"/>
      <c r="HTR93" s="294"/>
      <c r="HTX93" s="292"/>
      <c r="HTY93" s="293"/>
      <c r="HTZ93" s="294"/>
      <c r="HUF93" s="292"/>
      <c r="HUG93" s="293"/>
      <c r="HUH93" s="294"/>
      <c r="HUN93" s="292"/>
      <c r="HUO93" s="293"/>
      <c r="HUP93" s="294"/>
      <c r="HUV93" s="292"/>
      <c r="HUW93" s="293"/>
      <c r="HUX93" s="294"/>
      <c r="HVD93" s="292"/>
      <c r="HVE93" s="293"/>
      <c r="HVF93" s="294"/>
      <c r="HVL93" s="292"/>
      <c r="HVM93" s="293"/>
      <c r="HVN93" s="294"/>
      <c r="HVT93" s="292"/>
      <c r="HVU93" s="293"/>
      <c r="HVV93" s="294"/>
      <c r="HWB93" s="292"/>
      <c r="HWC93" s="293"/>
      <c r="HWD93" s="294"/>
      <c r="HWJ93" s="292"/>
      <c r="HWK93" s="293"/>
      <c r="HWL93" s="294"/>
      <c r="HWR93" s="292"/>
      <c r="HWS93" s="293"/>
      <c r="HWT93" s="294"/>
      <c r="HWZ93" s="292"/>
      <c r="HXA93" s="293"/>
      <c r="HXB93" s="294"/>
      <c r="HXH93" s="292"/>
      <c r="HXI93" s="293"/>
      <c r="HXJ93" s="294"/>
      <c r="HXP93" s="292"/>
      <c r="HXQ93" s="293"/>
      <c r="HXR93" s="294"/>
      <c r="HXX93" s="292"/>
      <c r="HXY93" s="293"/>
      <c r="HXZ93" s="294"/>
      <c r="HYF93" s="292"/>
      <c r="HYG93" s="293"/>
      <c r="HYH93" s="294"/>
      <c r="HYN93" s="292"/>
      <c r="HYO93" s="293"/>
      <c r="HYP93" s="294"/>
      <c r="HYV93" s="292"/>
      <c r="HYW93" s="293"/>
      <c r="HYX93" s="294"/>
      <c r="HZD93" s="292"/>
      <c r="HZE93" s="293"/>
      <c r="HZF93" s="294"/>
      <c r="HZL93" s="292"/>
      <c r="HZM93" s="293"/>
      <c r="HZN93" s="294"/>
      <c r="HZT93" s="292"/>
      <c r="HZU93" s="293"/>
      <c r="HZV93" s="294"/>
      <c r="IAB93" s="292"/>
      <c r="IAC93" s="293"/>
      <c r="IAD93" s="294"/>
      <c r="IAJ93" s="292"/>
      <c r="IAK93" s="293"/>
      <c r="IAL93" s="294"/>
      <c r="IAR93" s="292"/>
      <c r="IAS93" s="293"/>
      <c r="IAT93" s="294"/>
      <c r="IAZ93" s="292"/>
      <c r="IBA93" s="293"/>
      <c r="IBB93" s="294"/>
      <c r="IBH93" s="292"/>
      <c r="IBI93" s="293"/>
      <c r="IBJ93" s="294"/>
      <c r="IBP93" s="292"/>
      <c r="IBQ93" s="293"/>
      <c r="IBR93" s="294"/>
      <c r="IBX93" s="292"/>
      <c r="IBY93" s="293"/>
      <c r="IBZ93" s="294"/>
      <c r="ICF93" s="292"/>
      <c r="ICG93" s="293"/>
      <c r="ICH93" s="294"/>
      <c r="ICN93" s="292"/>
      <c r="ICO93" s="293"/>
      <c r="ICP93" s="294"/>
      <c r="ICV93" s="292"/>
      <c r="ICW93" s="293"/>
      <c r="ICX93" s="294"/>
      <c r="IDD93" s="292"/>
      <c r="IDE93" s="293"/>
      <c r="IDF93" s="294"/>
      <c r="IDL93" s="292"/>
      <c r="IDM93" s="293"/>
      <c r="IDN93" s="294"/>
      <c r="IDT93" s="292"/>
      <c r="IDU93" s="293"/>
      <c r="IDV93" s="294"/>
      <c r="IEB93" s="292"/>
      <c r="IEC93" s="293"/>
      <c r="IED93" s="294"/>
      <c r="IEJ93" s="292"/>
      <c r="IEK93" s="293"/>
      <c r="IEL93" s="294"/>
      <c r="IER93" s="292"/>
      <c r="IES93" s="293"/>
      <c r="IET93" s="294"/>
      <c r="IEZ93" s="292"/>
      <c r="IFA93" s="293"/>
      <c r="IFB93" s="294"/>
      <c r="IFH93" s="292"/>
      <c r="IFI93" s="293"/>
      <c r="IFJ93" s="294"/>
      <c r="IFP93" s="292"/>
      <c r="IFQ93" s="293"/>
      <c r="IFR93" s="294"/>
      <c r="IFX93" s="292"/>
      <c r="IFY93" s="293"/>
      <c r="IFZ93" s="294"/>
      <c r="IGF93" s="292"/>
      <c r="IGG93" s="293"/>
      <c r="IGH93" s="294"/>
      <c r="IGN93" s="292"/>
      <c r="IGO93" s="293"/>
      <c r="IGP93" s="294"/>
      <c r="IGV93" s="292"/>
      <c r="IGW93" s="293"/>
      <c r="IGX93" s="294"/>
      <c r="IHD93" s="292"/>
      <c r="IHE93" s="293"/>
      <c r="IHF93" s="294"/>
      <c r="IHL93" s="292"/>
      <c r="IHM93" s="293"/>
      <c r="IHN93" s="294"/>
      <c r="IHT93" s="292"/>
      <c r="IHU93" s="293"/>
      <c r="IHV93" s="294"/>
      <c r="IIB93" s="292"/>
      <c r="IIC93" s="293"/>
      <c r="IID93" s="294"/>
      <c r="IIJ93" s="292"/>
      <c r="IIK93" s="293"/>
      <c r="IIL93" s="294"/>
      <c r="IIR93" s="292"/>
      <c r="IIS93" s="293"/>
      <c r="IIT93" s="294"/>
      <c r="IIZ93" s="292"/>
      <c r="IJA93" s="293"/>
      <c r="IJB93" s="294"/>
      <c r="IJH93" s="292"/>
      <c r="IJI93" s="293"/>
      <c r="IJJ93" s="294"/>
      <c r="IJP93" s="292"/>
      <c r="IJQ93" s="293"/>
      <c r="IJR93" s="294"/>
      <c r="IJX93" s="292"/>
      <c r="IJY93" s="293"/>
      <c r="IJZ93" s="294"/>
      <c r="IKF93" s="292"/>
      <c r="IKG93" s="293"/>
      <c r="IKH93" s="294"/>
      <c r="IKN93" s="292"/>
      <c r="IKO93" s="293"/>
      <c r="IKP93" s="294"/>
      <c r="IKV93" s="292"/>
      <c r="IKW93" s="293"/>
      <c r="IKX93" s="294"/>
      <c r="ILD93" s="292"/>
      <c r="ILE93" s="293"/>
      <c r="ILF93" s="294"/>
      <c r="ILL93" s="292"/>
      <c r="ILM93" s="293"/>
      <c r="ILN93" s="294"/>
      <c r="ILT93" s="292"/>
      <c r="ILU93" s="293"/>
      <c r="ILV93" s="294"/>
      <c r="IMB93" s="292"/>
      <c r="IMC93" s="293"/>
      <c r="IMD93" s="294"/>
      <c r="IMJ93" s="292"/>
      <c r="IMK93" s="293"/>
      <c r="IML93" s="294"/>
      <c r="IMR93" s="292"/>
      <c r="IMS93" s="293"/>
      <c r="IMT93" s="294"/>
      <c r="IMZ93" s="292"/>
      <c r="INA93" s="293"/>
      <c r="INB93" s="294"/>
      <c r="INH93" s="292"/>
      <c r="INI93" s="293"/>
      <c r="INJ93" s="294"/>
      <c r="INP93" s="292"/>
      <c r="INQ93" s="293"/>
      <c r="INR93" s="294"/>
      <c r="INX93" s="292"/>
      <c r="INY93" s="293"/>
      <c r="INZ93" s="294"/>
      <c r="IOF93" s="292"/>
      <c r="IOG93" s="293"/>
      <c r="IOH93" s="294"/>
      <c r="ION93" s="292"/>
      <c r="IOO93" s="293"/>
      <c r="IOP93" s="294"/>
      <c r="IOV93" s="292"/>
      <c r="IOW93" s="293"/>
      <c r="IOX93" s="294"/>
      <c r="IPD93" s="292"/>
      <c r="IPE93" s="293"/>
      <c r="IPF93" s="294"/>
      <c r="IPL93" s="292"/>
      <c r="IPM93" s="293"/>
      <c r="IPN93" s="294"/>
      <c r="IPT93" s="292"/>
      <c r="IPU93" s="293"/>
      <c r="IPV93" s="294"/>
      <c r="IQB93" s="292"/>
      <c r="IQC93" s="293"/>
      <c r="IQD93" s="294"/>
      <c r="IQJ93" s="292"/>
      <c r="IQK93" s="293"/>
      <c r="IQL93" s="294"/>
      <c r="IQR93" s="292"/>
      <c r="IQS93" s="293"/>
      <c r="IQT93" s="294"/>
      <c r="IQZ93" s="292"/>
      <c r="IRA93" s="293"/>
      <c r="IRB93" s="294"/>
      <c r="IRH93" s="292"/>
      <c r="IRI93" s="293"/>
      <c r="IRJ93" s="294"/>
      <c r="IRP93" s="292"/>
      <c r="IRQ93" s="293"/>
      <c r="IRR93" s="294"/>
      <c r="IRX93" s="292"/>
      <c r="IRY93" s="293"/>
      <c r="IRZ93" s="294"/>
      <c r="ISF93" s="292"/>
      <c r="ISG93" s="293"/>
      <c r="ISH93" s="294"/>
      <c r="ISN93" s="292"/>
      <c r="ISO93" s="293"/>
      <c r="ISP93" s="294"/>
      <c r="ISV93" s="292"/>
      <c r="ISW93" s="293"/>
      <c r="ISX93" s="294"/>
      <c r="ITD93" s="292"/>
      <c r="ITE93" s="293"/>
      <c r="ITF93" s="294"/>
      <c r="ITL93" s="292"/>
      <c r="ITM93" s="293"/>
      <c r="ITN93" s="294"/>
      <c r="ITT93" s="292"/>
      <c r="ITU93" s="293"/>
      <c r="ITV93" s="294"/>
      <c r="IUB93" s="292"/>
      <c r="IUC93" s="293"/>
      <c r="IUD93" s="294"/>
      <c r="IUJ93" s="292"/>
      <c r="IUK93" s="293"/>
      <c r="IUL93" s="294"/>
      <c r="IUR93" s="292"/>
      <c r="IUS93" s="293"/>
      <c r="IUT93" s="294"/>
      <c r="IUZ93" s="292"/>
      <c r="IVA93" s="293"/>
      <c r="IVB93" s="294"/>
      <c r="IVH93" s="292"/>
      <c r="IVI93" s="293"/>
      <c r="IVJ93" s="294"/>
      <c r="IVP93" s="292"/>
      <c r="IVQ93" s="293"/>
      <c r="IVR93" s="294"/>
      <c r="IVX93" s="292"/>
      <c r="IVY93" s="293"/>
      <c r="IVZ93" s="294"/>
      <c r="IWF93" s="292"/>
      <c r="IWG93" s="293"/>
      <c r="IWH93" s="294"/>
      <c r="IWN93" s="292"/>
      <c r="IWO93" s="293"/>
      <c r="IWP93" s="294"/>
      <c r="IWV93" s="292"/>
      <c r="IWW93" s="293"/>
      <c r="IWX93" s="294"/>
      <c r="IXD93" s="292"/>
      <c r="IXE93" s="293"/>
      <c r="IXF93" s="294"/>
      <c r="IXL93" s="292"/>
      <c r="IXM93" s="293"/>
      <c r="IXN93" s="294"/>
      <c r="IXT93" s="292"/>
      <c r="IXU93" s="293"/>
      <c r="IXV93" s="294"/>
      <c r="IYB93" s="292"/>
      <c r="IYC93" s="293"/>
      <c r="IYD93" s="294"/>
      <c r="IYJ93" s="292"/>
      <c r="IYK93" s="293"/>
      <c r="IYL93" s="294"/>
      <c r="IYR93" s="292"/>
      <c r="IYS93" s="293"/>
      <c r="IYT93" s="294"/>
      <c r="IYZ93" s="292"/>
      <c r="IZA93" s="293"/>
      <c r="IZB93" s="294"/>
      <c r="IZH93" s="292"/>
      <c r="IZI93" s="293"/>
      <c r="IZJ93" s="294"/>
      <c r="IZP93" s="292"/>
      <c r="IZQ93" s="293"/>
      <c r="IZR93" s="294"/>
      <c r="IZX93" s="292"/>
      <c r="IZY93" s="293"/>
      <c r="IZZ93" s="294"/>
      <c r="JAF93" s="292"/>
      <c r="JAG93" s="293"/>
      <c r="JAH93" s="294"/>
      <c r="JAN93" s="292"/>
      <c r="JAO93" s="293"/>
      <c r="JAP93" s="294"/>
      <c r="JAV93" s="292"/>
      <c r="JAW93" s="293"/>
      <c r="JAX93" s="294"/>
      <c r="JBD93" s="292"/>
      <c r="JBE93" s="293"/>
      <c r="JBF93" s="294"/>
      <c r="JBL93" s="292"/>
      <c r="JBM93" s="293"/>
      <c r="JBN93" s="294"/>
      <c r="JBT93" s="292"/>
      <c r="JBU93" s="293"/>
      <c r="JBV93" s="294"/>
      <c r="JCB93" s="292"/>
      <c r="JCC93" s="293"/>
      <c r="JCD93" s="294"/>
      <c r="JCJ93" s="292"/>
      <c r="JCK93" s="293"/>
      <c r="JCL93" s="294"/>
      <c r="JCR93" s="292"/>
      <c r="JCS93" s="293"/>
      <c r="JCT93" s="294"/>
      <c r="JCZ93" s="292"/>
      <c r="JDA93" s="293"/>
      <c r="JDB93" s="294"/>
      <c r="JDH93" s="292"/>
      <c r="JDI93" s="293"/>
      <c r="JDJ93" s="294"/>
      <c r="JDP93" s="292"/>
      <c r="JDQ93" s="293"/>
      <c r="JDR93" s="294"/>
      <c r="JDX93" s="292"/>
      <c r="JDY93" s="293"/>
      <c r="JDZ93" s="294"/>
      <c r="JEF93" s="292"/>
      <c r="JEG93" s="293"/>
      <c r="JEH93" s="294"/>
      <c r="JEN93" s="292"/>
      <c r="JEO93" s="293"/>
      <c r="JEP93" s="294"/>
      <c r="JEV93" s="292"/>
      <c r="JEW93" s="293"/>
      <c r="JEX93" s="294"/>
      <c r="JFD93" s="292"/>
      <c r="JFE93" s="293"/>
      <c r="JFF93" s="294"/>
      <c r="JFL93" s="292"/>
      <c r="JFM93" s="293"/>
      <c r="JFN93" s="294"/>
      <c r="JFT93" s="292"/>
      <c r="JFU93" s="293"/>
      <c r="JFV93" s="294"/>
      <c r="JGB93" s="292"/>
      <c r="JGC93" s="293"/>
      <c r="JGD93" s="294"/>
      <c r="JGJ93" s="292"/>
      <c r="JGK93" s="293"/>
      <c r="JGL93" s="294"/>
      <c r="JGR93" s="292"/>
      <c r="JGS93" s="293"/>
      <c r="JGT93" s="294"/>
      <c r="JGZ93" s="292"/>
      <c r="JHA93" s="293"/>
      <c r="JHB93" s="294"/>
      <c r="JHH93" s="292"/>
      <c r="JHI93" s="293"/>
      <c r="JHJ93" s="294"/>
      <c r="JHP93" s="292"/>
      <c r="JHQ93" s="293"/>
      <c r="JHR93" s="294"/>
      <c r="JHX93" s="292"/>
      <c r="JHY93" s="293"/>
      <c r="JHZ93" s="294"/>
      <c r="JIF93" s="292"/>
      <c r="JIG93" s="293"/>
      <c r="JIH93" s="294"/>
      <c r="JIN93" s="292"/>
      <c r="JIO93" s="293"/>
      <c r="JIP93" s="294"/>
      <c r="JIV93" s="292"/>
      <c r="JIW93" s="293"/>
      <c r="JIX93" s="294"/>
      <c r="JJD93" s="292"/>
      <c r="JJE93" s="293"/>
      <c r="JJF93" s="294"/>
      <c r="JJL93" s="292"/>
      <c r="JJM93" s="293"/>
      <c r="JJN93" s="294"/>
      <c r="JJT93" s="292"/>
      <c r="JJU93" s="293"/>
      <c r="JJV93" s="294"/>
      <c r="JKB93" s="292"/>
      <c r="JKC93" s="293"/>
      <c r="JKD93" s="294"/>
      <c r="JKJ93" s="292"/>
      <c r="JKK93" s="293"/>
      <c r="JKL93" s="294"/>
      <c r="JKR93" s="292"/>
      <c r="JKS93" s="293"/>
      <c r="JKT93" s="294"/>
      <c r="JKZ93" s="292"/>
      <c r="JLA93" s="293"/>
      <c r="JLB93" s="294"/>
      <c r="JLH93" s="292"/>
      <c r="JLI93" s="293"/>
      <c r="JLJ93" s="294"/>
      <c r="JLP93" s="292"/>
      <c r="JLQ93" s="293"/>
      <c r="JLR93" s="294"/>
      <c r="JLX93" s="292"/>
      <c r="JLY93" s="293"/>
      <c r="JLZ93" s="294"/>
      <c r="JMF93" s="292"/>
      <c r="JMG93" s="293"/>
      <c r="JMH93" s="294"/>
      <c r="JMN93" s="292"/>
      <c r="JMO93" s="293"/>
      <c r="JMP93" s="294"/>
      <c r="JMV93" s="292"/>
      <c r="JMW93" s="293"/>
      <c r="JMX93" s="294"/>
      <c r="JND93" s="292"/>
      <c r="JNE93" s="293"/>
      <c r="JNF93" s="294"/>
      <c r="JNL93" s="292"/>
      <c r="JNM93" s="293"/>
      <c r="JNN93" s="294"/>
      <c r="JNT93" s="292"/>
      <c r="JNU93" s="293"/>
      <c r="JNV93" s="294"/>
      <c r="JOB93" s="292"/>
      <c r="JOC93" s="293"/>
      <c r="JOD93" s="294"/>
      <c r="JOJ93" s="292"/>
      <c r="JOK93" s="293"/>
      <c r="JOL93" s="294"/>
      <c r="JOR93" s="292"/>
      <c r="JOS93" s="293"/>
      <c r="JOT93" s="294"/>
      <c r="JOZ93" s="292"/>
      <c r="JPA93" s="293"/>
      <c r="JPB93" s="294"/>
      <c r="JPH93" s="292"/>
      <c r="JPI93" s="293"/>
      <c r="JPJ93" s="294"/>
      <c r="JPP93" s="292"/>
      <c r="JPQ93" s="293"/>
      <c r="JPR93" s="294"/>
      <c r="JPX93" s="292"/>
      <c r="JPY93" s="293"/>
      <c r="JPZ93" s="294"/>
      <c r="JQF93" s="292"/>
      <c r="JQG93" s="293"/>
      <c r="JQH93" s="294"/>
      <c r="JQN93" s="292"/>
      <c r="JQO93" s="293"/>
      <c r="JQP93" s="294"/>
      <c r="JQV93" s="292"/>
      <c r="JQW93" s="293"/>
      <c r="JQX93" s="294"/>
      <c r="JRD93" s="292"/>
      <c r="JRE93" s="293"/>
      <c r="JRF93" s="294"/>
      <c r="JRL93" s="292"/>
      <c r="JRM93" s="293"/>
      <c r="JRN93" s="294"/>
      <c r="JRT93" s="292"/>
      <c r="JRU93" s="293"/>
      <c r="JRV93" s="294"/>
      <c r="JSB93" s="292"/>
      <c r="JSC93" s="293"/>
      <c r="JSD93" s="294"/>
      <c r="JSJ93" s="292"/>
      <c r="JSK93" s="293"/>
      <c r="JSL93" s="294"/>
      <c r="JSR93" s="292"/>
      <c r="JSS93" s="293"/>
      <c r="JST93" s="294"/>
      <c r="JSZ93" s="292"/>
      <c r="JTA93" s="293"/>
      <c r="JTB93" s="294"/>
      <c r="JTH93" s="292"/>
      <c r="JTI93" s="293"/>
      <c r="JTJ93" s="294"/>
      <c r="JTP93" s="292"/>
      <c r="JTQ93" s="293"/>
      <c r="JTR93" s="294"/>
      <c r="JTX93" s="292"/>
      <c r="JTY93" s="293"/>
      <c r="JTZ93" s="294"/>
      <c r="JUF93" s="292"/>
      <c r="JUG93" s="293"/>
      <c r="JUH93" s="294"/>
      <c r="JUN93" s="292"/>
      <c r="JUO93" s="293"/>
      <c r="JUP93" s="294"/>
      <c r="JUV93" s="292"/>
      <c r="JUW93" s="293"/>
      <c r="JUX93" s="294"/>
      <c r="JVD93" s="292"/>
      <c r="JVE93" s="293"/>
      <c r="JVF93" s="294"/>
      <c r="JVL93" s="292"/>
      <c r="JVM93" s="293"/>
      <c r="JVN93" s="294"/>
      <c r="JVT93" s="292"/>
      <c r="JVU93" s="293"/>
      <c r="JVV93" s="294"/>
      <c r="JWB93" s="292"/>
      <c r="JWC93" s="293"/>
      <c r="JWD93" s="294"/>
      <c r="JWJ93" s="292"/>
      <c r="JWK93" s="293"/>
      <c r="JWL93" s="294"/>
      <c r="JWR93" s="292"/>
      <c r="JWS93" s="293"/>
      <c r="JWT93" s="294"/>
      <c r="JWZ93" s="292"/>
      <c r="JXA93" s="293"/>
      <c r="JXB93" s="294"/>
      <c r="JXH93" s="292"/>
      <c r="JXI93" s="293"/>
      <c r="JXJ93" s="294"/>
      <c r="JXP93" s="292"/>
      <c r="JXQ93" s="293"/>
      <c r="JXR93" s="294"/>
      <c r="JXX93" s="292"/>
      <c r="JXY93" s="293"/>
      <c r="JXZ93" s="294"/>
      <c r="JYF93" s="292"/>
      <c r="JYG93" s="293"/>
      <c r="JYH93" s="294"/>
      <c r="JYN93" s="292"/>
      <c r="JYO93" s="293"/>
      <c r="JYP93" s="294"/>
      <c r="JYV93" s="292"/>
      <c r="JYW93" s="293"/>
      <c r="JYX93" s="294"/>
      <c r="JZD93" s="292"/>
      <c r="JZE93" s="293"/>
      <c r="JZF93" s="294"/>
      <c r="JZL93" s="292"/>
      <c r="JZM93" s="293"/>
      <c r="JZN93" s="294"/>
      <c r="JZT93" s="292"/>
      <c r="JZU93" s="293"/>
      <c r="JZV93" s="294"/>
      <c r="KAB93" s="292"/>
      <c r="KAC93" s="293"/>
      <c r="KAD93" s="294"/>
      <c r="KAJ93" s="292"/>
      <c r="KAK93" s="293"/>
      <c r="KAL93" s="294"/>
      <c r="KAR93" s="292"/>
      <c r="KAS93" s="293"/>
      <c r="KAT93" s="294"/>
      <c r="KAZ93" s="292"/>
      <c r="KBA93" s="293"/>
      <c r="KBB93" s="294"/>
      <c r="KBH93" s="292"/>
      <c r="KBI93" s="293"/>
      <c r="KBJ93" s="294"/>
      <c r="KBP93" s="292"/>
      <c r="KBQ93" s="293"/>
      <c r="KBR93" s="294"/>
      <c r="KBX93" s="292"/>
      <c r="KBY93" s="293"/>
      <c r="KBZ93" s="294"/>
      <c r="KCF93" s="292"/>
      <c r="KCG93" s="293"/>
      <c r="KCH93" s="294"/>
      <c r="KCN93" s="292"/>
      <c r="KCO93" s="293"/>
      <c r="KCP93" s="294"/>
      <c r="KCV93" s="292"/>
      <c r="KCW93" s="293"/>
      <c r="KCX93" s="294"/>
      <c r="KDD93" s="292"/>
      <c r="KDE93" s="293"/>
      <c r="KDF93" s="294"/>
      <c r="KDL93" s="292"/>
      <c r="KDM93" s="293"/>
      <c r="KDN93" s="294"/>
      <c r="KDT93" s="292"/>
      <c r="KDU93" s="293"/>
      <c r="KDV93" s="294"/>
      <c r="KEB93" s="292"/>
      <c r="KEC93" s="293"/>
      <c r="KED93" s="294"/>
      <c r="KEJ93" s="292"/>
      <c r="KEK93" s="293"/>
      <c r="KEL93" s="294"/>
      <c r="KER93" s="292"/>
      <c r="KES93" s="293"/>
      <c r="KET93" s="294"/>
      <c r="KEZ93" s="292"/>
      <c r="KFA93" s="293"/>
      <c r="KFB93" s="294"/>
      <c r="KFH93" s="292"/>
      <c r="KFI93" s="293"/>
      <c r="KFJ93" s="294"/>
      <c r="KFP93" s="292"/>
      <c r="KFQ93" s="293"/>
      <c r="KFR93" s="294"/>
      <c r="KFX93" s="292"/>
      <c r="KFY93" s="293"/>
      <c r="KFZ93" s="294"/>
      <c r="KGF93" s="292"/>
      <c r="KGG93" s="293"/>
      <c r="KGH93" s="294"/>
      <c r="KGN93" s="292"/>
      <c r="KGO93" s="293"/>
      <c r="KGP93" s="294"/>
      <c r="KGV93" s="292"/>
      <c r="KGW93" s="293"/>
      <c r="KGX93" s="294"/>
      <c r="KHD93" s="292"/>
      <c r="KHE93" s="293"/>
      <c r="KHF93" s="294"/>
      <c r="KHL93" s="292"/>
      <c r="KHM93" s="293"/>
      <c r="KHN93" s="294"/>
      <c r="KHT93" s="292"/>
      <c r="KHU93" s="293"/>
      <c r="KHV93" s="294"/>
      <c r="KIB93" s="292"/>
      <c r="KIC93" s="293"/>
      <c r="KID93" s="294"/>
      <c r="KIJ93" s="292"/>
      <c r="KIK93" s="293"/>
      <c r="KIL93" s="294"/>
      <c r="KIR93" s="292"/>
      <c r="KIS93" s="293"/>
      <c r="KIT93" s="294"/>
      <c r="KIZ93" s="292"/>
      <c r="KJA93" s="293"/>
      <c r="KJB93" s="294"/>
      <c r="KJH93" s="292"/>
      <c r="KJI93" s="293"/>
      <c r="KJJ93" s="294"/>
      <c r="KJP93" s="292"/>
      <c r="KJQ93" s="293"/>
      <c r="KJR93" s="294"/>
      <c r="KJX93" s="292"/>
      <c r="KJY93" s="293"/>
      <c r="KJZ93" s="294"/>
      <c r="KKF93" s="292"/>
      <c r="KKG93" s="293"/>
      <c r="KKH93" s="294"/>
      <c r="KKN93" s="292"/>
      <c r="KKO93" s="293"/>
      <c r="KKP93" s="294"/>
      <c r="KKV93" s="292"/>
      <c r="KKW93" s="293"/>
      <c r="KKX93" s="294"/>
      <c r="KLD93" s="292"/>
      <c r="KLE93" s="293"/>
      <c r="KLF93" s="294"/>
      <c r="KLL93" s="292"/>
      <c r="KLM93" s="293"/>
      <c r="KLN93" s="294"/>
      <c r="KLT93" s="292"/>
      <c r="KLU93" s="293"/>
      <c r="KLV93" s="294"/>
      <c r="KMB93" s="292"/>
      <c r="KMC93" s="293"/>
      <c r="KMD93" s="294"/>
      <c r="KMJ93" s="292"/>
      <c r="KMK93" s="293"/>
      <c r="KML93" s="294"/>
      <c r="KMR93" s="292"/>
      <c r="KMS93" s="293"/>
      <c r="KMT93" s="294"/>
      <c r="KMZ93" s="292"/>
      <c r="KNA93" s="293"/>
      <c r="KNB93" s="294"/>
      <c r="KNH93" s="292"/>
      <c r="KNI93" s="293"/>
      <c r="KNJ93" s="294"/>
      <c r="KNP93" s="292"/>
      <c r="KNQ93" s="293"/>
      <c r="KNR93" s="294"/>
      <c r="KNX93" s="292"/>
      <c r="KNY93" s="293"/>
      <c r="KNZ93" s="294"/>
      <c r="KOF93" s="292"/>
      <c r="KOG93" s="293"/>
      <c r="KOH93" s="294"/>
      <c r="KON93" s="292"/>
      <c r="KOO93" s="293"/>
      <c r="KOP93" s="294"/>
      <c r="KOV93" s="292"/>
      <c r="KOW93" s="293"/>
      <c r="KOX93" s="294"/>
      <c r="KPD93" s="292"/>
      <c r="KPE93" s="293"/>
      <c r="KPF93" s="294"/>
      <c r="KPL93" s="292"/>
      <c r="KPM93" s="293"/>
      <c r="KPN93" s="294"/>
      <c r="KPT93" s="292"/>
      <c r="KPU93" s="293"/>
      <c r="KPV93" s="294"/>
      <c r="KQB93" s="292"/>
      <c r="KQC93" s="293"/>
      <c r="KQD93" s="294"/>
      <c r="KQJ93" s="292"/>
      <c r="KQK93" s="293"/>
      <c r="KQL93" s="294"/>
      <c r="KQR93" s="292"/>
      <c r="KQS93" s="293"/>
      <c r="KQT93" s="294"/>
      <c r="KQZ93" s="292"/>
      <c r="KRA93" s="293"/>
      <c r="KRB93" s="294"/>
      <c r="KRH93" s="292"/>
      <c r="KRI93" s="293"/>
      <c r="KRJ93" s="294"/>
      <c r="KRP93" s="292"/>
      <c r="KRQ93" s="293"/>
      <c r="KRR93" s="294"/>
      <c r="KRX93" s="292"/>
      <c r="KRY93" s="293"/>
      <c r="KRZ93" s="294"/>
      <c r="KSF93" s="292"/>
      <c r="KSG93" s="293"/>
      <c r="KSH93" s="294"/>
      <c r="KSN93" s="292"/>
      <c r="KSO93" s="293"/>
      <c r="KSP93" s="294"/>
      <c r="KSV93" s="292"/>
      <c r="KSW93" s="293"/>
      <c r="KSX93" s="294"/>
      <c r="KTD93" s="292"/>
      <c r="KTE93" s="293"/>
      <c r="KTF93" s="294"/>
      <c r="KTL93" s="292"/>
      <c r="KTM93" s="293"/>
      <c r="KTN93" s="294"/>
      <c r="KTT93" s="292"/>
      <c r="KTU93" s="293"/>
      <c r="KTV93" s="294"/>
      <c r="KUB93" s="292"/>
      <c r="KUC93" s="293"/>
      <c r="KUD93" s="294"/>
      <c r="KUJ93" s="292"/>
      <c r="KUK93" s="293"/>
      <c r="KUL93" s="294"/>
      <c r="KUR93" s="292"/>
      <c r="KUS93" s="293"/>
      <c r="KUT93" s="294"/>
      <c r="KUZ93" s="292"/>
      <c r="KVA93" s="293"/>
      <c r="KVB93" s="294"/>
      <c r="KVH93" s="292"/>
      <c r="KVI93" s="293"/>
      <c r="KVJ93" s="294"/>
      <c r="KVP93" s="292"/>
      <c r="KVQ93" s="293"/>
      <c r="KVR93" s="294"/>
      <c r="KVX93" s="292"/>
      <c r="KVY93" s="293"/>
      <c r="KVZ93" s="294"/>
      <c r="KWF93" s="292"/>
      <c r="KWG93" s="293"/>
      <c r="KWH93" s="294"/>
      <c r="KWN93" s="292"/>
      <c r="KWO93" s="293"/>
      <c r="KWP93" s="294"/>
      <c r="KWV93" s="292"/>
      <c r="KWW93" s="293"/>
      <c r="KWX93" s="294"/>
      <c r="KXD93" s="292"/>
      <c r="KXE93" s="293"/>
      <c r="KXF93" s="294"/>
      <c r="KXL93" s="292"/>
      <c r="KXM93" s="293"/>
      <c r="KXN93" s="294"/>
      <c r="KXT93" s="292"/>
      <c r="KXU93" s="293"/>
      <c r="KXV93" s="294"/>
      <c r="KYB93" s="292"/>
      <c r="KYC93" s="293"/>
      <c r="KYD93" s="294"/>
      <c r="KYJ93" s="292"/>
      <c r="KYK93" s="293"/>
      <c r="KYL93" s="294"/>
      <c r="KYR93" s="292"/>
      <c r="KYS93" s="293"/>
      <c r="KYT93" s="294"/>
      <c r="KYZ93" s="292"/>
      <c r="KZA93" s="293"/>
      <c r="KZB93" s="294"/>
      <c r="KZH93" s="292"/>
      <c r="KZI93" s="293"/>
      <c r="KZJ93" s="294"/>
      <c r="KZP93" s="292"/>
      <c r="KZQ93" s="293"/>
      <c r="KZR93" s="294"/>
      <c r="KZX93" s="292"/>
      <c r="KZY93" s="293"/>
      <c r="KZZ93" s="294"/>
      <c r="LAF93" s="292"/>
      <c r="LAG93" s="293"/>
      <c r="LAH93" s="294"/>
      <c r="LAN93" s="292"/>
      <c r="LAO93" s="293"/>
      <c r="LAP93" s="294"/>
      <c r="LAV93" s="292"/>
      <c r="LAW93" s="293"/>
      <c r="LAX93" s="294"/>
      <c r="LBD93" s="292"/>
      <c r="LBE93" s="293"/>
      <c r="LBF93" s="294"/>
      <c r="LBL93" s="292"/>
      <c r="LBM93" s="293"/>
      <c r="LBN93" s="294"/>
      <c r="LBT93" s="292"/>
      <c r="LBU93" s="293"/>
      <c r="LBV93" s="294"/>
      <c r="LCB93" s="292"/>
      <c r="LCC93" s="293"/>
      <c r="LCD93" s="294"/>
      <c r="LCJ93" s="292"/>
      <c r="LCK93" s="293"/>
      <c r="LCL93" s="294"/>
      <c r="LCR93" s="292"/>
      <c r="LCS93" s="293"/>
      <c r="LCT93" s="294"/>
      <c r="LCZ93" s="292"/>
      <c r="LDA93" s="293"/>
      <c r="LDB93" s="294"/>
      <c r="LDH93" s="292"/>
      <c r="LDI93" s="293"/>
      <c r="LDJ93" s="294"/>
      <c r="LDP93" s="292"/>
      <c r="LDQ93" s="293"/>
      <c r="LDR93" s="294"/>
      <c r="LDX93" s="292"/>
      <c r="LDY93" s="293"/>
      <c r="LDZ93" s="294"/>
      <c r="LEF93" s="292"/>
      <c r="LEG93" s="293"/>
      <c r="LEH93" s="294"/>
      <c r="LEN93" s="292"/>
      <c r="LEO93" s="293"/>
      <c r="LEP93" s="294"/>
      <c r="LEV93" s="292"/>
      <c r="LEW93" s="293"/>
      <c r="LEX93" s="294"/>
      <c r="LFD93" s="292"/>
      <c r="LFE93" s="293"/>
      <c r="LFF93" s="294"/>
      <c r="LFL93" s="292"/>
      <c r="LFM93" s="293"/>
      <c r="LFN93" s="294"/>
      <c r="LFT93" s="292"/>
      <c r="LFU93" s="293"/>
      <c r="LFV93" s="294"/>
      <c r="LGB93" s="292"/>
      <c r="LGC93" s="293"/>
      <c r="LGD93" s="294"/>
      <c r="LGJ93" s="292"/>
      <c r="LGK93" s="293"/>
      <c r="LGL93" s="294"/>
      <c r="LGR93" s="292"/>
      <c r="LGS93" s="293"/>
      <c r="LGT93" s="294"/>
      <c r="LGZ93" s="292"/>
      <c r="LHA93" s="293"/>
      <c r="LHB93" s="294"/>
      <c r="LHH93" s="292"/>
      <c r="LHI93" s="293"/>
      <c r="LHJ93" s="294"/>
      <c r="LHP93" s="292"/>
      <c r="LHQ93" s="293"/>
      <c r="LHR93" s="294"/>
      <c r="LHX93" s="292"/>
      <c r="LHY93" s="293"/>
      <c r="LHZ93" s="294"/>
      <c r="LIF93" s="292"/>
      <c r="LIG93" s="293"/>
      <c r="LIH93" s="294"/>
      <c r="LIN93" s="292"/>
      <c r="LIO93" s="293"/>
      <c r="LIP93" s="294"/>
      <c r="LIV93" s="292"/>
      <c r="LIW93" s="293"/>
      <c r="LIX93" s="294"/>
      <c r="LJD93" s="292"/>
      <c r="LJE93" s="293"/>
      <c r="LJF93" s="294"/>
      <c r="LJL93" s="292"/>
      <c r="LJM93" s="293"/>
      <c r="LJN93" s="294"/>
      <c r="LJT93" s="292"/>
      <c r="LJU93" s="293"/>
      <c r="LJV93" s="294"/>
      <c r="LKB93" s="292"/>
      <c r="LKC93" s="293"/>
      <c r="LKD93" s="294"/>
      <c r="LKJ93" s="292"/>
      <c r="LKK93" s="293"/>
      <c r="LKL93" s="294"/>
      <c r="LKR93" s="292"/>
      <c r="LKS93" s="293"/>
      <c r="LKT93" s="294"/>
      <c r="LKZ93" s="292"/>
      <c r="LLA93" s="293"/>
      <c r="LLB93" s="294"/>
      <c r="LLH93" s="292"/>
      <c r="LLI93" s="293"/>
      <c r="LLJ93" s="294"/>
      <c r="LLP93" s="292"/>
      <c r="LLQ93" s="293"/>
      <c r="LLR93" s="294"/>
      <c r="LLX93" s="292"/>
      <c r="LLY93" s="293"/>
      <c r="LLZ93" s="294"/>
      <c r="LMF93" s="292"/>
      <c r="LMG93" s="293"/>
      <c r="LMH93" s="294"/>
      <c r="LMN93" s="292"/>
      <c r="LMO93" s="293"/>
      <c r="LMP93" s="294"/>
      <c r="LMV93" s="292"/>
      <c r="LMW93" s="293"/>
      <c r="LMX93" s="294"/>
      <c r="LND93" s="292"/>
      <c r="LNE93" s="293"/>
      <c r="LNF93" s="294"/>
      <c r="LNL93" s="292"/>
      <c r="LNM93" s="293"/>
      <c r="LNN93" s="294"/>
      <c r="LNT93" s="292"/>
      <c r="LNU93" s="293"/>
      <c r="LNV93" s="294"/>
      <c r="LOB93" s="292"/>
      <c r="LOC93" s="293"/>
      <c r="LOD93" s="294"/>
      <c r="LOJ93" s="292"/>
      <c r="LOK93" s="293"/>
      <c r="LOL93" s="294"/>
      <c r="LOR93" s="292"/>
      <c r="LOS93" s="293"/>
      <c r="LOT93" s="294"/>
      <c r="LOZ93" s="292"/>
      <c r="LPA93" s="293"/>
      <c r="LPB93" s="294"/>
      <c r="LPH93" s="292"/>
      <c r="LPI93" s="293"/>
      <c r="LPJ93" s="294"/>
      <c r="LPP93" s="292"/>
      <c r="LPQ93" s="293"/>
      <c r="LPR93" s="294"/>
      <c r="LPX93" s="292"/>
      <c r="LPY93" s="293"/>
      <c r="LPZ93" s="294"/>
      <c r="LQF93" s="292"/>
      <c r="LQG93" s="293"/>
      <c r="LQH93" s="294"/>
      <c r="LQN93" s="292"/>
      <c r="LQO93" s="293"/>
      <c r="LQP93" s="294"/>
      <c r="LQV93" s="292"/>
      <c r="LQW93" s="293"/>
      <c r="LQX93" s="294"/>
      <c r="LRD93" s="292"/>
      <c r="LRE93" s="293"/>
      <c r="LRF93" s="294"/>
      <c r="LRL93" s="292"/>
      <c r="LRM93" s="293"/>
      <c r="LRN93" s="294"/>
      <c r="LRT93" s="292"/>
      <c r="LRU93" s="293"/>
      <c r="LRV93" s="294"/>
      <c r="LSB93" s="292"/>
      <c r="LSC93" s="293"/>
      <c r="LSD93" s="294"/>
      <c r="LSJ93" s="292"/>
      <c r="LSK93" s="293"/>
      <c r="LSL93" s="294"/>
      <c r="LSR93" s="292"/>
      <c r="LSS93" s="293"/>
      <c r="LST93" s="294"/>
      <c r="LSZ93" s="292"/>
      <c r="LTA93" s="293"/>
      <c r="LTB93" s="294"/>
      <c r="LTH93" s="292"/>
      <c r="LTI93" s="293"/>
      <c r="LTJ93" s="294"/>
      <c r="LTP93" s="292"/>
      <c r="LTQ93" s="293"/>
      <c r="LTR93" s="294"/>
      <c r="LTX93" s="292"/>
      <c r="LTY93" s="293"/>
      <c r="LTZ93" s="294"/>
      <c r="LUF93" s="292"/>
      <c r="LUG93" s="293"/>
      <c r="LUH93" s="294"/>
      <c r="LUN93" s="292"/>
      <c r="LUO93" s="293"/>
      <c r="LUP93" s="294"/>
      <c r="LUV93" s="292"/>
      <c r="LUW93" s="293"/>
      <c r="LUX93" s="294"/>
      <c r="LVD93" s="292"/>
      <c r="LVE93" s="293"/>
      <c r="LVF93" s="294"/>
      <c r="LVL93" s="292"/>
      <c r="LVM93" s="293"/>
      <c r="LVN93" s="294"/>
      <c r="LVT93" s="292"/>
      <c r="LVU93" s="293"/>
      <c r="LVV93" s="294"/>
      <c r="LWB93" s="292"/>
      <c r="LWC93" s="293"/>
      <c r="LWD93" s="294"/>
      <c r="LWJ93" s="292"/>
      <c r="LWK93" s="293"/>
      <c r="LWL93" s="294"/>
      <c r="LWR93" s="292"/>
      <c r="LWS93" s="293"/>
      <c r="LWT93" s="294"/>
      <c r="LWZ93" s="292"/>
      <c r="LXA93" s="293"/>
      <c r="LXB93" s="294"/>
      <c r="LXH93" s="292"/>
      <c r="LXI93" s="293"/>
      <c r="LXJ93" s="294"/>
      <c r="LXP93" s="292"/>
      <c r="LXQ93" s="293"/>
      <c r="LXR93" s="294"/>
      <c r="LXX93" s="292"/>
      <c r="LXY93" s="293"/>
      <c r="LXZ93" s="294"/>
      <c r="LYF93" s="292"/>
      <c r="LYG93" s="293"/>
      <c r="LYH93" s="294"/>
      <c r="LYN93" s="292"/>
      <c r="LYO93" s="293"/>
      <c r="LYP93" s="294"/>
      <c r="LYV93" s="292"/>
      <c r="LYW93" s="293"/>
      <c r="LYX93" s="294"/>
      <c r="LZD93" s="292"/>
      <c r="LZE93" s="293"/>
      <c r="LZF93" s="294"/>
      <c r="LZL93" s="292"/>
      <c r="LZM93" s="293"/>
      <c r="LZN93" s="294"/>
      <c r="LZT93" s="292"/>
      <c r="LZU93" s="293"/>
      <c r="LZV93" s="294"/>
      <c r="MAB93" s="292"/>
      <c r="MAC93" s="293"/>
      <c r="MAD93" s="294"/>
      <c r="MAJ93" s="292"/>
      <c r="MAK93" s="293"/>
      <c r="MAL93" s="294"/>
      <c r="MAR93" s="292"/>
      <c r="MAS93" s="293"/>
      <c r="MAT93" s="294"/>
      <c r="MAZ93" s="292"/>
      <c r="MBA93" s="293"/>
      <c r="MBB93" s="294"/>
      <c r="MBH93" s="292"/>
      <c r="MBI93" s="293"/>
      <c r="MBJ93" s="294"/>
      <c r="MBP93" s="292"/>
      <c r="MBQ93" s="293"/>
      <c r="MBR93" s="294"/>
      <c r="MBX93" s="292"/>
      <c r="MBY93" s="293"/>
      <c r="MBZ93" s="294"/>
      <c r="MCF93" s="292"/>
      <c r="MCG93" s="293"/>
      <c r="MCH93" s="294"/>
      <c r="MCN93" s="292"/>
      <c r="MCO93" s="293"/>
      <c r="MCP93" s="294"/>
      <c r="MCV93" s="292"/>
      <c r="MCW93" s="293"/>
      <c r="MCX93" s="294"/>
      <c r="MDD93" s="292"/>
      <c r="MDE93" s="293"/>
      <c r="MDF93" s="294"/>
      <c r="MDL93" s="292"/>
      <c r="MDM93" s="293"/>
      <c r="MDN93" s="294"/>
      <c r="MDT93" s="292"/>
      <c r="MDU93" s="293"/>
      <c r="MDV93" s="294"/>
      <c r="MEB93" s="292"/>
      <c r="MEC93" s="293"/>
      <c r="MED93" s="294"/>
      <c r="MEJ93" s="292"/>
      <c r="MEK93" s="293"/>
      <c r="MEL93" s="294"/>
      <c r="MER93" s="292"/>
      <c r="MES93" s="293"/>
      <c r="MET93" s="294"/>
      <c r="MEZ93" s="292"/>
      <c r="MFA93" s="293"/>
      <c r="MFB93" s="294"/>
      <c r="MFH93" s="292"/>
      <c r="MFI93" s="293"/>
      <c r="MFJ93" s="294"/>
      <c r="MFP93" s="292"/>
      <c r="MFQ93" s="293"/>
      <c r="MFR93" s="294"/>
      <c r="MFX93" s="292"/>
      <c r="MFY93" s="293"/>
      <c r="MFZ93" s="294"/>
      <c r="MGF93" s="292"/>
      <c r="MGG93" s="293"/>
      <c r="MGH93" s="294"/>
      <c r="MGN93" s="292"/>
      <c r="MGO93" s="293"/>
      <c r="MGP93" s="294"/>
      <c r="MGV93" s="292"/>
      <c r="MGW93" s="293"/>
      <c r="MGX93" s="294"/>
      <c r="MHD93" s="292"/>
      <c r="MHE93" s="293"/>
      <c r="MHF93" s="294"/>
      <c r="MHL93" s="292"/>
      <c r="MHM93" s="293"/>
      <c r="MHN93" s="294"/>
      <c r="MHT93" s="292"/>
      <c r="MHU93" s="293"/>
      <c r="MHV93" s="294"/>
      <c r="MIB93" s="292"/>
      <c r="MIC93" s="293"/>
      <c r="MID93" s="294"/>
      <c r="MIJ93" s="292"/>
      <c r="MIK93" s="293"/>
      <c r="MIL93" s="294"/>
      <c r="MIR93" s="292"/>
      <c r="MIS93" s="293"/>
      <c r="MIT93" s="294"/>
      <c r="MIZ93" s="292"/>
      <c r="MJA93" s="293"/>
      <c r="MJB93" s="294"/>
      <c r="MJH93" s="292"/>
      <c r="MJI93" s="293"/>
      <c r="MJJ93" s="294"/>
      <c r="MJP93" s="292"/>
      <c r="MJQ93" s="293"/>
      <c r="MJR93" s="294"/>
      <c r="MJX93" s="292"/>
      <c r="MJY93" s="293"/>
      <c r="MJZ93" s="294"/>
      <c r="MKF93" s="292"/>
      <c r="MKG93" s="293"/>
      <c r="MKH93" s="294"/>
      <c r="MKN93" s="292"/>
      <c r="MKO93" s="293"/>
      <c r="MKP93" s="294"/>
      <c r="MKV93" s="292"/>
      <c r="MKW93" s="293"/>
      <c r="MKX93" s="294"/>
      <c r="MLD93" s="292"/>
      <c r="MLE93" s="293"/>
      <c r="MLF93" s="294"/>
      <c r="MLL93" s="292"/>
      <c r="MLM93" s="293"/>
      <c r="MLN93" s="294"/>
      <c r="MLT93" s="292"/>
      <c r="MLU93" s="293"/>
      <c r="MLV93" s="294"/>
      <c r="MMB93" s="292"/>
      <c r="MMC93" s="293"/>
      <c r="MMD93" s="294"/>
      <c r="MMJ93" s="292"/>
      <c r="MMK93" s="293"/>
      <c r="MML93" s="294"/>
      <c r="MMR93" s="292"/>
      <c r="MMS93" s="293"/>
      <c r="MMT93" s="294"/>
      <c r="MMZ93" s="292"/>
      <c r="MNA93" s="293"/>
      <c r="MNB93" s="294"/>
      <c r="MNH93" s="292"/>
      <c r="MNI93" s="293"/>
      <c r="MNJ93" s="294"/>
      <c r="MNP93" s="292"/>
      <c r="MNQ93" s="293"/>
      <c r="MNR93" s="294"/>
      <c r="MNX93" s="292"/>
      <c r="MNY93" s="293"/>
      <c r="MNZ93" s="294"/>
      <c r="MOF93" s="292"/>
      <c r="MOG93" s="293"/>
      <c r="MOH93" s="294"/>
      <c r="MON93" s="292"/>
      <c r="MOO93" s="293"/>
      <c r="MOP93" s="294"/>
      <c r="MOV93" s="292"/>
      <c r="MOW93" s="293"/>
      <c r="MOX93" s="294"/>
      <c r="MPD93" s="292"/>
      <c r="MPE93" s="293"/>
      <c r="MPF93" s="294"/>
      <c r="MPL93" s="292"/>
      <c r="MPM93" s="293"/>
      <c r="MPN93" s="294"/>
      <c r="MPT93" s="292"/>
      <c r="MPU93" s="293"/>
      <c r="MPV93" s="294"/>
      <c r="MQB93" s="292"/>
      <c r="MQC93" s="293"/>
      <c r="MQD93" s="294"/>
      <c r="MQJ93" s="292"/>
      <c r="MQK93" s="293"/>
      <c r="MQL93" s="294"/>
      <c r="MQR93" s="292"/>
      <c r="MQS93" s="293"/>
      <c r="MQT93" s="294"/>
      <c r="MQZ93" s="292"/>
      <c r="MRA93" s="293"/>
      <c r="MRB93" s="294"/>
      <c r="MRH93" s="292"/>
      <c r="MRI93" s="293"/>
      <c r="MRJ93" s="294"/>
      <c r="MRP93" s="292"/>
      <c r="MRQ93" s="293"/>
      <c r="MRR93" s="294"/>
      <c r="MRX93" s="292"/>
      <c r="MRY93" s="293"/>
      <c r="MRZ93" s="294"/>
      <c r="MSF93" s="292"/>
      <c r="MSG93" s="293"/>
      <c r="MSH93" s="294"/>
      <c r="MSN93" s="292"/>
      <c r="MSO93" s="293"/>
      <c r="MSP93" s="294"/>
      <c r="MSV93" s="292"/>
      <c r="MSW93" s="293"/>
      <c r="MSX93" s="294"/>
      <c r="MTD93" s="292"/>
      <c r="MTE93" s="293"/>
      <c r="MTF93" s="294"/>
      <c r="MTL93" s="292"/>
      <c r="MTM93" s="293"/>
      <c r="MTN93" s="294"/>
      <c r="MTT93" s="292"/>
      <c r="MTU93" s="293"/>
      <c r="MTV93" s="294"/>
      <c r="MUB93" s="292"/>
      <c r="MUC93" s="293"/>
      <c r="MUD93" s="294"/>
      <c r="MUJ93" s="292"/>
      <c r="MUK93" s="293"/>
      <c r="MUL93" s="294"/>
      <c r="MUR93" s="292"/>
      <c r="MUS93" s="293"/>
      <c r="MUT93" s="294"/>
      <c r="MUZ93" s="292"/>
      <c r="MVA93" s="293"/>
      <c r="MVB93" s="294"/>
      <c r="MVH93" s="292"/>
      <c r="MVI93" s="293"/>
      <c r="MVJ93" s="294"/>
      <c r="MVP93" s="292"/>
      <c r="MVQ93" s="293"/>
      <c r="MVR93" s="294"/>
      <c r="MVX93" s="292"/>
      <c r="MVY93" s="293"/>
      <c r="MVZ93" s="294"/>
      <c r="MWF93" s="292"/>
      <c r="MWG93" s="293"/>
      <c r="MWH93" s="294"/>
      <c r="MWN93" s="292"/>
      <c r="MWO93" s="293"/>
      <c r="MWP93" s="294"/>
      <c r="MWV93" s="292"/>
      <c r="MWW93" s="293"/>
      <c r="MWX93" s="294"/>
      <c r="MXD93" s="292"/>
      <c r="MXE93" s="293"/>
      <c r="MXF93" s="294"/>
      <c r="MXL93" s="292"/>
      <c r="MXM93" s="293"/>
      <c r="MXN93" s="294"/>
      <c r="MXT93" s="292"/>
      <c r="MXU93" s="293"/>
      <c r="MXV93" s="294"/>
      <c r="MYB93" s="292"/>
      <c r="MYC93" s="293"/>
      <c r="MYD93" s="294"/>
      <c r="MYJ93" s="292"/>
      <c r="MYK93" s="293"/>
      <c r="MYL93" s="294"/>
      <c r="MYR93" s="292"/>
      <c r="MYS93" s="293"/>
      <c r="MYT93" s="294"/>
      <c r="MYZ93" s="292"/>
      <c r="MZA93" s="293"/>
      <c r="MZB93" s="294"/>
      <c r="MZH93" s="292"/>
      <c r="MZI93" s="293"/>
      <c r="MZJ93" s="294"/>
      <c r="MZP93" s="292"/>
      <c r="MZQ93" s="293"/>
      <c r="MZR93" s="294"/>
      <c r="MZX93" s="292"/>
      <c r="MZY93" s="293"/>
      <c r="MZZ93" s="294"/>
      <c r="NAF93" s="292"/>
      <c r="NAG93" s="293"/>
      <c r="NAH93" s="294"/>
      <c r="NAN93" s="292"/>
      <c r="NAO93" s="293"/>
      <c r="NAP93" s="294"/>
      <c r="NAV93" s="292"/>
      <c r="NAW93" s="293"/>
      <c r="NAX93" s="294"/>
      <c r="NBD93" s="292"/>
      <c r="NBE93" s="293"/>
      <c r="NBF93" s="294"/>
      <c r="NBL93" s="292"/>
      <c r="NBM93" s="293"/>
      <c r="NBN93" s="294"/>
      <c r="NBT93" s="292"/>
      <c r="NBU93" s="293"/>
      <c r="NBV93" s="294"/>
      <c r="NCB93" s="292"/>
      <c r="NCC93" s="293"/>
      <c r="NCD93" s="294"/>
      <c r="NCJ93" s="292"/>
      <c r="NCK93" s="293"/>
      <c r="NCL93" s="294"/>
      <c r="NCR93" s="292"/>
      <c r="NCS93" s="293"/>
      <c r="NCT93" s="294"/>
      <c r="NCZ93" s="292"/>
      <c r="NDA93" s="293"/>
      <c r="NDB93" s="294"/>
      <c r="NDH93" s="292"/>
      <c r="NDI93" s="293"/>
      <c r="NDJ93" s="294"/>
      <c r="NDP93" s="292"/>
      <c r="NDQ93" s="293"/>
      <c r="NDR93" s="294"/>
      <c r="NDX93" s="292"/>
      <c r="NDY93" s="293"/>
      <c r="NDZ93" s="294"/>
      <c r="NEF93" s="292"/>
      <c r="NEG93" s="293"/>
      <c r="NEH93" s="294"/>
      <c r="NEN93" s="292"/>
      <c r="NEO93" s="293"/>
      <c r="NEP93" s="294"/>
      <c r="NEV93" s="292"/>
      <c r="NEW93" s="293"/>
      <c r="NEX93" s="294"/>
      <c r="NFD93" s="292"/>
      <c r="NFE93" s="293"/>
      <c r="NFF93" s="294"/>
      <c r="NFL93" s="292"/>
      <c r="NFM93" s="293"/>
      <c r="NFN93" s="294"/>
      <c r="NFT93" s="292"/>
      <c r="NFU93" s="293"/>
      <c r="NFV93" s="294"/>
      <c r="NGB93" s="292"/>
      <c r="NGC93" s="293"/>
      <c r="NGD93" s="294"/>
      <c r="NGJ93" s="292"/>
      <c r="NGK93" s="293"/>
      <c r="NGL93" s="294"/>
      <c r="NGR93" s="292"/>
      <c r="NGS93" s="293"/>
      <c r="NGT93" s="294"/>
      <c r="NGZ93" s="292"/>
      <c r="NHA93" s="293"/>
      <c r="NHB93" s="294"/>
      <c r="NHH93" s="292"/>
      <c r="NHI93" s="293"/>
      <c r="NHJ93" s="294"/>
      <c r="NHP93" s="292"/>
      <c r="NHQ93" s="293"/>
      <c r="NHR93" s="294"/>
      <c r="NHX93" s="292"/>
      <c r="NHY93" s="293"/>
      <c r="NHZ93" s="294"/>
      <c r="NIF93" s="292"/>
      <c r="NIG93" s="293"/>
      <c r="NIH93" s="294"/>
      <c r="NIN93" s="292"/>
      <c r="NIO93" s="293"/>
      <c r="NIP93" s="294"/>
      <c r="NIV93" s="292"/>
      <c r="NIW93" s="293"/>
      <c r="NIX93" s="294"/>
      <c r="NJD93" s="292"/>
      <c r="NJE93" s="293"/>
      <c r="NJF93" s="294"/>
      <c r="NJL93" s="292"/>
      <c r="NJM93" s="293"/>
      <c r="NJN93" s="294"/>
      <c r="NJT93" s="292"/>
      <c r="NJU93" s="293"/>
      <c r="NJV93" s="294"/>
      <c r="NKB93" s="292"/>
      <c r="NKC93" s="293"/>
      <c r="NKD93" s="294"/>
      <c r="NKJ93" s="292"/>
      <c r="NKK93" s="293"/>
      <c r="NKL93" s="294"/>
      <c r="NKR93" s="292"/>
      <c r="NKS93" s="293"/>
      <c r="NKT93" s="294"/>
      <c r="NKZ93" s="292"/>
      <c r="NLA93" s="293"/>
      <c r="NLB93" s="294"/>
      <c r="NLH93" s="292"/>
      <c r="NLI93" s="293"/>
      <c r="NLJ93" s="294"/>
      <c r="NLP93" s="292"/>
      <c r="NLQ93" s="293"/>
      <c r="NLR93" s="294"/>
      <c r="NLX93" s="292"/>
      <c r="NLY93" s="293"/>
      <c r="NLZ93" s="294"/>
      <c r="NMF93" s="292"/>
      <c r="NMG93" s="293"/>
      <c r="NMH93" s="294"/>
      <c r="NMN93" s="292"/>
      <c r="NMO93" s="293"/>
      <c r="NMP93" s="294"/>
      <c r="NMV93" s="292"/>
      <c r="NMW93" s="293"/>
      <c r="NMX93" s="294"/>
      <c r="NND93" s="292"/>
      <c r="NNE93" s="293"/>
      <c r="NNF93" s="294"/>
      <c r="NNL93" s="292"/>
      <c r="NNM93" s="293"/>
      <c r="NNN93" s="294"/>
      <c r="NNT93" s="292"/>
      <c r="NNU93" s="293"/>
      <c r="NNV93" s="294"/>
      <c r="NOB93" s="292"/>
      <c r="NOC93" s="293"/>
      <c r="NOD93" s="294"/>
      <c r="NOJ93" s="292"/>
      <c r="NOK93" s="293"/>
      <c r="NOL93" s="294"/>
      <c r="NOR93" s="292"/>
      <c r="NOS93" s="293"/>
      <c r="NOT93" s="294"/>
      <c r="NOZ93" s="292"/>
      <c r="NPA93" s="293"/>
      <c r="NPB93" s="294"/>
      <c r="NPH93" s="292"/>
      <c r="NPI93" s="293"/>
      <c r="NPJ93" s="294"/>
      <c r="NPP93" s="292"/>
      <c r="NPQ93" s="293"/>
      <c r="NPR93" s="294"/>
      <c r="NPX93" s="292"/>
      <c r="NPY93" s="293"/>
      <c r="NPZ93" s="294"/>
      <c r="NQF93" s="292"/>
      <c r="NQG93" s="293"/>
      <c r="NQH93" s="294"/>
      <c r="NQN93" s="292"/>
      <c r="NQO93" s="293"/>
      <c r="NQP93" s="294"/>
      <c r="NQV93" s="292"/>
      <c r="NQW93" s="293"/>
      <c r="NQX93" s="294"/>
      <c r="NRD93" s="292"/>
      <c r="NRE93" s="293"/>
      <c r="NRF93" s="294"/>
      <c r="NRL93" s="292"/>
      <c r="NRM93" s="293"/>
      <c r="NRN93" s="294"/>
      <c r="NRT93" s="292"/>
      <c r="NRU93" s="293"/>
      <c r="NRV93" s="294"/>
      <c r="NSB93" s="292"/>
      <c r="NSC93" s="293"/>
      <c r="NSD93" s="294"/>
      <c r="NSJ93" s="292"/>
      <c r="NSK93" s="293"/>
      <c r="NSL93" s="294"/>
      <c r="NSR93" s="292"/>
      <c r="NSS93" s="293"/>
      <c r="NST93" s="294"/>
      <c r="NSZ93" s="292"/>
      <c r="NTA93" s="293"/>
      <c r="NTB93" s="294"/>
      <c r="NTH93" s="292"/>
      <c r="NTI93" s="293"/>
      <c r="NTJ93" s="294"/>
      <c r="NTP93" s="292"/>
      <c r="NTQ93" s="293"/>
      <c r="NTR93" s="294"/>
      <c r="NTX93" s="292"/>
      <c r="NTY93" s="293"/>
      <c r="NTZ93" s="294"/>
      <c r="NUF93" s="292"/>
      <c r="NUG93" s="293"/>
      <c r="NUH93" s="294"/>
      <c r="NUN93" s="292"/>
      <c r="NUO93" s="293"/>
      <c r="NUP93" s="294"/>
      <c r="NUV93" s="292"/>
      <c r="NUW93" s="293"/>
      <c r="NUX93" s="294"/>
      <c r="NVD93" s="292"/>
      <c r="NVE93" s="293"/>
      <c r="NVF93" s="294"/>
      <c r="NVL93" s="292"/>
      <c r="NVM93" s="293"/>
      <c r="NVN93" s="294"/>
      <c r="NVT93" s="292"/>
      <c r="NVU93" s="293"/>
      <c r="NVV93" s="294"/>
      <c r="NWB93" s="292"/>
      <c r="NWC93" s="293"/>
      <c r="NWD93" s="294"/>
      <c r="NWJ93" s="292"/>
      <c r="NWK93" s="293"/>
      <c r="NWL93" s="294"/>
      <c r="NWR93" s="292"/>
      <c r="NWS93" s="293"/>
      <c r="NWT93" s="294"/>
      <c r="NWZ93" s="292"/>
      <c r="NXA93" s="293"/>
      <c r="NXB93" s="294"/>
      <c r="NXH93" s="292"/>
      <c r="NXI93" s="293"/>
      <c r="NXJ93" s="294"/>
      <c r="NXP93" s="292"/>
      <c r="NXQ93" s="293"/>
      <c r="NXR93" s="294"/>
      <c r="NXX93" s="292"/>
      <c r="NXY93" s="293"/>
      <c r="NXZ93" s="294"/>
      <c r="NYF93" s="292"/>
      <c r="NYG93" s="293"/>
      <c r="NYH93" s="294"/>
      <c r="NYN93" s="292"/>
      <c r="NYO93" s="293"/>
      <c r="NYP93" s="294"/>
      <c r="NYV93" s="292"/>
      <c r="NYW93" s="293"/>
      <c r="NYX93" s="294"/>
      <c r="NZD93" s="292"/>
      <c r="NZE93" s="293"/>
      <c r="NZF93" s="294"/>
      <c r="NZL93" s="292"/>
      <c r="NZM93" s="293"/>
      <c r="NZN93" s="294"/>
      <c r="NZT93" s="292"/>
      <c r="NZU93" s="293"/>
      <c r="NZV93" s="294"/>
      <c r="OAB93" s="292"/>
      <c r="OAC93" s="293"/>
      <c r="OAD93" s="294"/>
      <c r="OAJ93" s="292"/>
      <c r="OAK93" s="293"/>
      <c r="OAL93" s="294"/>
      <c r="OAR93" s="292"/>
      <c r="OAS93" s="293"/>
      <c r="OAT93" s="294"/>
      <c r="OAZ93" s="292"/>
      <c r="OBA93" s="293"/>
      <c r="OBB93" s="294"/>
      <c r="OBH93" s="292"/>
      <c r="OBI93" s="293"/>
      <c r="OBJ93" s="294"/>
      <c r="OBP93" s="292"/>
      <c r="OBQ93" s="293"/>
      <c r="OBR93" s="294"/>
      <c r="OBX93" s="292"/>
      <c r="OBY93" s="293"/>
      <c r="OBZ93" s="294"/>
      <c r="OCF93" s="292"/>
      <c r="OCG93" s="293"/>
      <c r="OCH93" s="294"/>
      <c r="OCN93" s="292"/>
      <c r="OCO93" s="293"/>
      <c r="OCP93" s="294"/>
      <c r="OCV93" s="292"/>
      <c r="OCW93" s="293"/>
      <c r="OCX93" s="294"/>
      <c r="ODD93" s="292"/>
      <c r="ODE93" s="293"/>
      <c r="ODF93" s="294"/>
      <c r="ODL93" s="292"/>
      <c r="ODM93" s="293"/>
      <c r="ODN93" s="294"/>
      <c r="ODT93" s="292"/>
      <c r="ODU93" s="293"/>
      <c r="ODV93" s="294"/>
      <c r="OEB93" s="292"/>
      <c r="OEC93" s="293"/>
      <c r="OED93" s="294"/>
      <c r="OEJ93" s="292"/>
      <c r="OEK93" s="293"/>
      <c r="OEL93" s="294"/>
      <c r="OER93" s="292"/>
      <c r="OES93" s="293"/>
      <c r="OET93" s="294"/>
      <c r="OEZ93" s="292"/>
      <c r="OFA93" s="293"/>
      <c r="OFB93" s="294"/>
      <c r="OFH93" s="292"/>
      <c r="OFI93" s="293"/>
      <c r="OFJ93" s="294"/>
      <c r="OFP93" s="292"/>
      <c r="OFQ93" s="293"/>
      <c r="OFR93" s="294"/>
      <c r="OFX93" s="292"/>
      <c r="OFY93" s="293"/>
      <c r="OFZ93" s="294"/>
      <c r="OGF93" s="292"/>
      <c r="OGG93" s="293"/>
      <c r="OGH93" s="294"/>
      <c r="OGN93" s="292"/>
      <c r="OGO93" s="293"/>
      <c r="OGP93" s="294"/>
      <c r="OGV93" s="292"/>
      <c r="OGW93" s="293"/>
      <c r="OGX93" s="294"/>
      <c r="OHD93" s="292"/>
      <c r="OHE93" s="293"/>
      <c r="OHF93" s="294"/>
      <c r="OHL93" s="292"/>
      <c r="OHM93" s="293"/>
      <c r="OHN93" s="294"/>
      <c r="OHT93" s="292"/>
      <c r="OHU93" s="293"/>
      <c r="OHV93" s="294"/>
      <c r="OIB93" s="292"/>
      <c r="OIC93" s="293"/>
      <c r="OID93" s="294"/>
      <c r="OIJ93" s="292"/>
      <c r="OIK93" s="293"/>
      <c r="OIL93" s="294"/>
      <c r="OIR93" s="292"/>
      <c r="OIS93" s="293"/>
      <c r="OIT93" s="294"/>
      <c r="OIZ93" s="292"/>
      <c r="OJA93" s="293"/>
      <c r="OJB93" s="294"/>
      <c r="OJH93" s="292"/>
      <c r="OJI93" s="293"/>
      <c r="OJJ93" s="294"/>
      <c r="OJP93" s="292"/>
      <c r="OJQ93" s="293"/>
      <c r="OJR93" s="294"/>
      <c r="OJX93" s="292"/>
      <c r="OJY93" s="293"/>
      <c r="OJZ93" s="294"/>
      <c r="OKF93" s="292"/>
      <c r="OKG93" s="293"/>
      <c r="OKH93" s="294"/>
      <c r="OKN93" s="292"/>
      <c r="OKO93" s="293"/>
      <c r="OKP93" s="294"/>
      <c r="OKV93" s="292"/>
      <c r="OKW93" s="293"/>
      <c r="OKX93" s="294"/>
      <c r="OLD93" s="292"/>
      <c r="OLE93" s="293"/>
      <c r="OLF93" s="294"/>
      <c r="OLL93" s="292"/>
      <c r="OLM93" s="293"/>
      <c r="OLN93" s="294"/>
      <c r="OLT93" s="292"/>
      <c r="OLU93" s="293"/>
      <c r="OLV93" s="294"/>
      <c r="OMB93" s="292"/>
      <c r="OMC93" s="293"/>
      <c r="OMD93" s="294"/>
      <c r="OMJ93" s="292"/>
      <c r="OMK93" s="293"/>
      <c r="OML93" s="294"/>
      <c r="OMR93" s="292"/>
      <c r="OMS93" s="293"/>
      <c r="OMT93" s="294"/>
      <c r="OMZ93" s="292"/>
      <c r="ONA93" s="293"/>
      <c r="ONB93" s="294"/>
      <c r="ONH93" s="292"/>
      <c r="ONI93" s="293"/>
      <c r="ONJ93" s="294"/>
      <c r="ONP93" s="292"/>
      <c r="ONQ93" s="293"/>
      <c r="ONR93" s="294"/>
      <c r="ONX93" s="292"/>
      <c r="ONY93" s="293"/>
      <c r="ONZ93" s="294"/>
      <c r="OOF93" s="292"/>
      <c r="OOG93" s="293"/>
      <c r="OOH93" s="294"/>
      <c r="OON93" s="292"/>
      <c r="OOO93" s="293"/>
      <c r="OOP93" s="294"/>
      <c r="OOV93" s="292"/>
      <c r="OOW93" s="293"/>
      <c r="OOX93" s="294"/>
      <c r="OPD93" s="292"/>
      <c r="OPE93" s="293"/>
      <c r="OPF93" s="294"/>
      <c r="OPL93" s="292"/>
      <c r="OPM93" s="293"/>
      <c r="OPN93" s="294"/>
      <c r="OPT93" s="292"/>
      <c r="OPU93" s="293"/>
      <c r="OPV93" s="294"/>
      <c r="OQB93" s="292"/>
      <c r="OQC93" s="293"/>
      <c r="OQD93" s="294"/>
      <c r="OQJ93" s="292"/>
      <c r="OQK93" s="293"/>
      <c r="OQL93" s="294"/>
      <c r="OQR93" s="292"/>
      <c r="OQS93" s="293"/>
      <c r="OQT93" s="294"/>
      <c r="OQZ93" s="292"/>
      <c r="ORA93" s="293"/>
      <c r="ORB93" s="294"/>
      <c r="ORH93" s="292"/>
      <c r="ORI93" s="293"/>
      <c r="ORJ93" s="294"/>
      <c r="ORP93" s="292"/>
      <c r="ORQ93" s="293"/>
      <c r="ORR93" s="294"/>
      <c r="ORX93" s="292"/>
      <c r="ORY93" s="293"/>
      <c r="ORZ93" s="294"/>
      <c r="OSF93" s="292"/>
      <c r="OSG93" s="293"/>
      <c r="OSH93" s="294"/>
      <c r="OSN93" s="292"/>
      <c r="OSO93" s="293"/>
      <c r="OSP93" s="294"/>
      <c r="OSV93" s="292"/>
      <c r="OSW93" s="293"/>
      <c r="OSX93" s="294"/>
      <c r="OTD93" s="292"/>
      <c r="OTE93" s="293"/>
      <c r="OTF93" s="294"/>
      <c r="OTL93" s="292"/>
      <c r="OTM93" s="293"/>
      <c r="OTN93" s="294"/>
      <c r="OTT93" s="292"/>
      <c r="OTU93" s="293"/>
      <c r="OTV93" s="294"/>
      <c r="OUB93" s="292"/>
      <c r="OUC93" s="293"/>
      <c r="OUD93" s="294"/>
      <c r="OUJ93" s="292"/>
      <c r="OUK93" s="293"/>
      <c r="OUL93" s="294"/>
      <c r="OUR93" s="292"/>
      <c r="OUS93" s="293"/>
      <c r="OUT93" s="294"/>
      <c r="OUZ93" s="292"/>
      <c r="OVA93" s="293"/>
      <c r="OVB93" s="294"/>
      <c r="OVH93" s="292"/>
      <c r="OVI93" s="293"/>
      <c r="OVJ93" s="294"/>
      <c r="OVP93" s="292"/>
      <c r="OVQ93" s="293"/>
      <c r="OVR93" s="294"/>
      <c r="OVX93" s="292"/>
      <c r="OVY93" s="293"/>
      <c r="OVZ93" s="294"/>
      <c r="OWF93" s="292"/>
      <c r="OWG93" s="293"/>
      <c r="OWH93" s="294"/>
      <c r="OWN93" s="292"/>
      <c r="OWO93" s="293"/>
      <c r="OWP93" s="294"/>
      <c r="OWV93" s="292"/>
      <c r="OWW93" s="293"/>
      <c r="OWX93" s="294"/>
      <c r="OXD93" s="292"/>
      <c r="OXE93" s="293"/>
      <c r="OXF93" s="294"/>
      <c r="OXL93" s="292"/>
      <c r="OXM93" s="293"/>
      <c r="OXN93" s="294"/>
      <c r="OXT93" s="292"/>
      <c r="OXU93" s="293"/>
      <c r="OXV93" s="294"/>
      <c r="OYB93" s="292"/>
      <c r="OYC93" s="293"/>
      <c r="OYD93" s="294"/>
      <c r="OYJ93" s="292"/>
      <c r="OYK93" s="293"/>
      <c r="OYL93" s="294"/>
      <c r="OYR93" s="292"/>
      <c r="OYS93" s="293"/>
      <c r="OYT93" s="294"/>
      <c r="OYZ93" s="292"/>
      <c r="OZA93" s="293"/>
      <c r="OZB93" s="294"/>
      <c r="OZH93" s="292"/>
      <c r="OZI93" s="293"/>
      <c r="OZJ93" s="294"/>
      <c r="OZP93" s="292"/>
      <c r="OZQ93" s="293"/>
      <c r="OZR93" s="294"/>
      <c r="OZX93" s="292"/>
      <c r="OZY93" s="293"/>
      <c r="OZZ93" s="294"/>
      <c r="PAF93" s="292"/>
      <c r="PAG93" s="293"/>
      <c r="PAH93" s="294"/>
      <c r="PAN93" s="292"/>
      <c r="PAO93" s="293"/>
      <c r="PAP93" s="294"/>
      <c r="PAV93" s="292"/>
      <c r="PAW93" s="293"/>
      <c r="PAX93" s="294"/>
      <c r="PBD93" s="292"/>
      <c r="PBE93" s="293"/>
      <c r="PBF93" s="294"/>
      <c r="PBL93" s="292"/>
      <c r="PBM93" s="293"/>
      <c r="PBN93" s="294"/>
      <c r="PBT93" s="292"/>
      <c r="PBU93" s="293"/>
      <c r="PBV93" s="294"/>
      <c r="PCB93" s="292"/>
      <c r="PCC93" s="293"/>
      <c r="PCD93" s="294"/>
      <c r="PCJ93" s="292"/>
      <c r="PCK93" s="293"/>
      <c r="PCL93" s="294"/>
      <c r="PCR93" s="292"/>
      <c r="PCS93" s="293"/>
      <c r="PCT93" s="294"/>
      <c r="PCZ93" s="292"/>
      <c r="PDA93" s="293"/>
      <c r="PDB93" s="294"/>
      <c r="PDH93" s="292"/>
      <c r="PDI93" s="293"/>
      <c r="PDJ93" s="294"/>
      <c r="PDP93" s="292"/>
      <c r="PDQ93" s="293"/>
      <c r="PDR93" s="294"/>
      <c r="PDX93" s="292"/>
      <c r="PDY93" s="293"/>
      <c r="PDZ93" s="294"/>
      <c r="PEF93" s="292"/>
      <c r="PEG93" s="293"/>
      <c r="PEH93" s="294"/>
      <c r="PEN93" s="292"/>
      <c r="PEO93" s="293"/>
      <c r="PEP93" s="294"/>
      <c r="PEV93" s="292"/>
      <c r="PEW93" s="293"/>
      <c r="PEX93" s="294"/>
      <c r="PFD93" s="292"/>
      <c r="PFE93" s="293"/>
      <c r="PFF93" s="294"/>
      <c r="PFL93" s="292"/>
      <c r="PFM93" s="293"/>
      <c r="PFN93" s="294"/>
      <c r="PFT93" s="292"/>
      <c r="PFU93" s="293"/>
      <c r="PFV93" s="294"/>
      <c r="PGB93" s="292"/>
      <c r="PGC93" s="293"/>
      <c r="PGD93" s="294"/>
      <c r="PGJ93" s="292"/>
      <c r="PGK93" s="293"/>
      <c r="PGL93" s="294"/>
      <c r="PGR93" s="292"/>
      <c r="PGS93" s="293"/>
      <c r="PGT93" s="294"/>
      <c r="PGZ93" s="292"/>
      <c r="PHA93" s="293"/>
      <c r="PHB93" s="294"/>
      <c r="PHH93" s="292"/>
      <c r="PHI93" s="293"/>
      <c r="PHJ93" s="294"/>
      <c r="PHP93" s="292"/>
      <c r="PHQ93" s="293"/>
      <c r="PHR93" s="294"/>
      <c r="PHX93" s="292"/>
      <c r="PHY93" s="293"/>
      <c r="PHZ93" s="294"/>
      <c r="PIF93" s="292"/>
      <c r="PIG93" s="293"/>
      <c r="PIH93" s="294"/>
      <c r="PIN93" s="292"/>
      <c r="PIO93" s="293"/>
      <c r="PIP93" s="294"/>
      <c r="PIV93" s="292"/>
      <c r="PIW93" s="293"/>
      <c r="PIX93" s="294"/>
      <c r="PJD93" s="292"/>
      <c r="PJE93" s="293"/>
      <c r="PJF93" s="294"/>
      <c r="PJL93" s="292"/>
      <c r="PJM93" s="293"/>
      <c r="PJN93" s="294"/>
      <c r="PJT93" s="292"/>
      <c r="PJU93" s="293"/>
      <c r="PJV93" s="294"/>
      <c r="PKB93" s="292"/>
      <c r="PKC93" s="293"/>
      <c r="PKD93" s="294"/>
      <c r="PKJ93" s="292"/>
      <c r="PKK93" s="293"/>
      <c r="PKL93" s="294"/>
      <c r="PKR93" s="292"/>
      <c r="PKS93" s="293"/>
      <c r="PKT93" s="294"/>
      <c r="PKZ93" s="292"/>
      <c r="PLA93" s="293"/>
      <c r="PLB93" s="294"/>
      <c r="PLH93" s="292"/>
      <c r="PLI93" s="293"/>
      <c r="PLJ93" s="294"/>
      <c r="PLP93" s="292"/>
      <c r="PLQ93" s="293"/>
      <c r="PLR93" s="294"/>
      <c r="PLX93" s="292"/>
      <c r="PLY93" s="293"/>
      <c r="PLZ93" s="294"/>
      <c r="PMF93" s="292"/>
      <c r="PMG93" s="293"/>
      <c r="PMH93" s="294"/>
      <c r="PMN93" s="292"/>
      <c r="PMO93" s="293"/>
      <c r="PMP93" s="294"/>
      <c r="PMV93" s="292"/>
      <c r="PMW93" s="293"/>
      <c r="PMX93" s="294"/>
      <c r="PND93" s="292"/>
      <c r="PNE93" s="293"/>
      <c r="PNF93" s="294"/>
      <c r="PNL93" s="292"/>
      <c r="PNM93" s="293"/>
      <c r="PNN93" s="294"/>
      <c r="PNT93" s="292"/>
      <c r="PNU93" s="293"/>
      <c r="PNV93" s="294"/>
      <c r="POB93" s="292"/>
      <c r="POC93" s="293"/>
      <c r="POD93" s="294"/>
      <c r="POJ93" s="292"/>
      <c r="POK93" s="293"/>
      <c r="POL93" s="294"/>
      <c r="POR93" s="292"/>
      <c r="POS93" s="293"/>
      <c r="POT93" s="294"/>
      <c r="POZ93" s="292"/>
      <c r="PPA93" s="293"/>
      <c r="PPB93" s="294"/>
      <c r="PPH93" s="292"/>
      <c r="PPI93" s="293"/>
      <c r="PPJ93" s="294"/>
      <c r="PPP93" s="292"/>
      <c r="PPQ93" s="293"/>
      <c r="PPR93" s="294"/>
      <c r="PPX93" s="292"/>
      <c r="PPY93" s="293"/>
      <c r="PPZ93" s="294"/>
      <c r="PQF93" s="292"/>
      <c r="PQG93" s="293"/>
      <c r="PQH93" s="294"/>
      <c r="PQN93" s="292"/>
      <c r="PQO93" s="293"/>
      <c r="PQP93" s="294"/>
      <c r="PQV93" s="292"/>
      <c r="PQW93" s="293"/>
      <c r="PQX93" s="294"/>
      <c r="PRD93" s="292"/>
      <c r="PRE93" s="293"/>
      <c r="PRF93" s="294"/>
      <c r="PRL93" s="292"/>
      <c r="PRM93" s="293"/>
      <c r="PRN93" s="294"/>
      <c r="PRT93" s="292"/>
      <c r="PRU93" s="293"/>
      <c r="PRV93" s="294"/>
      <c r="PSB93" s="292"/>
      <c r="PSC93" s="293"/>
      <c r="PSD93" s="294"/>
      <c r="PSJ93" s="292"/>
      <c r="PSK93" s="293"/>
      <c r="PSL93" s="294"/>
      <c r="PSR93" s="292"/>
      <c r="PSS93" s="293"/>
      <c r="PST93" s="294"/>
      <c r="PSZ93" s="292"/>
      <c r="PTA93" s="293"/>
      <c r="PTB93" s="294"/>
      <c r="PTH93" s="292"/>
      <c r="PTI93" s="293"/>
      <c r="PTJ93" s="294"/>
      <c r="PTP93" s="292"/>
      <c r="PTQ93" s="293"/>
      <c r="PTR93" s="294"/>
      <c r="PTX93" s="292"/>
      <c r="PTY93" s="293"/>
      <c r="PTZ93" s="294"/>
      <c r="PUF93" s="292"/>
      <c r="PUG93" s="293"/>
      <c r="PUH93" s="294"/>
      <c r="PUN93" s="292"/>
      <c r="PUO93" s="293"/>
      <c r="PUP93" s="294"/>
      <c r="PUV93" s="292"/>
      <c r="PUW93" s="293"/>
      <c r="PUX93" s="294"/>
      <c r="PVD93" s="292"/>
      <c r="PVE93" s="293"/>
      <c r="PVF93" s="294"/>
      <c r="PVL93" s="292"/>
      <c r="PVM93" s="293"/>
      <c r="PVN93" s="294"/>
      <c r="PVT93" s="292"/>
      <c r="PVU93" s="293"/>
      <c r="PVV93" s="294"/>
      <c r="PWB93" s="292"/>
      <c r="PWC93" s="293"/>
      <c r="PWD93" s="294"/>
      <c r="PWJ93" s="292"/>
      <c r="PWK93" s="293"/>
      <c r="PWL93" s="294"/>
      <c r="PWR93" s="292"/>
      <c r="PWS93" s="293"/>
      <c r="PWT93" s="294"/>
      <c r="PWZ93" s="292"/>
      <c r="PXA93" s="293"/>
      <c r="PXB93" s="294"/>
      <c r="PXH93" s="292"/>
      <c r="PXI93" s="293"/>
      <c r="PXJ93" s="294"/>
      <c r="PXP93" s="292"/>
      <c r="PXQ93" s="293"/>
      <c r="PXR93" s="294"/>
      <c r="PXX93" s="292"/>
      <c r="PXY93" s="293"/>
      <c r="PXZ93" s="294"/>
      <c r="PYF93" s="292"/>
      <c r="PYG93" s="293"/>
      <c r="PYH93" s="294"/>
      <c r="PYN93" s="292"/>
      <c r="PYO93" s="293"/>
      <c r="PYP93" s="294"/>
      <c r="PYV93" s="292"/>
      <c r="PYW93" s="293"/>
      <c r="PYX93" s="294"/>
      <c r="PZD93" s="292"/>
      <c r="PZE93" s="293"/>
      <c r="PZF93" s="294"/>
      <c r="PZL93" s="292"/>
      <c r="PZM93" s="293"/>
      <c r="PZN93" s="294"/>
      <c r="PZT93" s="292"/>
      <c r="PZU93" s="293"/>
      <c r="PZV93" s="294"/>
      <c r="QAB93" s="292"/>
      <c r="QAC93" s="293"/>
      <c r="QAD93" s="294"/>
      <c r="QAJ93" s="292"/>
      <c r="QAK93" s="293"/>
      <c r="QAL93" s="294"/>
      <c r="QAR93" s="292"/>
      <c r="QAS93" s="293"/>
      <c r="QAT93" s="294"/>
      <c r="QAZ93" s="292"/>
      <c r="QBA93" s="293"/>
      <c r="QBB93" s="294"/>
      <c r="QBH93" s="292"/>
      <c r="QBI93" s="293"/>
      <c r="QBJ93" s="294"/>
      <c r="QBP93" s="292"/>
      <c r="QBQ93" s="293"/>
      <c r="QBR93" s="294"/>
      <c r="QBX93" s="292"/>
      <c r="QBY93" s="293"/>
      <c r="QBZ93" s="294"/>
      <c r="QCF93" s="292"/>
      <c r="QCG93" s="293"/>
      <c r="QCH93" s="294"/>
      <c r="QCN93" s="292"/>
      <c r="QCO93" s="293"/>
      <c r="QCP93" s="294"/>
      <c r="QCV93" s="292"/>
      <c r="QCW93" s="293"/>
      <c r="QCX93" s="294"/>
      <c r="QDD93" s="292"/>
      <c r="QDE93" s="293"/>
      <c r="QDF93" s="294"/>
      <c r="QDL93" s="292"/>
      <c r="QDM93" s="293"/>
      <c r="QDN93" s="294"/>
      <c r="QDT93" s="292"/>
      <c r="QDU93" s="293"/>
      <c r="QDV93" s="294"/>
      <c r="QEB93" s="292"/>
      <c r="QEC93" s="293"/>
      <c r="QED93" s="294"/>
      <c r="QEJ93" s="292"/>
      <c r="QEK93" s="293"/>
      <c r="QEL93" s="294"/>
      <c r="QER93" s="292"/>
      <c r="QES93" s="293"/>
      <c r="QET93" s="294"/>
      <c r="QEZ93" s="292"/>
      <c r="QFA93" s="293"/>
      <c r="QFB93" s="294"/>
      <c r="QFH93" s="292"/>
      <c r="QFI93" s="293"/>
      <c r="QFJ93" s="294"/>
      <c r="QFP93" s="292"/>
      <c r="QFQ93" s="293"/>
      <c r="QFR93" s="294"/>
      <c r="QFX93" s="292"/>
      <c r="QFY93" s="293"/>
      <c r="QFZ93" s="294"/>
      <c r="QGF93" s="292"/>
      <c r="QGG93" s="293"/>
      <c r="QGH93" s="294"/>
      <c r="QGN93" s="292"/>
      <c r="QGO93" s="293"/>
      <c r="QGP93" s="294"/>
      <c r="QGV93" s="292"/>
      <c r="QGW93" s="293"/>
      <c r="QGX93" s="294"/>
      <c r="QHD93" s="292"/>
      <c r="QHE93" s="293"/>
      <c r="QHF93" s="294"/>
      <c r="QHL93" s="292"/>
      <c r="QHM93" s="293"/>
      <c r="QHN93" s="294"/>
      <c r="QHT93" s="292"/>
      <c r="QHU93" s="293"/>
      <c r="QHV93" s="294"/>
      <c r="QIB93" s="292"/>
      <c r="QIC93" s="293"/>
      <c r="QID93" s="294"/>
      <c r="QIJ93" s="292"/>
      <c r="QIK93" s="293"/>
      <c r="QIL93" s="294"/>
      <c r="QIR93" s="292"/>
      <c r="QIS93" s="293"/>
      <c r="QIT93" s="294"/>
      <c r="QIZ93" s="292"/>
      <c r="QJA93" s="293"/>
      <c r="QJB93" s="294"/>
      <c r="QJH93" s="292"/>
      <c r="QJI93" s="293"/>
      <c r="QJJ93" s="294"/>
      <c r="QJP93" s="292"/>
      <c r="QJQ93" s="293"/>
      <c r="QJR93" s="294"/>
      <c r="QJX93" s="292"/>
      <c r="QJY93" s="293"/>
      <c r="QJZ93" s="294"/>
      <c r="QKF93" s="292"/>
      <c r="QKG93" s="293"/>
      <c r="QKH93" s="294"/>
      <c r="QKN93" s="292"/>
      <c r="QKO93" s="293"/>
      <c r="QKP93" s="294"/>
      <c r="QKV93" s="292"/>
      <c r="QKW93" s="293"/>
      <c r="QKX93" s="294"/>
      <c r="QLD93" s="292"/>
      <c r="QLE93" s="293"/>
      <c r="QLF93" s="294"/>
      <c r="QLL93" s="292"/>
      <c r="QLM93" s="293"/>
      <c r="QLN93" s="294"/>
      <c r="QLT93" s="292"/>
      <c r="QLU93" s="293"/>
      <c r="QLV93" s="294"/>
      <c r="QMB93" s="292"/>
      <c r="QMC93" s="293"/>
      <c r="QMD93" s="294"/>
      <c r="QMJ93" s="292"/>
      <c r="QMK93" s="293"/>
      <c r="QML93" s="294"/>
      <c r="QMR93" s="292"/>
      <c r="QMS93" s="293"/>
      <c r="QMT93" s="294"/>
      <c r="QMZ93" s="292"/>
      <c r="QNA93" s="293"/>
      <c r="QNB93" s="294"/>
      <c r="QNH93" s="292"/>
      <c r="QNI93" s="293"/>
      <c r="QNJ93" s="294"/>
      <c r="QNP93" s="292"/>
      <c r="QNQ93" s="293"/>
      <c r="QNR93" s="294"/>
      <c r="QNX93" s="292"/>
      <c r="QNY93" s="293"/>
      <c r="QNZ93" s="294"/>
      <c r="QOF93" s="292"/>
      <c r="QOG93" s="293"/>
      <c r="QOH93" s="294"/>
      <c r="QON93" s="292"/>
      <c r="QOO93" s="293"/>
      <c r="QOP93" s="294"/>
      <c r="QOV93" s="292"/>
      <c r="QOW93" s="293"/>
      <c r="QOX93" s="294"/>
      <c r="QPD93" s="292"/>
      <c r="QPE93" s="293"/>
      <c r="QPF93" s="294"/>
      <c r="QPL93" s="292"/>
      <c r="QPM93" s="293"/>
      <c r="QPN93" s="294"/>
      <c r="QPT93" s="292"/>
      <c r="QPU93" s="293"/>
      <c r="QPV93" s="294"/>
      <c r="QQB93" s="292"/>
      <c r="QQC93" s="293"/>
      <c r="QQD93" s="294"/>
      <c r="QQJ93" s="292"/>
      <c r="QQK93" s="293"/>
      <c r="QQL93" s="294"/>
      <c r="QQR93" s="292"/>
      <c r="QQS93" s="293"/>
      <c r="QQT93" s="294"/>
      <c r="QQZ93" s="292"/>
      <c r="QRA93" s="293"/>
      <c r="QRB93" s="294"/>
      <c r="QRH93" s="292"/>
      <c r="QRI93" s="293"/>
      <c r="QRJ93" s="294"/>
      <c r="QRP93" s="292"/>
      <c r="QRQ93" s="293"/>
      <c r="QRR93" s="294"/>
      <c r="QRX93" s="292"/>
      <c r="QRY93" s="293"/>
      <c r="QRZ93" s="294"/>
      <c r="QSF93" s="292"/>
      <c r="QSG93" s="293"/>
      <c r="QSH93" s="294"/>
      <c r="QSN93" s="292"/>
      <c r="QSO93" s="293"/>
      <c r="QSP93" s="294"/>
      <c r="QSV93" s="292"/>
      <c r="QSW93" s="293"/>
      <c r="QSX93" s="294"/>
      <c r="QTD93" s="292"/>
      <c r="QTE93" s="293"/>
      <c r="QTF93" s="294"/>
      <c r="QTL93" s="292"/>
      <c r="QTM93" s="293"/>
      <c r="QTN93" s="294"/>
      <c r="QTT93" s="292"/>
      <c r="QTU93" s="293"/>
      <c r="QTV93" s="294"/>
      <c r="QUB93" s="292"/>
      <c r="QUC93" s="293"/>
      <c r="QUD93" s="294"/>
      <c r="QUJ93" s="292"/>
      <c r="QUK93" s="293"/>
      <c r="QUL93" s="294"/>
      <c r="QUR93" s="292"/>
      <c r="QUS93" s="293"/>
      <c r="QUT93" s="294"/>
      <c r="QUZ93" s="292"/>
      <c r="QVA93" s="293"/>
      <c r="QVB93" s="294"/>
      <c r="QVH93" s="292"/>
      <c r="QVI93" s="293"/>
      <c r="QVJ93" s="294"/>
      <c r="QVP93" s="292"/>
      <c r="QVQ93" s="293"/>
      <c r="QVR93" s="294"/>
      <c r="QVX93" s="292"/>
      <c r="QVY93" s="293"/>
      <c r="QVZ93" s="294"/>
      <c r="QWF93" s="292"/>
      <c r="QWG93" s="293"/>
      <c r="QWH93" s="294"/>
      <c r="QWN93" s="292"/>
      <c r="QWO93" s="293"/>
      <c r="QWP93" s="294"/>
      <c r="QWV93" s="292"/>
      <c r="QWW93" s="293"/>
      <c r="QWX93" s="294"/>
      <c r="QXD93" s="292"/>
      <c r="QXE93" s="293"/>
      <c r="QXF93" s="294"/>
      <c r="QXL93" s="292"/>
      <c r="QXM93" s="293"/>
      <c r="QXN93" s="294"/>
      <c r="QXT93" s="292"/>
      <c r="QXU93" s="293"/>
      <c r="QXV93" s="294"/>
      <c r="QYB93" s="292"/>
      <c r="QYC93" s="293"/>
      <c r="QYD93" s="294"/>
      <c r="QYJ93" s="292"/>
      <c r="QYK93" s="293"/>
      <c r="QYL93" s="294"/>
      <c r="QYR93" s="292"/>
      <c r="QYS93" s="293"/>
      <c r="QYT93" s="294"/>
      <c r="QYZ93" s="292"/>
      <c r="QZA93" s="293"/>
      <c r="QZB93" s="294"/>
      <c r="QZH93" s="292"/>
      <c r="QZI93" s="293"/>
      <c r="QZJ93" s="294"/>
      <c r="QZP93" s="292"/>
      <c r="QZQ93" s="293"/>
      <c r="QZR93" s="294"/>
      <c r="QZX93" s="292"/>
      <c r="QZY93" s="293"/>
      <c r="QZZ93" s="294"/>
      <c r="RAF93" s="292"/>
      <c r="RAG93" s="293"/>
      <c r="RAH93" s="294"/>
      <c r="RAN93" s="292"/>
      <c r="RAO93" s="293"/>
      <c r="RAP93" s="294"/>
      <c r="RAV93" s="292"/>
      <c r="RAW93" s="293"/>
      <c r="RAX93" s="294"/>
      <c r="RBD93" s="292"/>
      <c r="RBE93" s="293"/>
      <c r="RBF93" s="294"/>
      <c r="RBL93" s="292"/>
      <c r="RBM93" s="293"/>
      <c r="RBN93" s="294"/>
      <c r="RBT93" s="292"/>
      <c r="RBU93" s="293"/>
      <c r="RBV93" s="294"/>
      <c r="RCB93" s="292"/>
      <c r="RCC93" s="293"/>
      <c r="RCD93" s="294"/>
      <c r="RCJ93" s="292"/>
      <c r="RCK93" s="293"/>
      <c r="RCL93" s="294"/>
      <c r="RCR93" s="292"/>
      <c r="RCS93" s="293"/>
      <c r="RCT93" s="294"/>
      <c r="RCZ93" s="292"/>
      <c r="RDA93" s="293"/>
      <c r="RDB93" s="294"/>
      <c r="RDH93" s="292"/>
      <c r="RDI93" s="293"/>
      <c r="RDJ93" s="294"/>
      <c r="RDP93" s="292"/>
      <c r="RDQ93" s="293"/>
      <c r="RDR93" s="294"/>
      <c r="RDX93" s="292"/>
      <c r="RDY93" s="293"/>
      <c r="RDZ93" s="294"/>
      <c r="REF93" s="292"/>
      <c r="REG93" s="293"/>
      <c r="REH93" s="294"/>
      <c r="REN93" s="292"/>
      <c r="REO93" s="293"/>
      <c r="REP93" s="294"/>
      <c r="REV93" s="292"/>
      <c r="REW93" s="293"/>
      <c r="REX93" s="294"/>
      <c r="RFD93" s="292"/>
      <c r="RFE93" s="293"/>
      <c r="RFF93" s="294"/>
      <c r="RFL93" s="292"/>
      <c r="RFM93" s="293"/>
      <c r="RFN93" s="294"/>
      <c r="RFT93" s="292"/>
      <c r="RFU93" s="293"/>
      <c r="RFV93" s="294"/>
      <c r="RGB93" s="292"/>
      <c r="RGC93" s="293"/>
      <c r="RGD93" s="294"/>
      <c r="RGJ93" s="292"/>
      <c r="RGK93" s="293"/>
      <c r="RGL93" s="294"/>
      <c r="RGR93" s="292"/>
      <c r="RGS93" s="293"/>
      <c r="RGT93" s="294"/>
      <c r="RGZ93" s="292"/>
      <c r="RHA93" s="293"/>
      <c r="RHB93" s="294"/>
      <c r="RHH93" s="292"/>
      <c r="RHI93" s="293"/>
      <c r="RHJ93" s="294"/>
      <c r="RHP93" s="292"/>
      <c r="RHQ93" s="293"/>
      <c r="RHR93" s="294"/>
      <c r="RHX93" s="292"/>
      <c r="RHY93" s="293"/>
      <c r="RHZ93" s="294"/>
      <c r="RIF93" s="292"/>
      <c r="RIG93" s="293"/>
      <c r="RIH93" s="294"/>
      <c r="RIN93" s="292"/>
      <c r="RIO93" s="293"/>
      <c r="RIP93" s="294"/>
      <c r="RIV93" s="292"/>
      <c r="RIW93" s="293"/>
      <c r="RIX93" s="294"/>
      <c r="RJD93" s="292"/>
      <c r="RJE93" s="293"/>
      <c r="RJF93" s="294"/>
      <c r="RJL93" s="292"/>
      <c r="RJM93" s="293"/>
      <c r="RJN93" s="294"/>
      <c r="RJT93" s="292"/>
      <c r="RJU93" s="293"/>
      <c r="RJV93" s="294"/>
      <c r="RKB93" s="292"/>
      <c r="RKC93" s="293"/>
      <c r="RKD93" s="294"/>
      <c r="RKJ93" s="292"/>
      <c r="RKK93" s="293"/>
      <c r="RKL93" s="294"/>
      <c r="RKR93" s="292"/>
      <c r="RKS93" s="293"/>
      <c r="RKT93" s="294"/>
      <c r="RKZ93" s="292"/>
      <c r="RLA93" s="293"/>
      <c r="RLB93" s="294"/>
      <c r="RLH93" s="292"/>
      <c r="RLI93" s="293"/>
      <c r="RLJ93" s="294"/>
      <c r="RLP93" s="292"/>
      <c r="RLQ93" s="293"/>
      <c r="RLR93" s="294"/>
      <c r="RLX93" s="292"/>
      <c r="RLY93" s="293"/>
      <c r="RLZ93" s="294"/>
      <c r="RMF93" s="292"/>
      <c r="RMG93" s="293"/>
      <c r="RMH93" s="294"/>
      <c r="RMN93" s="292"/>
      <c r="RMO93" s="293"/>
      <c r="RMP93" s="294"/>
      <c r="RMV93" s="292"/>
      <c r="RMW93" s="293"/>
      <c r="RMX93" s="294"/>
      <c r="RND93" s="292"/>
      <c r="RNE93" s="293"/>
      <c r="RNF93" s="294"/>
      <c r="RNL93" s="292"/>
      <c r="RNM93" s="293"/>
      <c r="RNN93" s="294"/>
      <c r="RNT93" s="292"/>
      <c r="RNU93" s="293"/>
      <c r="RNV93" s="294"/>
      <c r="ROB93" s="292"/>
      <c r="ROC93" s="293"/>
      <c r="ROD93" s="294"/>
      <c r="ROJ93" s="292"/>
      <c r="ROK93" s="293"/>
      <c r="ROL93" s="294"/>
      <c r="ROR93" s="292"/>
      <c r="ROS93" s="293"/>
      <c r="ROT93" s="294"/>
      <c r="ROZ93" s="292"/>
      <c r="RPA93" s="293"/>
      <c r="RPB93" s="294"/>
      <c r="RPH93" s="292"/>
      <c r="RPI93" s="293"/>
      <c r="RPJ93" s="294"/>
      <c r="RPP93" s="292"/>
      <c r="RPQ93" s="293"/>
      <c r="RPR93" s="294"/>
      <c r="RPX93" s="292"/>
      <c r="RPY93" s="293"/>
      <c r="RPZ93" s="294"/>
      <c r="RQF93" s="292"/>
      <c r="RQG93" s="293"/>
      <c r="RQH93" s="294"/>
      <c r="RQN93" s="292"/>
      <c r="RQO93" s="293"/>
      <c r="RQP93" s="294"/>
      <c r="RQV93" s="292"/>
      <c r="RQW93" s="293"/>
      <c r="RQX93" s="294"/>
      <c r="RRD93" s="292"/>
      <c r="RRE93" s="293"/>
      <c r="RRF93" s="294"/>
      <c r="RRL93" s="292"/>
      <c r="RRM93" s="293"/>
      <c r="RRN93" s="294"/>
      <c r="RRT93" s="292"/>
      <c r="RRU93" s="293"/>
      <c r="RRV93" s="294"/>
      <c r="RSB93" s="292"/>
      <c r="RSC93" s="293"/>
      <c r="RSD93" s="294"/>
      <c r="RSJ93" s="292"/>
      <c r="RSK93" s="293"/>
      <c r="RSL93" s="294"/>
      <c r="RSR93" s="292"/>
      <c r="RSS93" s="293"/>
      <c r="RST93" s="294"/>
      <c r="RSZ93" s="292"/>
      <c r="RTA93" s="293"/>
      <c r="RTB93" s="294"/>
      <c r="RTH93" s="292"/>
      <c r="RTI93" s="293"/>
      <c r="RTJ93" s="294"/>
      <c r="RTP93" s="292"/>
      <c r="RTQ93" s="293"/>
      <c r="RTR93" s="294"/>
      <c r="RTX93" s="292"/>
      <c r="RTY93" s="293"/>
      <c r="RTZ93" s="294"/>
      <c r="RUF93" s="292"/>
      <c r="RUG93" s="293"/>
      <c r="RUH93" s="294"/>
      <c r="RUN93" s="292"/>
      <c r="RUO93" s="293"/>
      <c r="RUP93" s="294"/>
      <c r="RUV93" s="292"/>
      <c r="RUW93" s="293"/>
      <c r="RUX93" s="294"/>
      <c r="RVD93" s="292"/>
      <c r="RVE93" s="293"/>
      <c r="RVF93" s="294"/>
      <c r="RVL93" s="292"/>
      <c r="RVM93" s="293"/>
      <c r="RVN93" s="294"/>
      <c r="RVT93" s="292"/>
      <c r="RVU93" s="293"/>
      <c r="RVV93" s="294"/>
      <c r="RWB93" s="292"/>
      <c r="RWC93" s="293"/>
      <c r="RWD93" s="294"/>
      <c r="RWJ93" s="292"/>
      <c r="RWK93" s="293"/>
      <c r="RWL93" s="294"/>
      <c r="RWR93" s="292"/>
      <c r="RWS93" s="293"/>
      <c r="RWT93" s="294"/>
      <c r="RWZ93" s="292"/>
      <c r="RXA93" s="293"/>
      <c r="RXB93" s="294"/>
      <c r="RXH93" s="292"/>
      <c r="RXI93" s="293"/>
      <c r="RXJ93" s="294"/>
      <c r="RXP93" s="292"/>
      <c r="RXQ93" s="293"/>
      <c r="RXR93" s="294"/>
      <c r="RXX93" s="292"/>
      <c r="RXY93" s="293"/>
      <c r="RXZ93" s="294"/>
      <c r="RYF93" s="292"/>
      <c r="RYG93" s="293"/>
      <c r="RYH93" s="294"/>
      <c r="RYN93" s="292"/>
      <c r="RYO93" s="293"/>
      <c r="RYP93" s="294"/>
      <c r="RYV93" s="292"/>
      <c r="RYW93" s="293"/>
      <c r="RYX93" s="294"/>
      <c r="RZD93" s="292"/>
      <c r="RZE93" s="293"/>
      <c r="RZF93" s="294"/>
      <c r="RZL93" s="292"/>
      <c r="RZM93" s="293"/>
      <c r="RZN93" s="294"/>
      <c r="RZT93" s="292"/>
      <c r="RZU93" s="293"/>
      <c r="RZV93" s="294"/>
      <c r="SAB93" s="292"/>
      <c r="SAC93" s="293"/>
      <c r="SAD93" s="294"/>
      <c r="SAJ93" s="292"/>
      <c r="SAK93" s="293"/>
      <c r="SAL93" s="294"/>
      <c r="SAR93" s="292"/>
      <c r="SAS93" s="293"/>
      <c r="SAT93" s="294"/>
      <c r="SAZ93" s="292"/>
      <c r="SBA93" s="293"/>
      <c r="SBB93" s="294"/>
      <c r="SBH93" s="292"/>
      <c r="SBI93" s="293"/>
      <c r="SBJ93" s="294"/>
      <c r="SBP93" s="292"/>
      <c r="SBQ93" s="293"/>
      <c r="SBR93" s="294"/>
      <c r="SBX93" s="292"/>
      <c r="SBY93" s="293"/>
      <c r="SBZ93" s="294"/>
      <c r="SCF93" s="292"/>
      <c r="SCG93" s="293"/>
      <c r="SCH93" s="294"/>
      <c r="SCN93" s="292"/>
      <c r="SCO93" s="293"/>
      <c r="SCP93" s="294"/>
      <c r="SCV93" s="292"/>
      <c r="SCW93" s="293"/>
      <c r="SCX93" s="294"/>
      <c r="SDD93" s="292"/>
      <c r="SDE93" s="293"/>
      <c r="SDF93" s="294"/>
      <c r="SDL93" s="292"/>
      <c r="SDM93" s="293"/>
      <c r="SDN93" s="294"/>
      <c r="SDT93" s="292"/>
      <c r="SDU93" s="293"/>
      <c r="SDV93" s="294"/>
      <c r="SEB93" s="292"/>
      <c r="SEC93" s="293"/>
      <c r="SED93" s="294"/>
      <c r="SEJ93" s="292"/>
      <c r="SEK93" s="293"/>
      <c r="SEL93" s="294"/>
      <c r="SER93" s="292"/>
      <c r="SES93" s="293"/>
      <c r="SET93" s="294"/>
      <c r="SEZ93" s="292"/>
      <c r="SFA93" s="293"/>
      <c r="SFB93" s="294"/>
      <c r="SFH93" s="292"/>
      <c r="SFI93" s="293"/>
      <c r="SFJ93" s="294"/>
      <c r="SFP93" s="292"/>
      <c r="SFQ93" s="293"/>
      <c r="SFR93" s="294"/>
      <c r="SFX93" s="292"/>
      <c r="SFY93" s="293"/>
      <c r="SFZ93" s="294"/>
      <c r="SGF93" s="292"/>
      <c r="SGG93" s="293"/>
      <c r="SGH93" s="294"/>
      <c r="SGN93" s="292"/>
      <c r="SGO93" s="293"/>
      <c r="SGP93" s="294"/>
      <c r="SGV93" s="292"/>
      <c r="SGW93" s="293"/>
      <c r="SGX93" s="294"/>
      <c r="SHD93" s="292"/>
      <c r="SHE93" s="293"/>
      <c r="SHF93" s="294"/>
      <c r="SHL93" s="292"/>
      <c r="SHM93" s="293"/>
      <c r="SHN93" s="294"/>
      <c r="SHT93" s="292"/>
      <c r="SHU93" s="293"/>
      <c r="SHV93" s="294"/>
      <c r="SIB93" s="292"/>
      <c r="SIC93" s="293"/>
      <c r="SID93" s="294"/>
      <c r="SIJ93" s="292"/>
      <c r="SIK93" s="293"/>
      <c r="SIL93" s="294"/>
      <c r="SIR93" s="292"/>
      <c r="SIS93" s="293"/>
      <c r="SIT93" s="294"/>
      <c r="SIZ93" s="292"/>
      <c r="SJA93" s="293"/>
      <c r="SJB93" s="294"/>
      <c r="SJH93" s="292"/>
      <c r="SJI93" s="293"/>
      <c r="SJJ93" s="294"/>
      <c r="SJP93" s="292"/>
      <c r="SJQ93" s="293"/>
      <c r="SJR93" s="294"/>
      <c r="SJX93" s="292"/>
      <c r="SJY93" s="293"/>
      <c r="SJZ93" s="294"/>
      <c r="SKF93" s="292"/>
      <c r="SKG93" s="293"/>
      <c r="SKH93" s="294"/>
      <c r="SKN93" s="292"/>
      <c r="SKO93" s="293"/>
      <c r="SKP93" s="294"/>
      <c r="SKV93" s="292"/>
      <c r="SKW93" s="293"/>
      <c r="SKX93" s="294"/>
      <c r="SLD93" s="292"/>
      <c r="SLE93" s="293"/>
      <c r="SLF93" s="294"/>
      <c r="SLL93" s="292"/>
      <c r="SLM93" s="293"/>
      <c r="SLN93" s="294"/>
      <c r="SLT93" s="292"/>
      <c r="SLU93" s="293"/>
      <c r="SLV93" s="294"/>
      <c r="SMB93" s="292"/>
      <c r="SMC93" s="293"/>
      <c r="SMD93" s="294"/>
      <c r="SMJ93" s="292"/>
      <c r="SMK93" s="293"/>
      <c r="SML93" s="294"/>
      <c r="SMR93" s="292"/>
      <c r="SMS93" s="293"/>
      <c r="SMT93" s="294"/>
      <c r="SMZ93" s="292"/>
      <c r="SNA93" s="293"/>
      <c r="SNB93" s="294"/>
      <c r="SNH93" s="292"/>
      <c r="SNI93" s="293"/>
      <c r="SNJ93" s="294"/>
      <c r="SNP93" s="292"/>
      <c r="SNQ93" s="293"/>
      <c r="SNR93" s="294"/>
      <c r="SNX93" s="292"/>
      <c r="SNY93" s="293"/>
      <c r="SNZ93" s="294"/>
      <c r="SOF93" s="292"/>
      <c r="SOG93" s="293"/>
      <c r="SOH93" s="294"/>
      <c r="SON93" s="292"/>
      <c r="SOO93" s="293"/>
      <c r="SOP93" s="294"/>
      <c r="SOV93" s="292"/>
      <c r="SOW93" s="293"/>
      <c r="SOX93" s="294"/>
      <c r="SPD93" s="292"/>
      <c r="SPE93" s="293"/>
      <c r="SPF93" s="294"/>
      <c r="SPL93" s="292"/>
      <c r="SPM93" s="293"/>
      <c r="SPN93" s="294"/>
      <c r="SPT93" s="292"/>
      <c r="SPU93" s="293"/>
      <c r="SPV93" s="294"/>
      <c r="SQB93" s="292"/>
      <c r="SQC93" s="293"/>
      <c r="SQD93" s="294"/>
      <c r="SQJ93" s="292"/>
      <c r="SQK93" s="293"/>
      <c r="SQL93" s="294"/>
      <c r="SQR93" s="292"/>
      <c r="SQS93" s="293"/>
      <c r="SQT93" s="294"/>
      <c r="SQZ93" s="292"/>
      <c r="SRA93" s="293"/>
      <c r="SRB93" s="294"/>
      <c r="SRH93" s="292"/>
      <c r="SRI93" s="293"/>
      <c r="SRJ93" s="294"/>
      <c r="SRP93" s="292"/>
      <c r="SRQ93" s="293"/>
      <c r="SRR93" s="294"/>
      <c r="SRX93" s="292"/>
      <c r="SRY93" s="293"/>
      <c r="SRZ93" s="294"/>
      <c r="SSF93" s="292"/>
      <c r="SSG93" s="293"/>
      <c r="SSH93" s="294"/>
      <c r="SSN93" s="292"/>
      <c r="SSO93" s="293"/>
      <c r="SSP93" s="294"/>
      <c r="SSV93" s="292"/>
      <c r="SSW93" s="293"/>
      <c r="SSX93" s="294"/>
      <c r="STD93" s="292"/>
      <c r="STE93" s="293"/>
      <c r="STF93" s="294"/>
      <c r="STL93" s="292"/>
      <c r="STM93" s="293"/>
      <c r="STN93" s="294"/>
      <c r="STT93" s="292"/>
      <c r="STU93" s="293"/>
      <c r="STV93" s="294"/>
      <c r="SUB93" s="292"/>
      <c r="SUC93" s="293"/>
      <c r="SUD93" s="294"/>
      <c r="SUJ93" s="292"/>
      <c r="SUK93" s="293"/>
      <c r="SUL93" s="294"/>
      <c r="SUR93" s="292"/>
      <c r="SUS93" s="293"/>
      <c r="SUT93" s="294"/>
      <c r="SUZ93" s="292"/>
      <c r="SVA93" s="293"/>
      <c r="SVB93" s="294"/>
      <c r="SVH93" s="292"/>
      <c r="SVI93" s="293"/>
      <c r="SVJ93" s="294"/>
      <c r="SVP93" s="292"/>
      <c r="SVQ93" s="293"/>
      <c r="SVR93" s="294"/>
      <c r="SVX93" s="292"/>
      <c r="SVY93" s="293"/>
      <c r="SVZ93" s="294"/>
      <c r="SWF93" s="292"/>
      <c r="SWG93" s="293"/>
      <c r="SWH93" s="294"/>
      <c r="SWN93" s="292"/>
      <c r="SWO93" s="293"/>
      <c r="SWP93" s="294"/>
      <c r="SWV93" s="292"/>
      <c r="SWW93" s="293"/>
      <c r="SWX93" s="294"/>
      <c r="SXD93" s="292"/>
      <c r="SXE93" s="293"/>
      <c r="SXF93" s="294"/>
      <c r="SXL93" s="292"/>
      <c r="SXM93" s="293"/>
      <c r="SXN93" s="294"/>
      <c r="SXT93" s="292"/>
      <c r="SXU93" s="293"/>
      <c r="SXV93" s="294"/>
      <c r="SYB93" s="292"/>
      <c r="SYC93" s="293"/>
      <c r="SYD93" s="294"/>
      <c r="SYJ93" s="292"/>
      <c r="SYK93" s="293"/>
      <c r="SYL93" s="294"/>
      <c r="SYR93" s="292"/>
      <c r="SYS93" s="293"/>
      <c r="SYT93" s="294"/>
      <c r="SYZ93" s="292"/>
      <c r="SZA93" s="293"/>
      <c r="SZB93" s="294"/>
      <c r="SZH93" s="292"/>
      <c r="SZI93" s="293"/>
      <c r="SZJ93" s="294"/>
      <c r="SZP93" s="292"/>
      <c r="SZQ93" s="293"/>
      <c r="SZR93" s="294"/>
      <c r="SZX93" s="292"/>
      <c r="SZY93" s="293"/>
      <c r="SZZ93" s="294"/>
      <c r="TAF93" s="292"/>
      <c r="TAG93" s="293"/>
      <c r="TAH93" s="294"/>
      <c r="TAN93" s="292"/>
      <c r="TAO93" s="293"/>
      <c r="TAP93" s="294"/>
      <c r="TAV93" s="292"/>
      <c r="TAW93" s="293"/>
      <c r="TAX93" s="294"/>
      <c r="TBD93" s="292"/>
      <c r="TBE93" s="293"/>
      <c r="TBF93" s="294"/>
      <c r="TBL93" s="292"/>
      <c r="TBM93" s="293"/>
      <c r="TBN93" s="294"/>
      <c r="TBT93" s="292"/>
      <c r="TBU93" s="293"/>
      <c r="TBV93" s="294"/>
      <c r="TCB93" s="292"/>
      <c r="TCC93" s="293"/>
      <c r="TCD93" s="294"/>
      <c r="TCJ93" s="292"/>
      <c r="TCK93" s="293"/>
      <c r="TCL93" s="294"/>
      <c r="TCR93" s="292"/>
      <c r="TCS93" s="293"/>
      <c r="TCT93" s="294"/>
      <c r="TCZ93" s="292"/>
      <c r="TDA93" s="293"/>
      <c r="TDB93" s="294"/>
      <c r="TDH93" s="292"/>
      <c r="TDI93" s="293"/>
      <c r="TDJ93" s="294"/>
      <c r="TDP93" s="292"/>
      <c r="TDQ93" s="293"/>
      <c r="TDR93" s="294"/>
      <c r="TDX93" s="292"/>
      <c r="TDY93" s="293"/>
      <c r="TDZ93" s="294"/>
      <c r="TEF93" s="292"/>
      <c r="TEG93" s="293"/>
      <c r="TEH93" s="294"/>
      <c r="TEN93" s="292"/>
      <c r="TEO93" s="293"/>
      <c r="TEP93" s="294"/>
      <c r="TEV93" s="292"/>
      <c r="TEW93" s="293"/>
      <c r="TEX93" s="294"/>
      <c r="TFD93" s="292"/>
      <c r="TFE93" s="293"/>
      <c r="TFF93" s="294"/>
      <c r="TFL93" s="292"/>
      <c r="TFM93" s="293"/>
      <c r="TFN93" s="294"/>
      <c r="TFT93" s="292"/>
      <c r="TFU93" s="293"/>
      <c r="TFV93" s="294"/>
      <c r="TGB93" s="292"/>
      <c r="TGC93" s="293"/>
      <c r="TGD93" s="294"/>
      <c r="TGJ93" s="292"/>
      <c r="TGK93" s="293"/>
      <c r="TGL93" s="294"/>
      <c r="TGR93" s="292"/>
      <c r="TGS93" s="293"/>
      <c r="TGT93" s="294"/>
      <c r="TGZ93" s="292"/>
      <c r="THA93" s="293"/>
      <c r="THB93" s="294"/>
      <c r="THH93" s="292"/>
      <c r="THI93" s="293"/>
      <c r="THJ93" s="294"/>
      <c r="THP93" s="292"/>
      <c r="THQ93" s="293"/>
      <c r="THR93" s="294"/>
      <c r="THX93" s="292"/>
      <c r="THY93" s="293"/>
      <c r="THZ93" s="294"/>
      <c r="TIF93" s="292"/>
      <c r="TIG93" s="293"/>
      <c r="TIH93" s="294"/>
      <c r="TIN93" s="292"/>
      <c r="TIO93" s="293"/>
      <c r="TIP93" s="294"/>
      <c r="TIV93" s="292"/>
      <c r="TIW93" s="293"/>
      <c r="TIX93" s="294"/>
      <c r="TJD93" s="292"/>
      <c r="TJE93" s="293"/>
      <c r="TJF93" s="294"/>
      <c r="TJL93" s="292"/>
      <c r="TJM93" s="293"/>
      <c r="TJN93" s="294"/>
      <c r="TJT93" s="292"/>
      <c r="TJU93" s="293"/>
      <c r="TJV93" s="294"/>
      <c r="TKB93" s="292"/>
      <c r="TKC93" s="293"/>
      <c r="TKD93" s="294"/>
      <c r="TKJ93" s="292"/>
      <c r="TKK93" s="293"/>
      <c r="TKL93" s="294"/>
      <c r="TKR93" s="292"/>
      <c r="TKS93" s="293"/>
      <c r="TKT93" s="294"/>
      <c r="TKZ93" s="292"/>
      <c r="TLA93" s="293"/>
      <c r="TLB93" s="294"/>
      <c r="TLH93" s="292"/>
      <c r="TLI93" s="293"/>
      <c r="TLJ93" s="294"/>
      <c r="TLP93" s="292"/>
      <c r="TLQ93" s="293"/>
      <c r="TLR93" s="294"/>
      <c r="TLX93" s="292"/>
      <c r="TLY93" s="293"/>
      <c r="TLZ93" s="294"/>
      <c r="TMF93" s="292"/>
      <c r="TMG93" s="293"/>
      <c r="TMH93" s="294"/>
      <c r="TMN93" s="292"/>
      <c r="TMO93" s="293"/>
      <c r="TMP93" s="294"/>
      <c r="TMV93" s="292"/>
      <c r="TMW93" s="293"/>
      <c r="TMX93" s="294"/>
      <c r="TND93" s="292"/>
      <c r="TNE93" s="293"/>
      <c r="TNF93" s="294"/>
      <c r="TNL93" s="292"/>
      <c r="TNM93" s="293"/>
      <c r="TNN93" s="294"/>
      <c r="TNT93" s="292"/>
      <c r="TNU93" s="293"/>
      <c r="TNV93" s="294"/>
      <c r="TOB93" s="292"/>
      <c r="TOC93" s="293"/>
      <c r="TOD93" s="294"/>
      <c r="TOJ93" s="292"/>
      <c r="TOK93" s="293"/>
      <c r="TOL93" s="294"/>
      <c r="TOR93" s="292"/>
      <c r="TOS93" s="293"/>
      <c r="TOT93" s="294"/>
      <c r="TOZ93" s="292"/>
      <c r="TPA93" s="293"/>
      <c r="TPB93" s="294"/>
      <c r="TPH93" s="292"/>
      <c r="TPI93" s="293"/>
      <c r="TPJ93" s="294"/>
      <c r="TPP93" s="292"/>
      <c r="TPQ93" s="293"/>
      <c r="TPR93" s="294"/>
      <c r="TPX93" s="292"/>
      <c r="TPY93" s="293"/>
      <c r="TPZ93" s="294"/>
      <c r="TQF93" s="292"/>
      <c r="TQG93" s="293"/>
      <c r="TQH93" s="294"/>
      <c r="TQN93" s="292"/>
      <c r="TQO93" s="293"/>
      <c r="TQP93" s="294"/>
      <c r="TQV93" s="292"/>
      <c r="TQW93" s="293"/>
      <c r="TQX93" s="294"/>
      <c r="TRD93" s="292"/>
      <c r="TRE93" s="293"/>
      <c r="TRF93" s="294"/>
      <c r="TRL93" s="292"/>
      <c r="TRM93" s="293"/>
      <c r="TRN93" s="294"/>
      <c r="TRT93" s="292"/>
      <c r="TRU93" s="293"/>
      <c r="TRV93" s="294"/>
      <c r="TSB93" s="292"/>
      <c r="TSC93" s="293"/>
      <c r="TSD93" s="294"/>
      <c r="TSJ93" s="292"/>
      <c r="TSK93" s="293"/>
      <c r="TSL93" s="294"/>
      <c r="TSR93" s="292"/>
      <c r="TSS93" s="293"/>
      <c r="TST93" s="294"/>
      <c r="TSZ93" s="292"/>
      <c r="TTA93" s="293"/>
      <c r="TTB93" s="294"/>
      <c r="TTH93" s="292"/>
      <c r="TTI93" s="293"/>
      <c r="TTJ93" s="294"/>
      <c r="TTP93" s="292"/>
      <c r="TTQ93" s="293"/>
      <c r="TTR93" s="294"/>
      <c r="TTX93" s="292"/>
      <c r="TTY93" s="293"/>
      <c r="TTZ93" s="294"/>
      <c r="TUF93" s="292"/>
      <c r="TUG93" s="293"/>
      <c r="TUH93" s="294"/>
      <c r="TUN93" s="292"/>
      <c r="TUO93" s="293"/>
      <c r="TUP93" s="294"/>
      <c r="TUV93" s="292"/>
      <c r="TUW93" s="293"/>
      <c r="TUX93" s="294"/>
      <c r="TVD93" s="292"/>
      <c r="TVE93" s="293"/>
      <c r="TVF93" s="294"/>
      <c r="TVL93" s="292"/>
      <c r="TVM93" s="293"/>
      <c r="TVN93" s="294"/>
      <c r="TVT93" s="292"/>
      <c r="TVU93" s="293"/>
      <c r="TVV93" s="294"/>
      <c r="TWB93" s="292"/>
      <c r="TWC93" s="293"/>
      <c r="TWD93" s="294"/>
      <c r="TWJ93" s="292"/>
      <c r="TWK93" s="293"/>
      <c r="TWL93" s="294"/>
      <c r="TWR93" s="292"/>
      <c r="TWS93" s="293"/>
      <c r="TWT93" s="294"/>
      <c r="TWZ93" s="292"/>
      <c r="TXA93" s="293"/>
      <c r="TXB93" s="294"/>
      <c r="TXH93" s="292"/>
      <c r="TXI93" s="293"/>
      <c r="TXJ93" s="294"/>
      <c r="TXP93" s="292"/>
      <c r="TXQ93" s="293"/>
      <c r="TXR93" s="294"/>
      <c r="TXX93" s="292"/>
      <c r="TXY93" s="293"/>
      <c r="TXZ93" s="294"/>
      <c r="TYF93" s="292"/>
      <c r="TYG93" s="293"/>
      <c r="TYH93" s="294"/>
      <c r="TYN93" s="292"/>
      <c r="TYO93" s="293"/>
      <c r="TYP93" s="294"/>
      <c r="TYV93" s="292"/>
      <c r="TYW93" s="293"/>
      <c r="TYX93" s="294"/>
      <c r="TZD93" s="292"/>
      <c r="TZE93" s="293"/>
      <c r="TZF93" s="294"/>
      <c r="TZL93" s="292"/>
      <c r="TZM93" s="293"/>
      <c r="TZN93" s="294"/>
      <c r="TZT93" s="292"/>
      <c r="TZU93" s="293"/>
      <c r="TZV93" s="294"/>
      <c r="UAB93" s="292"/>
      <c r="UAC93" s="293"/>
      <c r="UAD93" s="294"/>
      <c r="UAJ93" s="292"/>
      <c r="UAK93" s="293"/>
      <c r="UAL93" s="294"/>
      <c r="UAR93" s="292"/>
      <c r="UAS93" s="293"/>
      <c r="UAT93" s="294"/>
      <c r="UAZ93" s="292"/>
      <c r="UBA93" s="293"/>
      <c r="UBB93" s="294"/>
      <c r="UBH93" s="292"/>
      <c r="UBI93" s="293"/>
      <c r="UBJ93" s="294"/>
      <c r="UBP93" s="292"/>
      <c r="UBQ93" s="293"/>
      <c r="UBR93" s="294"/>
      <c r="UBX93" s="292"/>
      <c r="UBY93" s="293"/>
      <c r="UBZ93" s="294"/>
      <c r="UCF93" s="292"/>
      <c r="UCG93" s="293"/>
      <c r="UCH93" s="294"/>
      <c r="UCN93" s="292"/>
      <c r="UCO93" s="293"/>
      <c r="UCP93" s="294"/>
      <c r="UCV93" s="292"/>
      <c r="UCW93" s="293"/>
      <c r="UCX93" s="294"/>
      <c r="UDD93" s="292"/>
      <c r="UDE93" s="293"/>
      <c r="UDF93" s="294"/>
      <c r="UDL93" s="292"/>
      <c r="UDM93" s="293"/>
      <c r="UDN93" s="294"/>
      <c r="UDT93" s="292"/>
      <c r="UDU93" s="293"/>
      <c r="UDV93" s="294"/>
      <c r="UEB93" s="292"/>
      <c r="UEC93" s="293"/>
      <c r="UED93" s="294"/>
      <c r="UEJ93" s="292"/>
      <c r="UEK93" s="293"/>
      <c r="UEL93" s="294"/>
      <c r="UER93" s="292"/>
      <c r="UES93" s="293"/>
      <c r="UET93" s="294"/>
      <c r="UEZ93" s="292"/>
      <c r="UFA93" s="293"/>
      <c r="UFB93" s="294"/>
      <c r="UFH93" s="292"/>
      <c r="UFI93" s="293"/>
      <c r="UFJ93" s="294"/>
      <c r="UFP93" s="292"/>
      <c r="UFQ93" s="293"/>
      <c r="UFR93" s="294"/>
      <c r="UFX93" s="292"/>
      <c r="UFY93" s="293"/>
      <c r="UFZ93" s="294"/>
      <c r="UGF93" s="292"/>
      <c r="UGG93" s="293"/>
      <c r="UGH93" s="294"/>
      <c r="UGN93" s="292"/>
      <c r="UGO93" s="293"/>
      <c r="UGP93" s="294"/>
      <c r="UGV93" s="292"/>
      <c r="UGW93" s="293"/>
      <c r="UGX93" s="294"/>
      <c r="UHD93" s="292"/>
      <c r="UHE93" s="293"/>
      <c r="UHF93" s="294"/>
      <c r="UHL93" s="292"/>
      <c r="UHM93" s="293"/>
      <c r="UHN93" s="294"/>
      <c r="UHT93" s="292"/>
      <c r="UHU93" s="293"/>
      <c r="UHV93" s="294"/>
      <c r="UIB93" s="292"/>
      <c r="UIC93" s="293"/>
      <c r="UID93" s="294"/>
      <c r="UIJ93" s="292"/>
      <c r="UIK93" s="293"/>
      <c r="UIL93" s="294"/>
      <c r="UIR93" s="292"/>
      <c r="UIS93" s="293"/>
      <c r="UIT93" s="294"/>
      <c r="UIZ93" s="292"/>
      <c r="UJA93" s="293"/>
      <c r="UJB93" s="294"/>
      <c r="UJH93" s="292"/>
      <c r="UJI93" s="293"/>
      <c r="UJJ93" s="294"/>
      <c r="UJP93" s="292"/>
      <c r="UJQ93" s="293"/>
      <c r="UJR93" s="294"/>
      <c r="UJX93" s="292"/>
      <c r="UJY93" s="293"/>
      <c r="UJZ93" s="294"/>
      <c r="UKF93" s="292"/>
      <c r="UKG93" s="293"/>
      <c r="UKH93" s="294"/>
      <c r="UKN93" s="292"/>
      <c r="UKO93" s="293"/>
      <c r="UKP93" s="294"/>
      <c r="UKV93" s="292"/>
      <c r="UKW93" s="293"/>
      <c r="UKX93" s="294"/>
      <c r="ULD93" s="292"/>
      <c r="ULE93" s="293"/>
      <c r="ULF93" s="294"/>
      <c r="ULL93" s="292"/>
      <c r="ULM93" s="293"/>
      <c r="ULN93" s="294"/>
      <c r="ULT93" s="292"/>
      <c r="ULU93" s="293"/>
      <c r="ULV93" s="294"/>
      <c r="UMB93" s="292"/>
      <c r="UMC93" s="293"/>
      <c r="UMD93" s="294"/>
      <c r="UMJ93" s="292"/>
      <c r="UMK93" s="293"/>
      <c r="UML93" s="294"/>
      <c r="UMR93" s="292"/>
      <c r="UMS93" s="293"/>
      <c r="UMT93" s="294"/>
      <c r="UMZ93" s="292"/>
      <c r="UNA93" s="293"/>
      <c r="UNB93" s="294"/>
      <c r="UNH93" s="292"/>
      <c r="UNI93" s="293"/>
      <c r="UNJ93" s="294"/>
      <c r="UNP93" s="292"/>
      <c r="UNQ93" s="293"/>
      <c r="UNR93" s="294"/>
      <c r="UNX93" s="292"/>
      <c r="UNY93" s="293"/>
      <c r="UNZ93" s="294"/>
      <c r="UOF93" s="292"/>
      <c r="UOG93" s="293"/>
      <c r="UOH93" s="294"/>
      <c r="UON93" s="292"/>
      <c r="UOO93" s="293"/>
      <c r="UOP93" s="294"/>
      <c r="UOV93" s="292"/>
      <c r="UOW93" s="293"/>
      <c r="UOX93" s="294"/>
      <c r="UPD93" s="292"/>
      <c r="UPE93" s="293"/>
      <c r="UPF93" s="294"/>
      <c r="UPL93" s="292"/>
      <c r="UPM93" s="293"/>
      <c r="UPN93" s="294"/>
      <c r="UPT93" s="292"/>
      <c r="UPU93" s="293"/>
      <c r="UPV93" s="294"/>
      <c r="UQB93" s="292"/>
      <c r="UQC93" s="293"/>
      <c r="UQD93" s="294"/>
      <c r="UQJ93" s="292"/>
      <c r="UQK93" s="293"/>
      <c r="UQL93" s="294"/>
      <c r="UQR93" s="292"/>
      <c r="UQS93" s="293"/>
      <c r="UQT93" s="294"/>
      <c r="UQZ93" s="292"/>
      <c r="URA93" s="293"/>
      <c r="URB93" s="294"/>
      <c r="URH93" s="292"/>
      <c r="URI93" s="293"/>
      <c r="URJ93" s="294"/>
      <c r="URP93" s="292"/>
      <c r="URQ93" s="293"/>
      <c r="URR93" s="294"/>
      <c r="URX93" s="292"/>
      <c r="URY93" s="293"/>
      <c r="URZ93" s="294"/>
      <c r="USF93" s="292"/>
      <c r="USG93" s="293"/>
      <c r="USH93" s="294"/>
      <c r="USN93" s="292"/>
      <c r="USO93" s="293"/>
      <c r="USP93" s="294"/>
      <c r="USV93" s="292"/>
      <c r="USW93" s="293"/>
      <c r="USX93" s="294"/>
      <c r="UTD93" s="292"/>
      <c r="UTE93" s="293"/>
      <c r="UTF93" s="294"/>
      <c r="UTL93" s="292"/>
      <c r="UTM93" s="293"/>
      <c r="UTN93" s="294"/>
      <c r="UTT93" s="292"/>
      <c r="UTU93" s="293"/>
      <c r="UTV93" s="294"/>
      <c r="UUB93" s="292"/>
      <c r="UUC93" s="293"/>
      <c r="UUD93" s="294"/>
      <c r="UUJ93" s="292"/>
      <c r="UUK93" s="293"/>
      <c r="UUL93" s="294"/>
      <c r="UUR93" s="292"/>
      <c r="UUS93" s="293"/>
      <c r="UUT93" s="294"/>
      <c r="UUZ93" s="292"/>
      <c r="UVA93" s="293"/>
      <c r="UVB93" s="294"/>
      <c r="UVH93" s="292"/>
      <c r="UVI93" s="293"/>
      <c r="UVJ93" s="294"/>
      <c r="UVP93" s="292"/>
      <c r="UVQ93" s="293"/>
      <c r="UVR93" s="294"/>
      <c r="UVX93" s="292"/>
      <c r="UVY93" s="293"/>
      <c r="UVZ93" s="294"/>
      <c r="UWF93" s="292"/>
      <c r="UWG93" s="293"/>
      <c r="UWH93" s="294"/>
      <c r="UWN93" s="292"/>
      <c r="UWO93" s="293"/>
      <c r="UWP93" s="294"/>
      <c r="UWV93" s="292"/>
      <c r="UWW93" s="293"/>
      <c r="UWX93" s="294"/>
      <c r="UXD93" s="292"/>
      <c r="UXE93" s="293"/>
      <c r="UXF93" s="294"/>
      <c r="UXL93" s="292"/>
      <c r="UXM93" s="293"/>
      <c r="UXN93" s="294"/>
      <c r="UXT93" s="292"/>
      <c r="UXU93" s="293"/>
      <c r="UXV93" s="294"/>
      <c r="UYB93" s="292"/>
      <c r="UYC93" s="293"/>
      <c r="UYD93" s="294"/>
      <c r="UYJ93" s="292"/>
      <c r="UYK93" s="293"/>
      <c r="UYL93" s="294"/>
      <c r="UYR93" s="292"/>
      <c r="UYS93" s="293"/>
      <c r="UYT93" s="294"/>
      <c r="UYZ93" s="292"/>
      <c r="UZA93" s="293"/>
      <c r="UZB93" s="294"/>
      <c r="UZH93" s="292"/>
      <c r="UZI93" s="293"/>
      <c r="UZJ93" s="294"/>
      <c r="UZP93" s="292"/>
      <c r="UZQ93" s="293"/>
      <c r="UZR93" s="294"/>
      <c r="UZX93" s="292"/>
      <c r="UZY93" s="293"/>
      <c r="UZZ93" s="294"/>
      <c r="VAF93" s="292"/>
      <c r="VAG93" s="293"/>
      <c r="VAH93" s="294"/>
      <c r="VAN93" s="292"/>
      <c r="VAO93" s="293"/>
      <c r="VAP93" s="294"/>
      <c r="VAV93" s="292"/>
      <c r="VAW93" s="293"/>
      <c r="VAX93" s="294"/>
      <c r="VBD93" s="292"/>
      <c r="VBE93" s="293"/>
      <c r="VBF93" s="294"/>
      <c r="VBL93" s="292"/>
      <c r="VBM93" s="293"/>
      <c r="VBN93" s="294"/>
      <c r="VBT93" s="292"/>
      <c r="VBU93" s="293"/>
      <c r="VBV93" s="294"/>
      <c r="VCB93" s="292"/>
      <c r="VCC93" s="293"/>
      <c r="VCD93" s="294"/>
      <c r="VCJ93" s="292"/>
      <c r="VCK93" s="293"/>
      <c r="VCL93" s="294"/>
      <c r="VCR93" s="292"/>
      <c r="VCS93" s="293"/>
      <c r="VCT93" s="294"/>
      <c r="VCZ93" s="292"/>
      <c r="VDA93" s="293"/>
      <c r="VDB93" s="294"/>
      <c r="VDH93" s="292"/>
      <c r="VDI93" s="293"/>
      <c r="VDJ93" s="294"/>
      <c r="VDP93" s="292"/>
      <c r="VDQ93" s="293"/>
      <c r="VDR93" s="294"/>
      <c r="VDX93" s="292"/>
      <c r="VDY93" s="293"/>
      <c r="VDZ93" s="294"/>
      <c r="VEF93" s="292"/>
      <c r="VEG93" s="293"/>
      <c r="VEH93" s="294"/>
      <c r="VEN93" s="292"/>
      <c r="VEO93" s="293"/>
      <c r="VEP93" s="294"/>
      <c r="VEV93" s="292"/>
      <c r="VEW93" s="293"/>
      <c r="VEX93" s="294"/>
      <c r="VFD93" s="292"/>
      <c r="VFE93" s="293"/>
      <c r="VFF93" s="294"/>
      <c r="VFL93" s="292"/>
      <c r="VFM93" s="293"/>
      <c r="VFN93" s="294"/>
      <c r="VFT93" s="292"/>
      <c r="VFU93" s="293"/>
      <c r="VFV93" s="294"/>
      <c r="VGB93" s="292"/>
      <c r="VGC93" s="293"/>
      <c r="VGD93" s="294"/>
      <c r="VGJ93" s="292"/>
      <c r="VGK93" s="293"/>
      <c r="VGL93" s="294"/>
      <c r="VGR93" s="292"/>
      <c r="VGS93" s="293"/>
      <c r="VGT93" s="294"/>
      <c r="VGZ93" s="292"/>
      <c r="VHA93" s="293"/>
      <c r="VHB93" s="294"/>
      <c r="VHH93" s="292"/>
      <c r="VHI93" s="293"/>
      <c r="VHJ93" s="294"/>
      <c r="VHP93" s="292"/>
      <c r="VHQ93" s="293"/>
      <c r="VHR93" s="294"/>
      <c r="VHX93" s="292"/>
      <c r="VHY93" s="293"/>
      <c r="VHZ93" s="294"/>
      <c r="VIF93" s="292"/>
      <c r="VIG93" s="293"/>
      <c r="VIH93" s="294"/>
      <c r="VIN93" s="292"/>
      <c r="VIO93" s="293"/>
      <c r="VIP93" s="294"/>
      <c r="VIV93" s="292"/>
      <c r="VIW93" s="293"/>
      <c r="VIX93" s="294"/>
      <c r="VJD93" s="292"/>
      <c r="VJE93" s="293"/>
      <c r="VJF93" s="294"/>
      <c r="VJL93" s="292"/>
      <c r="VJM93" s="293"/>
      <c r="VJN93" s="294"/>
      <c r="VJT93" s="292"/>
      <c r="VJU93" s="293"/>
      <c r="VJV93" s="294"/>
      <c r="VKB93" s="292"/>
      <c r="VKC93" s="293"/>
      <c r="VKD93" s="294"/>
      <c r="VKJ93" s="292"/>
      <c r="VKK93" s="293"/>
      <c r="VKL93" s="294"/>
      <c r="VKR93" s="292"/>
      <c r="VKS93" s="293"/>
      <c r="VKT93" s="294"/>
      <c r="VKZ93" s="292"/>
      <c r="VLA93" s="293"/>
      <c r="VLB93" s="294"/>
      <c r="VLH93" s="292"/>
      <c r="VLI93" s="293"/>
      <c r="VLJ93" s="294"/>
      <c r="VLP93" s="292"/>
      <c r="VLQ93" s="293"/>
      <c r="VLR93" s="294"/>
      <c r="VLX93" s="292"/>
      <c r="VLY93" s="293"/>
      <c r="VLZ93" s="294"/>
      <c r="VMF93" s="292"/>
      <c r="VMG93" s="293"/>
      <c r="VMH93" s="294"/>
      <c r="VMN93" s="292"/>
      <c r="VMO93" s="293"/>
      <c r="VMP93" s="294"/>
      <c r="VMV93" s="292"/>
      <c r="VMW93" s="293"/>
      <c r="VMX93" s="294"/>
      <c r="VND93" s="292"/>
      <c r="VNE93" s="293"/>
      <c r="VNF93" s="294"/>
      <c r="VNL93" s="292"/>
      <c r="VNM93" s="293"/>
      <c r="VNN93" s="294"/>
      <c r="VNT93" s="292"/>
      <c r="VNU93" s="293"/>
      <c r="VNV93" s="294"/>
      <c r="VOB93" s="292"/>
      <c r="VOC93" s="293"/>
      <c r="VOD93" s="294"/>
      <c r="VOJ93" s="292"/>
      <c r="VOK93" s="293"/>
      <c r="VOL93" s="294"/>
      <c r="VOR93" s="292"/>
      <c r="VOS93" s="293"/>
      <c r="VOT93" s="294"/>
      <c r="VOZ93" s="292"/>
      <c r="VPA93" s="293"/>
      <c r="VPB93" s="294"/>
      <c r="VPH93" s="292"/>
      <c r="VPI93" s="293"/>
      <c r="VPJ93" s="294"/>
      <c r="VPP93" s="292"/>
      <c r="VPQ93" s="293"/>
      <c r="VPR93" s="294"/>
      <c r="VPX93" s="292"/>
      <c r="VPY93" s="293"/>
      <c r="VPZ93" s="294"/>
      <c r="VQF93" s="292"/>
      <c r="VQG93" s="293"/>
      <c r="VQH93" s="294"/>
      <c r="VQN93" s="292"/>
      <c r="VQO93" s="293"/>
      <c r="VQP93" s="294"/>
      <c r="VQV93" s="292"/>
      <c r="VQW93" s="293"/>
      <c r="VQX93" s="294"/>
      <c r="VRD93" s="292"/>
      <c r="VRE93" s="293"/>
      <c r="VRF93" s="294"/>
      <c r="VRL93" s="292"/>
      <c r="VRM93" s="293"/>
      <c r="VRN93" s="294"/>
      <c r="VRT93" s="292"/>
      <c r="VRU93" s="293"/>
      <c r="VRV93" s="294"/>
      <c r="VSB93" s="292"/>
      <c r="VSC93" s="293"/>
      <c r="VSD93" s="294"/>
      <c r="VSJ93" s="292"/>
      <c r="VSK93" s="293"/>
      <c r="VSL93" s="294"/>
      <c r="VSR93" s="292"/>
      <c r="VSS93" s="293"/>
      <c r="VST93" s="294"/>
      <c r="VSZ93" s="292"/>
      <c r="VTA93" s="293"/>
      <c r="VTB93" s="294"/>
      <c r="VTH93" s="292"/>
      <c r="VTI93" s="293"/>
      <c r="VTJ93" s="294"/>
      <c r="VTP93" s="292"/>
      <c r="VTQ93" s="293"/>
      <c r="VTR93" s="294"/>
      <c r="VTX93" s="292"/>
      <c r="VTY93" s="293"/>
      <c r="VTZ93" s="294"/>
      <c r="VUF93" s="292"/>
      <c r="VUG93" s="293"/>
      <c r="VUH93" s="294"/>
      <c r="VUN93" s="292"/>
      <c r="VUO93" s="293"/>
      <c r="VUP93" s="294"/>
      <c r="VUV93" s="292"/>
      <c r="VUW93" s="293"/>
      <c r="VUX93" s="294"/>
      <c r="VVD93" s="292"/>
      <c r="VVE93" s="293"/>
      <c r="VVF93" s="294"/>
      <c r="VVL93" s="292"/>
      <c r="VVM93" s="293"/>
      <c r="VVN93" s="294"/>
      <c r="VVT93" s="292"/>
      <c r="VVU93" s="293"/>
      <c r="VVV93" s="294"/>
      <c r="VWB93" s="292"/>
      <c r="VWC93" s="293"/>
      <c r="VWD93" s="294"/>
      <c r="VWJ93" s="292"/>
      <c r="VWK93" s="293"/>
      <c r="VWL93" s="294"/>
      <c r="VWR93" s="292"/>
      <c r="VWS93" s="293"/>
      <c r="VWT93" s="294"/>
      <c r="VWZ93" s="292"/>
      <c r="VXA93" s="293"/>
      <c r="VXB93" s="294"/>
      <c r="VXH93" s="292"/>
      <c r="VXI93" s="293"/>
      <c r="VXJ93" s="294"/>
      <c r="VXP93" s="292"/>
      <c r="VXQ93" s="293"/>
      <c r="VXR93" s="294"/>
      <c r="VXX93" s="292"/>
      <c r="VXY93" s="293"/>
      <c r="VXZ93" s="294"/>
      <c r="VYF93" s="292"/>
      <c r="VYG93" s="293"/>
      <c r="VYH93" s="294"/>
      <c r="VYN93" s="292"/>
      <c r="VYO93" s="293"/>
      <c r="VYP93" s="294"/>
      <c r="VYV93" s="292"/>
      <c r="VYW93" s="293"/>
      <c r="VYX93" s="294"/>
      <c r="VZD93" s="292"/>
      <c r="VZE93" s="293"/>
      <c r="VZF93" s="294"/>
      <c r="VZL93" s="292"/>
      <c r="VZM93" s="293"/>
      <c r="VZN93" s="294"/>
      <c r="VZT93" s="292"/>
      <c r="VZU93" s="293"/>
      <c r="VZV93" s="294"/>
      <c r="WAB93" s="292"/>
      <c r="WAC93" s="293"/>
      <c r="WAD93" s="294"/>
      <c r="WAJ93" s="292"/>
      <c r="WAK93" s="293"/>
      <c r="WAL93" s="294"/>
      <c r="WAR93" s="292"/>
      <c r="WAS93" s="293"/>
      <c r="WAT93" s="294"/>
      <c r="WAZ93" s="292"/>
      <c r="WBA93" s="293"/>
      <c r="WBB93" s="294"/>
      <c r="WBH93" s="292"/>
      <c r="WBI93" s="293"/>
      <c r="WBJ93" s="294"/>
      <c r="WBP93" s="292"/>
      <c r="WBQ93" s="293"/>
      <c r="WBR93" s="294"/>
      <c r="WBX93" s="292"/>
      <c r="WBY93" s="293"/>
      <c r="WBZ93" s="294"/>
      <c r="WCF93" s="292"/>
      <c r="WCG93" s="293"/>
      <c r="WCH93" s="294"/>
      <c r="WCN93" s="292"/>
      <c r="WCO93" s="293"/>
      <c r="WCP93" s="294"/>
      <c r="WCV93" s="292"/>
      <c r="WCW93" s="293"/>
      <c r="WCX93" s="294"/>
      <c r="WDD93" s="292"/>
      <c r="WDE93" s="293"/>
      <c r="WDF93" s="294"/>
      <c r="WDL93" s="292"/>
      <c r="WDM93" s="293"/>
      <c r="WDN93" s="294"/>
      <c r="WDT93" s="292"/>
      <c r="WDU93" s="293"/>
      <c r="WDV93" s="294"/>
      <c r="WEB93" s="292"/>
      <c r="WEC93" s="293"/>
      <c r="WED93" s="294"/>
      <c r="WEJ93" s="292"/>
      <c r="WEK93" s="293"/>
      <c r="WEL93" s="294"/>
      <c r="WER93" s="292"/>
      <c r="WES93" s="293"/>
      <c r="WET93" s="294"/>
      <c r="WEZ93" s="292"/>
      <c r="WFA93" s="293"/>
      <c r="WFB93" s="294"/>
      <c r="WFH93" s="292"/>
      <c r="WFI93" s="293"/>
      <c r="WFJ93" s="294"/>
      <c r="WFP93" s="292"/>
      <c r="WFQ93" s="293"/>
      <c r="WFR93" s="294"/>
      <c r="WFX93" s="292"/>
      <c r="WFY93" s="293"/>
      <c r="WFZ93" s="294"/>
      <c r="WGF93" s="292"/>
      <c r="WGG93" s="293"/>
      <c r="WGH93" s="294"/>
      <c r="WGN93" s="292"/>
      <c r="WGO93" s="293"/>
      <c r="WGP93" s="294"/>
      <c r="WGV93" s="292"/>
      <c r="WGW93" s="293"/>
      <c r="WGX93" s="294"/>
      <c r="WHD93" s="292"/>
      <c r="WHE93" s="293"/>
      <c r="WHF93" s="294"/>
      <c r="WHL93" s="292"/>
      <c r="WHM93" s="293"/>
      <c r="WHN93" s="294"/>
      <c r="WHT93" s="292"/>
      <c r="WHU93" s="293"/>
      <c r="WHV93" s="294"/>
      <c r="WIB93" s="292"/>
      <c r="WIC93" s="293"/>
      <c r="WID93" s="294"/>
      <c r="WIJ93" s="292"/>
      <c r="WIK93" s="293"/>
      <c r="WIL93" s="294"/>
      <c r="WIR93" s="292"/>
      <c r="WIS93" s="293"/>
      <c r="WIT93" s="294"/>
      <c r="WIZ93" s="292"/>
      <c r="WJA93" s="293"/>
      <c r="WJB93" s="294"/>
      <c r="WJH93" s="292"/>
      <c r="WJI93" s="293"/>
      <c r="WJJ93" s="294"/>
      <c r="WJP93" s="292"/>
      <c r="WJQ93" s="293"/>
      <c r="WJR93" s="294"/>
      <c r="WJX93" s="292"/>
      <c r="WJY93" s="293"/>
      <c r="WJZ93" s="294"/>
      <c r="WKF93" s="292"/>
      <c r="WKG93" s="293"/>
      <c r="WKH93" s="294"/>
      <c r="WKN93" s="292"/>
      <c r="WKO93" s="293"/>
      <c r="WKP93" s="294"/>
      <c r="WKV93" s="292"/>
      <c r="WKW93" s="293"/>
      <c r="WKX93" s="294"/>
      <c r="WLD93" s="292"/>
      <c r="WLE93" s="293"/>
      <c r="WLF93" s="294"/>
      <c r="WLL93" s="292"/>
      <c r="WLM93" s="293"/>
      <c r="WLN93" s="294"/>
      <c r="WLT93" s="292"/>
      <c r="WLU93" s="293"/>
      <c r="WLV93" s="294"/>
      <c r="WMB93" s="292"/>
      <c r="WMC93" s="293"/>
      <c r="WMD93" s="294"/>
      <c r="WMJ93" s="292"/>
      <c r="WMK93" s="293"/>
      <c r="WML93" s="294"/>
      <c r="WMR93" s="292"/>
      <c r="WMS93" s="293"/>
      <c r="WMT93" s="294"/>
      <c r="WMZ93" s="292"/>
      <c r="WNA93" s="293"/>
      <c r="WNB93" s="294"/>
      <c r="WNH93" s="292"/>
      <c r="WNI93" s="293"/>
      <c r="WNJ93" s="294"/>
      <c r="WNP93" s="292"/>
      <c r="WNQ93" s="293"/>
      <c r="WNR93" s="294"/>
      <c r="WNX93" s="292"/>
      <c r="WNY93" s="293"/>
      <c r="WNZ93" s="294"/>
      <c r="WOF93" s="292"/>
      <c r="WOG93" s="293"/>
      <c r="WOH93" s="294"/>
      <c r="WON93" s="292"/>
      <c r="WOO93" s="293"/>
      <c r="WOP93" s="294"/>
      <c r="WOV93" s="292"/>
      <c r="WOW93" s="293"/>
      <c r="WOX93" s="294"/>
      <c r="WPD93" s="292"/>
      <c r="WPE93" s="293"/>
      <c r="WPF93" s="294"/>
      <c r="WPL93" s="292"/>
      <c r="WPM93" s="293"/>
      <c r="WPN93" s="294"/>
      <c r="WPT93" s="292"/>
      <c r="WPU93" s="293"/>
      <c r="WPV93" s="294"/>
      <c r="WQB93" s="292"/>
      <c r="WQC93" s="293"/>
      <c r="WQD93" s="294"/>
      <c r="WQJ93" s="292"/>
      <c r="WQK93" s="293"/>
      <c r="WQL93" s="294"/>
      <c r="WQR93" s="292"/>
      <c r="WQS93" s="293"/>
      <c r="WQT93" s="294"/>
      <c r="WQZ93" s="292"/>
      <c r="WRA93" s="293"/>
      <c r="WRB93" s="294"/>
      <c r="WRH93" s="292"/>
      <c r="WRI93" s="293"/>
      <c r="WRJ93" s="294"/>
      <c r="WRP93" s="292"/>
      <c r="WRQ93" s="293"/>
      <c r="WRR93" s="294"/>
      <c r="WRX93" s="292"/>
      <c r="WRY93" s="293"/>
      <c r="WRZ93" s="294"/>
      <c r="WSF93" s="292"/>
      <c r="WSG93" s="293"/>
      <c r="WSH93" s="294"/>
      <c r="WSN93" s="292"/>
      <c r="WSO93" s="293"/>
      <c r="WSP93" s="294"/>
      <c r="WSV93" s="292"/>
      <c r="WSW93" s="293"/>
      <c r="WSX93" s="294"/>
      <c r="WTD93" s="292"/>
      <c r="WTE93" s="293"/>
      <c r="WTF93" s="294"/>
      <c r="WTL93" s="292"/>
      <c r="WTM93" s="293"/>
      <c r="WTN93" s="294"/>
      <c r="WTT93" s="292"/>
      <c r="WTU93" s="293"/>
      <c r="WTV93" s="294"/>
      <c r="WUB93" s="292"/>
      <c r="WUC93" s="293"/>
      <c r="WUD93" s="294"/>
      <c r="WUJ93" s="292"/>
      <c r="WUK93" s="293"/>
      <c r="WUL93" s="294"/>
      <c r="WUR93" s="292"/>
      <c r="WUS93" s="293"/>
      <c r="WUT93" s="294"/>
      <c r="WUZ93" s="292"/>
      <c r="WVA93" s="293"/>
      <c r="WVB93" s="294"/>
      <c r="WVH93" s="292"/>
      <c r="WVI93" s="293"/>
      <c r="WVJ93" s="294"/>
      <c r="WVP93" s="292"/>
      <c r="WVQ93" s="293"/>
      <c r="WVR93" s="294"/>
      <c r="WVX93" s="292"/>
      <c r="WVY93" s="293"/>
      <c r="WVZ93" s="294"/>
      <c r="WWF93" s="292"/>
      <c r="WWG93" s="293"/>
      <c r="WWH93" s="294"/>
      <c r="WWN93" s="292"/>
      <c r="WWO93" s="293"/>
      <c r="WWP93" s="294"/>
      <c r="WWV93" s="292"/>
      <c r="WWW93" s="293"/>
      <c r="WWX93" s="294"/>
      <c r="WXD93" s="292"/>
      <c r="WXE93" s="293"/>
      <c r="WXF93" s="294"/>
      <c r="WXL93" s="292"/>
      <c r="WXM93" s="293"/>
      <c r="WXN93" s="294"/>
      <c r="WXT93" s="292"/>
      <c r="WXU93" s="293"/>
      <c r="WXV93" s="294"/>
      <c r="WYB93" s="292"/>
      <c r="WYC93" s="293"/>
      <c r="WYD93" s="294"/>
      <c r="WYJ93" s="292"/>
      <c r="WYK93" s="293"/>
      <c r="WYL93" s="294"/>
      <c r="WYR93" s="292"/>
      <c r="WYS93" s="293"/>
      <c r="WYT93" s="294"/>
      <c r="WYZ93" s="292"/>
      <c r="WZA93" s="293"/>
      <c r="WZB93" s="294"/>
      <c r="WZH93" s="292"/>
      <c r="WZI93" s="293"/>
      <c r="WZJ93" s="294"/>
      <c r="WZP93" s="292"/>
      <c r="WZQ93" s="293"/>
      <c r="WZR93" s="294"/>
      <c r="WZX93" s="292"/>
      <c r="WZY93" s="293"/>
      <c r="WZZ93" s="294"/>
      <c r="XAF93" s="292"/>
      <c r="XAG93" s="293"/>
      <c r="XAH93" s="294"/>
      <c r="XAN93" s="292"/>
      <c r="XAO93" s="293"/>
      <c r="XAP93" s="294"/>
      <c r="XAV93" s="292"/>
      <c r="XAW93" s="293"/>
      <c r="XAX93" s="294"/>
      <c r="XBD93" s="292"/>
      <c r="XBE93" s="293"/>
      <c r="XBF93" s="294"/>
      <c r="XBL93" s="292"/>
      <c r="XBM93" s="293"/>
      <c r="XBN93" s="294"/>
      <c r="XBT93" s="292"/>
      <c r="XBU93" s="293"/>
      <c r="XBV93" s="294"/>
      <c r="XCB93" s="292"/>
      <c r="XCC93" s="293"/>
      <c r="XCD93" s="294"/>
      <c r="XCJ93" s="292"/>
      <c r="XCK93" s="293"/>
      <c r="XCL93" s="294"/>
      <c r="XCR93" s="292"/>
      <c r="XCS93" s="293"/>
      <c r="XCT93" s="294"/>
      <c r="XCZ93" s="292"/>
      <c r="XDA93" s="293"/>
      <c r="XDB93" s="294"/>
      <c r="XDH93" s="292"/>
      <c r="XDI93" s="293"/>
      <c r="XDJ93" s="294"/>
      <c r="XDP93" s="292"/>
      <c r="XDQ93" s="293"/>
      <c r="XDR93" s="294"/>
      <c r="XDX93" s="292"/>
      <c r="XDY93" s="293"/>
      <c r="XDZ93" s="294"/>
      <c r="XEF93" s="292"/>
      <c r="XEG93" s="293"/>
      <c r="XEH93" s="294"/>
      <c r="XEN93" s="292"/>
      <c r="XEO93" s="293"/>
      <c r="XEP93" s="294"/>
      <c r="XEV93" s="292"/>
      <c r="XEW93" s="293"/>
      <c r="XEX93" s="294"/>
    </row>
    <row r="94" spans="1:16378" s="270" customFormat="1" ht="38.25" customHeight="1" x14ac:dyDescent="0.3">
      <c r="A94" s="428" t="s">
        <v>1360</v>
      </c>
      <c r="B94" s="428"/>
      <c r="C94" s="428"/>
      <c r="D94" s="428"/>
      <c r="E94" s="428"/>
      <c r="F94" s="428"/>
      <c r="G94" s="428"/>
      <c r="H94" s="271"/>
    </row>
    <row r="95" spans="1:16378" ht="12.75" customHeight="1" x14ac:dyDescent="0.3">
      <c r="A95" s="431" t="s">
        <v>1337</v>
      </c>
      <c r="B95" s="431"/>
      <c r="C95" s="431"/>
      <c r="D95" s="431"/>
      <c r="E95" s="431"/>
      <c r="F95" s="431"/>
      <c r="G95" s="431"/>
    </row>
    <row r="96" spans="1:16378" x14ac:dyDescent="0.3">
      <c r="A96" s="272"/>
      <c r="B96" s="352"/>
      <c r="C96" s="272"/>
      <c r="D96" s="272"/>
      <c r="E96" s="272"/>
      <c r="F96" s="272"/>
      <c r="G96" s="272"/>
    </row>
    <row r="97" spans="1:8" ht="15" customHeight="1" x14ac:dyDescent="0.3">
      <c r="A97" s="432" t="s">
        <v>1038</v>
      </c>
      <c r="B97" s="432" t="s">
        <v>1037</v>
      </c>
      <c r="C97" s="433" t="s">
        <v>91</v>
      </c>
      <c r="D97" s="433" t="s">
        <v>90</v>
      </c>
      <c r="E97" s="433" t="s">
        <v>89</v>
      </c>
      <c r="F97" s="433" t="s">
        <v>1186</v>
      </c>
      <c r="G97" s="433"/>
    </row>
    <row r="98" spans="1:8" ht="50.15" customHeight="1" x14ac:dyDescent="0.3">
      <c r="A98" s="432"/>
      <c r="B98" s="432"/>
      <c r="C98" s="433"/>
      <c r="D98" s="433"/>
      <c r="E98" s="433"/>
      <c r="F98" s="273" t="s">
        <v>88</v>
      </c>
      <c r="G98" s="273" t="s">
        <v>87</v>
      </c>
    </row>
    <row r="99" spans="1:8" x14ac:dyDescent="0.3">
      <c r="A99" s="299"/>
      <c r="B99" s="306"/>
      <c r="C99" s="320"/>
      <c r="D99" s="321"/>
      <c r="E99" s="321"/>
      <c r="F99" s="321"/>
      <c r="G99" s="340"/>
    </row>
    <row r="100" spans="1:8" s="279" customFormat="1" ht="12.75" customHeight="1" x14ac:dyDescent="0.3">
      <c r="A100" s="284" t="s">
        <v>1027</v>
      </c>
      <c r="B100" s="325" t="s">
        <v>1028</v>
      </c>
      <c r="C100" s="341">
        <v>29121.360000000001</v>
      </c>
      <c r="D100" s="341">
        <v>1566.913</v>
      </c>
      <c r="E100" s="342">
        <f>IF(C100&lt;&gt;"",D100/C100*100,"")</f>
        <v>5.3806312617267871</v>
      </c>
      <c r="F100" s="341">
        <v>26543.82</v>
      </c>
      <c r="G100" s="343">
        <v>31698.91</v>
      </c>
      <c r="H100" s="278"/>
    </row>
    <row r="101" spans="1:8" ht="28" x14ac:dyDescent="0.3">
      <c r="A101" s="281" t="s">
        <v>250</v>
      </c>
      <c r="B101" s="296" t="s">
        <v>1118</v>
      </c>
      <c r="C101" s="344">
        <v>27246.48</v>
      </c>
      <c r="D101" s="344">
        <v>1776.7180000000001</v>
      </c>
      <c r="E101" s="345">
        <f>IF(C101&lt;&gt;"",D101/C101*100,"")</f>
        <v>6.5209083889001445</v>
      </c>
      <c r="F101" s="344">
        <v>24323.81</v>
      </c>
      <c r="G101" s="346">
        <v>30169.15</v>
      </c>
      <c r="H101" s="278"/>
    </row>
    <row r="102" spans="1:8" ht="28" x14ac:dyDescent="0.3">
      <c r="A102" s="281" t="s">
        <v>209</v>
      </c>
      <c r="B102" s="296" t="s">
        <v>1119</v>
      </c>
      <c r="C102" s="344">
        <v>42780.13</v>
      </c>
      <c r="D102" s="344">
        <v>4596.1000000000004</v>
      </c>
      <c r="E102" s="345">
        <f>IF(C102&lt;&gt;"",D102/C102*100,"")</f>
        <v>10.743539115005028</v>
      </c>
      <c r="F102" s="344">
        <v>35219.620000000003</v>
      </c>
      <c r="G102" s="346">
        <v>50340.63</v>
      </c>
      <c r="H102" s="278"/>
    </row>
    <row r="103" spans="1:8" s="279" customFormat="1" ht="27" customHeight="1" x14ac:dyDescent="0.3">
      <c r="A103" s="281" t="s">
        <v>1026</v>
      </c>
      <c r="B103" s="296" t="s">
        <v>1120</v>
      </c>
      <c r="C103" s="344">
        <v>37971.800000000003</v>
      </c>
      <c r="D103" s="344">
        <v>4506.6469999999999</v>
      </c>
      <c r="E103" s="345">
        <f>IF(C103&lt;&gt;"",D103/C103*100,"")</f>
        <v>11.868404974217709</v>
      </c>
      <c r="F103" s="344">
        <v>30558.44</v>
      </c>
      <c r="G103" s="346">
        <v>45385.16</v>
      </c>
      <c r="H103" s="278"/>
    </row>
    <row r="104" spans="1:8" s="279" customFormat="1" x14ac:dyDescent="0.3">
      <c r="A104" s="307"/>
      <c r="B104" s="353"/>
      <c r="C104" s="347"/>
      <c r="D104" s="348"/>
      <c r="E104" s="348"/>
      <c r="F104" s="348"/>
      <c r="G104" s="349"/>
    </row>
    <row r="105" spans="1:8" s="279" customFormat="1" ht="14.25" customHeight="1" x14ac:dyDescent="0.3">
      <c r="A105" s="284" t="s">
        <v>192</v>
      </c>
      <c r="B105" s="325" t="s">
        <v>1025</v>
      </c>
      <c r="C105" s="341">
        <v>23833.57</v>
      </c>
      <c r="D105" s="341">
        <v>1682.0820000000001</v>
      </c>
      <c r="E105" s="342">
        <f>IF(C105&lt;&gt;"",D105/C105*100,"")</f>
        <v>7.0576166306600321</v>
      </c>
      <c r="F105" s="341">
        <v>21066.58</v>
      </c>
      <c r="G105" s="343">
        <v>26600.57</v>
      </c>
      <c r="H105" s="278"/>
    </row>
    <row r="106" spans="1:8" s="279" customFormat="1" x14ac:dyDescent="0.3">
      <c r="A106" s="309"/>
      <c r="B106" s="350"/>
      <c r="C106" s="350"/>
      <c r="D106" s="348"/>
      <c r="E106" s="348"/>
      <c r="F106" s="348"/>
      <c r="G106" s="349"/>
    </row>
    <row r="107" spans="1:8" s="279" customFormat="1" ht="26.25" customHeight="1" x14ac:dyDescent="0.3">
      <c r="A107" s="284" t="s">
        <v>1023</v>
      </c>
      <c r="B107" s="325" t="s">
        <v>1121</v>
      </c>
      <c r="C107" s="341">
        <v>31619.75</v>
      </c>
      <c r="D107" s="341">
        <v>2239.3389999999999</v>
      </c>
      <c r="E107" s="342">
        <f t="shared" ref="E107:E114" si="4">IF(C107&lt;&gt;"",D107/C107*100,"")</f>
        <v>7.0820895168367866</v>
      </c>
      <c r="F107" s="341">
        <v>27936.080000000002</v>
      </c>
      <c r="G107" s="343">
        <v>35303.43</v>
      </c>
      <c r="H107" s="278"/>
    </row>
    <row r="108" spans="1:8" ht="26.25" customHeight="1" x14ac:dyDescent="0.3">
      <c r="A108" s="281" t="s">
        <v>1022</v>
      </c>
      <c r="B108" s="286" t="s">
        <v>1267</v>
      </c>
      <c r="C108" s="344">
        <v>33896.370000000003</v>
      </c>
      <c r="D108" s="344">
        <v>3124.9720000000002</v>
      </c>
      <c r="E108" s="345">
        <f t="shared" si="4"/>
        <v>9.2191936776710897</v>
      </c>
      <c r="F108" s="344">
        <v>28755.84</v>
      </c>
      <c r="G108" s="346">
        <v>39036.89</v>
      </c>
      <c r="H108" s="278"/>
    </row>
    <row r="109" spans="1:8" ht="28.5" customHeight="1" x14ac:dyDescent="0.3">
      <c r="A109" s="281" t="s">
        <v>1190</v>
      </c>
      <c r="B109" s="286" t="s">
        <v>1270</v>
      </c>
      <c r="C109" s="344">
        <v>46756.5</v>
      </c>
      <c r="D109" s="344">
        <v>6530.1220000000003</v>
      </c>
      <c r="E109" s="345">
        <f t="shared" si="4"/>
        <v>13.966233571802853</v>
      </c>
      <c r="F109" s="344">
        <v>36014.559999999998</v>
      </c>
      <c r="G109" s="346">
        <v>57498.44</v>
      </c>
      <c r="H109" s="278"/>
    </row>
    <row r="110" spans="1:8" ht="28" x14ac:dyDescent="0.3">
      <c r="A110" s="281" t="s">
        <v>1191</v>
      </c>
      <c r="B110" s="286" t="s">
        <v>1272</v>
      </c>
      <c r="C110" s="344">
        <v>31837.040000000001</v>
      </c>
      <c r="D110" s="344">
        <v>4045.5810000000001</v>
      </c>
      <c r="E110" s="345">
        <f t="shared" si="4"/>
        <v>12.707151795518678</v>
      </c>
      <c r="F110" s="344">
        <v>25182.13</v>
      </c>
      <c r="G110" s="346">
        <v>38491.949999999997</v>
      </c>
      <c r="H110" s="278"/>
    </row>
    <row r="111" spans="1:8" x14ac:dyDescent="0.3">
      <c r="A111" s="281" t="s">
        <v>1192</v>
      </c>
      <c r="B111" s="286" t="s">
        <v>1275</v>
      </c>
      <c r="C111" s="344">
        <v>25809.51</v>
      </c>
      <c r="D111" s="344">
        <v>6306.6790000000001</v>
      </c>
      <c r="E111" s="345">
        <f t="shared" si="4"/>
        <v>24.435485214558511</v>
      </c>
      <c r="F111" s="344">
        <v>15435.13</v>
      </c>
      <c r="G111" s="346">
        <v>36183.89</v>
      </c>
      <c r="H111" s="278"/>
    </row>
    <row r="112" spans="1:8" x14ac:dyDescent="0.3">
      <c r="A112" s="281" t="s">
        <v>1193</v>
      </c>
      <c r="B112" s="286" t="s">
        <v>1276</v>
      </c>
      <c r="C112" s="344">
        <v>23621.77</v>
      </c>
      <c r="D112" s="344">
        <v>2078.3409999999999</v>
      </c>
      <c r="E112" s="345">
        <f t="shared" si="4"/>
        <v>8.7984134973797463</v>
      </c>
      <c r="F112" s="344">
        <v>20202.93</v>
      </c>
      <c r="G112" s="346">
        <v>27040.6</v>
      </c>
      <c r="H112" s="278"/>
    </row>
    <row r="113" spans="1:8" x14ac:dyDescent="0.3">
      <c r="A113" s="281" t="s">
        <v>1194</v>
      </c>
      <c r="B113" s="286" t="s">
        <v>1280</v>
      </c>
      <c r="C113" s="344">
        <v>34278.57</v>
      </c>
      <c r="D113" s="344">
        <v>7417.2719999999999</v>
      </c>
      <c r="E113" s="345">
        <f t="shared" si="4"/>
        <v>21.638218863855759</v>
      </c>
      <c r="F113" s="344">
        <v>22077.279999999999</v>
      </c>
      <c r="G113" s="346">
        <v>46479.85</v>
      </c>
      <c r="H113" s="278"/>
    </row>
    <row r="114" spans="1:8" x14ac:dyDescent="0.3">
      <c r="A114" s="281" t="s">
        <v>1195</v>
      </c>
      <c r="B114" s="286" t="s">
        <v>1281</v>
      </c>
      <c r="C114" s="344">
        <v>16922.21</v>
      </c>
      <c r="D114" s="344">
        <v>386.43959999999998</v>
      </c>
      <c r="E114" s="345">
        <f t="shared" si="4"/>
        <v>2.2836237110873814</v>
      </c>
      <c r="F114" s="344">
        <v>16286.52</v>
      </c>
      <c r="G114" s="346">
        <v>17557.900000000001</v>
      </c>
      <c r="H114" s="278"/>
    </row>
    <row r="115" spans="1:8" x14ac:dyDescent="0.3">
      <c r="A115" s="281"/>
      <c r="B115" s="296"/>
      <c r="C115" s="351"/>
      <c r="D115" s="348"/>
      <c r="E115" s="348"/>
      <c r="F115" s="348"/>
      <c r="G115" s="349"/>
      <c r="H115" s="278"/>
    </row>
    <row r="116" spans="1:8" s="279" customFormat="1" ht="12.75" customHeight="1" x14ac:dyDescent="0.3">
      <c r="A116" s="284" t="s">
        <v>1020</v>
      </c>
      <c r="B116" s="325" t="s">
        <v>1021</v>
      </c>
      <c r="C116" s="341">
        <v>21873.23</v>
      </c>
      <c r="D116" s="341">
        <v>862.2953</v>
      </c>
      <c r="E116" s="342">
        <f t="shared" ref="E116:E124" si="5">IF(C116&lt;&gt;"",D116/C116*100,"")</f>
        <v>3.9422403549910099</v>
      </c>
      <c r="F116" s="341">
        <v>20454.77</v>
      </c>
      <c r="G116" s="343">
        <v>23291.69</v>
      </c>
      <c r="H116" s="278"/>
    </row>
    <row r="117" spans="1:8" ht="25.5" customHeight="1" x14ac:dyDescent="0.3">
      <c r="A117" s="281" t="s">
        <v>1019</v>
      </c>
      <c r="B117" s="286" t="s">
        <v>1285</v>
      </c>
      <c r="C117" s="344">
        <v>15175.11</v>
      </c>
      <c r="D117" s="344">
        <v>568.05640000000005</v>
      </c>
      <c r="E117" s="345">
        <f t="shared" si="5"/>
        <v>3.7433428818637893</v>
      </c>
      <c r="F117" s="344">
        <v>14240.67</v>
      </c>
      <c r="G117" s="346">
        <v>16109.56</v>
      </c>
      <c r="H117" s="278"/>
    </row>
    <row r="118" spans="1:8" x14ac:dyDescent="0.3">
      <c r="A118" s="281" t="s">
        <v>1017</v>
      </c>
      <c r="B118" s="286" t="s">
        <v>1018</v>
      </c>
      <c r="C118" s="344">
        <v>17425.03</v>
      </c>
      <c r="D118" s="344">
        <v>2066.44</v>
      </c>
      <c r="E118" s="345">
        <f t="shared" si="5"/>
        <v>11.85903266737561</v>
      </c>
      <c r="F118" s="344">
        <v>14025.77</v>
      </c>
      <c r="G118" s="346">
        <v>20824.29</v>
      </c>
      <c r="H118" s="278"/>
    </row>
    <row r="119" spans="1:8" ht="28" x14ac:dyDescent="0.3">
      <c r="A119" s="281" t="s">
        <v>135</v>
      </c>
      <c r="B119" s="286" t="s">
        <v>1344</v>
      </c>
      <c r="C119" s="344">
        <v>23908.85</v>
      </c>
      <c r="D119" s="344">
        <v>3094.3249999999998</v>
      </c>
      <c r="E119" s="345">
        <f t="shared" si="5"/>
        <v>12.942174132172815</v>
      </c>
      <c r="F119" s="344">
        <v>18818.73</v>
      </c>
      <c r="G119" s="346">
        <v>28998.959999999999</v>
      </c>
      <c r="H119" s="278"/>
    </row>
    <row r="120" spans="1:8" x14ac:dyDescent="0.3">
      <c r="A120" s="281" t="s">
        <v>1196</v>
      </c>
      <c r="B120" s="286" t="s">
        <v>1290</v>
      </c>
      <c r="C120" s="344">
        <v>15257.99</v>
      </c>
      <c r="D120" s="344">
        <v>204.44820000000001</v>
      </c>
      <c r="E120" s="345">
        <f t="shared" si="5"/>
        <v>1.3399418927394764</v>
      </c>
      <c r="F120" s="344">
        <v>14921.68</v>
      </c>
      <c r="G120" s="346">
        <v>15594.31</v>
      </c>
      <c r="H120" s="278"/>
    </row>
    <row r="121" spans="1:8" x14ac:dyDescent="0.3">
      <c r="A121" s="281" t="s">
        <v>1197</v>
      </c>
      <c r="B121" s="286" t="s">
        <v>1292</v>
      </c>
      <c r="C121" s="344">
        <v>15700.45</v>
      </c>
      <c r="D121" s="344">
        <v>332.73329999999999</v>
      </c>
      <c r="E121" s="345">
        <f t="shared" si="5"/>
        <v>2.1192596390549312</v>
      </c>
      <c r="F121" s="344">
        <v>15153.11</v>
      </c>
      <c r="G121" s="346">
        <v>16247.79</v>
      </c>
      <c r="H121" s="278"/>
    </row>
    <row r="122" spans="1:8" ht="56" x14ac:dyDescent="0.3">
      <c r="A122" s="281" t="s">
        <v>1347</v>
      </c>
      <c r="B122" s="286" t="s">
        <v>1293</v>
      </c>
      <c r="C122" s="344">
        <v>25106.39</v>
      </c>
      <c r="D122" s="344">
        <v>2921.3090000000002</v>
      </c>
      <c r="E122" s="345">
        <f t="shared" si="5"/>
        <v>11.635719034078576</v>
      </c>
      <c r="F122" s="344">
        <v>20300.89</v>
      </c>
      <c r="G122" s="346">
        <v>29911.9</v>
      </c>
      <c r="H122" s="278"/>
    </row>
    <row r="123" spans="1:8" x14ac:dyDescent="0.3">
      <c r="A123" s="281" t="s">
        <v>120</v>
      </c>
      <c r="B123" s="286" t="s">
        <v>1294</v>
      </c>
      <c r="C123" s="344">
        <v>27879.279999999999</v>
      </c>
      <c r="D123" s="344">
        <v>1256.345</v>
      </c>
      <c r="E123" s="345">
        <f t="shared" si="5"/>
        <v>4.5063753439830583</v>
      </c>
      <c r="F123" s="344">
        <v>25812.61</v>
      </c>
      <c r="G123" s="346">
        <v>29945.94</v>
      </c>
      <c r="H123" s="278"/>
    </row>
    <row r="124" spans="1:8" x14ac:dyDescent="0.3">
      <c r="A124" s="281" t="s">
        <v>96</v>
      </c>
      <c r="B124" s="286" t="s">
        <v>1297</v>
      </c>
      <c r="C124" s="344">
        <v>41065.61</v>
      </c>
      <c r="D124" s="344">
        <v>3672.3649999999998</v>
      </c>
      <c r="E124" s="345">
        <f t="shared" si="5"/>
        <v>8.9426773399932458</v>
      </c>
      <c r="F124" s="344">
        <v>35024.639999999999</v>
      </c>
      <c r="G124" s="346">
        <v>47106.59</v>
      </c>
    </row>
    <row r="125" spans="1:8" x14ac:dyDescent="0.3">
      <c r="A125" s="288"/>
      <c r="B125" s="289"/>
      <c r="C125" s="241"/>
      <c r="D125" s="241"/>
      <c r="E125" s="242"/>
      <c r="F125" s="241"/>
      <c r="G125" s="268"/>
    </row>
    <row r="126" spans="1:8" s="270" customFormat="1" ht="38.25" customHeight="1" x14ac:dyDescent="0.3">
      <c r="A126" s="428" t="s">
        <v>1360</v>
      </c>
      <c r="B126" s="428"/>
      <c r="C126" s="428"/>
      <c r="D126" s="428"/>
      <c r="E126" s="428"/>
      <c r="F126" s="428"/>
      <c r="G126" s="428"/>
      <c r="H126" s="271"/>
    </row>
    <row r="127" spans="1:8" ht="12.75" customHeight="1" x14ac:dyDescent="0.3">
      <c r="A127" s="431" t="s">
        <v>1337</v>
      </c>
      <c r="B127" s="431"/>
      <c r="C127" s="431"/>
      <c r="D127" s="431"/>
      <c r="E127" s="431"/>
      <c r="F127" s="431"/>
      <c r="G127" s="431"/>
    </row>
    <row r="128" spans="1:8" ht="10.5" customHeight="1" x14ac:dyDescent="0.3">
      <c r="A128" s="272"/>
      <c r="B128" s="352"/>
      <c r="C128" s="272"/>
      <c r="D128" s="272"/>
      <c r="E128" s="272"/>
      <c r="F128" s="272"/>
      <c r="G128" s="272"/>
    </row>
    <row r="129" spans="1:8" ht="15" customHeight="1" x14ac:dyDescent="0.3">
      <c r="A129" s="432" t="s">
        <v>1038</v>
      </c>
      <c r="B129" s="432" t="s">
        <v>1037</v>
      </c>
      <c r="C129" s="433" t="s">
        <v>91</v>
      </c>
      <c r="D129" s="433" t="s">
        <v>90</v>
      </c>
      <c r="E129" s="433" t="s">
        <v>89</v>
      </c>
      <c r="F129" s="433" t="s">
        <v>1186</v>
      </c>
      <c r="G129" s="433"/>
    </row>
    <row r="130" spans="1:8" ht="50.15" customHeight="1" x14ac:dyDescent="0.3">
      <c r="A130" s="432"/>
      <c r="B130" s="432"/>
      <c r="C130" s="433"/>
      <c r="D130" s="433"/>
      <c r="E130" s="433"/>
      <c r="F130" s="273" t="s">
        <v>88</v>
      </c>
      <c r="G130" s="273" t="s">
        <v>87</v>
      </c>
    </row>
    <row r="131" spans="1:8" x14ac:dyDescent="0.3">
      <c r="A131" s="299"/>
      <c r="B131" s="306"/>
      <c r="C131" s="306"/>
      <c r="D131" s="301"/>
      <c r="E131" s="301"/>
      <c r="F131" s="301"/>
      <c r="G131" s="324"/>
    </row>
    <row r="132" spans="1:8" s="279" customFormat="1" x14ac:dyDescent="0.3">
      <c r="A132" s="284" t="s">
        <v>54</v>
      </c>
      <c r="B132" s="325" t="s">
        <v>1015</v>
      </c>
      <c r="C132" s="326">
        <v>18662.349999999999</v>
      </c>
      <c r="D132" s="326">
        <v>708.84799999999996</v>
      </c>
      <c r="E132" s="327">
        <f>IF(C132&lt;&gt;"",D132/C132*100,"")</f>
        <v>3.7982783518688694</v>
      </c>
      <c r="F132" s="326">
        <v>17496.310000000001</v>
      </c>
      <c r="G132" s="328">
        <v>19828.39</v>
      </c>
      <c r="H132" s="278"/>
    </row>
    <row r="133" spans="1:8" x14ac:dyDescent="0.3">
      <c r="A133" s="281"/>
      <c r="B133" s="329"/>
      <c r="C133" s="330"/>
      <c r="D133" s="319"/>
      <c r="E133" s="319"/>
      <c r="F133" s="319"/>
      <c r="G133" s="331"/>
      <c r="H133" s="278"/>
    </row>
    <row r="134" spans="1:8" s="279" customFormat="1" x14ac:dyDescent="0.3">
      <c r="A134" s="284" t="s">
        <v>1013</v>
      </c>
      <c r="B134" s="325" t="s">
        <v>1014</v>
      </c>
      <c r="C134" s="326">
        <v>18515.3</v>
      </c>
      <c r="D134" s="326">
        <v>423.22539999999998</v>
      </c>
      <c r="E134" s="327">
        <f>IF(C134&lt;&gt;"",D134/C134*100,"")</f>
        <v>2.2858144345487248</v>
      </c>
      <c r="F134" s="326">
        <v>17819.099999999999</v>
      </c>
      <c r="G134" s="328">
        <v>19211.5</v>
      </c>
      <c r="H134" s="278"/>
    </row>
    <row r="135" spans="1:8" ht="12.75" customHeight="1" x14ac:dyDescent="0.3">
      <c r="A135" s="281" t="s">
        <v>22</v>
      </c>
      <c r="B135" s="296" t="s">
        <v>52</v>
      </c>
      <c r="C135" s="332">
        <v>18502.29</v>
      </c>
      <c r="D135" s="332">
        <v>435.66719999999998</v>
      </c>
      <c r="E135" s="333">
        <f>IF(C135&lt;&gt;"",D135/C135*100,"")</f>
        <v>2.3546663683252178</v>
      </c>
      <c r="F135" s="332">
        <v>17785.62</v>
      </c>
      <c r="G135" s="334">
        <v>19218.95</v>
      </c>
      <c r="H135" s="278"/>
    </row>
    <row r="136" spans="1:8" ht="28" x14ac:dyDescent="0.3">
      <c r="A136" s="281" t="s">
        <v>1012</v>
      </c>
      <c r="B136" s="296" t="s">
        <v>1308</v>
      </c>
      <c r="C136" s="332">
        <v>18937.400000000001</v>
      </c>
      <c r="D136" s="332">
        <v>861.125</v>
      </c>
      <c r="E136" s="333">
        <f>IF(C136&lt;&gt;"",D136/C136*100,"")</f>
        <v>4.5472187311880194</v>
      </c>
      <c r="F136" s="332">
        <v>17520.87</v>
      </c>
      <c r="G136" s="334">
        <v>20353.939999999999</v>
      </c>
      <c r="H136" s="278"/>
    </row>
    <row r="137" spans="1:8" x14ac:dyDescent="0.3">
      <c r="A137" s="281"/>
      <c r="B137" s="296"/>
      <c r="C137" s="298"/>
      <c r="D137" s="319"/>
      <c r="E137" s="319"/>
      <c r="F137" s="319"/>
      <c r="G137" s="331"/>
    </row>
    <row r="138" spans="1:8" s="279" customFormat="1" x14ac:dyDescent="0.3">
      <c r="A138" s="284" t="s">
        <v>1008</v>
      </c>
      <c r="B138" s="325" t="s">
        <v>1009</v>
      </c>
      <c r="C138" s="326">
        <v>22435.89</v>
      </c>
      <c r="D138" s="326">
        <v>2591.3629999999998</v>
      </c>
      <c r="E138" s="327">
        <f>IF(C138&lt;&gt;"",D138/C138*100,"")</f>
        <v>11.550078913740441</v>
      </c>
      <c r="F138" s="326">
        <v>18173.150000000001</v>
      </c>
      <c r="G138" s="328">
        <v>26698.639999999999</v>
      </c>
      <c r="H138" s="278"/>
    </row>
    <row r="139" spans="1:8" s="279" customFormat="1" x14ac:dyDescent="0.3">
      <c r="A139" s="281" t="s">
        <v>1200</v>
      </c>
      <c r="B139" s="286" t="s">
        <v>1309</v>
      </c>
      <c r="C139" s="332">
        <v>16189.65</v>
      </c>
      <c r="D139" s="332">
        <v>351.76960000000003</v>
      </c>
      <c r="E139" s="333">
        <f>IF(C139&lt;&gt;"",D139/C139*100,"")</f>
        <v>2.1728054652200637</v>
      </c>
      <c r="F139" s="332">
        <v>15611</v>
      </c>
      <c r="G139" s="334">
        <v>16768.310000000001</v>
      </c>
      <c r="H139" s="278"/>
    </row>
    <row r="140" spans="1:8" s="279" customFormat="1" ht="28" x14ac:dyDescent="0.3">
      <c r="A140" s="281" t="s">
        <v>1201</v>
      </c>
      <c r="B140" s="286" t="s">
        <v>1311</v>
      </c>
      <c r="C140" s="332">
        <v>14894.97</v>
      </c>
      <c r="D140" s="332">
        <v>230.47649999999999</v>
      </c>
      <c r="E140" s="333">
        <f>IF(C140&lt;&gt;"",D140/C140*100,"")</f>
        <v>1.5473445062326407</v>
      </c>
      <c r="F140" s="332">
        <v>14515.84</v>
      </c>
      <c r="G140" s="334">
        <v>15274.1</v>
      </c>
      <c r="H140" s="278"/>
    </row>
    <row r="141" spans="1:8" s="279" customFormat="1" x14ac:dyDescent="0.3">
      <c r="A141" s="281" t="s">
        <v>1202</v>
      </c>
      <c r="B141" s="286" t="s">
        <v>1312</v>
      </c>
      <c r="C141" s="332">
        <v>33855.089999999997</v>
      </c>
      <c r="D141" s="332">
        <v>2936.2950000000001</v>
      </c>
      <c r="E141" s="333">
        <f>IF(C141&lt;&gt;"",D141/C141*100,"")</f>
        <v>8.6731271427723282</v>
      </c>
      <c r="F141" s="332">
        <v>29024.94</v>
      </c>
      <c r="G141" s="334">
        <v>38685.24</v>
      </c>
      <c r="H141" s="278"/>
    </row>
    <row r="142" spans="1:8" s="279" customFormat="1" ht="28" x14ac:dyDescent="0.3">
      <c r="A142" s="281" t="s">
        <v>1203</v>
      </c>
      <c r="B142" s="286" t="s">
        <v>1315</v>
      </c>
      <c r="C142" s="332">
        <v>13448.17</v>
      </c>
      <c r="D142" s="332">
        <v>228.91739999999999</v>
      </c>
      <c r="E142" s="333">
        <f>IF(C142&lt;&gt;"",D142/C142*100,"")</f>
        <v>1.7022197072166696</v>
      </c>
      <c r="F142" s="332">
        <v>13071.61</v>
      </c>
      <c r="G142" s="334">
        <v>13824.74</v>
      </c>
      <c r="H142" s="278"/>
    </row>
    <row r="143" spans="1:8" ht="11.25" customHeight="1" x14ac:dyDescent="0.3">
      <c r="A143" s="281"/>
      <c r="B143" s="296"/>
      <c r="C143" s="298"/>
      <c r="D143" s="319"/>
      <c r="E143" s="319"/>
      <c r="F143" s="319"/>
      <c r="G143" s="331"/>
    </row>
    <row r="144" spans="1:8" s="279" customFormat="1" ht="26.25" customHeight="1" x14ac:dyDescent="0.3">
      <c r="A144" s="284" t="s">
        <v>1006</v>
      </c>
      <c r="B144" s="335" t="s">
        <v>1364</v>
      </c>
      <c r="C144" s="326">
        <v>15233.75</v>
      </c>
      <c r="D144" s="326">
        <v>215.36609999999999</v>
      </c>
      <c r="E144" s="327">
        <f>IF(C144&lt;&gt;"",D144/C144*100,"")</f>
        <v>1.4137431689505211</v>
      </c>
      <c r="F144" s="326">
        <v>14879.47</v>
      </c>
      <c r="G144" s="328">
        <v>15588.02</v>
      </c>
      <c r="H144" s="278"/>
    </row>
    <row r="145" spans="1:16378" ht="18.75" customHeight="1" x14ac:dyDescent="0.3">
      <c r="A145" s="281" t="s">
        <v>1004</v>
      </c>
      <c r="B145" s="293" t="s">
        <v>1098</v>
      </c>
      <c r="C145" s="332">
        <v>15837.1</v>
      </c>
      <c r="D145" s="332">
        <v>352.32810000000001</v>
      </c>
      <c r="E145" s="333">
        <f>IF(C145&lt;&gt;"",D145/C145*100,"")</f>
        <v>2.2247008606373639</v>
      </c>
      <c r="F145" s="332">
        <v>15257.52</v>
      </c>
      <c r="G145" s="334">
        <v>16416.669999999998</v>
      </c>
      <c r="H145" s="278"/>
    </row>
    <row r="146" spans="1:16378" x14ac:dyDescent="0.3">
      <c r="A146" s="281" t="s">
        <v>6</v>
      </c>
      <c r="B146" s="310" t="s">
        <v>1097</v>
      </c>
      <c r="C146" s="332">
        <v>14893.89</v>
      </c>
      <c r="D146" s="332">
        <v>266.67989999999998</v>
      </c>
      <c r="E146" s="333">
        <f>IF(C146&lt;&gt;"",D146/C146*100,"")</f>
        <v>1.7905322249593625</v>
      </c>
      <c r="F146" s="332">
        <v>14455.2</v>
      </c>
      <c r="G146" s="334">
        <v>15332.57</v>
      </c>
      <c r="H146" s="278"/>
    </row>
    <row r="147" spans="1:16378" s="287" customFormat="1" ht="5.5" customHeight="1" x14ac:dyDescent="0.3">
      <c r="A147" s="288"/>
      <c r="B147" s="289"/>
      <c r="C147" s="290"/>
      <c r="D147" s="291"/>
      <c r="E147" s="291"/>
      <c r="F147" s="291"/>
      <c r="G147" s="339"/>
      <c r="H147" s="292"/>
      <c r="I147" s="293"/>
      <c r="J147" s="294"/>
      <c r="P147" s="292"/>
      <c r="Q147" s="293"/>
      <c r="R147" s="294"/>
      <c r="X147" s="292"/>
      <c r="Y147" s="293"/>
      <c r="Z147" s="294"/>
      <c r="AF147" s="292"/>
      <c r="AG147" s="293"/>
      <c r="AH147" s="294"/>
      <c r="AN147" s="292"/>
      <c r="AO147" s="293"/>
      <c r="AP147" s="294"/>
      <c r="AV147" s="292"/>
      <c r="AW147" s="293"/>
      <c r="AX147" s="294"/>
      <c r="BD147" s="292"/>
      <c r="BE147" s="293"/>
      <c r="BF147" s="294"/>
      <c r="BL147" s="292"/>
      <c r="BM147" s="293"/>
      <c r="BN147" s="294"/>
      <c r="BT147" s="292"/>
      <c r="BU147" s="293"/>
      <c r="BV147" s="294"/>
      <c r="CB147" s="292"/>
      <c r="CC147" s="293"/>
      <c r="CD147" s="294"/>
      <c r="CJ147" s="292"/>
      <c r="CK147" s="293"/>
      <c r="CL147" s="294"/>
      <c r="CR147" s="292"/>
      <c r="CS147" s="293"/>
      <c r="CT147" s="294"/>
      <c r="CZ147" s="292"/>
      <c r="DA147" s="293"/>
      <c r="DB147" s="294"/>
      <c r="DH147" s="292"/>
      <c r="DI147" s="293"/>
      <c r="DJ147" s="294"/>
      <c r="DP147" s="292"/>
      <c r="DQ147" s="293"/>
      <c r="DR147" s="294"/>
      <c r="DX147" s="292"/>
      <c r="DY147" s="293"/>
      <c r="DZ147" s="294"/>
      <c r="EF147" s="292"/>
      <c r="EG147" s="293"/>
      <c r="EH147" s="294"/>
      <c r="EN147" s="292"/>
      <c r="EO147" s="293"/>
      <c r="EP147" s="294"/>
      <c r="EV147" s="292"/>
      <c r="EW147" s="293"/>
      <c r="EX147" s="294"/>
      <c r="FD147" s="292"/>
      <c r="FE147" s="293"/>
      <c r="FF147" s="294"/>
      <c r="FL147" s="292"/>
      <c r="FM147" s="293"/>
      <c r="FN147" s="294"/>
      <c r="FT147" s="292"/>
      <c r="FU147" s="293"/>
      <c r="FV147" s="294"/>
      <c r="GB147" s="292"/>
      <c r="GC147" s="293"/>
      <c r="GD147" s="294"/>
      <c r="GJ147" s="292"/>
      <c r="GK147" s="293"/>
      <c r="GL147" s="294"/>
      <c r="GR147" s="292"/>
      <c r="GS147" s="293"/>
      <c r="GT147" s="294"/>
      <c r="GZ147" s="292"/>
      <c r="HA147" s="293"/>
      <c r="HB147" s="294"/>
      <c r="HH147" s="292"/>
      <c r="HI147" s="293"/>
      <c r="HJ147" s="294"/>
      <c r="HP147" s="292"/>
      <c r="HQ147" s="293"/>
      <c r="HR147" s="294"/>
      <c r="HX147" s="292"/>
      <c r="HY147" s="293"/>
      <c r="HZ147" s="294"/>
      <c r="IF147" s="292"/>
      <c r="IG147" s="293"/>
      <c r="IH147" s="294"/>
      <c r="IN147" s="292"/>
      <c r="IO147" s="293"/>
      <c r="IP147" s="294"/>
      <c r="IV147" s="292"/>
      <c r="IW147" s="293"/>
      <c r="IX147" s="294"/>
      <c r="JD147" s="292"/>
      <c r="JE147" s="293"/>
      <c r="JF147" s="294"/>
      <c r="JL147" s="292"/>
      <c r="JM147" s="293"/>
      <c r="JN147" s="294"/>
      <c r="JT147" s="292"/>
      <c r="JU147" s="293"/>
      <c r="JV147" s="294"/>
      <c r="KB147" s="292"/>
      <c r="KC147" s="293"/>
      <c r="KD147" s="294"/>
      <c r="KJ147" s="292"/>
      <c r="KK147" s="293"/>
      <c r="KL147" s="294"/>
      <c r="KR147" s="292"/>
      <c r="KS147" s="293"/>
      <c r="KT147" s="294"/>
      <c r="KZ147" s="292"/>
      <c r="LA147" s="293"/>
      <c r="LB147" s="294"/>
      <c r="LH147" s="292"/>
      <c r="LI147" s="293"/>
      <c r="LJ147" s="294"/>
      <c r="LP147" s="292"/>
      <c r="LQ147" s="293"/>
      <c r="LR147" s="294"/>
      <c r="LX147" s="292"/>
      <c r="LY147" s="293"/>
      <c r="LZ147" s="294"/>
      <c r="MF147" s="292"/>
      <c r="MG147" s="293"/>
      <c r="MH147" s="294"/>
      <c r="MN147" s="292"/>
      <c r="MO147" s="293"/>
      <c r="MP147" s="294"/>
      <c r="MV147" s="292"/>
      <c r="MW147" s="293"/>
      <c r="MX147" s="294"/>
      <c r="ND147" s="292"/>
      <c r="NE147" s="293"/>
      <c r="NF147" s="294"/>
      <c r="NL147" s="292"/>
      <c r="NM147" s="293"/>
      <c r="NN147" s="294"/>
      <c r="NT147" s="292"/>
      <c r="NU147" s="293"/>
      <c r="NV147" s="294"/>
      <c r="OB147" s="292"/>
      <c r="OC147" s="293"/>
      <c r="OD147" s="294"/>
      <c r="OJ147" s="292"/>
      <c r="OK147" s="293"/>
      <c r="OL147" s="294"/>
      <c r="OR147" s="292"/>
      <c r="OS147" s="293"/>
      <c r="OT147" s="294"/>
      <c r="OZ147" s="292"/>
      <c r="PA147" s="293"/>
      <c r="PB147" s="294"/>
      <c r="PH147" s="292"/>
      <c r="PI147" s="293"/>
      <c r="PJ147" s="294"/>
      <c r="PP147" s="292"/>
      <c r="PQ147" s="293"/>
      <c r="PR147" s="294"/>
      <c r="PX147" s="292"/>
      <c r="PY147" s="293"/>
      <c r="PZ147" s="294"/>
      <c r="QF147" s="292"/>
      <c r="QG147" s="293"/>
      <c r="QH147" s="294"/>
      <c r="QN147" s="292"/>
      <c r="QO147" s="293"/>
      <c r="QP147" s="294"/>
      <c r="QV147" s="292"/>
      <c r="QW147" s="293"/>
      <c r="QX147" s="294"/>
      <c r="RD147" s="292"/>
      <c r="RE147" s="293"/>
      <c r="RF147" s="294"/>
      <c r="RL147" s="292"/>
      <c r="RM147" s="293"/>
      <c r="RN147" s="294"/>
      <c r="RT147" s="292"/>
      <c r="RU147" s="293"/>
      <c r="RV147" s="294"/>
      <c r="SB147" s="292"/>
      <c r="SC147" s="293"/>
      <c r="SD147" s="294"/>
      <c r="SJ147" s="292"/>
      <c r="SK147" s="293"/>
      <c r="SL147" s="294"/>
      <c r="SR147" s="292"/>
      <c r="SS147" s="293"/>
      <c r="ST147" s="294"/>
      <c r="SZ147" s="292"/>
      <c r="TA147" s="293"/>
      <c r="TB147" s="294"/>
      <c r="TH147" s="292"/>
      <c r="TI147" s="293"/>
      <c r="TJ147" s="294"/>
      <c r="TP147" s="292"/>
      <c r="TQ147" s="293"/>
      <c r="TR147" s="294"/>
      <c r="TX147" s="292"/>
      <c r="TY147" s="293"/>
      <c r="TZ147" s="294"/>
      <c r="UF147" s="292"/>
      <c r="UG147" s="293"/>
      <c r="UH147" s="294"/>
      <c r="UN147" s="292"/>
      <c r="UO147" s="293"/>
      <c r="UP147" s="294"/>
      <c r="UV147" s="292"/>
      <c r="UW147" s="293"/>
      <c r="UX147" s="294"/>
      <c r="VD147" s="292"/>
      <c r="VE147" s="293"/>
      <c r="VF147" s="294"/>
      <c r="VL147" s="292"/>
      <c r="VM147" s="293"/>
      <c r="VN147" s="294"/>
      <c r="VT147" s="292"/>
      <c r="VU147" s="293"/>
      <c r="VV147" s="294"/>
      <c r="WB147" s="292"/>
      <c r="WC147" s="293"/>
      <c r="WD147" s="294"/>
      <c r="WJ147" s="292"/>
      <c r="WK147" s="293"/>
      <c r="WL147" s="294"/>
      <c r="WR147" s="292"/>
      <c r="WS147" s="293"/>
      <c r="WT147" s="294"/>
      <c r="WZ147" s="292"/>
      <c r="XA147" s="293"/>
      <c r="XB147" s="294"/>
      <c r="XH147" s="292"/>
      <c r="XI147" s="293"/>
      <c r="XJ147" s="294"/>
      <c r="XP147" s="292"/>
      <c r="XQ147" s="293"/>
      <c r="XR147" s="294"/>
      <c r="XX147" s="292"/>
      <c r="XY147" s="293"/>
      <c r="XZ147" s="294"/>
      <c r="YF147" s="292"/>
      <c r="YG147" s="293"/>
      <c r="YH147" s="294"/>
      <c r="YN147" s="292"/>
      <c r="YO147" s="293"/>
      <c r="YP147" s="294"/>
      <c r="YV147" s="292"/>
      <c r="YW147" s="293"/>
      <c r="YX147" s="294"/>
      <c r="ZD147" s="292"/>
      <c r="ZE147" s="293"/>
      <c r="ZF147" s="294"/>
      <c r="ZL147" s="292"/>
      <c r="ZM147" s="293"/>
      <c r="ZN147" s="294"/>
      <c r="ZT147" s="292"/>
      <c r="ZU147" s="293"/>
      <c r="ZV147" s="294"/>
      <c r="AAB147" s="292"/>
      <c r="AAC147" s="293"/>
      <c r="AAD147" s="294"/>
      <c r="AAJ147" s="292"/>
      <c r="AAK147" s="293"/>
      <c r="AAL147" s="294"/>
      <c r="AAR147" s="292"/>
      <c r="AAS147" s="293"/>
      <c r="AAT147" s="294"/>
      <c r="AAZ147" s="292"/>
      <c r="ABA147" s="293"/>
      <c r="ABB147" s="294"/>
      <c r="ABH147" s="292"/>
      <c r="ABI147" s="293"/>
      <c r="ABJ147" s="294"/>
      <c r="ABP147" s="292"/>
      <c r="ABQ147" s="293"/>
      <c r="ABR147" s="294"/>
      <c r="ABX147" s="292"/>
      <c r="ABY147" s="293"/>
      <c r="ABZ147" s="294"/>
      <c r="ACF147" s="292"/>
      <c r="ACG147" s="293"/>
      <c r="ACH147" s="294"/>
      <c r="ACN147" s="292"/>
      <c r="ACO147" s="293"/>
      <c r="ACP147" s="294"/>
      <c r="ACV147" s="292"/>
      <c r="ACW147" s="293"/>
      <c r="ACX147" s="294"/>
      <c r="ADD147" s="292"/>
      <c r="ADE147" s="293"/>
      <c r="ADF147" s="294"/>
      <c r="ADL147" s="292"/>
      <c r="ADM147" s="293"/>
      <c r="ADN147" s="294"/>
      <c r="ADT147" s="292"/>
      <c r="ADU147" s="293"/>
      <c r="ADV147" s="294"/>
      <c r="AEB147" s="292"/>
      <c r="AEC147" s="293"/>
      <c r="AED147" s="294"/>
      <c r="AEJ147" s="292"/>
      <c r="AEK147" s="293"/>
      <c r="AEL147" s="294"/>
      <c r="AER147" s="292"/>
      <c r="AES147" s="293"/>
      <c r="AET147" s="294"/>
      <c r="AEZ147" s="292"/>
      <c r="AFA147" s="293"/>
      <c r="AFB147" s="294"/>
      <c r="AFH147" s="292"/>
      <c r="AFI147" s="293"/>
      <c r="AFJ147" s="294"/>
      <c r="AFP147" s="292"/>
      <c r="AFQ147" s="293"/>
      <c r="AFR147" s="294"/>
      <c r="AFX147" s="292"/>
      <c r="AFY147" s="293"/>
      <c r="AFZ147" s="294"/>
      <c r="AGF147" s="292"/>
      <c r="AGG147" s="293"/>
      <c r="AGH147" s="294"/>
      <c r="AGN147" s="292"/>
      <c r="AGO147" s="293"/>
      <c r="AGP147" s="294"/>
      <c r="AGV147" s="292"/>
      <c r="AGW147" s="293"/>
      <c r="AGX147" s="294"/>
      <c r="AHD147" s="292"/>
      <c r="AHE147" s="293"/>
      <c r="AHF147" s="294"/>
      <c r="AHL147" s="292"/>
      <c r="AHM147" s="293"/>
      <c r="AHN147" s="294"/>
      <c r="AHT147" s="292"/>
      <c r="AHU147" s="293"/>
      <c r="AHV147" s="294"/>
      <c r="AIB147" s="292"/>
      <c r="AIC147" s="293"/>
      <c r="AID147" s="294"/>
      <c r="AIJ147" s="292"/>
      <c r="AIK147" s="293"/>
      <c r="AIL147" s="294"/>
      <c r="AIR147" s="292"/>
      <c r="AIS147" s="293"/>
      <c r="AIT147" s="294"/>
      <c r="AIZ147" s="292"/>
      <c r="AJA147" s="293"/>
      <c r="AJB147" s="294"/>
      <c r="AJH147" s="292"/>
      <c r="AJI147" s="293"/>
      <c r="AJJ147" s="294"/>
      <c r="AJP147" s="292"/>
      <c r="AJQ147" s="293"/>
      <c r="AJR147" s="294"/>
      <c r="AJX147" s="292"/>
      <c r="AJY147" s="293"/>
      <c r="AJZ147" s="294"/>
      <c r="AKF147" s="292"/>
      <c r="AKG147" s="293"/>
      <c r="AKH147" s="294"/>
      <c r="AKN147" s="292"/>
      <c r="AKO147" s="293"/>
      <c r="AKP147" s="294"/>
      <c r="AKV147" s="292"/>
      <c r="AKW147" s="293"/>
      <c r="AKX147" s="294"/>
      <c r="ALD147" s="292"/>
      <c r="ALE147" s="293"/>
      <c r="ALF147" s="294"/>
      <c r="ALL147" s="292"/>
      <c r="ALM147" s="293"/>
      <c r="ALN147" s="294"/>
      <c r="ALT147" s="292"/>
      <c r="ALU147" s="293"/>
      <c r="ALV147" s="294"/>
      <c r="AMB147" s="292"/>
      <c r="AMC147" s="293"/>
      <c r="AMD147" s="294"/>
      <c r="AMJ147" s="292"/>
      <c r="AMK147" s="293"/>
      <c r="AML147" s="294"/>
      <c r="AMR147" s="292"/>
      <c r="AMS147" s="293"/>
      <c r="AMT147" s="294"/>
      <c r="AMZ147" s="292"/>
      <c r="ANA147" s="293"/>
      <c r="ANB147" s="294"/>
      <c r="ANH147" s="292"/>
      <c r="ANI147" s="293"/>
      <c r="ANJ147" s="294"/>
      <c r="ANP147" s="292"/>
      <c r="ANQ147" s="293"/>
      <c r="ANR147" s="294"/>
      <c r="ANX147" s="292"/>
      <c r="ANY147" s="293"/>
      <c r="ANZ147" s="294"/>
      <c r="AOF147" s="292"/>
      <c r="AOG147" s="293"/>
      <c r="AOH147" s="294"/>
      <c r="AON147" s="292"/>
      <c r="AOO147" s="293"/>
      <c r="AOP147" s="294"/>
      <c r="AOV147" s="292"/>
      <c r="AOW147" s="293"/>
      <c r="AOX147" s="294"/>
      <c r="APD147" s="292"/>
      <c r="APE147" s="293"/>
      <c r="APF147" s="294"/>
      <c r="APL147" s="292"/>
      <c r="APM147" s="293"/>
      <c r="APN147" s="294"/>
      <c r="APT147" s="292"/>
      <c r="APU147" s="293"/>
      <c r="APV147" s="294"/>
      <c r="AQB147" s="292"/>
      <c r="AQC147" s="293"/>
      <c r="AQD147" s="294"/>
      <c r="AQJ147" s="292"/>
      <c r="AQK147" s="293"/>
      <c r="AQL147" s="294"/>
      <c r="AQR147" s="292"/>
      <c r="AQS147" s="293"/>
      <c r="AQT147" s="294"/>
      <c r="AQZ147" s="292"/>
      <c r="ARA147" s="293"/>
      <c r="ARB147" s="294"/>
      <c r="ARH147" s="292"/>
      <c r="ARI147" s="293"/>
      <c r="ARJ147" s="294"/>
      <c r="ARP147" s="292"/>
      <c r="ARQ147" s="293"/>
      <c r="ARR147" s="294"/>
      <c r="ARX147" s="292"/>
      <c r="ARY147" s="293"/>
      <c r="ARZ147" s="294"/>
      <c r="ASF147" s="292"/>
      <c r="ASG147" s="293"/>
      <c r="ASH147" s="294"/>
      <c r="ASN147" s="292"/>
      <c r="ASO147" s="293"/>
      <c r="ASP147" s="294"/>
      <c r="ASV147" s="292"/>
      <c r="ASW147" s="293"/>
      <c r="ASX147" s="294"/>
      <c r="ATD147" s="292"/>
      <c r="ATE147" s="293"/>
      <c r="ATF147" s="294"/>
      <c r="ATL147" s="292"/>
      <c r="ATM147" s="293"/>
      <c r="ATN147" s="294"/>
      <c r="ATT147" s="292"/>
      <c r="ATU147" s="293"/>
      <c r="ATV147" s="294"/>
      <c r="AUB147" s="292"/>
      <c r="AUC147" s="293"/>
      <c r="AUD147" s="294"/>
      <c r="AUJ147" s="292"/>
      <c r="AUK147" s="293"/>
      <c r="AUL147" s="294"/>
      <c r="AUR147" s="292"/>
      <c r="AUS147" s="293"/>
      <c r="AUT147" s="294"/>
      <c r="AUZ147" s="292"/>
      <c r="AVA147" s="293"/>
      <c r="AVB147" s="294"/>
      <c r="AVH147" s="292"/>
      <c r="AVI147" s="293"/>
      <c r="AVJ147" s="294"/>
      <c r="AVP147" s="292"/>
      <c r="AVQ147" s="293"/>
      <c r="AVR147" s="294"/>
      <c r="AVX147" s="292"/>
      <c r="AVY147" s="293"/>
      <c r="AVZ147" s="294"/>
      <c r="AWF147" s="292"/>
      <c r="AWG147" s="293"/>
      <c r="AWH147" s="294"/>
      <c r="AWN147" s="292"/>
      <c r="AWO147" s="293"/>
      <c r="AWP147" s="294"/>
      <c r="AWV147" s="292"/>
      <c r="AWW147" s="293"/>
      <c r="AWX147" s="294"/>
      <c r="AXD147" s="292"/>
      <c r="AXE147" s="293"/>
      <c r="AXF147" s="294"/>
      <c r="AXL147" s="292"/>
      <c r="AXM147" s="293"/>
      <c r="AXN147" s="294"/>
      <c r="AXT147" s="292"/>
      <c r="AXU147" s="293"/>
      <c r="AXV147" s="294"/>
      <c r="AYB147" s="292"/>
      <c r="AYC147" s="293"/>
      <c r="AYD147" s="294"/>
      <c r="AYJ147" s="292"/>
      <c r="AYK147" s="293"/>
      <c r="AYL147" s="294"/>
      <c r="AYR147" s="292"/>
      <c r="AYS147" s="293"/>
      <c r="AYT147" s="294"/>
      <c r="AYZ147" s="292"/>
      <c r="AZA147" s="293"/>
      <c r="AZB147" s="294"/>
      <c r="AZH147" s="292"/>
      <c r="AZI147" s="293"/>
      <c r="AZJ147" s="294"/>
      <c r="AZP147" s="292"/>
      <c r="AZQ147" s="293"/>
      <c r="AZR147" s="294"/>
      <c r="AZX147" s="292"/>
      <c r="AZY147" s="293"/>
      <c r="AZZ147" s="294"/>
      <c r="BAF147" s="292"/>
      <c r="BAG147" s="293"/>
      <c r="BAH147" s="294"/>
      <c r="BAN147" s="292"/>
      <c r="BAO147" s="293"/>
      <c r="BAP147" s="294"/>
      <c r="BAV147" s="292"/>
      <c r="BAW147" s="293"/>
      <c r="BAX147" s="294"/>
      <c r="BBD147" s="292"/>
      <c r="BBE147" s="293"/>
      <c r="BBF147" s="294"/>
      <c r="BBL147" s="292"/>
      <c r="BBM147" s="293"/>
      <c r="BBN147" s="294"/>
      <c r="BBT147" s="292"/>
      <c r="BBU147" s="293"/>
      <c r="BBV147" s="294"/>
      <c r="BCB147" s="292"/>
      <c r="BCC147" s="293"/>
      <c r="BCD147" s="294"/>
      <c r="BCJ147" s="292"/>
      <c r="BCK147" s="293"/>
      <c r="BCL147" s="294"/>
      <c r="BCR147" s="292"/>
      <c r="BCS147" s="293"/>
      <c r="BCT147" s="294"/>
      <c r="BCZ147" s="292"/>
      <c r="BDA147" s="293"/>
      <c r="BDB147" s="294"/>
      <c r="BDH147" s="292"/>
      <c r="BDI147" s="293"/>
      <c r="BDJ147" s="294"/>
      <c r="BDP147" s="292"/>
      <c r="BDQ147" s="293"/>
      <c r="BDR147" s="294"/>
      <c r="BDX147" s="292"/>
      <c r="BDY147" s="293"/>
      <c r="BDZ147" s="294"/>
      <c r="BEF147" s="292"/>
      <c r="BEG147" s="293"/>
      <c r="BEH147" s="294"/>
      <c r="BEN147" s="292"/>
      <c r="BEO147" s="293"/>
      <c r="BEP147" s="294"/>
      <c r="BEV147" s="292"/>
      <c r="BEW147" s="293"/>
      <c r="BEX147" s="294"/>
      <c r="BFD147" s="292"/>
      <c r="BFE147" s="293"/>
      <c r="BFF147" s="294"/>
      <c r="BFL147" s="292"/>
      <c r="BFM147" s="293"/>
      <c r="BFN147" s="294"/>
      <c r="BFT147" s="292"/>
      <c r="BFU147" s="293"/>
      <c r="BFV147" s="294"/>
      <c r="BGB147" s="292"/>
      <c r="BGC147" s="293"/>
      <c r="BGD147" s="294"/>
      <c r="BGJ147" s="292"/>
      <c r="BGK147" s="293"/>
      <c r="BGL147" s="294"/>
      <c r="BGR147" s="292"/>
      <c r="BGS147" s="293"/>
      <c r="BGT147" s="294"/>
      <c r="BGZ147" s="292"/>
      <c r="BHA147" s="293"/>
      <c r="BHB147" s="294"/>
      <c r="BHH147" s="292"/>
      <c r="BHI147" s="293"/>
      <c r="BHJ147" s="294"/>
      <c r="BHP147" s="292"/>
      <c r="BHQ147" s="293"/>
      <c r="BHR147" s="294"/>
      <c r="BHX147" s="292"/>
      <c r="BHY147" s="293"/>
      <c r="BHZ147" s="294"/>
      <c r="BIF147" s="292"/>
      <c r="BIG147" s="293"/>
      <c r="BIH147" s="294"/>
      <c r="BIN147" s="292"/>
      <c r="BIO147" s="293"/>
      <c r="BIP147" s="294"/>
      <c r="BIV147" s="292"/>
      <c r="BIW147" s="293"/>
      <c r="BIX147" s="294"/>
      <c r="BJD147" s="292"/>
      <c r="BJE147" s="293"/>
      <c r="BJF147" s="294"/>
      <c r="BJL147" s="292"/>
      <c r="BJM147" s="293"/>
      <c r="BJN147" s="294"/>
      <c r="BJT147" s="292"/>
      <c r="BJU147" s="293"/>
      <c r="BJV147" s="294"/>
      <c r="BKB147" s="292"/>
      <c r="BKC147" s="293"/>
      <c r="BKD147" s="294"/>
      <c r="BKJ147" s="292"/>
      <c r="BKK147" s="293"/>
      <c r="BKL147" s="294"/>
      <c r="BKR147" s="292"/>
      <c r="BKS147" s="293"/>
      <c r="BKT147" s="294"/>
      <c r="BKZ147" s="292"/>
      <c r="BLA147" s="293"/>
      <c r="BLB147" s="294"/>
      <c r="BLH147" s="292"/>
      <c r="BLI147" s="293"/>
      <c r="BLJ147" s="294"/>
      <c r="BLP147" s="292"/>
      <c r="BLQ147" s="293"/>
      <c r="BLR147" s="294"/>
      <c r="BLX147" s="292"/>
      <c r="BLY147" s="293"/>
      <c r="BLZ147" s="294"/>
      <c r="BMF147" s="292"/>
      <c r="BMG147" s="293"/>
      <c r="BMH147" s="294"/>
      <c r="BMN147" s="292"/>
      <c r="BMO147" s="293"/>
      <c r="BMP147" s="294"/>
      <c r="BMV147" s="292"/>
      <c r="BMW147" s="293"/>
      <c r="BMX147" s="294"/>
      <c r="BND147" s="292"/>
      <c r="BNE147" s="293"/>
      <c r="BNF147" s="294"/>
      <c r="BNL147" s="292"/>
      <c r="BNM147" s="293"/>
      <c r="BNN147" s="294"/>
      <c r="BNT147" s="292"/>
      <c r="BNU147" s="293"/>
      <c r="BNV147" s="294"/>
      <c r="BOB147" s="292"/>
      <c r="BOC147" s="293"/>
      <c r="BOD147" s="294"/>
      <c r="BOJ147" s="292"/>
      <c r="BOK147" s="293"/>
      <c r="BOL147" s="294"/>
      <c r="BOR147" s="292"/>
      <c r="BOS147" s="293"/>
      <c r="BOT147" s="294"/>
      <c r="BOZ147" s="292"/>
      <c r="BPA147" s="293"/>
      <c r="BPB147" s="294"/>
      <c r="BPH147" s="292"/>
      <c r="BPI147" s="293"/>
      <c r="BPJ147" s="294"/>
      <c r="BPP147" s="292"/>
      <c r="BPQ147" s="293"/>
      <c r="BPR147" s="294"/>
      <c r="BPX147" s="292"/>
      <c r="BPY147" s="293"/>
      <c r="BPZ147" s="294"/>
      <c r="BQF147" s="292"/>
      <c r="BQG147" s="293"/>
      <c r="BQH147" s="294"/>
      <c r="BQN147" s="292"/>
      <c r="BQO147" s="293"/>
      <c r="BQP147" s="294"/>
      <c r="BQV147" s="292"/>
      <c r="BQW147" s="293"/>
      <c r="BQX147" s="294"/>
      <c r="BRD147" s="292"/>
      <c r="BRE147" s="293"/>
      <c r="BRF147" s="294"/>
      <c r="BRL147" s="292"/>
      <c r="BRM147" s="293"/>
      <c r="BRN147" s="294"/>
      <c r="BRT147" s="292"/>
      <c r="BRU147" s="293"/>
      <c r="BRV147" s="294"/>
      <c r="BSB147" s="292"/>
      <c r="BSC147" s="293"/>
      <c r="BSD147" s="294"/>
      <c r="BSJ147" s="292"/>
      <c r="BSK147" s="293"/>
      <c r="BSL147" s="294"/>
      <c r="BSR147" s="292"/>
      <c r="BSS147" s="293"/>
      <c r="BST147" s="294"/>
      <c r="BSZ147" s="292"/>
      <c r="BTA147" s="293"/>
      <c r="BTB147" s="294"/>
      <c r="BTH147" s="292"/>
      <c r="BTI147" s="293"/>
      <c r="BTJ147" s="294"/>
      <c r="BTP147" s="292"/>
      <c r="BTQ147" s="293"/>
      <c r="BTR147" s="294"/>
      <c r="BTX147" s="292"/>
      <c r="BTY147" s="293"/>
      <c r="BTZ147" s="294"/>
      <c r="BUF147" s="292"/>
      <c r="BUG147" s="293"/>
      <c r="BUH147" s="294"/>
      <c r="BUN147" s="292"/>
      <c r="BUO147" s="293"/>
      <c r="BUP147" s="294"/>
      <c r="BUV147" s="292"/>
      <c r="BUW147" s="293"/>
      <c r="BUX147" s="294"/>
      <c r="BVD147" s="292"/>
      <c r="BVE147" s="293"/>
      <c r="BVF147" s="294"/>
      <c r="BVL147" s="292"/>
      <c r="BVM147" s="293"/>
      <c r="BVN147" s="294"/>
      <c r="BVT147" s="292"/>
      <c r="BVU147" s="293"/>
      <c r="BVV147" s="294"/>
      <c r="BWB147" s="292"/>
      <c r="BWC147" s="293"/>
      <c r="BWD147" s="294"/>
      <c r="BWJ147" s="292"/>
      <c r="BWK147" s="293"/>
      <c r="BWL147" s="294"/>
      <c r="BWR147" s="292"/>
      <c r="BWS147" s="293"/>
      <c r="BWT147" s="294"/>
      <c r="BWZ147" s="292"/>
      <c r="BXA147" s="293"/>
      <c r="BXB147" s="294"/>
      <c r="BXH147" s="292"/>
      <c r="BXI147" s="293"/>
      <c r="BXJ147" s="294"/>
      <c r="BXP147" s="292"/>
      <c r="BXQ147" s="293"/>
      <c r="BXR147" s="294"/>
      <c r="BXX147" s="292"/>
      <c r="BXY147" s="293"/>
      <c r="BXZ147" s="294"/>
      <c r="BYF147" s="292"/>
      <c r="BYG147" s="293"/>
      <c r="BYH147" s="294"/>
      <c r="BYN147" s="292"/>
      <c r="BYO147" s="293"/>
      <c r="BYP147" s="294"/>
      <c r="BYV147" s="292"/>
      <c r="BYW147" s="293"/>
      <c r="BYX147" s="294"/>
      <c r="BZD147" s="292"/>
      <c r="BZE147" s="293"/>
      <c r="BZF147" s="294"/>
      <c r="BZL147" s="292"/>
      <c r="BZM147" s="293"/>
      <c r="BZN147" s="294"/>
      <c r="BZT147" s="292"/>
      <c r="BZU147" s="293"/>
      <c r="BZV147" s="294"/>
      <c r="CAB147" s="292"/>
      <c r="CAC147" s="293"/>
      <c r="CAD147" s="294"/>
      <c r="CAJ147" s="292"/>
      <c r="CAK147" s="293"/>
      <c r="CAL147" s="294"/>
      <c r="CAR147" s="292"/>
      <c r="CAS147" s="293"/>
      <c r="CAT147" s="294"/>
      <c r="CAZ147" s="292"/>
      <c r="CBA147" s="293"/>
      <c r="CBB147" s="294"/>
      <c r="CBH147" s="292"/>
      <c r="CBI147" s="293"/>
      <c r="CBJ147" s="294"/>
      <c r="CBP147" s="292"/>
      <c r="CBQ147" s="293"/>
      <c r="CBR147" s="294"/>
      <c r="CBX147" s="292"/>
      <c r="CBY147" s="293"/>
      <c r="CBZ147" s="294"/>
      <c r="CCF147" s="292"/>
      <c r="CCG147" s="293"/>
      <c r="CCH147" s="294"/>
      <c r="CCN147" s="292"/>
      <c r="CCO147" s="293"/>
      <c r="CCP147" s="294"/>
      <c r="CCV147" s="292"/>
      <c r="CCW147" s="293"/>
      <c r="CCX147" s="294"/>
      <c r="CDD147" s="292"/>
      <c r="CDE147" s="293"/>
      <c r="CDF147" s="294"/>
      <c r="CDL147" s="292"/>
      <c r="CDM147" s="293"/>
      <c r="CDN147" s="294"/>
      <c r="CDT147" s="292"/>
      <c r="CDU147" s="293"/>
      <c r="CDV147" s="294"/>
      <c r="CEB147" s="292"/>
      <c r="CEC147" s="293"/>
      <c r="CED147" s="294"/>
      <c r="CEJ147" s="292"/>
      <c r="CEK147" s="293"/>
      <c r="CEL147" s="294"/>
      <c r="CER147" s="292"/>
      <c r="CES147" s="293"/>
      <c r="CET147" s="294"/>
      <c r="CEZ147" s="292"/>
      <c r="CFA147" s="293"/>
      <c r="CFB147" s="294"/>
      <c r="CFH147" s="292"/>
      <c r="CFI147" s="293"/>
      <c r="CFJ147" s="294"/>
      <c r="CFP147" s="292"/>
      <c r="CFQ147" s="293"/>
      <c r="CFR147" s="294"/>
      <c r="CFX147" s="292"/>
      <c r="CFY147" s="293"/>
      <c r="CFZ147" s="294"/>
      <c r="CGF147" s="292"/>
      <c r="CGG147" s="293"/>
      <c r="CGH147" s="294"/>
      <c r="CGN147" s="292"/>
      <c r="CGO147" s="293"/>
      <c r="CGP147" s="294"/>
      <c r="CGV147" s="292"/>
      <c r="CGW147" s="293"/>
      <c r="CGX147" s="294"/>
      <c r="CHD147" s="292"/>
      <c r="CHE147" s="293"/>
      <c r="CHF147" s="294"/>
      <c r="CHL147" s="292"/>
      <c r="CHM147" s="293"/>
      <c r="CHN147" s="294"/>
      <c r="CHT147" s="292"/>
      <c r="CHU147" s="293"/>
      <c r="CHV147" s="294"/>
      <c r="CIB147" s="292"/>
      <c r="CIC147" s="293"/>
      <c r="CID147" s="294"/>
      <c r="CIJ147" s="292"/>
      <c r="CIK147" s="293"/>
      <c r="CIL147" s="294"/>
      <c r="CIR147" s="292"/>
      <c r="CIS147" s="293"/>
      <c r="CIT147" s="294"/>
      <c r="CIZ147" s="292"/>
      <c r="CJA147" s="293"/>
      <c r="CJB147" s="294"/>
      <c r="CJH147" s="292"/>
      <c r="CJI147" s="293"/>
      <c r="CJJ147" s="294"/>
      <c r="CJP147" s="292"/>
      <c r="CJQ147" s="293"/>
      <c r="CJR147" s="294"/>
      <c r="CJX147" s="292"/>
      <c r="CJY147" s="293"/>
      <c r="CJZ147" s="294"/>
      <c r="CKF147" s="292"/>
      <c r="CKG147" s="293"/>
      <c r="CKH147" s="294"/>
      <c r="CKN147" s="292"/>
      <c r="CKO147" s="293"/>
      <c r="CKP147" s="294"/>
      <c r="CKV147" s="292"/>
      <c r="CKW147" s="293"/>
      <c r="CKX147" s="294"/>
      <c r="CLD147" s="292"/>
      <c r="CLE147" s="293"/>
      <c r="CLF147" s="294"/>
      <c r="CLL147" s="292"/>
      <c r="CLM147" s="293"/>
      <c r="CLN147" s="294"/>
      <c r="CLT147" s="292"/>
      <c r="CLU147" s="293"/>
      <c r="CLV147" s="294"/>
      <c r="CMB147" s="292"/>
      <c r="CMC147" s="293"/>
      <c r="CMD147" s="294"/>
      <c r="CMJ147" s="292"/>
      <c r="CMK147" s="293"/>
      <c r="CML147" s="294"/>
      <c r="CMR147" s="292"/>
      <c r="CMS147" s="293"/>
      <c r="CMT147" s="294"/>
      <c r="CMZ147" s="292"/>
      <c r="CNA147" s="293"/>
      <c r="CNB147" s="294"/>
      <c r="CNH147" s="292"/>
      <c r="CNI147" s="293"/>
      <c r="CNJ147" s="294"/>
      <c r="CNP147" s="292"/>
      <c r="CNQ147" s="293"/>
      <c r="CNR147" s="294"/>
      <c r="CNX147" s="292"/>
      <c r="CNY147" s="293"/>
      <c r="CNZ147" s="294"/>
      <c r="COF147" s="292"/>
      <c r="COG147" s="293"/>
      <c r="COH147" s="294"/>
      <c r="CON147" s="292"/>
      <c r="COO147" s="293"/>
      <c r="COP147" s="294"/>
      <c r="COV147" s="292"/>
      <c r="COW147" s="293"/>
      <c r="COX147" s="294"/>
      <c r="CPD147" s="292"/>
      <c r="CPE147" s="293"/>
      <c r="CPF147" s="294"/>
      <c r="CPL147" s="292"/>
      <c r="CPM147" s="293"/>
      <c r="CPN147" s="294"/>
      <c r="CPT147" s="292"/>
      <c r="CPU147" s="293"/>
      <c r="CPV147" s="294"/>
      <c r="CQB147" s="292"/>
      <c r="CQC147" s="293"/>
      <c r="CQD147" s="294"/>
      <c r="CQJ147" s="292"/>
      <c r="CQK147" s="293"/>
      <c r="CQL147" s="294"/>
      <c r="CQR147" s="292"/>
      <c r="CQS147" s="293"/>
      <c r="CQT147" s="294"/>
      <c r="CQZ147" s="292"/>
      <c r="CRA147" s="293"/>
      <c r="CRB147" s="294"/>
      <c r="CRH147" s="292"/>
      <c r="CRI147" s="293"/>
      <c r="CRJ147" s="294"/>
      <c r="CRP147" s="292"/>
      <c r="CRQ147" s="293"/>
      <c r="CRR147" s="294"/>
      <c r="CRX147" s="292"/>
      <c r="CRY147" s="293"/>
      <c r="CRZ147" s="294"/>
      <c r="CSF147" s="292"/>
      <c r="CSG147" s="293"/>
      <c r="CSH147" s="294"/>
      <c r="CSN147" s="292"/>
      <c r="CSO147" s="293"/>
      <c r="CSP147" s="294"/>
      <c r="CSV147" s="292"/>
      <c r="CSW147" s="293"/>
      <c r="CSX147" s="294"/>
      <c r="CTD147" s="292"/>
      <c r="CTE147" s="293"/>
      <c r="CTF147" s="294"/>
      <c r="CTL147" s="292"/>
      <c r="CTM147" s="293"/>
      <c r="CTN147" s="294"/>
      <c r="CTT147" s="292"/>
      <c r="CTU147" s="293"/>
      <c r="CTV147" s="294"/>
      <c r="CUB147" s="292"/>
      <c r="CUC147" s="293"/>
      <c r="CUD147" s="294"/>
      <c r="CUJ147" s="292"/>
      <c r="CUK147" s="293"/>
      <c r="CUL147" s="294"/>
      <c r="CUR147" s="292"/>
      <c r="CUS147" s="293"/>
      <c r="CUT147" s="294"/>
      <c r="CUZ147" s="292"/>
      <c r="CVA147" s="293"/>
      <c r="CVB147" s="294"/>
      <c r="CVH147" s="292"/>
      <c r="CVI147" s="293"/>
      <c r="CVJ147" s="294"/>
      <c r="CVP147" s="292"/>
      <c r="CVQ147" s="293"/>
      <c r="CVR147" s="294"/>
      <c r="CVX147" s="292"/>
      <c r="CVY147" s="293"/>
      <c r="CVZ147" s="294"/>
      <c r="CWF147" s="292"/>
      <c r="CWG147" s="293"/>
      <c r="CWH147" s="294"/>
      <c r="CWN147" s="292"/>
      <c r="CWO147" s="293"/>
      <c r="CWP147" s="294"/>
      <c r="CWV147" s="292"/>
      <c r="CWW147" s="293"/>
      <c r="CWX147" s="294"/>
      <c r="CXD147" s="292"/>
      <c r="CXE147" s="293"/>
      <c r="CXF147" s="294"/>
      <c r="CXL147" s="292"/>
      <c r="CXM147" s="293"/>
      <c r="CXN147" s="294"/>
      <c r="CXT147" s="292"/>
      <c r="CXU147" s="293"/>
      <c r="CXV147" s="294"/>
      <c r="CYB147" s="292"/>
      <c r="CYC147" s="293"/>
      <c r="CYD147" s="294"/>
      <c r="CYJ147" s="292"/>
      <c r="CYK147" s="293"/>
      <c r="CYL147" s="294"/>
      <c r="CYR147" s="292"/>
      <c r="CYS147" s="293"/>
      <c r="CYT147" s="294"/>
      <c r="CYZ147" s="292"/>
      <c r="CZA147" s="293"/>
      <c r="CZB147" s="294"/>
      <c r="CZH147" s="292"/>
      <c r="CZI147" s="293"/>
      <c r="CZJ147" s="294"/>
      <c r="CZP147" s="292"/>
      <c r="CZQ147" s="293"/>
      <c r="CZR147" s="294"/>
      <c r="CZX147" s="292"/>
      <c r="CZY147" s="293"/>
      <c r="CZZ147" s="294"/>
      <c r="DAF147" s="292"/>
      <c r="DAG147" s="293"/>
      <c r="DAH147" s="294"/>
      <c r="DAN147" s="292"/>
      <c r="DAO147" s="293"/>
      <c r="DAP147" s="294"/>
      <c r="DAV147" s="292"/>
      <c r="DAW147" s="293"/>
      <c r="DAX147" s="294"/>
      <c r="DBD147" s="292"/>
      <c r="DBE147" s="293"/>
      <c r="DBF147" s="294"/>
      <c r="DBL147" s="292"/>
      <c r="DBM147" s="293"/>
      <c r="DBN147" s="294"/>
      <c r="DBT147" s="292"/>
      <c r="DBU147" s="293"/>
      <c r="DBV147" s="294"/>
      <c r="DCB147" s="292"/>
      <c r="DCC147" s="293"/>
      <c r="DCD147" s="294"/>
      <c r="DCJ147" s="292"/>
      <c r="DCK147" s="293"/>
      <c r="DCL147" s="294"/>
      <c r="DCR147" s="292"/>
      <c r="DCS147" s="293"/>
      <c r="DCT147" s="294"/>
      <c r="DCZ147" s="292"/>
      <c r="DDA147" s="293"/>
      <c r="DDB147" s="294"/>
      <c r="DDH147" s="292"/>
      <c r="DDI147" s="293"/>
      <c r="DDJ147" s="294"/>
      <c r="DDP147" s="292"/>
      <c r="DDQ147" s="293"/>
      <c r="DDR147" s="294"/>
      <c r="DDX147" s="292"/>
      <c r="DDY147" s="293"/>
      <c r="DDZ147" s="294"/>
      <c r="DEF147" s="292"/>
      <c r="DEG147" s="293"/>
      <c r="DEH147" s="294"/>
      <c r="DEN147" s="292"/>
      <c r="DEO147" s="293"/>
      <c r="DEP147" s="294"/>
      <c r="DEV147" s="292"/>
      <c r="DEW147" s="293"/>
      <c r="DEX147" s="294"/>
      <c r="DFD147" s="292"/>
      <c r="DFE147" s="293"/>
      <c r="DFF147" s="294"/>
      <c r="DFL147" s="292"/>
      <c r="DFM147" s="293"/>
      <c r="DFN147" s="294"/>
      <c r="DFT147" s="292"/>
      <c r="DFU147" s="293"/>
      <c r="DFV147" s="294"/>
      <c r="DGB147" s="292"/>
      <c r="DGC147" s="293"/>
      <c r="DGD147" s="294"/>
      <c r="DGJ147" s="292"/>
      <c r="DGK147" s="293"/>
      <c r="DGL147" s="294"/>
      <c r="DGR147" s="292"/>
      <c r="DGS147" s="293"/>
      <c r="DGT147" s="294"/>
      <c r="DGZ147" s="292"/>
      <c r="DHA147" s="293"/>
      <c r="DHB147" s="294"/>
      <c r="DHH147" s="292"/>
      <c r="DHI147" s="293"/>
      <c r="DHJ147" s="294"/>
      <c r="DHP147" s="292"/>
      <c r="DHQ147" s="293"/>
      <c r="DHR147" s="294"/>
      <c r="DHX147" s="292"/>
      <c r="DHY147" s="293"/>
      <c r="DHZ147" s="294"/>
      <c r="DIF147" s="292"/>
      <c r="DIG147" s="293"/>
      <c r="DIH147" s="294"/>
      <c r="DIN147" s="292"/>
      <c r="DIO147" s="293"/>
      <c r="DIP147" s="294"/>
      <c r="DIV147" s="292"/>
      <c r="DIW147" s="293"/>
      <c r="DIX147" s="294"/>
      <c r="DJD147" s="292"/>
      <c r="DJE147" s="293"/>
      <c r="DJF147" s="294"/>
      <c r="DJL147" s="292"/>
      <c r="DJM147" s="293"/>
      <c r="DJN147" s="294"/>
      <c r="DJT147" s="292"/>
      <c r="DJU147" s="293"/>
      <c r="DJV147" s="294"/>
      <c r="DKB147" s="292"/>
      <c r="DKC147" s="293"/>
      <c r="DKD147" s="294"/>
      <c r="DKJ147" s="292"/>
      <c r="DKK147" s="293"/>
      <c r="DKL147" s="294"/>
      <c r="DKR147" s="292"/>
      <c r="DKS147" s="293"/>
      <c r="DKT147" s="294"/>
      <c r="DKZ147" s="292"/>
      <c r="DLA147" s="293"/>
      <c r="DLB147" s="294"/>
      <c r="DLH147" s="292"/>
      <c r="DLI147" s="293"/>
      <c r="DLJ147" s="294"/>
      <c r="DLP147" s="292"/>
      <c r="DLQ147" s="293"/>
      <c r="DLR147" s="294"/>
      <c r="DLX147" s="292"/>
      <c r="DLY147" s="293"/>
      <c r="DLZ147" s="294"/>
      <c r="DMF147" s="292"/>
      <c r="DMG147" s="293"/>
      <c r="DMH147" s="294"/>
      <c r="DMN147" s="292"/>
      <c r="DMO147" s="293"/>
      <c r="DMP147" s="294"/>
      <c r="DMV147" s="292"/>
      <c r="DMW147" s="293"/>
      <c r="DMX147" s="294"/>
      <c r="DND147" s="292"/>
      <c r="DNE147" s="293"/>
      <c r="DNF147" s="294"/>
      <c r="DNL147" s="292"/>
      <c r="DNM147" s="293"/>
      <c r="DNN147" s="294"/>
      <c r="DNT147" s="292"/>
      <c r="DNU147" s="293"/>
      <c r="DNV147" s="294"/>
      <c r="DOB147" s="292"/>
      <c r="DOC147" s="293"/>
      <c r="DOD147" s="294"/>
      <c r="DOJ147" s="292"/>
      <c r="DOK147" s="293"/>
      <c r="DOL147" s="294"/>
      <c r="DOR147" s="292"/>
      <c r="DOS147" s="293"/>
      <c r="DOT147" s="294"/>
      <c r="DOZ147" s="292"/>
      <c r="DPA147" s="293"/>
      <c r="DPB147" s="294"/>
      <c r="DPH147" s="292"/>
      <c r="DPI147" s="293"/>
      <c r="DPJ147" s="294"/>
      <c r="DPP147" s="292"/>
      <c r="DPQ147" s="293"/>
      <c r="DPR147" s="294"/>
      <c r="DPX147" s="292"/>
      <c r="DPY147" s="293"/>
      <c r="DPZ147" s="294"/>
      <c r="DQF147" s="292"/>
      <c r="DQG147" s="293"/>
      <c r="DQH147" s="294"/>
      <c r="DQN147" s="292"/>
      <c r="DQO147" s="293"/>
      <c r="DQP147" s="294"/>
      <c r="DQV147" s="292"/>
      <c r="DQW147" s="293"/>
      <c r="DQX147" s="294"/>
      <c r="DRD147" s="292"/>
      <c r="DRE147" s="293"/>
      <c r="DRF147" s="294"/>
      <c r="DRL147" s="292"/>
      <c r="DRM147" s="293"/>
      <c r="DRN147" s="294"/>
      <c r="DRT147" s="292"/>
      <c r="DRU147" s="293"/>
      <c r="DRV147" s="294"/>
      <c r="DSB147" s="292"/>
      <c r="DSC147" s="293"/>
      <c r="DSD147" s="294"/>
      <c r="DSJ147" s="292"/>
      <c r="DSK147" s="293"/>
      <c r="DSL147" s="294"/>
      <c r="DSR147" s="292"/>
      <c r="DSS147" s="293"/>
      <c r="DST147" s="294"/>
      <c r="DSZ147" s="292"/>
      <c r="DTA147" s="293"/>
      <c r="DTB147" s="294"/>
      <c r="DTH147" s="292"/>
      <c r="DTI147" s="293"/>
      <c r="DTJ147" s="294"/>
      <c r="DTP147" s="292"/>
      <c r="DTQ147" s="293"/>
      <c r="DTR147" s="294"/>
      <c r="DTX147" s="292"/>
      <c r="DTY147" s="293"/>
      <c r="DTZ147" s="294"/>
      <c r="DUF147" s="292"/>
      <c r="DUG147" s="293"/>
      <c r="DUH147" s="294"/>
      <c r="DUN147" s="292"/>
      <c r="DUO147" s="293"/>
      <c r="DUP147" s="294"/>
      <c r="DUV147" s="292"/>
      <c r="DUW147" s="293"/>
      <c r="DUX147" s="294"/>
      <c r="DVD147" s="292"/>
      <c r="DVE147" s="293"/>
      <c r="DVF147" s="294"/>
      <c r="DVL147" s="292"/>
      <c r="DVM147" s="293"/>
      <c r="DVN147" s="294"/>
      <c r="DVT147" s="292"/>
      <c r="DVU147" s="293"/>
      <c r="DVV147" s="294"/>
      <c r="DWB147" s="292"/>
      <c r="DWC147" s="293"/>
      <c r="DWD147" s="294"/>
      <c r="DWJ147" s="292"/>
      <c r="DWK147" s="293"/>
      <c r="DWL147" s="294"/>
      <c r="DWR147" s="292"/>
      <c r="DWS147" s="293"/>
      <c r="DWT147" s="294"/>
      <c r="DWZ147" s="292"/>
      <c r="DXA147" s="293"/>
      <c r="DXB147" s="294"/>
      <c r="DXH147" s="292"/>
      <c r="DXI147" s="293"/>
      <c r="DXJ147" s="294"/>
      <c r="DXP147" s="292"/>
      <c r="DXQ147" s="293"/>
      <c r="DXR147" s="294"/>
      <c r="DXX147" s="292"/>
      <c r="DXY147" s="293"/>
      <c r="DXZ147" s="294"/>
      <c r="DYF147" s="292"/>
      <c r="DYG147" s="293"/>
      <c r="DYH147" s="294"/>
      <c r="DYN147" s="292"/>
      <c r="DYO147" s="293"/>
      <c r="DYP147" s="294"/>
      <c r="DYV147" s="292"/>
      <c r="DYW147" s="293"/>
      <c r="DYX147" s="294"/>
      <c r="DZD147" s="292"/>
      <c r="DZE147" s="293"/>
      <c r="DZF147" s="294"/>
      <c r="DZL147" s="292"/>
      <c r="DZM147" s="293"/>
      <c r="DZN147" s="294"/>
      <c r="DZT147" s="292"/>
      <c r="DZU147" s="293"/>
      <c r="DZV147" s="294"/>
      <c r="EAB147" s="292"/>
      <c r="EAC147" s="293"/>
      <c r="EAD147" s="294"/>
      <c r="EAJ147" s="292"/>
      <c r="EAK147" s="293"/>
      <c r="EAL147" s="294"/>
      <c r="EAR147" s="292"/>
      <c r="EAS147" s="293"/>
      <c r="EAT147" s="294"/>
      <c r="EAZ147" s="292"/>
      <c r="EBA147" s="293"/>
      <c r="EBB147" s="294"/>
      <c r="EBH147" s="292"/>
      <c r="EBI147" s="293"/>
      <c r="EBJ147" s="294"/>
      <c r="EBP147" s="292"/>
      <c r="EBQ147" s="293"/>
      <c r="EBR147" s="294"/>
      <c r="EBX147" s="292"/>
      <c r="EBY147" s="293"/>
      <c r="EBZ147" s="294"/>
      <c r="ECF147" s="292"/>
      <c r="ECG147" s="293"/>
      <c r="ECH147" s="294"/>
      <c r="ECN147" s="292"/>
      <c r="ECO147" s="293"/>
      <c r="ECP147" s="294"/>
      <c r="ECV147" s="292"/>
      <c r="ECW147" s="293"/>
      <c r="ECX147" s="294"/>
      <c r="EDD147" s="292"/>
      <c r="EDE147" s="293"/>
      <c r="EDF147" s="294"/>
      <c r="EDL147" s="292"/>
      <c r="EDM147" s="293"/>
      <c r="EDN147" s="294"/>
      <c r="EDT147" s="292"/>
      <c r="EDU147" s="293"/>
      <c r="EDV147" s="294"/>
      <c r="EEB147" s="292"/>
      <c r="EEC147" s="293"/>
      <c r="EED147" s="294"/>
      <c r="EEJ147" s="292"/>
      <c r="EEK147" s="293"/>
      <c r="EEL147" s="294"/>
      <c r="EER147" s="292"/>
      <c r="EES147" s="293"/>
      <c r="EET147" s="294"/>
      <c r="EEZ147" s="292"/>
      <c r="EFA147" s="293"/>
      <c r="EFB147" s="294"/>
      <c r="EFH147" s="292"/>
      <c r="EFI147" s="293"/>
      <c r="EFJ147" s="294"/>
      <c r="EFP147" s="292"/>
      <c r="EFQ147" s="293"/>
      <c r="EFR147" s="294"/>
      <c r="EFX147" s="292"/>
      <c r="EFY147" s="293"/>
      <c r="EFZ147" s="294"/>
      <c r="EGF147" s="292"/>
      <c r="EGG147" s="293"/>
      <c r="EGH147" s="294"/>
      <c r="EGN147" s="292"/>
      <c r="EGO147" s="293"/>
      <c r="EGP147" s="294"/>
      <c r="EGV147" s="292"/>
      <c r="EGW147" s="293"/>
      <c r="EGX147" s="294"/>
      <c r="EHD147" s="292"/>
      <c r="EHE147" s="293"/>
      <c r="EHF147" s="294"/>
      <c r="EHL147" s="292"/>
      <c r="EHM147" s="293"/>
      <c r="EHN147" s="294"/>
      <c r="EHT147" s="292"/>
      <c r="EHU147" s="293"/>
      <c r="EHV147" s="294"/>
      <c r="EIB147" s="292"/>
      <c r="EIC147" s="293"/>
      <c r="EID147" s="294"/>
      <c r="EIJ147" s="292"/>
      <c r="EIK147" s="293"/>
      <c r="EIL147" s="294"/>
      <c r="EIR147" s="292"/>
      <c r="EIS147" s="293"/>
      <c r="EIT147" s="294"/>
      <c r="EIZ147" s="292"/>
      <c r="EJA147" s="293"/>
      <c r="EJB147" s="294"/>
      <c r="EJH147" s="292"/>
      <c r="EJI147" s="293"/>
      <c r="EJJ147" s="294"/>
      <c r="EJP147" s="292"/>
      <c r="EJQ147" s="293"/>
      <c r="EJR147" s="294"/>
      <c r="EJX147" s="292"/>
      <c r="EJY147" s="293"/>
      <c r="EJZ147" s="294"/>
      <c r="EKF147" s="292"/>
      <c r="EKG147" s="293"/>
      <c r="EKH147" s="294"/>
      <c r="EKN147" s="292"/>
      <c r="EKO147" s="293"/>
      <c r="EKP147" s="294"/>
      <c r="EKV147" s="292"/>
      <c r="EKW147" s="293"/>
      <c r="EKX147" s="294"/>
      <c r="ELD147" s="292"/>
      <c r="ELE147" s="293"/>
      <c r="ELF147" s="294"/>
      <c r="ELL147" s="292"/>
      <c r="ELM147" s="293"/>
      <c r="ELN147" s="294"/>
      <c r="ELT147" s="292"/>
      <c r="ELU147" s="293"/>
      <c r="ELV147" s="294"/>
      <c r="EMB147" s="292"/>
      <c r="EMC147" s="293"/>
      <c r="EMD147" s="294"/>
      <c r="EMJ147" s="292"/>
      <c r="EMK147" s="293"/>
      <c r="EML147" s="294"/>
      <c r="EMR147" s="292"/>
      <c r="EMS147" s="293"/>
      <c r="EMT147" s="294"/>
      <c r="EMZ147" s="292"/>
      <c r="ENA147" s="293"/>
      <c r="ENB147" s="294"/>
      <c r="ENH147" s="292"/>
      <c r="ENI147" s="293"/>
      <c r="ENJ147" s="294"/>
      <c r="ENP147" s="292"/>
      <c r="ENQ147" s="293"/>
      <c r="ENR147" s="294"/>
      <c r="ENX147" s="292"/>
      <c r="ENY147" s="293"/>
      <c r="ENZ147" s="294"/>
      <c r="EOF147" s="292"/>
      <c r="EOG147" s="293"/>
      <c r="EOH147" s="294"/>
      <c r="EON147" s="292"/>
      <c r="EOO147" s="293"/>
      <c r="EOP147" s="294"/>
      <c r="EOV147" s="292"/>
      <c r="EOW147" s="293"/>
      <c r="EOX147" s="294"/>
      <c r="EPD147" s="292"/>
      <c r="EPE147" s="293"/>
      <c r="EPF147" s="294"/>
      <c r="EPL147" s="292"/>
      <c r="EPM147" s="293"/>
      <c r="EPN147" s="294"/>
      <c r="EPT147" s="292"/>
      <c r="EPU147" s="293"/>
      <c r="EPV147" s="294"/>
      <c r="EQB147" s="292"/>
      <c r="EQC147" s="293"/>
      <c r="EQD147" s="294"/>
      <c r="EQJ147" s="292"/>
      <c r="EQK147" s="293"/>
      <c r="EQL147" s="294"/>
      <c r="EQR147" s="292"/>
      <c r="EQS147" s="293"/>
      <c r="EQT147" s="294"/>
      <c r="EQZ147" s="292"/>
      <c r="ERA147" s="293"/>
      <c r="ERB147" s="294"/>
      <c r="ERH147" s="292"/>
      <c r="ERI147" s="293"/>
      <c r="ERJ147" s="294"/>
      <c r="ERP147" s="292"/>
      <c r="ERQ147" s="293"/>
      <c r="ERR147" s="294"/>
      <c r="ERX147" s="292"/>
      <c r="ERY147" s="293"/>
      <c r="ERZ147" s="294"/>
      <c r="ESF147" s="292"/>
      <c r="ESG147" s="293"/>
      <c r="ESH147" s="294"/>
      <c r="ESN147" s="292"/>
      <c r="ESO147" s="293"/>
      <c r="ESP147" s="294"/>
      <c r="ESV147" s="292"/>
      <c r="ESW147" s="293"/>
      <c r="ESX147" s="294"/>
      <c r="ETD147" s="292"/>
      <c r="ETE147" s="293"/>
      <c r="ETF147" s="294"/>
      <c r="ETL147" s="292"/>
      <c r="ETM147" s="293"/>
      <c r="ETN147" s="294"/>
      <c r="ETT147" s="292"/>
      <c r="ETU147" s="293"/>
      <c r="ETV147" s="294"/>
      <c r="EUB147" s="292"/>
      <c r="EUC147" s="293"/>
      <c r="EUD147" s="294"/>
      <c r="EUJ147" s="292"/>
      <c r="EUK147" s="293"/>
      <c r="EUL147" s="294"/>
      <c r="EUR147" s="292"/>
      <c r="EUS147" s="293"/>
      <c r="EUT147" s="294"/>
      <c r="EUZ147" s="292"/>
      <c r="EVA147" s="293"/>
      <c r="EVB147" s="294"/>
      <c r="EVH147" s="292"/>
      <c r="EVI147" s="293"/>
      <c r="EVJ147" s="294"/>
      <c r="EVP147" s="292"/>
      <c r="EVQ147" s="293"/>
      <c r="EVR147" s="294"/>
      <c r="EVX147" s="292"/>
      <c r="EVY147" s="293"/>
      <c r="EVZ147" s="294"/>
      <c r="EWF147" s="292"/>
      <c r="EWG147" s="293"/>
      <c r="EWH147" s="294"/>
      <c r="EWN147" s="292"/>
      <c r="EWO147" s="293"/>
      <c r="EWP147" s="294"/>
      <c r="EWV147" s="292"/>
      <c r="EWW147" s="293"/>
      <c r="EWX147" s="294"/>
      <c r="EXD147" s="292"/>
      <c r="EXE147" s="293"/>
      <c r="EXF147" s="294"/>
      <c r="EXL147" s="292"/>
      <c r="EXM147" s="293"/>
      <c r="EXN147" s="294"/>
      <c r="EXT147" s="292"/>
      <c r="EXU147" s="293"/>
      <c r="EXV147" s="294"/>
      <c r="EYB147" s="292"/>
      <c r="EYC147" s="293"/>
      <c r="EYD147" s="294"/>
      <c r="EYJ147" s="292"/>
      <c r="EYK147" s="293"/>
      <c r="EYL147" s="294"/>
      <c r="EYR147" s="292"/>
      <c r="EYS147" s="293"/>
      <c r="EYT147" s="294"/>
      <c r="EYZ147" s="292"/>
      <c r="EZA147" s="293"/>
      <c r="EZB147" s="294"/>
      <c r="EZH147" s="292"/>
      <c r="EZI147" s="293"/>
      <c r="EZJ147" s="294"/>
      <c r="EZP147" s="292"/>
      <c r="EZQ147" s="293"/>
      <c r="EZR147" s="294"/>
      <c r="EZX147" s="292"/>
      <c r="EZY147" s="293"/>
      <c r="EZZ147" s="294"/>
      <c r="FAF147" s="292"/>
      <c r="FAG147" s="293"/>
      <c r="FAH147" s="294"/>
      <c r="FAN147" s="292"/>
      <c r="FAO147" s="293"/>
      <c r="FAP147" s="294"/>
      <c r="FAV147" s="292"/>
      <c r="FAW147" s="293"/>
      <c r="FAX147" s="294"/>
      <c r="FBD147" s="292"/>
      <c r="FBE147" s="293"/>
      <c r="FBF147" s="294"/>
      <c r="FBL147" s="292"/>
      <c r="FBM147" s="293"/>
      <c r="FBN147" s="294"/>
      <c r="FBT147" s="292"/>
      <c r="FBU147" s="293"/>
      <c r="FBV147" s="294"/>
      <c r="FCB147" s="292"/>
      <c r="FCC147" s="293"/>
      <c r="FCD147" s="294"/>
      <c r="FCJ147" s="292"/>
      <c r="FCK147" s="293"/>
      <c r="FCL147" s="294"/>
      <c r="FCR147" s="292"/>
      <c r="FCS147" s="293"/>
      <c r="FCT147" s="294"/>
      <c r="FCZ147" s="292"/>
      <c r="FDA147" s="293"/>
      <c r="FDB147" s="294"/>
      <c r="FDH147" s="292"/>
      <c r="FDI147" s="293"/>
      <c r="FDJ147" s="294"/>
      <c r="FDP147" s="292"/>
      <c r="FDQ147" s="293"/>
      <c r="FDR147" s="294"/>
      <c r="FDX147" s="292"/>
      <c r="FDY147" s="293"/>
      <c r="FDZ147" s="294"/>
      <c r="FEF147" s="292"/>
      <c r="FEG147" s="293"/>
      <c r="FEH147" s="294"/>
      <c r="FEN147" s="292"/>
      <c r="FEO147" s="293"/>
      <c r="FEP147" s="294"/>
      <c r="FEV147" s="292"/>
      <c r="FEW147" s="293"/>
      <c r="FEX147" s="294"/>
      <c r="FFD147" s="292"/>
      <c r="FFE147" s="293"/>
      <c r="FFF147" s="294"/>
      <c r="FFL147" s="292"/>
      <c r="FFM147" s="293"/>
      <c r="FFN147" s="294"/>
      <c r="FFT147" s="292"/>
      <c r="FFU147" s="293"/>
      <c r="FFV147" s="294"/>
      <c r="FGB147" s="292"/>
      <c r="FGC147" s="293"/>
      <c r="FGD147" s="294"/>
      <c r="FGJ147" s="292"/>
      <c r="FGK147" s="293"/>
      <c r="FGL147" s="294"/>
      <c r="FGR147" s="292"/>
      <c r="FGS147" s="293"/>
      <c r="FGT147" s="294"/>
      <c r="FGZ147" s="292"/>
      <c r="FHA147" s="293"/>
      <c r="FHB147" s="294"/>
      <c r="FHH147" s="292"/>
      <c r="FHI147" s="293"/>
      <c r="FHJ147" s="294"/>
      <c r="FHP147" s="292"/>
      <c r="FHQ147" s="293"/>
      <c r="FHR147" s="294"/>
      <c r="FHX147" s="292"/>
      <c r="FHY147" s="293"/>
      <c r="FHZ147" s="294"/>
      <c r="FIF147" s="292"/>
      <c r="FIG147" s="293"/>
      <c r="FIH147" s="294"/>
      <c r="FIN147" s="292"/>
      <c r="FIO147" s="293"/>
      <c r="FIP147" s="294"/>
      <c r="FIV147" s="292"/>
      <c r="FIW147" s="293"/>
      <c r="FIX147" s="294"/>
      <c r="FJD147" s="292"/>
      <c r="FJE147" s="293"/>
      <c r="FJF147" s="294"/>
      <c r="FJL147" s="292"/>
      <c r="FJM147" s="293"/>
      <c r="FJN147" s="294"/>
      <c r="FJT147" s="292"/>
      <c r="FJU147" s="293"/>
      <c r="FJV147" s="294"/>
      <c r="FKB147" s="292"/>
      <c r="FKC147" s="293"/>
      <c r="FKD147" s="294"/>
      <c r="FKJ147" s="292"/>
      <c r="FKK147" s="293"/>
      <c r="FKL147" s="294"/>
      <c r="FKR147" s="292"/>
      <c r="FKS147" s="293"/>
      <c r="FKT147" s="294"/>
      <c r="FKZ147" s="292"/>
      <c r="FLA147" s="293"/>
      <c r="FLB147" s="294"/>
      <c r="FLH147" s="292"/>
      <c r="FLI147" s="293"/>
      <c r="FLJ147" s="294"/>
      <c r="FLP147" s="292"/>
      <c r="FLQ147" s="293"/>
      <c r="FLR147" s="294"/>
      <c r="FLX147" s="292"/>
      <c r="FLY147" s="293"/>
      <c r="FLZ147" s="294"/>
      <c r="FMF147" s="292"/>
      <c r="FMG147" s="293"/>
      <c r="FMH147" s="294"/>
      <c r="FMN147" s="292"/>
      <c r="FMO147" s="293"/>
      <c r="FMP147" s="294"/>
      <c r="FMV147" s="292"/>
      <c r="FMW147" s="293"/>
      <c r="FMX147" s="294"/>
      <c r="FND147" s="292"/>
      <c r="FNE147" s="293"/>
      <c r="FNF147" s="294"/>
      <c r="FNL147" s="292"/>
      <c r="FNM147" s="293"/>
      <c r="FNN147" s="294"/>
      <c r="FNT147" s="292"/>
      <c r="FNU147" s="293"/>
      <c r="FNV147" s="294"/>
      <c r="FOB147" s="292"/>
      <c r="FOC147" s="293"/>
      <c r="FOD147" s="294"/>
      <c r="FOJ147" s="292"/>
      <c r="FOK147" s="293"/>
      <c r="FOL147" s="294"/>
      <c r="FOR147" s="292"/>
      <c r="FOS147" s="293"/>
      <c r="FOT147" s="294"/>
      <c r="FOZ147" s="292"/>
      <c r="FPA147" s="293"/>
      <c r="FPB147" s="294"/>
      <c r="FPH147" s="292"/>
      <c r="FPI147" s="293"/>
      <c r="FPJ147" s="294"/>
      <c r="FPP147" s="292"/>
      <c r="FPQ147" s="293"/>
      <c r="FPR147" s="294"/>
      <c r="FPX147" s="292"/>
      <c r="FPY147" s="293"/>
      <c r="FPZ147" s="294"/>
      <c r="FQF147" s="292"/>
      <c r="FQG147" s="293"/>
      <c r="FQH147" s="294"/>
      <c r="FQN147" s="292"/>
      <c r="FQO147" s="293"/>
      <c r="FQP147" s="294"/>
      <c r="FQV147" s="292"/>
      <c r="FQW147" s="293"/>
      <c r="FQX147" s="294"/>
      <c r="FRD147" s="292"/>
      <c r="FRE147" s="293"/>
      <c r="FRF147" s="294"/>
      <c r="FRL147" s="292"/>
      <c r="FRM147" s="293"/>
      <c r="FRN147" s="294"/>
      <c r="FRT147" s="292"/>
      <c r="FRU147" s="293"/>
      <c r="FRV147" s="294"/>
      <c r="FSB147" s="292"/>
      <c r="FSC147" s="293"/>
      <c r="FSD147" s="294"/>
      <c r="FSJ147" s="292"/>
      <c r="FSK147" s="293"/>
      <c r="FSL147" s="294"/>
      <c r="FSR147" s="292"/>
      <c r="FSS147" s="293"/>
      <c r="FST147" s="294"/>
      <c r="FSZ147" s="292"/>
      <c r="FTA147" s="293"/>
      <c r="FTB147" s="294"/>
      <c r="FTH147" s="292"/>
      <c r="FTI147" s="293"/>
      <c r="FTJ147" s="294"/>
      <c r="FTP147" s="292"/>
      <c r="FTQ147" s="293"/>
      <c r="FTR147" s="294"/>
      <c r="FTX147" s="292"/>
      <c r="FTY147" s="293"/>
      <c r="FTZ147" s="294"/>
      <c r="FUF147" s="292"/>
      <c r="FUG147" s="293"/>
      <c r="FUH147" s="294"/>
      <c r="FUN147" s="292"/>
      <c r="FUO147" s="293"/>
      <c r="FUP147" s="294"/>
      <c r="FUV147" s="292"/>
      <c r="FUW147" s="293"/>
      <c r="FUX147" s="294"/>
      <c r="FVD147" s="292"/>
      <c r="FVE147" s="293"/>
      <c r="FVF147" s="294"/>
      <c r="FVL147" s="292"/>
      <c r="FVM147" s="293"/>
      <c r="FVN147" s="294"/>
      <c r="FVT147" s="292"/>
      <c r="FVU147" s="293"/>
      <c r="FVV147" s="294"/>
      <c r="FWB147" s="292"/>
      <c r="FWC147" s="293"/>
      <c r="FWD147" s="294"/>
      <c r="FWJ147" s="292"/>
      <c r="FWK147" s="293"/>
      <c r="FWL147" s="294"/>
      <c r="FWR147" s="292"/>
      <c r="FWS147" s="293"/>
      <c r="FWT147" s="294"/>
      <c r="FWZ147" s="292"/>
      <c r="FXA147" s="293"/>
      <c r="FXB147" s="294"/>
      <c r="FXH147" s="292"/>
      <c r="FXI147" s="293"/>
      <c r="FXJ147" s="294"/>
      <c r="FXP147" s="292"/>
      <c r="FXQ147" s="293"/>
      <c r="FXR147" s="294"/>
      <c r="FXX147" s="292"/>
      <c r="FXY147" s="293"/>
      <c r="FXZ147" s="294"/>
      <c r="FYF147" s="292"/>
      <c r="FYG147" s="293"/>
      <c r="FYH147" s="294"/>
      <c r="FYN147" s="292"/>
      <c r="FYO147" s="293"/>
      <c r="FYP147" s="294"/>
      <c r="FYV147" s="292"/>
      <c r="FYW147" s="293"/>
      <c r="FYX147" s="294"/>
      <c r="FZD147" s="292"/>
      <c r="FZE147" s="293"/>
      <c r="FZF147" s="294"/>
      <c r="FZL147" s="292"/>
      <c r="FZM147" s="293"/>
      <c r="FZN147" s="294"/>
      <c r="FZT147" s="292"/>
      <c r="FZU147" s="293"/>
      <c r="FZV147" s="294"/>
      <c r="GAB147" s="292"/>
      <c r="GAC147" s="293"/>
      <c r="GAD147" s="294"/>
      <c r="GAJ147" s="292"/>
      <c r="GAK147" s="293"/>
      <c r="GAL147" s="294"/>
      <c r="GAR147" s="292"/>
      <c r="GAS147" s="293"/>
      <c r="GAT147" s="294"/>
      <c r="GAZ147" s="292"/>
      <c r="GBA147" s="293"/>
      <c r="GBB147" s="294"/>
      <c r="GBH147" s="292"/>
      <c r="GBI147" s="293"/>
      <c r="GBJ147" s="294"/>
      <c r="GBP147" s="292"/>
      <c r="GBQ147" s="293"/>
      <c r="GBR147" s="294"/>
      <c r="GBX147" s="292"/>
      <c r="GBY147" s="293"/>
      <c r="GBZ147" s="294"/>
      <c r="GCF147" s="292"/>
      <c r="GCG147" s="293"/>
      <c r="GCH147" s="294"/>
      <c r="GCN147" s="292"/>
      <c r="GCO147" s="293"/>
      <c r="GCP147" s="294"/>
      <c r="GCV147" s="292"/>
      <c r="GCW147" s="293"/>
      <c r="GCX147" s="294"/>
      <c r="GDD147" s="292"/>
      <c r="GDE147" s="293"/>
      <c r="GDF147" s="294"/>
      <c r="GDL147" s="292"/>
      <c r="GDM147" s="293"/>
      <c r="GDN147" s="294"/>
      <c r="GDT147" s="292"/>
      <c r="GDU147" s="293"/>
      <c r="GDV147" s="294"/>
      <c r="GEB147" s="292"/>
      <c r="GEC147" s="293"/>
      <c r="GED147" s="294"/>
      <c r="GEJ147" s="292"/>
      <c r="GEK147" s="293"/>
      <c r="GEL147" s="294"/>
      <c r="GER147" s="292"/>
      <c r="GES147" s="293"/>
      <c r="GET147" s="294"/>
      <c r="GEZ147" s="292"/>
      <c r="GFA147" s="293"/>
      <c r="GFB147" s="294"/>
      <c r="GFH147" s="292"/>
      <c r="GFI147" s="293"/>
      <c r="GFJ147" s="294"/>
      <c r="GFP147" s="292"/>
      <c r="GFQ147" s="293"/>
      <c r="GFR147" s="294"/>
      <c r="GFX147" s="292"/>
      <c r="GFY147" s="293"/>
      <c r="GFZ147" s="294"/>
      <c r="GGF147" s="292"/>
      <c r="GGG147" s="293"/>
      <c r="GGH147" s="294"/>
      <c r="GGN147" s="292"/>
      <c r="GGO147" s="293"/>
      <c r="GGP147" s="294"/>
      <c r="GGV147" s="292"/>
      <c r="GGW147" s="293"/>
      <c r="GGX147" s="294"/>
      <c r="GHD147" s="292"/>
      <c r="GHE147" s="293"/>
      <c r="GHF147" s="294"/>
      <c r="GHL147" s="292"/>
      <c r="GHM147" s="293"/>
      <c r="GHN147" s="294"/>
      <c r="GHT147" s="292"/>
      <c r="GHU147" s="293"/>
      <c r="GHV147" s="294"/>
      <c r="GIB147" s="292"/>
      <c r="GIC147" s="293"/>
      <c r="GID147" s="294"/>
      <c r="GIJ147" s="292"/>
      <c r="GIK147" s="293"/>
      <c r="GIL147" s="294"/>
      <c r="GIR147" s="292"/>
      <c r="GIS147" s="293"/>
      <c r="GIT147" s="294"/>
      <c r="GIZ147" s="292"/>
      <c r="GJA147" s="293"/>
      <c r="GJB147" s="294"/>
      <c r="GJH147" s="292"/>
      <c r="GJI147" s="293"/>
      <c r="GJJ147" s="294"/>
      <c r="GJP147" s="292"/>
      <c r="GJQ147" s="293"/>
      <c r="GJR147" s="294"/>
      <c r="GJX147" s="292"/>
      <c r="GJY147" s="293"/>
      <c r="GJZ147" s="294"/>
      <c r="GKF147" s="292"/>
      <c r="GKG147" s="293"/>
      <c r="GKH147" s="294"/>
      <c r="GKN147" s="292"/>
      <c r="GKO147" s="293"/>
      <c r="GKP147" s="294"/>
      <c r="GKV147" s="292"/>
      <c r="GKW147" s="293"/>
      <c r="GKX147" s="294"/>
      <c r="GLD147" s="292"/>
      <c r="GLE147" s="293"/>
      <c r="GLF147" s="294"/>
      <c r="GLL147" s="292"/>
      <c r="GLM147" s="293"/>
      <c r="GLN147" s="294"/>
      <c r="GLT147" s="292"/>
      <c r="GLU147" s="293"/>
      <c r="GLV147" s="294"/>
      <c r="GMB147" s="292"/>
      <c r="GMC147" s="293"/>
      <c r="GMD147" s="294"/>
      <c r="GMJ147" s="292"/>
      <c r="GMK147" s="293"/>
      <c r="GML147" s="294"/>
      <c r="GMR147" s="292"/>
      <c r="GMS147" s="293"/>
      <c r="GMT147" s="294"/>
      <c r="GMZ147" s="292"/>
      <c r="GNA147" s="293"/>
      <c r="GNB147" s="294"/>
      <c r="GNH147" s="292"/>
      <c r="GNI147" s="293"/>
      <c r="GNJ147" s="294"/>
      <c r="GNP147" s="292"/>
      <c r="GNQ147" s="293"/>
      <c r="GNR147" s="294"/>
      <c r="GNX147" s="292"/>
      <c r="GNY147" s="293"/>
      <c r="GNZ147" s="294"/>
      <c r="GOF147" s="292"/>
      <c r="GOG147" s="293"/>
      <c r="GOH147" s="294"/>
      <c r="GON147" s="292"/>
      <c r="GOO147" s="293"/>
      <c r="GOP147" s="294"/>
      <c r="GOV147" s="292"/>
      <c r="GOW147" s="293"/>
      <c r="GOX147" s="294"/>
      <c r="GPD147" s="292"/>
      <c r="GPE147" s="293"/>
      <c r="GPF147" s="294"/>
      <c r="GPL147" s="292"/>
      <c r="GPM147" s="293"/>
      <c r="GPN147" s="294"/>
      <c r="GPT147" s="292"/>
      <c r="GPU147" s="293"/>
      <c r="GPV147" s="294"/>
      <c r="GQB147" s="292"/>
      <c r="GQC147" s="293"/>
      <c r="GQD147" s="294"/>
      <c r="GQJ147" s="292"/>
      <c r="GQK147" s="293"/>
      <c r="GQL147" s="294"/>
      <c r="GQR147" s="292"/>
      <c r="GQS147" s="293"/>
      <c r="GQT147" s="294"/>
      <c r="GQZ147" s="292"/>
      <c r="GRA147" s="293"/>
      <c r="GRB147" s="294"/>
      <c r="GRH147" s="292"/>
      <c r="GRI147" s="293"/>
      <c r="GRJ147" s="294"/>
      <c r="GRP147" s="292"/>
      <c r="GRQ147" s="293"/>
      <c r="GRR147" s="294"/>
      <c r="GRX147" s="292"/>
      <c r="GRY147" s="293"/>
      <c r="GRZ147" s="294"/>
      <c r="GSF147" s="292"/>
      <c r="GSG147" s="293"/>
      <c r="GSH147" s="294"/>
      <c r="GSN147" s="292"/>
      <c r="GSO147" s="293"/>
      <c r="GSP147" s="294"/>
      <c r="GSV147" s="292"/>
      <c r="GSW147" s="293"/>
      <c r="GSX147" s="294"/>
      <c r="GTD147" s="292"/>
      <c r="GTE147" s="293"/>
      <c r="GTF147" s="294"/>
      <c r="GTL147" s="292"/>
      <c r="GTM147" s="293"/>
      <c r="GTN147" s="294"/>
      <c r="GTT147" s="292"/>
      <c r="GTU147" s="293"/>
      <c r="GTV147" s="294"/>
      <c r="GUB147" s="292"/>
      <c r="GUC147" s="293"/>
      <c r="GUD147" s="294"/>
      <c r="GUJ147" s="292"/>
      <c r="GUK147" s="293"/>
      <c r="GUL147" s="294"/>
      <c r="GUR147" s="292"/>
      <c r="GUS147" s="293"/>
      <c r="GUT147" s="294"/>
      <c r="GUZ147" s="292"/>
      <c r="GVA147" s="293"/>
      <c r="GVB147" s="294"/>
      <c r="GVH147" s="292"/>
      <c r="GVI147" s="293"/>
      <c r="GVJ147" s="294"/>
      <c r="GVP147" s="292"/>
      <c r="GVQ147" s="293"/>
      <c r="GVR147" s="294"/>
      <c r="GVX147" s="292"/>
      <c r="GVY147" s="293"/>
      <c r="GVZ147" s="294"/>
      <c r="GWF147" s="292"/>
      <c r="GWG147" s="293"/>
      <c r="GWH147" s="294"/>
      <c r="GWN147" s="292"/>
      <c r="GWO147" s="293"/>
      <c r="GWP147" s="294"/>
      <c r="GWV147" s="292"/>
      <c r="GWW147" s="293"/>
      <c r="GWX147" s="294"/>
      <c r="GXD147" s="292"/>
      <c r="GXE147" s="293"/>
      <c r="GXF147" s="294"/>
      <c r="GXL147" s="292"/>
      <c r="GXM147" s="293"/>
      <c r="GXN147" s="294"/>
      <c r="GXT147" s="292"/>
      <c r="GXU147" s="293"/>
      <c r="GXV147" s="294"/>
      <c r="GYB147" s="292"/>
      <c r="GYC147" s="293"/>
      <c r="GYD147" s="294"/>
      <c r="GYJ147" s="292"/>
      <c r="GYK147" s="293"/>
      <c r="GYL147" s="294"/>
      <c r="GYR147" s="292"/>
      <c r="GYS147" s="293"/>
      <c r="GYT147" s="294"/>
      <c r="GYZ147" s="292"/>
      <c r="GZA147" s="293"/>
      <c r="GZB147" s="294"/>
      <c r="GZH147" s="292"/>
      <c r="GZI147" s="293"/>
      <c r="GZJ147" s="294"/>
      <c r="GZP147" s="292"/>
      <c r="GZQ147" s="293"/>
      <c r="GZR147" s="294"/>
      <c r="GZX147" s="292"/>
      <c r="GZY147" s="293"/>
      <c r="GZZ147" s="294"/>
      <c r="HAF147" s="292"/>
      <c r="HAG147" s="293"/>
      <c r="HAH147" s="294"/>
      <c r="HAN147" s="292"/>
      <c r="HAO147" s="293"/>
      <c r="HAP147" s="294"/>
      <c r="HAV147" s="292"/>
      <c r="HAW147" s="293"/>
      <c r="HAX147" s="294"/>
      <c r="HBD147" s="292"/>
      <c r="HBE147" s="293"/>
      <c r="HBF147" s="294"/>
      <c r="HBL147" s="292"/>
      <c r="HBM147" s="293"/>
      <c r="HBN147" s="294"/>
      <c r="HBT147" s="292"/>
      <c r="HBU147" s="293"/>
      <c r="HBV147" s="294"/>
      <c r="HCB147" s="292"/>
      <c r="HCC147" s="293"/>
      <c r="HCD147" s="294"/>
      <c r="HCJ147" s="292"/>
      <c r="HCK147" s="293"/>
      <c r="HCL147" s="294"/>
      <c r="HCR147" s="292"/>
      <c r="HCS147" s="293"/>
      <c r="HCT147" s="294"/>
      <c r="HCZ147" s="292"/>
      <c r="HDA147" s="293"/>
      <c r="HDB147" s="294"/>
      <c r="HDH147" s="292"/>
      <c r="HDI147" s="293"/>
      <c r="HDJ147" s="294"/>
      <c r="HDP147" s="292"/>
      <c r="HDQ147" s="293"/>
      <c r="HDR147" s="294"/>
      <c r="HDX147" s="292"/>
      <c r="HDY147" s="293"/>
      <c r="HDZ147" s="294"/>
      <c r="HEF147" s="292"/>
      <c r="HEG147" s="293"/>
      <c r="HEH147" s="294"/>
      <c r="HEN147" s="292"/>
      <c r="HEO147" s="293"/>
      <c r="HEP147" s="294"/>
      <c r="HEV147" s="292"/>
      <c r="HEW147" s="293"/>
      <c r="HEX147" s="294"/>
      <c r="HFD147" s="292"/>
      <c r="HFE147" s="293"/>
      <c r="HFF147" s="294"/>
      <c r="HFL147" s="292"/>
      <c r="HFM147" s="293"/>
      <c r="HFN147" s="294"/>
      <c r="HFT147" s="292"/>
      <c r="HFU147" s="293"/>
      <c r="HFV147" s="294"/>
      <c r="HGB147" s="292"/>
      <c r="HGC147" s="293"/>
      <c r="HGD147" s="294"/>
      <c r="HGJ147" s="292"/>
      <c r="HGK147" s="293"/>
      <c r="HGL147" s="294"/>
      <c r="HGR147" s="292"/>
      <c r="HGS147" s="293"/>
      <c r="HGT147" s="294"/>
      <c r="HGZ147" s="292"/>
      <c r="HHA147" s="293"/>
      <c r="HHB147" s="294"/>
      <c r="HHH147" s="292"/>
      <c r="HHI147" s="293"/>
      <c r="HHJ147" s="294"/>
      <c r="HHP147" s="292"/>
      <c r="HHQ147" s="293"/>
      <c r="HHR147" s="294"/>
      <c r="HHX147" s="292"/>
      <c r="HHY147" s="293"/>
      <c r="HHZ147" s="294"/>
      <c r="HIF147" s="292"/>
      <c r="HIG147" s="293"/>
      <c r="HIH147" s="294"/>
      <c r="HIN147" s="292"/>
      <c r="HIO147" s="293"/>
      <c r="HIP147" s="294"/>
      <c r="HIV147" s="292"/>
      <c r="HIW147" s="293"/>
      <c r="HIX147" s="294"/>
      <c r="HJD147" s="292"/>
      <c r="HJE147" s="293"/>
      <c r="HJF147" s="294"/>
      <c r="HJL147" s="292"/>
      <c r="HJM147" s="293"/>
      <c r="HJN147" s="294"/>
      <c r="HJT147" s="292"/>
      <c r="HJU147" s="293"/>
      <c r="HJV147" s="294"/>
      <c r="HKB147" s="292"/>
      <c r="HKC147" s="293"/>
      <c r="HKD147" s="294"/>
      <c r="HKJ147" s="292"/>
      <c r="HKK147" s="293"/>
      <c r="HKL147" s="294"/>
      <c r="HKR147" s="292"/>
      <c r="HKS147" s="293"/>
      <c r="HKT147" s="294"/>
      <c r="HKZ147" s="292"/>
      <c r="HLA147" s="293"/>
      <c r="HLB147" s="294"/>
      <c r="HLH147" s="292"/>
      <c r="HLI147" s="293"/>
      <c r="HLJ147" s="294"/>
      <c r="HLP147" s="292"/>
      <c r="HLQ147" s="293"/>
      <c r="HLR147" s="294"/>
      <c r="HLX147" s="292"/>
      <c r="HLY147" s="293"/>
      <c r="HLZ147" s="294"/>
      <c r="HMF147" s="292"/>
      <c r="HMG147" s="293"/>
      <c r="HMH147" s="294"/>
      <c r="HMN147" s="292"/>
      <c r="HMO147" s="293"/>
      <c r="HMP147" s="294"/>
      <c r="HMV147" s="292"/>
      <c r="HMW147" s="293"/>
      <c r="HMX147" s="294"/>
      <c r="HND147" s="292"/>
      <c r="HNE147" s="293"/>
      <c r="HNF147" s="294"/>
      <c r="HNL147" s="292"/>
      <c r="HNM147" s="293"/>
      <c r="HNN147" s="294"/>
      <c r="HNT147" s="292"/>
      <c r="HNU147" s="293"/>
      <c r="HNV147" s="294"/>
      <c r="HOB147" s="292"/>
      <c r="HOC147" s="293"/>
      <c r="HOD147" s="294"/>
      <c r="HOJ147" s="292"/>
      <c r="HOK147" s="293"/>
      <c r="HOL147" s="294"/>
      <c r="HOR147" s="292"/>
      <c r="HOS147" s="293"/>
      <c r="HOT147" s="294"/>
      <c r="HOZ147" s="292"/>
      <c r="HPA147" s="293"/>
      <c r="HPB147" s="294"/>
      <c r="HPH147" s="292"/>
      <c r="HPI147" s="293"/>
      <c r="HPJ147" s="294"/>
      <c r="HPP147" s="292"/>
      <c r="HPQ147" s="293"/>
      <c r="HPR147" s="294"/>
      <c r="HPX147" s="292"/>
      <c r="HPY147" s="293"/>
      <c r="HPZ147" s="294"/>
      <c r="HQF147" s="292"/>
      <c r="HQG147" s="293"/>
      <c r="HQH147" s="294"/>
      <c r="HQN147" s="292"/>
      <c r="HQO147" s="293"/>
      <c r="HQP147" s="294"/>
      <c r="HQV147" s="292"/>
      <c r="HQW147" s="293"/>
      <c r="HQX147" s="294"/>
      <c r="HRD147" s="292"/>
      <c r="HRE147" s="293"/>
      <c r="HRF147" s="294"/>
      <c r="HRL147" s="292"/>
      <c r="HRM147" s="293"/>
      <c r="HRN147" s="294"/>
      <c r="HRT147" s="292"/>
      <c r="HRU147" s="293"/>
      <c r="HRV147" s="294"/>
      <c r="HSB147" s="292"/>
      <c r="HSC147" s="293"/>
      <c r="HSD147" s="294"/>
      <c r="HSJ147" s="292"/>
      <c r="HSK147" s="293"/>
      <c r="HSL147" s="294"/>
      <c r="HSR147" s="292"/>
      <c r="HSS147" s="293"/>
      <c r="HST147" s="294"/>
      <c r="HSZ147" s="292"/>
      <c r="HTA147" s="293"/>
      <c r="HTB147" s="294"/>
      <c r="HTH147" s="292"/>
      <c r="HTI147" s="293"/>
      <c r="HTJ147" s="294"/>
      <c r="HTP147" s="292"/>
      <c r="HTQ147" s="293"/>
      <c r="HTR147" s="294"/>
      <c r="HTX147" s="292"/>
      <c r="HTY147" s="293"/>
      <c r="HTZ147" s="294"/>
      <c r="HUF147" s="292"/>
      <c r="HUG147" s="293"/>
      <c r="HUH147" s="294"/>
      <c r="HUN147" s="292"/>
      <c r="HUO147" s="293"/>
      <c r="HUP147" s="294"/>
      <c r="HUV147" s="292"/>
      <c r="HUW147" s="293"/>
      <c r="HUX147" s="294"/>
      <c r="HVD147" s="292"/>
      <c r="HVE147" s="293"/>
      <c r="HVF147" s="294"/>
      <c r="HVL147" s="292"/>
      <c r="HVM147" s="293"/>
      <c r="HVN147" s="294"/>
      <c r="HVT147" s="292"/>
      <c r="HVU147" s="293"/>
      <c r="HVV147" s="294"/>
      <c r="HWB147" s="292"/>
      <c r="HWC147" s="293"/>
      <c r="HWD147" s="294"/>
      <c r="HWJ147" s="292"/>
      <c r="HWK147" s="293"/>
      <c r="HWL147" s="294"/>
      <c r="HWR147" s="292"/>
      <c r="HWS147" s="293"/>
      <c r="HWT147" s="294"/>
      <c r="HWZ147" s="292"/>
      <c r="HXA147" s="293"/>
      <c r="HXB147" s="294"/>
      <c r="HXH147" s="292"/>
      <c r="HXI147" s="293"/>
      <c r="HXJ147" s="294"/>
      <c r="HXP147" s="292"/>
      <c r="HXQ147" s="293"/>
      <c r="HXR147" s="294"/>
      <c r="HXX147" s="292"/>
      <c r="HXY147" s="293"/>
      <c r="HXZ147" s="294"/>
      <c r="HYF147" s="292"/>
      <c r="HYG147" s="293"/>
      <c r="HYH147" s="294"/>
      <c r="HYN147" s="292"/>
      <c r="HYO147" s="293"/>
      <c r="HYP147" s="294"/>
      <c r="HYV147" s="292"/>
      <c r="HYW147" s="293"/>
      <c r="HYX147" s="294"/>
      <c r="HZD147" s="292"/>
      <c r="HZE147" s="293"/>
      <c r="HZF147" s="294"/>
      <c r="HZL147" s="292"/>
      <c r="HZM147" s="293"/>
      <c r="HZN147" s="294"/>
      <c r="HZT147" s="292"/>
      <c r="HZU147" s="293"/>
      <c r="HZV147" s="294"/>
      <c r="IAB147" s="292"/>
      <c r="IAC147" s="293"/>
      <c r="IAD147" s="294"/>
      <c r="IAJ147" s="292"/>
      <c r="IAK147" s="293"/>
      <c r="IAL147" s="294"/>
      <c r="IAR147" s="292"/>
      <c r="IAS147" s="293"/>
      <c r="IAT147" s="294"/>
      <c r="IAZ147" s="292"/>
      <c r="IBA147" s="293"/>
      <c r="IBB147" s="294"/>
      <c r="IBH147" s="292"/>
      <c r="IBI147" s="293"/>
      <c r="IBJ147" s="294"/>
      <c r="IBP147" s="292"/>
      <c r="IBQ147" s="293"/>
      <c r="IBR147" s="294"/>
      <c r="IBX147" s="292"/>
      <c r="IBY147" s="293"/>
      <c r="IBZ147" s="294"/>
      <c r="ICF147" s="292"/>
      <c r="ICG147" s="293"/>
      <c r="ICH147" s="294"/>
      <c r="ICN147" s="292"/>
      <c r="ICO147" s="293"/>
      <c r="ICP147" s="294"/>
      <c r="ICV147" s="292"/>
      <c r="ICW147" s="293"/>
      <c r="ICX147" s="294"/>
      <c r="IDD147" s="292"/>
      <c r="IDE147" s="293"/>
      <c r="IDF147" s="294"/>
      <c r="IDL147" s="292"/>
      <c r="IDM147" s="293"/>
      <c r="IDN147" s="294"/>
      <c r="IDT147" s="292"/>
      <c r="IDU147" s="293"/>
      <c r="IDV147" s="294"/>
      <c r="IEB147" s="292"/>
      <c r="IEC147" s="293"/>
      <c r="IED147" s="294"/>
      <c r="IEJ147" s="292"/>
      <c r="IEK147" s="293"/>
      <c r="IEL147" s="294"/>
      <c r="IER147" s="292"/>
      <c r="IES147" s="293"/>
      <c r="IET147" s="294"/>
      <c r="IEZ147" s="292"/>
      <c r="IFA147" s="293"/>
      <c r="IFB147" s="294"/>
      <c r="IFH147" s="292"/>
      <c r="IFI147" s="293"/>
      <c r="IFJ147" s="294"/>
      <c r="IFP147" s="292"/>
      <c r="IFQ147" s="293"/>
      <c r="IFR147" s="294"/>
      <c r="IFX147" s="292"/>
      <c r="IFY147" s="293"/>
      <c r="IFZ147" s="294"/>
      <c r="IGF147" s="292"/>
      <c r="IGG147" s="293"/>
      <c r="IGH147" s="294"/>
      <c r="IGN147" s="292"/>
      <c r="IGO147" s="293"/>
      <c r="IGP147" s="294"/>
      <c r="IGV147" s="292"/>
      <c r="IGW147" s="293"/>
      <c r="IGX147" s="294"/>
      <c r="IHD147" s="292"/>
      <c r="IHE147" s="293"/>
      <c r="IHF147" s="294"/>
      <c r="IHL147" s="292"/>
      <c r="IHM147" s="293"/>
      <c r="IHN147" s="294"/>
      <c r="IHT147" s="292"/>
      <c r="IHU147" s="293"/>
      <c r="IHV147" s="294"/>
      <c r="IIB147" s="292"/>
      <c r="IIC147" s="293"/>
      <c r="IID147" s="294"/>
      <c r="IIJ147" s="292"/>
      <c r="IIK147" s="293"/>
      <c r="IIL147" s="294"/>
      <c r="IIR147" s="292"/>
      <c r="IIS147" s="293"/>
      <c r="IIT147" s="294"/>
      <c r="IIZ147" s="292"/>
      <c r="IJA147" s="293"/>
      <c r="IJB147" s="294"/>
      <c r="IJH147" s="292"/>
      <c r="IJI147" s="293"/>
      <c r="IJJ147" s="294"/>
      <c r="IJP147" s="292"/>
      <c r="IJQ147" s="293"/>
      <c r="IJR147" s="294"/>
      <c r="IJX147" s="292"/>
      <c r="IJY147" s="293"/>
      <c r="IJZ147" s="294"/>
      <c r="IKF147" s="292"/>
      <c r="IKG147" s="293"/>
      <c r="IKH147" s="294"/>
      <c r="IKN147" s="292"/>
      <c r="IKO147" s="293"/>
      <c r="IKP147" s="294"/>
      <c r="IKV147" s="292"/>
      <c r="IKW147" s="293"/>
      <c r="IKX147" s="294"/>
      <c r="ILD147" s="292"/>
      <c r="ILE147" s="293"/>
      <c r="ILF147" s="294"/>
      <c r="ILL147" s="292"/>
      <c r="ILM147" s="293"/>
      <c r="ILN147" s="294"/>
      <c r="ILT147" s="292"/>
      <c r="ILU147" s="293"/>
      <c r="ILV147" s="294"/>
      <c r="IMB147" s="292"/>
      <c r="IMC147" s="293"/>
      <c r="IMD147" s="294"/>
      <c r="IMJ147" s="292"/>
      <c r="IMK147" s="293"/>
      <c r="IML147" s="294"/>
      <c r="IMR147" s="292"/>
      <c r="IMS147" s="293"/>
      <c r="IMT147" s="294"/>
      <c r="IMZ147" s="292"/>
      <c r="INA147" s="293"/>
      <c r="INB147" s="294"/>
      <c r="INH147" s="292"/>
      <c r="INI147" s="293"/>
      <c r="INJ147" s="294"/>
      <c r="INP147" s="292"/>
      <c r="INQ147" s="293"/>
      <c r="INR147" s="294"/>
      <c r="INX147" s="292"/>
      <c r="INY147" s="293"/>
      <c r="INZ147" s="294"/>
      <c r="IOF147" s="292"/>
      <c r="IOG147" s="293"/>
      <c r="IOH147" s="294"/>
      <c r="ION147" s="292"/>
      <c r="IOO147" s="293"/>
      <c r="IOP147" s="294"/>
      <c r="IOV147" s="292"/>
      <c r="IOW147" s="293"/>
      <c r="IOX147" s="294"/>
      <c r="IPD147" s="292"/>
      <c r="IPE147" s="293"/>
      <c r="IPF147" s="294"/>
      <c r="IPL147" s="292"/>
      <c r="IPM147" s="293"/>
      <c r="IPN147" s="294"/>
      <c r="IPT147" s="292"/>
      <c r="IPU147" s="293"/>
      <c r="IPV147" s="294"/>
      <c r="IQB147" s="292"/>
      <c r="IQC147" s="293"/>
      <c r="IQD147" s="294"/>
      <c r="IQJ147" s="292"/>
      <c r="IQK147" s="293"/>
      <c r="IQL147" s="294"/>
      <c r="IQR147" s="292"/>
      <c r="IQS147" s="293"/>
      <c r="IQT147" s="294"/>
      <c r="IQZ147" s="292"/>
      <c r="IRA147" s="293"/>
      <c r="IRB147" s="294"/>
      <c r="IRH147" s="292"/>
      <c r="IRI147" s="293"/>
      <c r="IRJ147" s="294"/>
      <c r="IRP147" s="292"/>
      <c r="IRQ147" s="293"/>
      <c r="IRR147" s="294"/>
      <c r="IRX147" s="292"/>
      <c r="IRY147" s="293"/>
      <c r="IRZ147" s="294"/>
      <c r="ISF147" s="292"/>
      <c r="ISG147" s="293"/>
      <c r="ISH147" s="294"/>
      <c r="ISN147" s="292"/>
      <c r="ISO147" s="293"/>
      <c r="ISP147" s="294"/>
      <c r="ISV147" s="292"/>
      <c r="ISW147" s="293"/>
      <c r="ISX147" s="294"/>
      <c r="ITD147" s="292"/>
      <c r="ITE147" s="293"/>
      <c r="ITF147" s="294"/>
      <c r="ITL147" s="292"/>
      <c r="ITM147" s="293"/>
      <c r="ITN147" s="294"/>
      <c r="ITT147" s="292"/>
      <c r="ITU147" s="293"/>
      <c r="ITV147" s="294"/>
      <c r="IUB147" s="292"/>
      <c r="IUC147" s="293"/>
      <c r="IUD147" s="294"/>
      <c r="IUJ147" s="292"/>
      <c r="IUK147" s="293"/>
      <c r="IUL147" s="294"/>
      <c r="IUR147" s="292"/>
      <c r="IUS147" s="293"/>
      <c r="IUT147" s="294"/>
      <c r="IUZ147" s="292"/>
      <c r="IVA147" s="293"/>
      <c r="IVB147" s="294"/>
      <c r="IVH147" s="292"/>
      <c r="IVI147" s="293"/>
      <c r="IVJ147" s="294"/>
      <c r="IVP147" s="292"/>
      <c r="IVQ147" s="293"/>
      <c r="IVR147" s="294"/>
      <c r="IVX147" s="292"/>
      <c r="IVY147" s="293"/>
      <c r="IVZ147" s="294"/>
      <c r="IWF147" s="292"/>
      <c r="IWG147" s="293"/>
      <c r="IWH147" s="294"/>
      <c r="IWN147" s="292"/>
      <c r="IWO147" s="293"/>
      <c r="IWP147" s="294"/>
      <c r="IWV147" s="292"/>
      <c r="IWW147" s="293"/>
      <c r="IWX147" s="294"/>
      <c r="IXD147" s="292"/>
      <c r="IXE147" s="293"/>
      <c r="IXF147" s="294"/>
      <c r="IXL147" s="292"/>
      <c r="IXM147" s="293"/>
      <c r="IXN147" s="294"/>
      <c r="IXT147" s="292"/>
      <c r="IXU147" s="293"/>
      <c r="IXV147" s="294"/>
      <c r="IYB147" s="292"/>
      <c r="IYC147" s="293"/>
      <c r="IYD147" s="294"/>
      <c r="IYJ147" s="292"/>
      <c r="IYK147" s="293"/>
      <c r="IYL147" s="294"/>
      <c r="IYR147" s="292"/>
      <c r="IYS147" s="293"/>
      <c r="IYT147" s="294"/>
      <c r="IYZ147" s="292"/>
      <c r="IZA147" s="293"/>
      <c r="IZB147" s="294"/>
      <c r="IZH147" s="292"/>
      <c r="IZI147" s="293"/>
      <c r="IZJ147" s="294"/>
      <c r="IZP147" s="292"/>
      <c r="IZQ147" s="293"/>
      <c r="IZR147" s="294"/>
      <c r="IZX147" s="292"/>
      <c r="IZY147" s="293"/>
      <c r="IZZ147" s="294"/>
      <c r="JAF147" s="292"/>
      <c r="JAG147" s="293"/>
      <c r="JAH147" s="294"/>
      <c r="JAN147" s="292"/>
      <c r="JAO147" s="293"/>
      <c r="JAP147" s="294"/>
      <c r="JAV147" s="292"/>
      <c r="JAW147" s="293"/>
      <c r="JAX147" s="294"/>
      <c r="JBD147" s="292"/>
      <c r="JBE147" s="293"/>
      <c r="JBF147" s="294"/>
      <c r="JBL147" s="292"/>
      <c r="JBM147" s="293"/>
      <c r="JBN147" s="294"/>
      <c r="JBT147" s="292"/>
      <c r="JBU147" s="293"/>
      <c r="JBV147" s="294"/>
      <c r="JCB147" s="292"/>
      <c r="JCC147" s="293"/>
      <c r="JCD147" s="294"/>
      <c r="JCJ147" s="292"/>
      <c r="JCK147" s="293"/>
      <c r="JCL147" s="294"/>
      <c r="JCR147" s="292"/>
      <c r="JCS147" s="293"/>
      <c r="JCT147" s="294"/>
      <c r="JCZ147" s="292"/>
      <c r="JDA147" s="293"/>
      <c r="JDB147" s="294"/>
      <c r="JDH147" s="292"/>
      <c r="JDI147" s="293"/>
      <c r="JDJ147" s="294"/>
      <c r="JDP147" s="292"/>
      <c r="JDQ147" s="293"/>
      <c r="JDR147" s="294"/>
      <c r="JDX147" s="292"/>
      <c r="JDY147" s="293"/>
      <c r="JDZ147" s="294"/>
      <c r="JEF147" s="292"/>
      <c r="JEG147" s="293"/>
      <c r="JEH147" s="294"/>
      <c r="JEN147" s="292"/>
      <c r="JEO147" s="293"/>
      <c r="JEP147" s="294"/>
      <c r="JEV147" s="292"/>
      <c r="JEW147" s="293"/>
      <c r="JEX147" s="294"/>
      <c r="JFD147" s="292"/>
      <c r="JFE147" s="293"/>
      <c r="JFF147" s="294"/>
      <c r="JFL147" s="292"/>
      <c r="JFM147" s="293"/>
      <c r="JFN147" s="294"/>
      <c r="JFT147" s="292"/>
      <c r="JFU147" s="293"/>
      <c r="JFV147" s="294"/>
      <c r="JGB147" s="292"/>
      <c r="JGC147" s="293"/>
      <c r="JGD147" s="294"/>
      <c r="JGJ147" s="292"/>
      <c r="JGK147" s="293"/>
      <c r="JGL147" s="294"/>
      <c r="JGR147" s="292"/>
      <c r="JGS147" s="293"/>
      <c r="JGT147" s="294"/>
      <c r="JGZ147" s="292"/>
      <c r="JHA147" s="293"/>
      <c r="JHB147" s="294"/>
      <c r="JHH147" s="292"/>
      <c r="JHI147" s="293"/>
      <c r="JHJ147" s="294"/>
      <c r="JHP147" s="292"/>
      <c r="JHQ147" s="293"/>
      <c r="JHR147" s="294"/>
      <c r="JHX147" s="292"/>
      <c r="JHY147" s="293"/>
      <c r="JHZ147" s="294"/>
      <c r="JIF147" s="292"/>
      <c r="JIG147" s="293"/>
      <c r="JIH147" s="294"/>
      <c r="JIN147" s="292"/>
      <c r="JIO147" s="293"/>
      <c r="JIP147" s="294"/>
      <c r="JIV147" s="292"/>
      <c r="JIW147" s="293"/>
      <c r="JIX147" s="294"/>
      <c r="JJD147" s="292"/>
      <c r="JJE147" s="293"/>
      <c r="JJF147" s="294"/>
      <c r="JJL147" s="292"/>
      <c r="JJM147" s="293"/>
      <c r="JJN147" s="294"/>
      <c r="JJT147" s="292"/>
      <c r="JJU147" s="293"/>
      <c r="JJV147" s="294"/>
      <c r="JKB147" s="292"/>
      <c r="JKC147" s="293"/>
      <c r="JKD147" s="294"/>
      <c r="JKJ147" s="292"/>
      <c r="JKK147" s="293"/>
      <c r="JKL147" s="294"/>
      <c r="JKR147" s="292"/>
      <c r="JKS147" s="293"/>
      <c r="JKT147" s="294"/>
      <c r="JKZ147" s="292"/>
      <c r="JLA147" s="293"/>
      <c r="JLB147" s="294"/>
      <c r="JLH147" s="292"/>
      <c r="JLI147" s="293"/>
      <c r="JLJ147" s="294"/>
      <c r="JLP147" s="292"/>
      <c r="JLQ147" s="293"/>
      <c r="JLR147" s="294"/>
      <c r="JLX147" s="292"/>
      <c r="JLY147" s="293"/>
      <c r="JLZ147" s="294"/>
      <c r="JMF147" s="292"/>
      <c r="JMG147" s="293"/>
      <c r="JMH147" s="294"/>
      <c r="JMN147" s="292"/>
      <c r="JMO147" s="293"/>
      <c r="JMP147" s="294"/>
      <c r="JMV147" s="292"/>
      <c r="JMW147" s="293"/>
      <c r="JMX147" s="294"/>
      <c r="JND147" s="292"/>
      <c r="JNE147" s="293"/>
      <c r="JNF147" s="294"/>
      <c r="JNL147" s="292"/>
      <c r="JNM147" s="293"/>
      <c r="JNN147" s="294"/>
      <c r="JNT147" s="292"/>
      <c r="JNU147" s="293"/>
      <c r="JNV147" s="294"/>
      <c r="JOB147" s="292"/>
      <c r="JOC147" s="293"/>
      <c r="JOD147" s="294"/>
      <c r="JOJ147" s="292"/>
      <c r="JOK147" s="293"/>
      <c r="JOL147" s="294"/>
      <c r="JOR147" s="292"/>
      <c r="JOS147" s="293"/>
      <c r="JOT147" s="294"/>
      <c r="JOZ147" s="292"/>
      <c r="JPA147" s="293"/>
      <c r="JPB147" s="294"/>
      <c r="JPH147" s="292"/>
      <c r="JPI147" s="293"/>
      <c r="JPJ147" s="294"/>
      <c r="JPP147" s="292"/>
      <c r="JPQ147" s="293"/>
      <c r="JPR147" s="294"/>
      <c r="JPX147" s="292"/>
      <c r="JPY147" s="293"/>
      <c r="JPZ147" s="294"/>
      <c r="JQF147" s="292"/>
      <c r="JQG147" s="293"/>
      <c r="JQH147" s="294"/>
      <c r="JQN147" s="292"/>
      <c r="JQO147" s="293"/>
      <c r="JQP147" s="294"/>
      <c r="JQV147" s="292"/>
      <c r="JQW147" s="293"/>
      <c r="JQX147" s="294"/>
      <c r="JRD147" s="292"/>
      <c r="JRE147" s="293"/>
      <c r="JRF147" s="294"/>
      <c r="JRL147" s="292"/>
      <c r="JRM147" s="293"/>
      <c r="JRN147" s="294"/>
      <c r="JRT147" s="292"/>
      <c r="JRU147" s="293"/>
      <c r="JRV147" s="294"/>
      <c r="JSB147" s="292"/>
      <c r="JSC147" s="293"/>
      <c r="JSD147" s="294"/>
      <c r="JSJ147" s="292"/>
      <c r="JSK147" s="293"/>
      <c r="JSL147" s="294"/>
      <c r="JSR147" s="292"/>
      <c r="JSS147" s="293"/>
      <c r="JST147" s="294"/>
      <c r="JSZ147" s="292"/>
      <c r="JTA147" s="293"/>
      <c r="JTB147" s="294"/>
      <c r="JTH147" s="292"/>
      <c r="JTI147" s="293"/>
      <c r="JTJ147" s="294"/>
      <c r="JTP147" s="292"/>
      <c r="JTQ147" s="293"/>
      <c r="JTR147" s="294"/>
      <c r="JTX147" s="292"/>
      <c r="JTY147" s="293"/>
      <c r="JTZ147" s="294"/>
      <c r="JUF147" s="292"/>
      <c r="JUG147" s="293"/>
      <c r="JUH147" s="294"/>
      <c r="JUN147" s="292"/>
      <c r="JUO147" s="293"/>
      <c r="JUP147" s="294"/>
      <c r="JUV147" s="292"/>
      <c r="JUW147" s="293"/>
      <c r="JUX147" s="294"/>
      <c r="JVD147" s="292"/>
      <c r="JVE147" s="293"/>
      <c r="JVF147" s="294"/>
      <c r="JVL147" s="292"/>
      <c r="JVM147" s="293"/>
      <c r="JVN147" s="294"/>
      <c r="JVT147" s="292"/>
      <c r="JVU147" s="293"/>
      <c r="JVV147" s="294"/>
      <c r="JWB147" s="292"/>
      <c r="JWC147" s="293"/>
      <c r="JWD147" s="294"/>
      <c r="JWJ147" s="292"/>
      <c r="JWK147" s="293"/>
      <c r="JWL147" s="294"/>
      <c r="JWR147" s="292"/>
      <c r="JWS147" s="293"/>
      <c r="JWT147" s="294"/>
      <c r="JWZ147" s="292"/>
      <c r="JXA147" s="293"/>
      <c r="JXB147" s="294"/>
      <c r="JXH147" s="292"/>
      <c r="JXI147" s="293"/>
      <c r="JXJ147" s="294"/>
      <c r="JXP147" s="292"/>
      <c r="JXQ147" s="293"/>
      <c r="JXR147" s="294"/>
      <c r="JXX147" s="292"/>
      <c r="JXY147" s="293"/>
      <c r="JXZ147" s="294"/>
      <c r="JYF147" s="292"/>
      <c r="JYG147" s="293"/>
      <c r="JYH147" s="294"/>
      <c r="JYN147" s="292"/>
      <c r="JYO147" s="293"/>
      <c r="JYP147" s="294"/>
      <c r="JYV147" s="292"/>
      <c r="JYW147" s="293"/>
      <c r="JYX147" s="294"/>
      <c r="JZD147" s="292"/>
      <c r="JZE147" s="293"/>
      <c r="JZF147" s="294"/>
      <c r="JZL147" s="292"/>
      <c r="JZM147" s="293"/>
      <c r="JZN147" s="294"/>
      <c r="JZT147" s="292"/>
      <c r="JZU147" s="293"/>
      <c r="JZV147" s="294"/>
      <c r="KAB147" s="292"/>
      <c r="KAC147" s="293"/>
      <c r="KAD147" s="294"/>
      <c r="KAJ147" s="292"/>
      <c r="KAK147" s="293"/>
      <c r="KAL147" s="294"/>
      <c r="KAR147" s="292"/>
      <c r="KAS147" s="293"/>
      <c r="KAT147" s="294"/>
      <c r="KAZ147" s="292"/>
      <c r="KBA147" s="293"/>
      <c r="KBB147" s="294"/>
      <c r="KBH147" s="292"/>
      <c r="KBI147" s="293"/>
      <c r="KBJ147" s="294"/>
      <c r="KBP147" s="292"/>
      <c r="KBQ147" s="293"/>
      <c r="KBR147" s="294"/>
      <c r="KBX147" s="292"/>
      <c r="KBY147" s="293"/>
      <c r="KBZ147" s="294"/>
      <c r="KCF147" s="292"/>
      <c r="KCG147" s="293"/>
      <c r="KCH147" s="294"/>
      <c r="KCN147" s="292"/>
      <c r="KCO147" s="293"/>
      <c r="KCP147" s="294"/>
      <c r="KCV147" s="292"/>
      <c r="KCW147" s="293"/>
      <c r="KCX147" s="294"/>
      <c r="KDD147" s="292"/>
      <c r="KDE147" s="293"/>
      <c r="KDF147" s="294"/>
      <c r="KDL147" s="292"/>
      <c r="KDM147" s="293"/>
      <c r="KDN147" s="294"/>
      <c r="KDT147" s="292"/>
      <c r="KDU147" s="293"/>
      <c r="KDV147" s="294"/>
      <c r="KEB147" s="292"/>
      <c r="KEC147" s="293"/>
      <c r="KED147" s="294"/>
      <c r="KEJ147" s="292"/>
      <c r="KEK147" s="293"/>
      <c r="KEL147" s="294"/>
      <c r="KER147" s="292"/>
      <c r="KES147" s="293"/>
      <c r="KET147" s="294"/>
      <c r="KEZ147" s="292"/>
      <c r="KFA147" s="293"/>
      <c r="KFB147" s="294"/>
      <c r="KFH147" s="292"/>
      <c r="KFI147" s="293"/>
      <c r="KFJ147" s="294"/>
      <c r="KFP147" s="292"/>
      <c r="KFQ147" s="293"/>
      <c r="KFR147" s="294"/>
      <c r="KFX147" s="292"/>
      <c r="KFY147" s="293"/>
      <c r="KFZ147" s="294"/>
      <c r="KGF147" s="292"/>
      <c r="KGG147" s="293"/>
      <c r="KGH147" s="294"/>
      <c r="KGN147" s="292"/>
      <c r="KGO147" s="293"/>
      <c r="KGP147" s="294"/>
      <c r="KGV147" s="292"/>
      <c r="KGW147" s="293"/>
      <c r="KGX147" s="294"/>
      <c r="KHD147" s="292"/>
      <c r="KHE147" s="293"/>
      <c r="KHF147" s="294"/>
      <c r="KHL147" s="292"/>
      <c r="KHM147" s="293"/>
      <c r="KHN147" s="294"/>
      <c r="KHT147" s="292"/>
      <c r="KHU147" s="293"/>
      <c r="KHV147" s="294"/>
      <c r="KIB147" s="292"/>
      <c r="KIC147" s="293"/>
      <c r="KID147" s="294"/>
      <c r="KIJ147" s="292"/>
      <c r="KIK147" s="293"/>
      <c r="KIL147" s="294"/>
      <c r="KIR147" s="292"/>
      <c r="KIS147" s="293"/>
      <c r="KIT147" s="294"/>
      <c r="KIZ147" s="292"/>
      <c r="KJA147" s="293"/>
      <c r="KJB147" s="294"/>
      <c r="KJH147" s="292"/>
      <c r="KJI147" s="293"/>
      <c r="KJJ147" s="294"/>
      <c r="KJP147" s="292"/>
      <c r="KJQ147" s="293"/>
      <c r="KJR147" s="294"/>
      <c r="KJX147" s="292"/>
      <c r="KJY147" s="293"/>
      <c r="KJZ147" s="294"/>
      <c r="KKF147" s="292"/>
      <c r="KKG147" s="293"/>
      <c r="KKH147" s="294"/>
      <c r="KKN147" s="292"/>
      <c r="KKO147" s="293"/>
      <c r="KKP147" s="294"/>
      <c r="KKV147" s="292"/>
      <c r="KKW147" s="293"/>
      <c r="KKX147" s="294"/>
      <c r="KLD147" s="292"/>
      <c r="KLE147" s="293"/>
      <c r="KLF147" s="294"/>
      <c r="KLL147" s="292"/>
      <c r="KLM147" s="293"/>
      <c r="KLN147" s="294"/>
      <c r="KLT147" s="292"/>
      <c r="KLU147" s="293"/>
      <c r="KLV147" s="294"/>
      <c r="KMB147" s="292"/>
      <c r="KMC147" s="293"/>
      <c r="KMD147" s="294"/>
      <c r="KMJ147" s="292"/>
      <c r="KMK147" s="293"/>
      <c r="KML147" s="294"/>
      <c r="KMR147" s="292"/>
      <c r="KMS147" s="293"/>
      <c r="KMT147" s="294"/>
      <c r="KMZ147" s="292"/>
      <c r="KNA147" s="293"/>
      <c r="KNB147" s="294"/>
      <c r="KNH147" s="292"/>
      <c r="KNI147" s="293"/>
      <c r="KNJ147" s="294"/>
      <c r="KNP147" s="292"/>
      <c r="KNQ147" s="293"/>
      <c r="KNR147" s="294"/>
      <c r="KNX147" s="292"/>
      <c r="KNY147" s="293"/>
      <c r="KNZ147" s="294"/>
      <c r="KOF147" s="292"/>
      <c r="KOG147" s="293"/>
      <c r="KOH147" s="294"/>
      <c r="KON147" s="292"/>
      <c r="KOO147" s="293"/>
      <c r="KOP147" s="294"/>
      <c r="KOV147" s="292"/>
      <c r="KOW147" s="293"/>
      <c r="KOX147" s="294"/>
      <c r="KPD147" s="292"/>
      <c r="KPE147" s="293"/>
      <c r="KPF147" s="294"/>
      <c r="KPL147" s="292"/>
      <c r="KPM147" s="293"/>
      <c r="KPN147" s="294"/>
      <c r="KPT147" s="292"/>
      <c r="KPU147" s="293"/>
      <c r="KPV147" s="294"/>
      <c r="KQB147" s="292"/>
      <c r="KQC147" s="293"/>
      <c r="KQD147" s="294"/>
      <c r="KQJ147" s="292"/>
      <c r="KQK147" s="293"/>
      <c r="KQL147" s="294"/>
      <c r="KQR147" s="292"/>
      <c r="KQS147" s="293"/>
      <c r="KQT147" s="294"/>
      <c r="KQZ147" s="292"/>
      <c r="KRA147" s="293"/>
      <c r="KRB147" s="294"/>
      <c r="KRH147" s="292"/>
      <c r="KRI147" s="293"/>
      <c r="KRJ147" s="294"/>
      <c r="KRP147" s="292"/>
      <c r="KRQ147" s="293"/>
      <c r="KRR147" s="294"/>
      <c r="KRX147" s="292"/>
      <c r="KRY147" s="293"/>
      <c r="KRZ147" s="294"/>
      <c r="KSF147" s="292"/>
      <c r="KSG147" s="293"/>
      <c r="KSH147" s="294"/>
      <c r="KSN147" s="292"/>
      <c r="KSO147" s="293"/>
      <c r="KSP147" s="294"/>
      <c r="KSV147" s="292"/>
      <c r="KSW147" s="293"/>
      <c r="KSX147" s="294"/>
      <c r="KTD147" s="292"/>
      <c r="KTE147" s="293"/>
      <c r="KTF147" s="294"/>
      <c r="KTL147" s="292"/>
      <c r="KTM147" s="293"/>
      <c r="KTN147" s="294"/>
      <c r="KTT147" s="292"/>
      <c r="KTU147" s="293"/>
      <c r="KTV147" s="294"/>
      <c r="KUB147" s="292"/>
      <c r="KUC147" s="293"/>
      <c r="KUD147" s="294"/>
      <c r="KUJ147" s="292"/>
      <c r="KUK147" s="293"/>
      <c r="KUL147" s="294"/>
      <c r="KUR147" s="292"/>
      <c r="KUS147" s="293"/>
      <c r="KUT147" s="294"/>
      <c r="KUZ147" s="292"/>
      <c r="KVA147" s="293"/>
      <c r="KVB147" s="294"/>
      <c r="KVH147" s="292"/>
      <c r="KVI147" s="293"/>
      <c r="KVJ147" s="294"/>
      <c r="KVP147" s="292"/>
      <c r="KVQ147" s="293"/>
      <c r="KVR147" s="294"/>
      <c r="KVX147" s="292"/>
      <c r="KVY147" s="293"/>
      <c r="KVZ147" s="294"/>
      <c r="KWF147" s="292"/>
      <c r="KWG147" s="293"/>
      <c r="KWH147" s="294"/>
      <c r="KWN147" s="292"/>
      <c r="KWO147" s="293"/>
      <c r="KWP147" s="294"/>
      <c r="KWV147" s="292"/>
      <c r="KWW147" s="293"/>
      <c r="KWX147" s="294"/>
      <c r="KXD147" s="292"/>
      <c r="KXE147" s="293"/>
      <c r="KXF147" s="294"/>
      <c r="KXL147" s="292"/>
      <c r="KXM147" s="293"/>
      <c r="KXN147" s="294"/>
      <c r="KXT147" s="292"/>
      <c r="KXU147" s="293"/>
      <c r="KXV147" s="294"/>
      <c r="KYB147" s="292"/>
      <c r="KYC147" s="293"/>
      <c r="KYD147" s="294"/>
      <c r="KYJ147" s="292"/>
      <c r="KYK147" s="293"/>
      <c r="KYL147" s="294"/>
      <c r="KYR147" s="292"/>
      <c r="KYS147" s="293"/>
      <c r="KYT147" s="294"/>
      <c r="KYZ147" s="292"/>
      <c r="KZA147" s="293"/>
      <c r="KZB147" s="294"/>
      <c r="KZH147" s="292"/>
      <c r="KZI147" s="293"/>
      <c r="KZJ147" s="294"/>
      <c r="KZP147" s="292"/>
      <c r="KZQ147" s="293"/>
      <c r="KZR147" s="294"/>
      <c r="KZX147" s="292"/>
      <c r="KZY147" s="293"/>
      <c r="KZZ147" s="294"/>
      <c r="LAF147" s="292"/>
      <c r="LAG147" s="293"/>
      <c r="LAH147" s="294"/>
      <c r="LAN147" s="292"/>
      <c r="LAO147" s="293"/>
      <c r="LAP147" s="294"/>
      <c r="LAV147" s="292"/>
      <c r="LAW147" s="293"/>
      <c r="LAX147" s="294"/>
      <c r="LBD147" s="292"/>
      <c r="LBE147" s="293"/>
      <c r="LBF147" s="294"/>
      <c r="LBL147" s="292"/>
      <c r="LBM147" s="293"/>
      <c r="LBN147" s="294"/>
      <c r="LBT147" s="292"/>
      <c r="LBU147" s="293"/>
      <c r="LBV147" s="294"/>
      <c r="LCB147" s="292"/>
      <c r="LCC147" s="293"/>
      <c r="LCD147" s="294"/>
      <c r="LCJ147" s="292"/>
      <c r="LCK147" s="293"/>
      <c r="LCL147" s="294"/>
      <c r="LCR147" s="292"/>
      <c r="LCS147" s="293"/>
      <c r="LCT147" s="294"/>
      <c r="LCZ147" s="292"/>
      <c r="LDA147" s="293"/>
      <c r="LDB147" s="294"/>
      <c r="LDH147" s="292"/>
      <c r="LDI147" s="293"/>
      <c r="LDJ147" s="294"/>
      <c r="LDP147" s="292"/>
      <c r="LDQ147" s="293"/>
      <c r="LDR147" s="294"/>
      <c r="LDX147" s="292"/>
      <c r="LDY147" s="293"/>
      <c r="LDZ147" s="294"/>
      <c r="LEF147" s="292"/>
      <c r="LEG147" s="293"/>
      <c r="LEH147" s="294"/>
      <c r="LEN147" s="292"/>
      <c r="LEO147" s="293"/>
      <c r="LEP147" s="294"/>
      <c r="LEV147" s="292"/>
      <c r="LEW147" s="293"/>
      <c r="LEX147" s="294"/>
      <c r="LFD147" s="292"/>
      <c r="LFE147" s="293"/>
      <c r="LFF147" s="294"/>
      <c r="LFL147" s="292"/>
      <c r="LFM147" s="293"/>
      <c r="LFN147" s="294"/>
      <c r="LFT147" s="292"/>
      <c r="LFU147" s="293"/>
      <c r="LFV147" s="294"/>
      <c r="LGB147" s="292"/>
      <c r="LGC147" s="293"/>
      <c r="LGD147" s="294"/>
      <c r="LGJ147" s="292"/>
      <c r="LGK147" s="293"/>
      <c r="LGL147" s="294"/>
      <c r="LGR147" s="292"/>
      <c r="LGS147" s="293"/>
      <c r="LGT147" s="294"/>
      <c r="LGZ147" s="292"/>
      <c r="LHA147" s="293"/>
      <c r="LHB147" s="294"/>
      <c r="LHH147" s="292"/>
      <c r="LHI147" s="293"/>
      <c r="LHJ147" s="294"/>
      <c r="LHP147" s="292"/>
      <c r="LHQ147" s="293"/>
      <c r="LHR147" s="294"/>
      <c r="LHX147" s="292"/>
      <c r="LHY147" s="293"/>
      <c r="LHZ147" s="294"/>
      <c r="LIF147" s="292"/>
      <c r="LIG147" s="293"/>
      <c r="LIH147" s="294"/>
      <c r="LIN147" s="292"/>
      <c r="LIO147" s="293"/>
      <c r="LIP147" s="294"/>
      <c r="LIV147" s="292"/>
      <c r="LIW147" s="293"/>
      <c r="LIX147" s="294"/>
      <c r="LJD147" s="292"/>
      <c r="LJE147" s="293"/>
      <c r="LJF147" s="294"/>
      <c r="LJL147" s="292"/>
      <c r="LJM147" s="293"/>
      <c r="LJN147" s="294"/>
      <c r="LJT147" s="292"/>
      <c r="LJU147" s="293"/>
      <c r="LJV147" s="294"/>
      <c r="LKB147" s="292"/>
      <c r="LKC147" s="293"/>
      <c r="LKD147" s="294"/>
      <c r="LKJ147" s="292"/>
      <c r="LKK147" s="293"/>
      <c r="LKL147" s="294"/>
      <c r="LKR147" s="292"/>
      <c r="LKS147" s="293"/>
      <c r="LKT147" s="294"/>
      <c r="LKZ147" s="292"/>
      <c r="LLA147" s="293"/>
      <c r="LLB147" s="294"/>
      <c r="LLH147" s="292"/>
      <c r="LLI147" s="293"/>
      <c r="LLJ147" s="294"/>
      <c r="LLP147" s="292"/>
      <c r="LLQ147" s="293"/>
      <c r="LLR147" s="294"/>
      <c r="LLX147" s="292"/>
      <c r="LLY147" s="293"/>
      <c r="LLZ147" s="294"/>
      <c r="LMF147" s="292"/>
      <c r="LMG147" s="293"/>
      <c r="LMH147" s="294"/>
      <c r="LMN147" s="292"/>
      <c r="LMO147" s="293"/>
      <c r="LMP147" s="294"/>
      <c r="LMV147" s="292"/>
      <c r="LMW147" s="293"/>
      <c r="LMX147" s="294"/>
      <c r="LND147" s="292"/>
      <c r="LNE147" s="293"/>
      <c r="LNF147" s="294"/>
      <c r="LNL147" s="292"/>
      <c r="LNM147" s="293"/>
      <c r="LNN147" s="294"/>
      <c r="LNT147" s="292"/>
      <c r="LNU147" s="293"/>
      <c r="LNV147" s="294"/>
      <c r="LOB147" s="292"/>
      <c r="LOC147" s="293"/>
      <c r="LOD147" s="294"/>
      <c r="LOJ147" s="292"/>
      <c r="LOK147" s="293"/>
      <c r="LOL147" s="294"/>
      <c r="LOR147" s="292"/>
      <c r="LOS147" s="293"/>
      <c r="LOT147" s="294"/>
      <c r="LOZ147" s="292"/>
      <c r="LPA147" s="293"/>
      <c r="LPB147" s="294"/>
      <c r="LPH147" s="292"/>
      <c r="LPI147" s="293"/>
      <c r="LPJ147" s="294"/>
      <c r="LPP147" s="292"/>
      <c r="LPQ147" s="293"/>
      <c r="LPR147" s="294"/>
      <c r="LPX147" s="292"/>
      <c r="LPY147" s="293"/>
      <c r="LPZ147" s="294"/>
      <c r="LQF147" s="292"/>
      <c r="LQG147" s="293"/>
      <c r="LQH147" s="294"/>
      <c r="LQN147" s="292"/>
      <c r="LQO147" s="293"/>
      <c r="LQP147" s="294"/>
      <c r="LQV147" s="292"/>
      <c r="LQW147" s="293"/>
      <c r="LQX147" s="294"/>
      <c r="LRD147" s="292"/>
      <c r="LRE147" s="293"/>
      <c r="LRF147" s="294"/>
      <c r="LRL147" s="292"/>
      <c r="LRM147" s="293"/>
      <c r="LRN147" s="294"/>
      <c r="LRT147" s="292"/>
      <c r="LRU147" s="293"/>
      <c r="LRV147" s="294"/>
      <c r="LSB147" s="292"/>
      <c r="LSC147" s="293"/>
      <c r="LSD147" s="294"/>
      <c r="LSJ147" s="292"/>
      <c r="LSK147" s="293"/>
      <c r="LSL147" s="294"/>
      <c r="LSR147" s="292"/>
      <c r="LSS147" s="293"/>
      <c r="LST147" s="294"/>
      <c r="LSZ147" s="292"/>
      <c r="LTA147" s="293"/>
      <c r="LTB147" s="294"/>
      <c r="LTH147" s="292"/>
      <c r="LTI147" s="293"/>
      <c r="LTJ147" s="294"/>
      <c r="LTP147" s="292"/>
      <c r="LTQ147" s="293"/>
      <c r="LTR147" s="294"/>
      <c r="LTX147" s="292"/>
      <c r="LTY147" s="293"/>
      <c r="LTZ147" s="294"/>
      <c r="LUF147" s="292"/>
      <c r="LUG147" s="293"/>
      <c r="LUH147" s="294"/>
      <c r="LUN147" s="292"/>
      <c r="LUO147" s="293"/>
      <c r="LUP147" s="294"/>
      <c r="LUV147" s="292"/>
      <c r="LUW147" s="293"/>
      <c r="LUX147" s="294"/>
      <c r="LVD147" s="292"/>
      <c r="LVE147" s="293"/>
      <c r="LVF147" s="294"/>
      <c r="LVL147" s="292"/>
      <c r="LVM147" s="293"/>
      <c r="LVN147" s="294"/>
      <c r="LVT147" s="292"/>
      <c r="LVU147" s="293"/>
      <c r="LVV147" s="294"/>
      <c r="LWB147" s="292"/>
      <c r="LWC147" s="293"/>
      <c r="LWD147" s="294"/>
      <c r="LWJ147" s="292"/>
      <c r="LWK147" s="293"/>
      <c r="LWL147" s="294"/>
      <c r="LWR147" s="292"/>
      <c r="LWS147" s="293"/>
      <c r="LWT147" s="294"/>
      <c r="LWZ147" s="292"/>
      <c r="LXA147" s="293"/>
      <c r="LXB147" s="294"/>
      <c r="LXH147" s="292"/>
      <c r="LXI147" s="293"/>
      <c r="LXJ147" s="294"/>
      <c r="LXP147" s="292"/>
      <c r="LXQ147" s="293"/>
      <c r="LXR147" s="294"/>
      <c r="LXX147" s="292"/>
      <c r="LXY147" s="293"/>
      <c r="LXZ147" s="294"/>
      <c r="LYF147" s="292"/>
      <c r="LYG147" s="293"/>
      <c r="LYH147" s="294"/>
      <c r="LYN147" s="292"/>
      <c r="LYO147" s="293"/>
      <c r="LYP147" s="294"/>
      <c r="LYV147" s="292"/>
      <c r="LYW147" s="293"/>
      <c r="LYX147" s="294"/>
      <c r="LZD147" s="292"/>
      <c r="LZE147" s="293"/>
      <c r="LZF147" s="294"/>
      <c r="LZL147" s="292"/>
      <c r="LZM147" s="293"/>
      <c r="LZN147" s="294"/>
      <c r="LZT147" s="292"/>
      <c r="LZU147" s="293"/>
      <c r="LZV147" s="294"/>
      <c r="MAB147" s="292"/>
      <c r="MAC147" s="293"/>
      <c r="MAD147" s="294"/>
      <c r="MAJ147" s="292"/>
      <c r="MAK147" s="293"/>
      <c r="MAL147" s="294"/>
      <c r="MAR147" s="292"/>
      <c r="MAS147" s="293"/>
      <c r="MAT147" s="294"/>
      <c r="MAZ147" s="292"/>
      <c r="MBA147" s="293"/>
      <c r="MBB147" s="294"/>
      <c r="MBH147" s="292"/>
      <c r="MBI147" s="293"/>
      <c r="MBJ147" s="294"/>
      <c r="MBP147" s="292"/>
      <c r="MBQ147" s="293"/>
      <c r="MBR147" s="294"/>
      <c r="MBX147" s="292"/>
      <c r="MBY147" s="293"/>
      <c r="MBZ147" s="294"/>
      <c r="MCF147" s="292"/>
      <c r="MCG147" s="293"/>
      <c r="MCH147" s="294"/>
      <c r="MCN147" s="292"/>
      <c r="MCO147" s="293"/>
      <c r="MCP147" s="294"/>
      <c r="MCV147" s="292"/>
      <c r="MCW147" s="293"/>
      <c r="MCX147" s="294"/>
      <c r="MDD147" s="292"/>
      <c r="MDE147" s="293"/>
      <c r="MDF147" s="294"/>
      <c r="MDL147" s="292"/>
      <c r="MDM147" s="293"/>
      <c r="MDN147" s="294"/>
      <c r="MDT147" s="292"/>
      <c r="MDU147" s="293"/>
      <c r="MDV147" s="294"/>
      <c r="MEB147" s="292"/>
      <c r="MEC147" s="293"/>
      <c r="MED147" s="294"/>
      <c r="MEJ147" s="292"/>
      <c r="MEK147" s="293"/>
      <c r="MEL147" s="294"/>
      <c r="MER147" s="292"/>
      <c r="MES147" s="293"/>
      <c r="MET147" s="294"/>
      <c r="MEZ147" s="292"/>
      <c r="MFA147" s="293"/>
      <c r="MFB147" s="294"/>
      <c r="MFH147" s="292"/>
      <c r="MFI147" s="293"/>
      <c r="MFJ147" s="294"/>
      <c r="MFP147" s="292"/>
      <c r="MFQ147" s="293"/>
      <c r="MFR147" s="294"/>
      <c r="MFX147" s="292"/>
      <c r="MFY147" s="293"/>
      <c r="MFZ147" s="294"/>
      <c r="MGF147" s="292"/>
      <c r="MGG147" s="293"/>
      <c r="MGH147" s="294"/>
      <c r="MGN147" s="292"/>
      <c r="MGO147" s="293"/>
      <c r="MGP147" s="294"/>
      <c r="MGV147" s="292"/>
      <c r="MGW147" s="293"/>
      <c r="MGX147" s="294"/>
      <c r="MHD147" s="292"/>
      <c r="MHE147" s="293"/>
      <c r="MHF147" s="294"/>
      <c r="MHL147" s="292"/>
      <c r="MHM147" s="293"/>
      <c r="MHN147" s="294"/>
      <c r="MHT147" s="292"/>
      <c r="MHU147" s="293"/>
      <c r="MHV147" s="294"/>
      <c r="MIB147" s="292"/>
      <c r="MIC147" s="293"/>
      <c r="MID147" s="294"/>
      <c r="MIJ147" s="292"/>
      <c r="MIK147" s="293"/>
      <c r="MIL147" s="294"/>
      <c r="MIR147" s="292"/>
      <c r="MIS147" s="293"/>
      <c r="MIT147" s="294"/>
      <c r="MIZ147" s="292"/>
      <c r="MJA147" s="293"/>
      <c r="MJB147" s="294"/>
      <c r="MJH147" s="292"/>
      <c r="MJI147" s="293"/>
      <c r="MJJ147" s="294"/>
      <c r="MJP147" s="292"/>
      <c r="MJQ147" s="293"/>
      <c r="MJR147" s="294"/>
      <c r="MJX147" s="292"/>
      <c r="MJY147" s="293"/>
      <c r="MJZ147" s="294"/>
      <c r="MKF147" s="292"/>
      <c r="MKG147" s="293"/>
      <c r="MKH147" s="294"/>
      <c r="MKN147" s="292"/>
      <c r="MKO147" s="293"/>
      <c r="MKP147" s="294"/>
      <c r="MKV147" s="292"/>
      <c r="MKW147" s="293"/>
      <c r="MKX147" s="294"/>
      <c r="MLD147" s="292"/>
      <c r="MLE147" s="293"/>
      <c r="MLF147" s="294"/>
      <c r="MLL147" s="292"/>
      <c r="MLM147" s="293"/>
      <c r="MLN147" s="294"/>
      <c r="MLT147" s="292"/>
      <c r="MLU147" s="293"/>
      <c r="MLV147" s="294"/>
      <c r="MMB147" s="292"/>
      <c r="MMC147" s="293"/>
      <c r="MMD147" s="294"/>
      <c r="MMJ147" s="292"/>
      <c r="MMK147" s="293"/>
      <c r="MML147" s="294"/>
      <c r="MMR147" s="292"/>
      <c r="MMS147" s="293"/>
      <c r="MMT147" s="294"/>
      <c r="MMZ147" s="292"/>
      <c r="MNA147" s="293"/>
      <c r="MNB147" s="294"/>
      <c r="MNH147" s="292"/>
      <c r="MNI147" s="293"/>
      <c r="MNJ147" s="294"/>
      <c r="MNP147" s="292"/>
      <c r="MNQ147" s="293"/>
      <c r="MNR147" s="294"/>
      <c r="MNX147" s="292"/>
      <c r="MNY147" s="293"/>
      <c r="MNZ147" s="294"/>
      <c r="MOF147" s="292"/>
      <c r="MOG147" s="293"/>
      <c r="MOH147" s="294"/>
      <c r="MON147" s="292"/>
      <c r="MOO147" s="293"/>
      <c r="MOP147" s="294"/>
      <c r="MOV147" s="292"/>
      <c r="MOW147" s="293"/>
      <c r="MOX147" s="294"/>
      <c r="MPD147" s="292"/>
      <c r="MPE147" s="293"/>
      <c r="MPF147" s="294"/>
      <c r="MPL147" s="292"/>
      <c r="MPM147" s="293"/>
      <c r="MPN147" s="294"/>
      <c r="MPT147" s="292"/>
      <c r="MPU147" s="293"/>
      <c r="MPV147" s="294"/>
      <c r="MQB147" s="292"/>
      <c r="MQC147" s="293"/>
      <c r="MQD147" s="294"/>
      <c r="MQJ147" s="292"/>
      <c r="MQK147" s="293"/>
      <c r="MQL147" s="294"/>
      <c r="MQR147" s="292"/>
      <c r="MQS147" s="293"/>
      <c r="MQT147" s="294"/>
      <c r="MQZ147" s="292"/>
      <c r="MRA147" s="293"/>
      <c r="MRB147" s="294"/>
      <c r="MRH147" s="292"/>
      <c r="MRI147" s="293"/>
      <c r="MRJ147" s="294"/>
      <c r="MRP147" s="292"/>
      <c r="MRQ147" s="293"/>
      <c r="MRR147" s="294"/>
      <c r="MRX147" s="292"/>
      <c r="MRY147" s="293"/>
      <c r="MRZ147" s="294"/>
      <c r="MSF147" s="292"/>
      <c r="MSG147" s="293"/>
      <c r="MSH147" s="294"/>
      <c r="MSN147" s="292"/>
      <c r="MSO147" s="293"/>
      <c r="MSP147" s="294"/>
      <c r="MSV147" s="292"/>
      <c r="MSW147" s="293"/>
      <c r="MSX147" s="294"/>
      <c r="MTD147" s="292"/>
      <c r="MTE147" s="293"/>
      <c r="MTF147" s="294"/>
      <c r="MTL147" s="292"/>
      <c r="MTM147" s="293"/>
      <c r="MTN147" s="294"/>
      <c r="MTT147" s="292"/>
      <c r="MTU147" s="293"/>
      <c r="MTV147" s="294"/>
      <c r="MUB147" s="292"/>
      <c r="MUC147" s="293"/>
      <c r="MUD147" s="294"/>
      <c r="MUJ147" s="292"/>
      <c r="MUK147" s="293"/>
      <c r="MUL147" s="294"/>
      <c r="MUR147" s="292"/>
      <c r="MUS147" s="293"/>
      <c r="MUT147" s="294"/>
      <c r="MUZ147" s="292"/>
      <c r="MVA147" s="293"/>
      <c r="MVB147" s="294"/>
      <c r="MVH147" s="292"/>
      <c r="MVI147" s="293"/>
      <c r="MVJ147" s="294"/>
      <c r="MVP147" s="292"/>
      <c r="MVQ147" s="293"/>
      <c r="MVR147" s="294"/>
      <c r="MVX147" s="292"/>
      <c r="MVY147" s="293"/>
      <c r="MVZ147" s="294"/>
      <c r="MWF147" s="292"/>
      <c r="MWG147" s="293"/>
      <c r="MWH147" s="294"/>
      <c r="MWN147" s="292"/>
      <c r="MWO147" s="293"/>
      <c r="MWP147" s="294"/>
      <c r="MWV147" s="292"/>
      <c r="MWW147" s="293"/>
      <c r="MWX147" s="294"/>
      <c r="MXD147" s="292"/>
      <c r="MXE147" s="293"/>
      <c r="MXF147" s="294"/>
      <c r="MXL147" s="292"/>
      <c r="MXM147" s="293"/>
      <c r="MXN147" s="294"/>
      <c r="MXT147" s="292"/>
      <c r="MXU147" s="293"/>
      <c r="MXV147" s="294"/>
      <c r="MYB147" s="292"/>
      <c r="MYC147" s="293"/>
      <c r="MYD147" s="294"/>
      <c r="MYJ147" s="292"/>
      <c r="MYK147" s="293"/>
      <c r="MYL147" s="294"/>
      <c r="MYR147" s="292"/>
      <c r="MYS147" s="293"/>
      <c r="MYT147" s="294"/>
      <c r="MYZ147" s="292"/>
      <c r="MZA147" s="293"/>
      <c r="MZB147" s="294"/>
      <c r="MZH147" s="292"/>
      <c r="MZI147" s="293"/>
      <c r="MZJ147" s="294"/>
      <c r="MZP147" s="292"/>
      <c r="MZQ147" s="293"/>
      <c r="MZR147" s="294"/>
      <c r="MZX147" s="292"/>
      <c r="MZY147" s="293"/>
      <c r="MZZ147" s="294"/>
      <c r="NAF147" s="292"/>
      <c r="NAG147" s="293"/>
      <c r="NAH147" s="294"/>
      <c r="NAN147" s="292"/>
      <c r="NAO147" s="293"/>
      <c r="NAP147" s="294"/>
      <c r="NAV147" s="292"/>
      <c r="NAW147" s="293"/>
      <c r="NAX147" s="294"/>
      <c r="NBD147" s="292"/>
      <c r="NBE147" s="293"/>
      <c r="NBF147" s="294"/>
      <c r="NBL147" s="292"/>
      <c r="NBM147" s="293"/>
      <c r="NBN147" s="294"/>
      <c r="NBT147" s="292"/>
      <c r="NBU147" s="293"/>
      <c r="NBV147" s="294"/>
      <c r="NCB147" s="292"/>
      <c r="NCC147" s="293"/>
      <c r="NCD147" s="294"/>
      <c r="NCJ147" s="292"/>
      <c r="NCK147" s="293"/>
      <c r="NCL147" s="294"/>
      <c r="NCR147" s="292"/>
      <c r="NCS147" s="293"/>
      <c r="NCT147" s="294"/>
      <c r="NCZ147" s="292"/>
      <c r="NDA147" s="293"/>
      <c r="NDB147" s="294"/>
      <c r="NDH147" s="292"/>
      <c r="NDI147" s="293"/>
      <c r="NDJ147" s="294"/>
      <c r="NDP147" s="292"/>
      <c r="NDQ147" s="293"/>
      <c r="NDR147" s="294"/>
      <c r="NDX147" s="292"/>
      <c r="NDY147" s="293"/>
      <c r="NDZ147" s="294"/>
      <c r="NEF147" s="292"/>
      <c r="NEG147" s="293"/>
      <c r="NEH147" s="294"/>
      <c r="NEN147" s="292"/>
      <c r="NEO147" s="293"/>
      <c r="NEP147" s="294"/>
      <c r="NEV147" s="292"/>
      <c r="NEW147" s="293"/>
      <c r="NEX147" s="294"/>
      <c r="NFD147" s="292"/>
      <c r="NFE147" s="293"/>
      <c r="NFF147" s="294"/>
      <c r="NFL147" s="292"/>
      <c r="NFM147" s="293"/>
      <c r="NFN147" s="294"/>
      <c r="NFT147" s="292"/>
      <c r="NFU147" s="293"/>
      <c r="NFV147" s="294"/>
      <c r="NGB147" s="292"/>
      <c r="NGC147" s="293"/>
      <c r="NGD147" s="294"/>
      <c r="NGJ147" s="292"/>
      <c r="NGK147" s="293"/>
      <c r="NGL147" s="294"/>
      <c r="NGR147" s="292"/>
      <c r="NGS147" s="293"/>
      <c r="NGT147" s="294"/>
      <c r="NGZ147" s="292"/>
      <c r="NHA147" s="293"/>
      <c r="NHB147" s="294"/>
      <c r="NHH147" s="292"/>
      <c r="NHI147" s="293"/>
      <c r="NHJ147" s="294"/>
      <c r="NHP147" s="292"/>
      <c r="NHQ147" s="293"/>
      <c r="NHR147" s="294"/>
      <c r="NHX147" s="292"/>
      <c r="NHY147" s="293"/>
      <c r="NHZ147" s="294"/>
      <c r="NIF147" s="292"/>
      <c r="NIG147" s="293"/>
      <c r="NIH147" s="294"/>
      <c r="NIN147" s="292"/>
      <c r="NIO147" s="293"/>
      <c r="NIP147" s="294"/>
      <c r="NIV147" s="292"/>
      <c r="NIW147" s="293"/>
      <c r="NIX147" s="294"/>
      <c r="NJD147" s="292"/>
      <c r="NJE147" s="293"/>
      <c r="NJF147" s="294"/>
      <c r="NJL147" s="292"/>
      <c r="NJM147" s="293"/>
      <c r="NJN147" s="294"/>
      <c r="NJT147" s="292"/>
      <c r="NJU147" s="293"/>
      <c r="NJV147" s="294"/>
      <c r="NKB147" s="292"/>
      <c r="NKC147" s="293"/>
      <c r="NKD147" s="294"/>
      <c r="NKJ147" s="292"/>
      <c r="NKK147" s="293"/>
      <c r="NKL147" s="294"/>
      <c r="NKR147" s="292"/>
      <c r="NKS147" s="293"/>
      <c r="NKT147" s="294"/>
      <c r="NKZ147" s="292"/>
      <c r="NLA147" s="293"/>
      <c r="NLB147" s="294"/>
      <c r="NLH147" s="292"/>
      <c r="NLI147" s="293"/>
      <c r="NLJ147" s="294"/>
      <c r="NLP147" s="292"/>
      <c r="NLQ147" s="293"/>
      <c r="NLR147" s="294"/>
      <c r="NLX147" s="292"/>
      <c r="NLY147" s="293"/>
      <c r="NLZ147" s="294"/>
      <c r="NMF147" s="292"/>
      <c r="NMG147" s="293"/>
      <c r="NMH147" s="294"/>
      <c r="NMN147" s="292"/>
      <c r="NMO147" s="293"/>
      <c r="NMP147" s="294"/>
      <c r="NMV147" s="292"/>
      <c r="NMW147" s="293"/>
      <c r="NMX147" s="294"/>
      <c r="NND147" s="292"/>
      <c r="NNE147" s="293"/>
      <c r="NNF147" s="294"/>
      <c r="NNL147" s="292"/>
      <c r="NNM147" s="293"/>
      <c r="NNN147" s="294"/>
      <c r="NNT147" s="292"/>
      <c r="NNU147" s="293"/>
      <c r="NNV147" s="294"/>
      <c r="NOB147" s="292"/>
      <c r="NOC147" s="293"/>
      <c r="NOD147" s="294"/>
      <c r="NOJ147" s="292"/>
      <c r="NOK147" s="293"/>
      <c r="NOL147" s="294"/>
      <c r="NOR147" s="292"/>
      <c r="NOS147" s="293"/>
      <c r="NOT147" s="294"/>
      <c r="NOZ147" s="292"/>
      <c r="NPA147" s="293"/>
      <c r="NPB147" s="294"/>
      <c r="NPH147" s="292"/>
      <c r="NPI147" s="293"/>
      <c r="NPJ147" s="294"/>
      <c r="NPP147" s="292"/>
      <c r="NPQ147" s="293"/>
      <c r="NPR147" s="294"/>
      <c r="NPX147" s="292"/>
      <c r="NPY147" s="293"/>
      <c r="NPZ147" s="294"/>
      <c r="NQF147" s="292"/>
      <c r="NQG147" s="293"/>
      <c r="NQH147" s="294"/>
      <c r="NQN147" s="292"/>
      <c r="NQO147" s="293"/>
      <c r="NQP147" s="294"/>
      <c r="NQV147" s="292"/>
      <c r="NQW147" s="293"/>
      <c r="NQX147" s="294"/>
      <c r="NRD147" s="292"/>
      <c r="NRE147" s="293"/>
      <c r="NRF147" s="294"/>
      <c r="NRL147" s="292"/>
      <c r="NRM147" s="293"/>
      <c r="NRN147" s="294"/>
      <c r="NRT147" s="292"/>
      <c r="NRU147" s="293"/>
      <c r="NRV147" s="294"/>
      <c r="NSB147" s="292"/>
      <c r="NSC147" s="293"/>
      <c r="NSD147" s="294"/>
      <c r="NSJ147" s="292"/>
      <c r="NSK147" s="293"/>
      <c r="NSL147" s="294"/>
      <c r="NSR147" s="292"/>
      <c r="NSS147" s="293"/>
      <c r="NST147" s="294"/>
      <c r="NSZ147" s="292"/>
      <c r="NTA147" s="293"/>
      <c r="NTB147" s="294"/>
      <c r="NTH147" s="292"/>
      <c r="NTI147" s="293"/>
      <c r="NTJ147" s="294"/>
      <c r="NTP147" s="292"/>
      <c r="NTQ147" s="293"/>
      <c r="NTR147" s="294"/>
      <c r="NTX147" s="292"/>
      <c r="NTY147" s="293"/>
      <c r="NTZ147" s="294"/>
      <c r="NUF147" s="292"/>
      <c r="NUG147" s="293"/>
      <c r="NUH147" s="294"/>
      <c r="NUN147" s="292"/>
      <c r="NUO147" s="293"/>
      <c r="NUP147" s="294"/>
      <c r="NUV147" s="292"/>
      <c r="NUW147" s="293"/>
      <c r="NUX147" s="294"/>
      <c r="NVD147" s="292"/>
      <c r="NVE147" s="293"/>
      <c r="NVF147" s="294"/>
      <c r="NVL147" s="292"/>
      <c r="NVM147" s="293"/>
      <c r="NVN147" s="294"/>
      <c r="NVT147" s="292"/>
      <c r="NVU147" s="293"/>
      <c r="NVV147" s="294"/>
      <c r="NWB147" s="292"/>
      <c r="NWC147" s="293"/>
      <c r="NWD147" s="294"/>
      <c r="NWJ147" s="292"/>
      <c r="NWK147" s="293"/>
      <c r="NWL147" s="294"/>
      <c r="NWR147" s="292"/>
      <c r="NWS147" s="293"/>
      <c r="NWT147" s="294"/>
      <c r="NWZ147" s="292"/>
      <c r="NXA147" s="293"/>
      <c r="NXB147" s="294"/>
      <c r="NXH147" s="292"/>
      <c r="NXI147" s="293"/>
      <c r="NXJ147" s="294"/>
      <c r="NXP147" s="292"/>
      <c r="NXQ147" s="293"/>
      <c r="NXR147" s="294"/>
      <c r="NXX147" s="292"/>
      <c r="NXY147" s="293"/>
      <c r="NXZ147" s="294"/>
      <c r="NYF147" s="292"/>
      <c r="NYG147" s="293"/>
      <c r="NYH147" s="294"/>
      <c r="NYN147" s="292"/>
      <c r="NYO147" s="293"/>
      <c r="NYP147" s="294"/>
      <c r="NYV147" s="292"/>
      <c r="NYW147" s="293"/>
      <c r="NYX147" s="294"/>
      <c r="NZD147" s="292"/>
      <c r="NZE147" s="293"/>
      <c r="NZF147" s="294"/>
      <c r="NZL147" s="292"/>
      <c r="NZM147" s="293"/>
      <c r="NZN147" s="294"/>
      <c r="NZT147" s="292"/>
      <c r="NZU147" s="293"/>
      <c r="NZV147" s="294"/>
      <c r="OAB147" s="292"/>
      <c r="OAC147" s="293"/>
      <c r="OAD147" s="294"/>
      <c r="OAJ147" s="292"/>
      <c r="OAK147" s="293"/>
      <c r="OAL147" s="294"/>
      <c r="OAR147" s="292"/>
      <c r="OAS147" s="293"/>
      <c r="OAT147" s="294"/>
      <c r="OAZ147" s="292"/>
      <c r="OBA147" s="293"/>
      <c r="OBB147" s="294"/>
      <c r="OBH147" s="292"/>
      <c r="OBI147" s="293"/>
      <c r="OBJ147" s="294"/>
      <c r="OBP147" s="292"/>
      <c r="OBQ147" s="293"/>
      <c r="OBR147" s="294"/>
      <c r="OBX147" s="292"/>
      <c r="OBY147" s="293"/>
      <c r="OBZ147" s="294"/>
      <c r="OCF147" s="292"/>
      <c r="OCG147" s="293"/>
      <c r="OCH147" s="294"/>
      <c r="OCN147" s="292"/>
      <c r="OCO147" s="293"/>
      <c r="OCP147" s="294"/>
      <c r="OCV147" s="292"/>
      <c r="OCW147" s="293"/>
      <c r="OCX147" s="294"/>
      <c r="ODD147" s="292"/>
      <c r="ODE147" s="293"/>
      <c r="ODF147" s="294"/>
      <c r="ODL147" s="292"/>
      <c r="ODM147" s="293"/>
      <c r="ODN147" s="294"/>
      <c r="ODT147" s="292"/>
      <c r="ODU147" s="293"/>
      <c r="ODV147" s="294"/>
      <c r="OEB147" s="292"/>
      <c r="OEC147" s="293"/>
      <c r="OED147" s="294"/>
      <c r="OEJ147" s="292"/>
      <c r="OEK147" s="293"/>
      <c r="OEL147" s="294"/>
      <c r="OER147" s="292"/>
      <c r="OES147" s="293"/>
      <c r="OET147" s="294"/>
      <c r="OEZ147" s="292"/>
      <c r="OFA147" s="293"/>
      <c r="OFB147" s="294"/>
      <c r="OFH147" s="292"/>
      <c r="OFI147" s="293"/>
      <c r="OFJ147" s="294"/>
      <c r="OFP147" s="292"/>
      <c r="OFQ147" s="293"/>
      <c r="OFR147" s="294"/>
      <c r="OFX147" s="292"/>
      <c r="OFY147" s="293"/>
      <c r="OFZ147" s="294"/>
      <c r="OGF147" s="292"/>
      <c r="OGG147" s="293"/>
      <c r="OGH147" s="294"/>
      <c r="OGN147" s="292"/>
      <c r="OGO147" s="293"/>
      <c r="OGP147" s="294"/>
      <c r="OGV147" s="292"/>
      <c r="OGW147" s="293"/>
      <c r="OGX147" s="294"/>
      <c r="OHD147" s="292"/>
      <c r="OHE147" s="293"/>
      <c r="OHF147" s="294"/>
      <c r="OHL147" s="292"/>
      <c r="OHM147" s="293"/>
      <c r="OHN147" s="294"/>
      <c r="OHT147" s="292"/>
      <c r="OHU147" s="293"/>
      <c r="OHV147" s="294"/>
      <c r="OIB147" s="292"/>
      <c r="OIC147" s="293"/>
      <c r="OID147" s="294"/>
      <c r="OIJ147" s="292"/>
      <c r="OIK147" s="293"/>
      <c r="OIL147" s="294"/>
      <c r="OIR147" s="292"/>
      <c r="OIS147" s="293"/>
      <c r="OIT147" s="294"/>
      <c r="OIZ147" s="292"/>
      <c r="OJA147" s="293"/>
      <c r="OJB147" s="294"/>
      <c r="OJH147" s="292"/>
      <c r="OJI147" s="293"/>
      <c r="OJJ147" s="294"/>
      <c r="OJP147" s="292"/>
      <c r="OJQ147" s="293"/>
      <c r="OJR147" s="294"/>
      <c r="OJX147" s="292"/>
      <c r="OJY147" s="293"/>
      <c r="OJZ147" s="294"/>
      <c r="OKF147" s="292"/>
      <c r="OKG147" s="293"/>
      <c r="OKH147" s="294"/>
      <c r="OKN147" s="292"/>
      <c r="OKO147" s="293"/>
      <c r="OKP147" s="294"/>
      <c r="OKV147" s="292"/>
      <c r="OKW147" s="293"/>
      <c r="OKX147" s="294"/>
      <c r="OLD147" s="292"/>
      <c r="OLE147" s="293"/>
      <c r="OLF147" s="294"/>
      <c r="OLL147" s="292"/>
      <c r="OLM147" s="293"/>
      <c r="OLN147" s="294"/>
      <c r="OLT147" s="292"/>
      <c r="OLU147" s="293"/>
      <c r="OLV147" s="294"/>
      <c r="OMB147" s="292"/>
      <c r="OMC147" s="293"/>
      <c r="OMD147" s="294"/>
      <c r="OMJ147" s="292"/>
      <c r="OMK147" s="293"/>
      <c r="OML147" s="294"/>
      <c r="OMR147" s="292"/>
      <c r="OMS147" s="293"/>
      <c r="OMT147" s="294"/>
      <c r="OMZ147" s="292"/>
      <c r="ONA147" s="293"/>
      <c r="ONB147" s="294"/>
      <c r="ONH147" s="292"/>
      <c r="ONI147" s="293"/>
      <c r="ONJ147" s="294"/>
      <c r="ONP147" s="292"/>
      <c r="ONQ147" s="293"/>
      <c r="ONR147" s="294"/>
      <c r="ONX147" s="292"/>
      <c r="ONY147" s="293"/>
      <c r="ONZ147" s="294"/>
      <c r="OOF147" s="292"/>
      <c r="OOG147" s="293"/>
      <c r="OOH147" s="294"/>
      <c r="OON147" s="292"/>
      <c r="OOO147" s="293"/>
      <c r="OOP147" s="294"/>
      <c r="OOV147" s="292"/>
      <c r="OOW147" s="293"/>
      <c r="OOX147" s="294"/>
      <c r="OPD147" s="292"/>
      <c r="OPE147" s="293"/>
      <c r="OPF147" s="294"/>
      <c r="OPL147" s="292"/>
      <c r="OPM147" s="293"/>
      <c r="OPN147" s="294"/>
      <c r="OPT147" s="292"/>
      <c r="OPU147" s="293"/>
      <c r="OPV147" s="294"/>
      <c r="OQB147" s="292"/>
      <c r="OQC147" s="293"/>
      <c r="OQD147" s="294"/>
      <c r="OQJ147" s="292"/>
      <c r="OQK147" s="293"/>
      <c r="OQL147" s="294"/>
      <c r="OQR147" s="292"/>
      <c r="OQS147" s="293"/>
      <c r="OQT147" s="294"/>
      <c r="OQZ147" s="292"/>
      <c r="ORA147" s="293"/>
      <c r="ORB147" s="294"/>
      <c r="ORH147" s="292"/>
      <c r="ORI147" s="293"/>
      <c r="ORJ147" s="294"/>
      <c r="ORP147" s="292"/>
      <c r="ORQ147" s="293"/>
      <c r="ORR147" s="294"/>
      <c r="ORX147" s="292"/>
      <c r="ORY147" s="293"/>
      <c r="ORZ147" s="294"/>
      <c r="OSF147" s="292"/>
      <c r="OSG147" s="293"/>
      <c r="OSH147" s="294"/>
      <c r="OSN147" s="292"/>
      <c r="OSO147" s="293"/>
      <c r="OSP147" s="294"/>
      <c r="OSV147" s="292"/>
      <c r="OSW147" s="293"/>
      <c r="OSX147" s="294"/>
      <c r="OTD147" s="292"/>
      <c r="OTE147" s="293"/>
      <c r="OTF147" s="294"/>
      <c r="OTL147" s="292"/>
      <c r="OTM147" s="293"/>
      <c r="OTN147" s="294"/>
      <c r="OTT147" s="292"/>
      <c r="OTU147" s="293"/>
      <c r="OTV147" s="294"/>
      <c r="OUB147" s="292"/>
      <c r="OUC147" s="293"/>
      <c r="OUD147" s="294"/>
      <c r="OUJ147" s="292"/>
      <c r="OUK147" s="293"/>
      <c r="OUL147" s="294"/>
      <c r="OUR147" s="292"/>
      <c r="OUS147" s="293"/>
      <c r="OUT147" s="294"/>
      <c r="OUZ147" s="292"/>
      <c r="OVA147" s="293"/>
      <c r="OVB147" s="294"/>
      <c r="OVH147" s="292"/>
      <c r="OVI147" s="293"/>
      <c r="OVJ147" s="294"/>
      <c r="OVP147" s="292"/>
      <c r="OVQ147" s="293"/>
      <c r="OVR147" s="294"/>
      <c r="OVX147" s="292"/>
      <c r="OVY147" s="293"/>
      <c r="OVZ147" s="294"/>
      <c r="OWF147" s="292"/>
      <c r="OWG147" s="293"/>
      <c r="OWH147" s="294"/>
      <c r="OWN147" s="292"/>
      <c r="OWO147" s="293"/>
      <c r="OWP147" s="294"/>
      <c r="OWV147" s="292"/>
      <c r="OWW147" s="293"/>
      <c r="OWX147" s="294"/>
      <c r="OXD147" s="292"/>
      <c r="OXE147" s="293"/>
      <c r="OXF147" s="294"/>
      <c r="OXL147" s="292"/>
      <c r="OXM147" s="293"/>
      <c r="OXN147" s="294"/>
      <c r="OXT147" s="292"/>
      <c r="OXU147" s="293"/>
      <c r="OXV147" s="294"/>
      <c r="OYB147" s="292"/>
      <c r="OYC147" s="293"/>
      <c r="OYD147" s="294"/>
      <c r="OYJ147" s="292"/>
      <c r="OYK147" s="293"/>
      <c r="OYL147" s="294"/>
      <c r="OYR147" s="292"/>
      <c r="OYS147" s="293"/>
      <c r="OYT147" s="294"/>
      <c r="OYZ147" s="292"/>
      <c r="OZA147" s="293"/>
      <c r="OZB147" s="294"/>
      <c r="OZH147" s="292"/>
      <c r="OZI147" s="293"/>
      <c r="OZJ147" s="294"/>
      <c r="OZP147" s="292"/>
      <c r="OZQ147" s="293"/>
      <c r="OZR147" s="294"/>
      <c r="OZX147" s="292"/>
      <c r="OZY147" s="293"/>
      <c r="OZZ147" s="294"/>
      <c r="PAF147" s="292"/>
      <c r="PAG147" s="293"/>
      <c r="PAH147" s="294"/>
      <c r="PAN147" s="292"/>
      <c r="PAO147" s="293"/>
      <c r="PAP147" s="294"/>
      <c r="PAV147" s="292"/>
      <c r="PAW147" s="293"/>
      <c r="PAX147" s="294"/>
      <c r="PBD147" s="292"/>
      <c r="PBE147" s="293"/>
      <c r="PBF147" s="294"/>
      <c r="PBL147" s="292"/>
      <c r="PBM147" s="293"/>
      <c r="PBN147" s="294"/>
      <c r="PBT147" s="292"/>
      <c r="PBU147" s="293"/>
      <c r="PBV147" s="294"/>
      <c r="PCB147" s="292"/>
      <c r="PCC147" s="293"/>
      <c r="PCD147" s="294"/>
      <c r="PCJ147" s="292"/>
      <c r="PCK147" s="293"/>
      <c r="PCL147" s="294"/>
      <c r="PCR147" s="292"/>
      <c r="PCS147" s="293"/>
      <c r="PCT147" s="294"/>
      <c r="PCZ147" s="292"/>
      <c r="PDA147" s="293"/>
      <c r="PDB147" s="294"/>
      <c r="PDH147" s="292"/>
      <c r="PDI147" s="293"/>
      <c r="PDJ147" s="294"/>
      <c r="PDP147" s="292"/>
      <c r="PDQ147" s="293"/>
      <c r="PDR147" s="294"/>
      <c r="PDX147" s="292"/>
      <c r="PDY147" s="293"/>
      <c r="PDZ147" s="294"/>
      <c r="PEF147" s="292"/>
      <c r="PEG147" s="293"/>
      <c r="PEH147" s="294"/>
      <c r="PEN147" s="292"/>
      <c r="PEO147" s="293"/>
      <c r="PEP147" s="294"/>
      <c r="PEV147" s="292"/>
      <c r="PEW147" s="293"/>
      <c r="PEX147" s="294"/>
      <c r="PFD147" s="292"/>
      <c r="PFE147" s="293"/>
      <c r="PFF147" s="294"/>
      <c r="PFL147" s="292"/>
      <c r="PFM147" s="293"/>
      <c r="PFN147" s="294"/>
      <c r="PFT147" s="292"/>
      <c r="PFU147" s="293"/>
      <c r="PFV147" s="294"/>
      <c r="PGB147" s="292"/>
      <c r="PGC147" s="293"/>
      <c r="PGD147" s="294"/>
      <c r="PGJ147" s="292"/>
      <c r="PGK147" s="293"/>
      <c r="PGL147" s="294"/>
      <c r="PGR147" s="292"/>
      <c r="PGS147" s="293"/>
      <c r="PGT147" s="294"/>
      <c r="PGZ147" s="292"/>
      <c r="PHA147" s="293"/>
      <c r="PHB147" s="294"/>
      <c r="PHH147" s="292"/>
      <c r="PHI147" s="293"/>
      <c r="PHJ147" s="294"/>
      <c r="PHP147" s="292"/>
      <c r="PHQ147" s="293"/>
      <c r="PHR147" s="294"/>
      <c r="PHX147" s="292"/>
      <c r="PHY147" s="293"/>
      <c r="PHZ147" s="294"/>
      <c r="PIF147" s="292"/>
      <c r="PIG147" s="293"/>
      <c r="PIH147" s="294"/>
      <c r="PIN147" s="292"/>
      <c r="PIO147" s="293"/>
      <c r="PIP147" s="294"/>
      <c r="PIV147" s="292"/>
      <c r="PIW147" s="293"/>
      <c r="PIX147" s="294"/>
      <c r="PJD147" s="292"/>
      <c r="PJE147" s="293"/>
      <c r="PJF147" s="294"/>
      <c r="PJL147" s="292"/>
      <c r="PJM147" s="293"/>
      <c r="PJN147" s="294"/>
      <c r="PJT147" s="292"/>
      <c r="PJU147" s="293"/>
      <c r="PJV147" s="294"/>
      <c r="PKB147" s="292"/>
      <c r="PKC147" s="293"/>
      <c r="PKD147" s="294"/>
      <c r="PKJ147" s="292"/>
      <c r="PKK147" s="293"/>
      <c r="PKL147" s="294"/>
      <c r="PKR147" s="292"/>
      <c r="PKS147" s="293"/>
      <c r="PKT147" s="294"/>
      <c r="PKZ147" s="292"/>
      <c r="PLA147" s="293"/>
      <c r="PLB147" s="294"/>
      <c r="PLH147" s="292"/>
      <c r="PLI147" s="293"/>
      <c r="PLJ147" s="294"/>
      <c r="PLP147" s="292"/>
      <c r="PLQ147" s="293"/>
      <c r="PLR147" s="294"/>
      <c r="PLX147" s="292"/>
      <c r="PLY147" s="293"/>
      <c r="PLZ147" s="294"/>
      <c r="PMF147" s="292"/>
      <c r="PMG147" s="293"/>
      <c r="PMH147" s="294"/>
      <c r="PMN147" s="292"/>
      <c r="PMO147" s="293"/>
      <c r="PMP147" s="294"/>
      <c r="PMV147" s="292"/>
      <c r="PMW147" s="293"/>
      <c r="PMX147" s="294"/>
      <c r="PND147" s="292"/>
      <c r="PNE147" s="293"/>
      <c r="PNF147" s="294"/>
      <c r="PNL147" s="292"/>
      <c r="PNM147" s="293"/>
      <c r="PNN147" s="294"/>
      <c r="PNT147" s="292"/>
      <c r="PNU147" s="293"/>
      <c r="PNV147" s="294"/>
      <c r="POB147" s="292"/>
      <c r="POC147" s="293"/>
      <c r="POD147" s="294"/>
      <c r="POJ147" s="292"/>
      <c r="POK147" s="293"/>
      <c r="POL147" s="294"/>
      <c r="POR147" s="292"/>
      <c r="POS147" s="293"/>
      <c r="POT147" s="294"/>
      <c r="POZ147" s="292"/>
      <c r="PPA147" s="293"/>
      <c r="PPB147" s="294"/>
      <c r="PPH147" s="292"/>
      <c r="PPI147" s="293"/>
      <c r="PPJ147" s="294"/>
      <c r="PPP147" s="292"/>
      <c r="PPQ147" s="293"/>
      <c r="PPR147" s="294"/>
      <c r="PPX147" s="292"/>
      <c r="PPY147" s="293"/>
      <c r="PPZ147" s="294"/>
      <c r="PQF147" s="292"/>
      <c r="PQG147" s="293"/>
      <c r="PQH147" s="294"/>
      <c r="PQN147" s="292"/>
      <c r="PQO147" s="293"/>
      <c r="PQP147" s="294"/>
      <c r="PQV147" s="292"/>
      <c r="PQW147" s="293"/>
      <c r="PQX147" s="294"/>
      <c r="PRD147" s="292"/>
      <c r="PRE147" s="293"/>
      <c r="PRF147" s="294"/>
      <c r="PRL147" s="292"/>
      <c r="PRM147" s="293"/>
      <c r="PRN147" s="294"/>
      <c r="PRT147" s="292"/>
      <c r="PRU147" s="293"/>
      <c r="PRV147" s="294"/>
      <c r="PSB147" s="292"/>
      <c r="PSC147" s="293"/>
      <c r="PSD147" s="294"/>
      <c r="PSJ147" s="292"/>
      <c r="PSK147" s="293"/>
      <c r="PSL147" s="294"/>
      <c r="PSR147" s="292"/>
      <c r="PSS147" s="293"/>
      <c r="PST147" s="294"/>
      <c r="PSZ147" s="292"/>
      <c r="PTA147" s="293"/>
      <c r="PTB147" s="294"/>
      <c r="PTH147" s="292"/>
      <c r="PTI147" s="293"/>
      <c r="PTJ147" s="294"/>
      <c r="PTP147" s="292"/>
      <c r="PTQ147" s="293"/>
      <c r="PTR147" s="294"/>
      <c r="PTX147" s="292"/>
      <c r="PTY147" s="293"/>
      <c r="PTZ147" s="294"/>
      <c r="PUF147" s="292"/>
      <c r="PUG147" s="293"/>
      <c r="PUH147" s="294"/>
      <c r="PUN147" s="292"/>
      <c r="PUO147" s="293"/>
      <c r="PUP147" s="294"/>
      <c r="PUV147" s="292"/>
      <c r="PUW147" s="293"/>
      <c r="PUX147" s="294"/>
      <c r="PVD147" s="292"/>
      <c r="PVE147" s="293"/>
      <c r="PVF147" s="294"/>
      <c r="PVL147" s="292"/>
      <c r="PVM147" s="293"/>
      <c r="PVN147" s="294"/>
      <c r="PVT147" s="292"/>
      <c r="PVU147" s="293"/>
      <c r="PVV147" s="294"/>
      <c r="PWB147" s="292"/>
      <c r="PWC147" s="293"/>
      <c r="PWD147" s="294"/>
      <c r="PWJ147" s="292"/>
      <c r="PWK147" s="293"/>
      <c r="PWL147" s="294"/>
      <c r="PWR147" s="292"/>
      <c r="PWS147" s="293"/>
      <c r="PWT147" s="294"/>
      <c r="PWZ147" s="292"/>
      <c r="PXA147" s="293"/>
      <c r="PXB147" s="294"/>
      <c r="PXH147" s="292"/>
      <c r="PXI147" s="293"/>
      <c r="PXJ147" s="294"/>
      <c r="PXP147" s="292"/>
      <c r="PXQ147" s="293"/>
      <c r="PXR147" s="294"/>
      <c r="PXX147" s="292"/>
      <c r="PXY147" s="293"/>
      <c r="PXZ147" s="294"/>
      <c r="PYF147" s="292"/>
      <c r="PYG147" s="293"/>
      <c r="PYH147" s="294"/>
      <c r="PYN147" s="292"/>
      <c r="PYO147" s="293"/>
      <c r="PYP147" s="294"/>
      <c r="PYV147" s="292"/>
      <c r="PYW147" s="293"/>
      <c r="PYX147" s="294"/>
      <c r="PZD147" s="292"/>
      <c r="PZE147" s="293"/>
      <c r="PZF147" s="294"/>
      <c r="PZL147" s="292"/>
      <c r="PZM147" s="293"/>
      <c r="PZN147" s="294"/>
      <c r="PZT147" s="292"/>
      <c r="PZU147" s="293"/>
      <c r="PZV147" s="294"/>
      <c r="QAB147" s="292"/>
      <c r="QAC147" s="293"/>
      <c r="QAD147" s="294"/>
      <c r="QAJ147" s="292"/>
      <c r="QAK147" s="293"/>
      <c r="QAL147" s="294"/>
      <c r="QAR147" s="292"/>
      <c r="QAS147" s="293"/>
      <c r="QAT147" s="294"/>
      <c r="QAZ147" s="292"/>
      <c r="QBA147" s="293"/>
      <c r="QBB147" s="294"/>
      <c r="QBH147" s="292"/>
      <c r="QBI147" s="293"/>
      <c r="QBJ147" s="294"/>
      <c r="QBP147" s="292"/>
      <c r="QBQ147" s="293"/>
      <c r="QBR147" s="294"/>
      <c r="QBX147" s="292"/>
      <c r="QBY147" s="293"/>
      <c r="QBZ147" s="294"/>
      <c r="QCF147" s="292"/>
      <c r="QCG147" s="293"/>
      <c r="QCH147" s="294"/>
      <c r="QCN147" s="292"/>
      <c r="QCO147" s="293"/>
      <c r="QCP147" s="294"/>
      <c r="QCV147" s="292"/>
      <c r="QCW147" s="293"/>
      <c r="QCX147" s="294"/>
      <c r="QDD147" s="292"/>
      <c r="QDE147" s="293"/>
      <c r="QDF147" s="294"/>
      <c r="QDL147" s="292"/>
      <c r="QDM147" s="293"/>
      <c r="QDN147" s="294"/>
      <c r="QDT147" s="292"/>
      <c r="QDU147" s="293"/>
      <c r="QDV147" s="294"/>
      <c r="QEB147" s="292"/>
      <c r="QEC147" s="293"/>
      <c r="QED147" s="294"/>
      <c r="QEJ147" s="292"/>
      <c r="QEK147" s="293"/>
      <c r="QEL147" s="294"/>
      <c r="QER147" s="292"/>
      <c r="QES147" s="293"/>
      <c r="QET147" s="294"/>
      <c r="QEZ147" s="292"/>
      <c r="QFA147" s="293"/>
      <c r="QFB147" s="294"/>
      <c r="QFH147" s="292"/>
      <c r="QFI147" s="293"/>
      <c r="QFJ147" s="294"/>
      <c r="QFP147" s="292"/>
      <c r="QFQ147" s="293"/>
      <c r="QFR147" s="294"/>
      <c r="QFX147" s="292"/>
      <c r="QFY147" s="293"/>
      <c r="QFZ147" s="294"/>
      <c r="QGF147" s="292"/>
      <c r="QGG147" s="293"/>
      <c r="QGH147" s="294"/>
      <c r="QGN147" s="292"/>
      <c r="QGO147" s="293"/>
      <c r="QGP147" s="294"/>
      <c r="QGV147" s="292"/>
      <c r="QGW147" s="293"/>
      <c r="QGX147" s="294"/>
      <c r="QHD147" s="292"/>
      <c r="QHE147" s="293"/>
      <c r="QHF147" s="294"/>
      <c r="QHL147" s="292"/>
      <c r="QHM147" s="293"/>
      <c r="QHN147" s="294"/>
      <c r="QHT147" s="292"/>
      <c r="QHU147" s="293"/>
      <c r="QHV147" s="294"/>
      <c r="QIB147" s="292"/>
      <c r="QIC147" s="293"/>
      <c r="QID147" s="294"/>
      <c r="QIJ147" s="292"/>
      <c r="QIK147" s="293"/>
      <c r="QIL147" s="294"/>
      <c r="QIR147" s="292"/>
      <c r="QIS147" s="293"/>
      <c r="QIT147" s="294"/>
      <c r="QIZ147" s="292"/>
      <c r="QJA147" s="293"/>
      <c r="QJB147" s="294"/>
      <c r="QJH147" s="292"/>
      <c r="QJI147" s="293"/>
      <c r="QJJ147" s="294"/>
      <c r="QJP147" s="292"/>
      <c r="QJQ147" s="293"/>
      <c r="QJR147" s="294"/>
      <c r="QJX147" s="292"/>
      <c r="QJY147" s="293"/>
      <c r="QJZ147" s="294"/>
      <c r="QKF147" s="292"/>
      <c r="QKG147" s="293"/>
      <c r="QKH147" s="294"/>
      <c r="QKN147" s="292"/>
      <c r="QKO147" s="293"/>
      <c r="QKP147" s="294"/>
      <c r="QKV147" s="292"/>
      <c r="QKW147" s="293"/>
      <c r="QKX147" s="294"/>
      <c r="QLD147" s="292"/>
      <c r="QLE147" s="293"/>
      <c r="QLF147" s="294"/>
      <c r="QLL147" s="292"/>
      <c r="QLM147" s="293"/>
      <c r="QLN147" s="294"/>
      <c r="QLT147" s="292"/>
      <c r="QLU147" s="293"/>
      <c r="QLV147" s="294"/>
      <c r="QMB147" s="292"/>
      <c r="QMC147" s="293"/>
      <c r="QMD147" s="294"/>
      <c r="QMJ147" s="292"/>
      <c r="QMK147" s="293"/>
      <c r="QML147" s="294"/>
      <c r="QMR147" s="292"/>
      <c r="QMS147" s="293"/>
      <c r="QMT147" s="294"/>
      <c r="QMZ147" s="292"/>
      <c r="QNA147" s="293"/>
      <c r="QNB147" s="294"/>
      <c r="QNH147" s="292"/>
      <c r="QNI147" s="293"/>
      <c r="QNJ147" s="294"/>
      <c r="QNP147" s="292"/>
      <c r="QNQ147" s="293"/>
      <c r="QNR147" s="294"/>
      <c r="QNX147" s="292"/>
      <c r="QNY147" s="293"/>
      <c r="QNZ147" s="294"/>
      <c r="QOF147" s="292"/>
      <c r="QOG147" s="293"/>
      <c r="QOH147" s="294"/>
      <c r="QON147" s="292"/>
      <c r="QOO147" s="293"/>
      <c r="QOP147" s="294"/>
      <c r="QOV147" s="292"/>
      <c r="QOW147" s="293"/>
      <c r="QOX147" s="294"/>
      <c r="QPD147" s="292"/>
      <c r="QPE147" s="293"/>
      <c r="QPF147" s="294"/>
      <c r="QPL147" s="292"/>
      <c r="QPM147" s="293"/>
      <c r="QPN147" s="294"/>
      <c r="QPT147" s="292"/>
      <c r="QPU147" s="293"/>
      <c r="QPV147" s="294"/>
      <c r="QQB147" s="292"/>
      <c r="QQC147" s="293"/>
      <c r="QQD147" s="294"/>
      <c r="QQJ147" s="292"/>
      <c r="QQK147" s="293"/>
      <c r="QQL147" s="294"/>
      <c r="QQR147" s="292"/>
      <c r="QQS147" s="293"/>
      <c r="QQT147" s="294"/>
      <c r="QQZ147" s="292"/>
      <c r="QRA147" s="293"/>
      <c r="QRB147" s="294"/>
      <c r="QRH147" s="292"/>
      <c r="QRI147" s="293"/>
      <c r="QRJ147" s="294"/>
      <c r="QRP147" s="292"/>
      <c r="QRQ147" s="293"/>
      <c r="QRR147" s="294"/>
      <c r="QRX147" s="292"/>
      <c r="QRY147" s="293"/>
      <c r="QRZ147" s="294"/>
      <c r="QSF147" s="292"/>
      <c r="QSG147" s="293"/>
      <c r="QSH147" s="294"/>
      <c r="QSN147" s="292"/>
      <c r="QSO147" s="293"/>
      <c r="QSP147" s="294"/>
      <c r="QSV147" s="292"/>
      <c r="QSW147" s="293"/>
      <c r="QSX147" s="294"/>
      <c r="QTD147" s="292"/>
      <c r="QTE147" s="293"/>
      <c r="QTF147" s="294"/>
      <c r="QTL147" s="292"/>
      <c r="QTM147" s="293"/>
      <c r="QTN147" s="294"/>
      <c r="QTT147" s="292"/>
      <c r="QTU147" s="293"/>
      <c r="QTV147" s="294"/>
      <c r="QUB147" s="292"/>
      <c r="QUC147" s="293"/>
      <c r="QUD147" s="294"/>
      <c r="QUJ147" s="292"/>
      <c r="QUK147" s="293"/>
      <c r="QUL147" s="294"/>
      <c r="QUR147" s="292"/>
      <c r="QUS147" s="293"/>
      <c r="QUT147" s="294"/>
      <c r="QUZ147" s="292"/>
      <c r="QVA147" s="293"/>
      <c r="QVB147" s="294"/>
      <c r="QVH147" s="292"/>
      <c r="QVI147" s="293"/>
      <c r="QVJ147" s="294"/>
      <c r="QVP147" s="292"/>
      <c r="QVQ147" s="293"/>
      <c r="QVR147" s="294"/>
      <c r="QVX147" s="292"/>
      <c r="QVY147" s="293"/>
      <c r="QVZ147" s="294"/>
      <c r="QWF147" s="292"/>
      <c r="QWG147" s="293"/>
      <c r="QWH147" s="294"/>
      <c r="QWN147" s="292"/>
      <c r="QWO147" s="293"/>
      <c r="QWP147" s="294"/>
      <c r="QWV147" s="292"/>
      <c r="QWW147" s="293"/>
      <c r="QWX147" s="294"/>
      <c r="QXD147" s="292"/>
      <c r="QXE147" s="293"/>
      <c r="QXF147" s="294"/>
      <c r="QXL147" s="292"/>
      <c r="QXM147" s="293"/>
      <c r="QXN147" s="294"/>
      <c r="QXT147" s="292"/>
      <c r="QXU147" s="293"/>
      <c r="QXV147" s="294"/>
      <c r="QYB147" s="292"/>
      <c r="QYC147" s="293"/>
      <c r="QYD147" s="294"/>
      <c r="QYJ147" s="292"/>
      <c r="QYK147" s="293"/>
      <c r="QYL147" s="294"/>
      <c r="QYR147" s="292"/>
      <c r="QYS147" s="293"/>
      <c r="QYT147" s="294"/>
      <c r="QYZ147" s="292"/>
      <c r="QZA147" s="293"/>
      <c r="QZB147" s="294"/>
      <c r="QZH147" s="292"/>
      <c r="QZI147" s="293"/>
      <c r="QZJ147" s="294"/>
      <c r="QZP147" s="292"/>
      <c r="QZQ147" s="293"/>
      <c r="QZR147" s="294"/>
      <c r="QZX147" s="292"/>
      <c r="QZY147" s="293"/>
      <c r="QZZ147" s="294"/>
      <c r="RAF147" s="292"/>
      <c r="RAG147" s="293"/>
      <c r="RAH147" s="294"/>
      <c r="RAN147" s="292"/>
      <c r="RAO147" s="293"/>
      <c r="RAP147" s="294"/>
      <c r="RAV147" s="292"/>
      <c r="RAW147" s="293"/>
      <c r="RAX147" s="294"/>
      <c r="RBD147" s="292"/>
      <c r="RBE147" s="293"/>
      <c r="RBF147" s="294"/>
      <c r="RBL147" s="292"/>
      <c r="RBM147" s="293"/>
      <c r="RBN147" s="294"/>
      <c r="RBT147" s="292"/>
      <c r="RBU147" s="293"/>
      <c r="RBV147" s="294"/>
      <c r="RCB147" s="292"/>
      <c r="RCC147" s="293"/>
      <c r="RCD147" s="294"/>
      <c r="RCJ147" s="292"/>
      <c r="RCK147" s="293"/>
      <c r="RCL147" s="294"/>
      <c r="RCR147" s="292"/>
      <c r="RCS147" s="293"/>
      <c r="RCT147" s="294"/>
      <c r="RCZ147" s="292"/>
      <c r="RDA147" s="293"/>
      <c r="RDB147" s="294"/>
      <c r="RDH147" s="292"/>
      <c r="RDI147" s="293"/>
      <c r="RDJ147" s="294"/>
      <c r="RDP147" s="292"/>
      <c r="RDQ147" s="293"/>
      <c r="RDR147" s="294"/>
      <c r="RDX147" s="292"/>
      <c r="RDY147" s="293"/>
      <c r="RDZ147" s="294"/>
      <c r="REF147" s="292"/>
      <c r="REG147" s="293"/>
      <c r="REH147" s="294"/>
      <c r="REN147" s="292"/>
      <c r="REO147" s="293"/>
      <c r="REP147" s="294"/>
      <c r="REV147" s="292"/>
      <c r="REW147" s="293"/>
      <c r="REX147" s="294"/>
      <c r="RFD147" s="292"/>
      <c r="RFE147" s="293"/>
      <c r="RFF147" s="294"/>
      <c r="RFL147" s="292"/>
      <c r="RFM147" s="293"/>
      <c r="RFN147" s="294"/>
      <c r="RFT147" s="292"/>
      <c r="RFU147" s="293"/>
      <c r="RFV147" s="294"/>
      <c r="RGB147" s="292"/>
      <c r="RGC147" s="293"/>
      <c r="RGD147" s="294"/>
      <c r="RGJ147" s="292"/>
      <c r="RGK147" s="293"/>
      <c r="RGL147" s="294"/>
      <c r="RGR147" s="292"/>
      <c r="RGS147" s="293"/>
      <c r="RGT147" s="294"/>
      <c r="RGZ147" s="292"/>
      <c r="RHA147" s="293"/>
      <c r="RHB147" s="294"/>
      <c r="RHH147" s="292"/>
      <c r="RHI147" s="293"/>
      <c r="RHJ147" s="294"/>
      <c r="RHP147" s="292"/>
      <c r="RHQ147" s="293"/>
      <c r="RHR147" s="294"/>
      <c r="RHX147" s="292"/>
      <c r="RHY147" s="293"/>
      <c r="RHZ147" s="294"/>
      <c r="RIF147" s="292"/>
      <c r="RIG147" s="293"/>
      <c r="RIH147" s="294"/>
      <c r="RIN147" s="292"/>
      <c r="RIO147" s="293"/>
      <c r="RIP147" s="294"/>
      <c r="RIV147" s="292"/>
      <c r="RIW147" s="293"/>
      <c r="RIX147" s="294"/>
      <c r="RJD147" s="292"/>
      <c r="RJE147" s="293"/>
      <c r="RJF147" s="294"/>
      <c r="RJL147" s="292"/>
      <c r="RJM147" s="293"/>
      <c r="RJN147" s="294"/>
      <c r="RJT147" s="292"/>
      <c r="RJU147" s="293"/>
      <c r="RJV147" s="294"/>
      <c r="RKB147" s="292"/>
      <c r="RKC147" s="293"/>
      <c r="RKD147" s="294"/>
      <c r="RKJ147" s="292"/>
      <c r="RKK147" s="293"/>
      <c r="RKL147" s="294"/>
      <c r="RKR147" s="292"/>
      <c r="RKS147" s="293"/>
      <c r="RKT147" s="294"/>
      <c r="RKZ147" s="292"/>
      <c r="RLA147" s="293"/>
      <c r="RLB147" s="294"/>
      <c r="RLH147" s="292"/>
      <c r="RLI147" s="293"/>
      <c r="RLJ147" s="294"/>
      <c r="RLP147" s="292"/>
      <c r="RLQ147" s="293"/>
      <c r="RLR147" s="294"/>
      <c r="RLX147" s="292"/>
      <c r="RLY147" s="293"/>
      <c r="RLZ147" s="294"/>
      <c r="RMF147" s="292"/>
      <c r="RMG147" s="293"/>
      <c r="RMH147" s="294"/>
      <c r="RMN147" s="292"/>
      <c r="RMO147" s="293"/>
      <c r="RMP147" s="294"/>
      <c r="RMV147" s="292"/>
      <c r="RMW147" s="293"/>
      <c r="RMX147" s="294"/>
      <c r="RND147" s="292"/>
      <c r="RNE147" s="293"/>
      <c r="RNF147" s="294"/>
      <c r="RNL147" s="292"/>
      <c r="RNM147" s="293"/>
      <c r="RNN147" s="294"/>
      <c r="RNT147" s="292"/>
      <c r="RNU147" s="293"/>
      <c r="RNV147" s="294"/>
      <c r="ROB147" s="292"/>
      <c r="ROC147" s="293"/>
      <c r="ROD147" s="294"/>
      <c r="ROJ147" s="292"/>
      <c r="ROK147" s="293"/>
      <c r="ROL147" s="294"/>
      <c r="ROR147" s="292"/>
      <c r="ROS147" s="293"/>
      <c r="ROT147" s="294"/>
      <c r="ROZ147" s="292"/>
      <c r="RPA147" s="293"/>
      <c r="RPB147" s="294"/>
      <c r="RPH147" s="292"/>
      <c r="RPI147" s="293"/>
      <c r="RPJ147" s="294"/>
      <c r="RPP147" s="292"/>
      <c r="RPQ147" s="293"/>
      <c r="RPR147" s="294"/>
      <c r="RPX147" s="292"/>
      <c r="RPY147" s="293"/>
      <c r="RPZ147" s="294"/>
      <c r="RQF147" s="292"/>
      <c r="RQG147" s="293"/>
      <c r="RQH147" s="294"/>
      <c r="RQN147" s="292"/>
      <c r="RQO147" s="293"/>
      <c r="RQP147" s="294"/>
      <c r="RQV147" s="292"/>
      <c r="RQW147" s="293"/>
      <c r="RQX147" s="294"/>
      <c r="RRD147" s="292"/>
      <c r="RRE147" s="293"/>
      <c r="RRF147" s="294"/>
      <c r="RRL147" s="292"/>
      <c r="RRM147" s="293"/>
      <c r="RRN147" s="294"/>
      <c r="RRT147" s="292"/>
      <c r="RRU147" s="293"/>
      <c r="RRV147" s="294"/>
      <c r="RSB147" s="292"/>
      <c r="RSC147" s="293"/>
      <c r="RSD147" s="294"/>
      <c r="RSJ147" s="292"/>
      <c r="RSK147" s="293"/>
      <c r="RSL147" s="294"/>
      <c r="RSR147" s="292"/>
      <c r="RSS147" s="293"/>
      <c r="RST147" s="294"/>
      <c r="RSZ147" s="292"/>
      <c r="RTA147" s="293"/>
      <c r="RTB147" s="294"/>
      <c r="RTH147" s="292"/>
      <c r="RTI147" s="293"/>
      <c r="RTJ147" s="294"/>
      <c r="RTP147" s="292"/>
      <c r="RTQ147" s="293"/>
      <c r="RTR147" s="294"/>
      <c r="RTX147" s="292"/>
      <c r="RTY147" s="293"/>
      <c r="RTZ147" s="294"/>
      <c r="RUF147" s="292"/>
      <c r="RUG147" s="293"/>
      <c r="RUH147" s="294"/>
      <c r="RUN147" s="292"/>
      <c r="RUO147" s="293"/>
      <c r="RUP147" s="294"/>
      <c r="RUV147" s="292"/>
      <c r="RUW147" s="293"/>
      <c r="RUX147" s="294"/>
      <c r="RVD147" s="292"/>
      <c r="RVE147" s="293"/>
      <c r="RVF147" s="294"/>
      <c r="RVL147" s="292"/>
      <c r="RVM147" s="293"/>
      <c r="RVN147" s="294"/>
      <c r="RVT147" s="292"/>
      <c r="RVU147" s="293"/>
      <c r="RVV147" s="294"/>
      <c r="RWB147" s="292"/>
      <c r="RWC147" s="293"/>
      <c r="RWD147" s="294"/>
      <c r="RWJ147" s="292"/>
      <c r="RWK147" s="293"/>
      <c r="RWL147" s="294"/>
      <c r="RWR147" s="292"/>
      <c r="RWS147" s="293"/>
      <c r="RWT147" s="294"/>
      <c r="RWZ147" s="292"/>
      <c r="RXA147" s="293"/>
      <c r="RXB147" s="294"/>
      <c r="RXH147" s="292"/>
      <c r="RXI147" s="293"/>
      <c r="RXJ147" s="294"/>
      <c r="RXP147" s="292"/>
      <c r="RXQ147" s="293"/>
      <c r="RXR147" s="294"/>
      <c r="RXX147" s="292"/>
      <c r="RXY147" s="293"/>
      <c r="RXZ147" s="294"/>
      <c r="RYF147" s="292"/>
      <c r="RYG147" s="293"/>
      <c r="RYH147" s="294"/>
      <c r="RYN147" s="292"/>
      <c r="RYO147" s="293"/>
      <c r="RYP147" s="294"/>
      <c r="RYV147" s="292"/>
      <c r="RYW147" s="293"/>
      <c r="RYX147" s="294"/>
      <c r="RZD147" s="292"/>
      <c r="RZE147" s="293"/>
      <c r="RZF147" s="294"/>
      <c r="RZL147" s="292"/>
      <c r="RZM147" s="293"/>
      <c r="RZN147" s="294"/>
      <c r="RZT147" s="292"/>
      <c r="RZU147" s="293"/>
      <c r="RZV147" s="294"/>
      <c r="SAB147" s="292"/>
      <c r="SAC147" s="293"/>
      <c r="SAD147" s="294"/>
      <c r="SAJ147" s="292"/>
      <c r="SAK147" s="293"/>
      <c r="SAL147" s="294"/>
      <c r="SAR147" s="292"/>
      <c r="SAS147" s="293"/>
      <c r="SAT147" s="294"/>
      <c r="SAZ147" s="292"/>
      <c r="SBA147" s="293"/>
      <c r="SBB147" s="294"/>
      <c r="SBH147" s="292"/>
      <c r="SBI147" s="293"/>
      <c r="SBJ147" s="294"/>
      <c r="SBP147" s="292"/>
      <c r="SBQ147" s="293"/>
      <c r="SBR147" s="294"/>
      <c r="SBX147" s="292"/>
      <c r="SBY147" s="293"/>
      <c r="SBZ147" s="294"/>
      <c r="SCF147" s="292"/>
      <c r="SCG147" s="293"/>
      <c r="SCH147" s="294"/>
      <c r="SCN147" s="292"/>
      <c r="SCO147" s="293"/>
      <c r="SCP147" s="294"/>
      <c r="SCV147" s="292"/>
      <c r="SCW147" s="293"/>
      <c r="SCX147" s="294"/>
      <c r="SDD147" s="292"/>
      <c r="SDE147" s="293"/>
      <c r="SDF147" s="294"/>
      <c r="SDL147" s="292"/>
      <c r="SDM147" s="293"/>
      <c r="SDN147" s="294"/>
      <c r="SDT147" s="292"/>
      <c r="SDU147" s="293"/>
      <c r="SDV147" s="294"/>
      <c r="SEB147" s="292"/>
      <c r="SEC147" s="293"/>
      <c r="SED147" s="294"/>
      <c r="SEJ147" s="292"/>
      <c r="SEK147" s="293"/>
      <c r="SEL147" s="294"/>
      <c r="SER147" s="292"/>
      <c r="SES147" s="293"/>
      <c r="SET147" s="294"/>
      <c r="SEZ147" s="292"/>
      <c r="SFA147" s="293"/>
      <c r="SFB147" s="294"/>
      <c r="SFH147" s="292"/>
      <c r="SFI147" s="293"/>
      <c r="SFJ147" s="294"/>
      <c r="SFP147" s="292"/>
      <c r="SFQ147" s="293"/>
      <c r="SFR147" s="294"/>
      <c r="SFX147" s="292"/>
      <c r="SFY147" s="293"/>
      <c r="SFZ147" s="294"/>
      <c r="SGF147" s="292"/>
      <c r="SGG147" s="293"/>
      <c r="SGH147" s="294"/>
      <c r="SGN147" s="292"/>
      <c r="SGO147" s="293"/>
      <c r="SGP147" s="294"/>
      <c r="SGV147" s="292"/>
      <c r="SGW147" s="293"/>
      <c r="SGX147" s="294"/>
      <c r="SHD147" s="292"/>
      <c r="SHE147" s="293"/>
      <c r="SHF147" s="294"/>
      <c r="SHL147" s="292"/>
      <c r="SHM147" s="293"/>
      <c r="SHN147" s="294"/>
      <c r="SHT147" s="292"/>
      <c r="SHU147" s="293"/>
      <c r="SHV147" s="294"/>
      <c r="SIB147" s="292"/>
      <c r="SIC147" s="293"/>
      <c r="SID147" s="294"/>
      <c r="SIJ147" s="292"/>
      <c r="SIK147" s="293"/>
      <c r="SIL147" s="294"/>
      <c r="SIR147" s="292"/>
      <c r="SIS147" s="293"/>
      <c r="SIT147" s="294"/>
      <c r="SIZ147" s="292"/>
      <c r="SJA147" s="293"/>
      <c r="SJB147" s="294"/>
      <c r="SJH147" s="292"/>
      <c r="SJI147" s="293"/>
      <c r="SJJ147" s="294"/>
      <c r="SJP147" s="292"/>
      <c r="SJQ147" s="293"/>
      <c r="SJR147" s="294"/>
      <c r="SJX147" s="292"/>
      <c r="SJY147" s="293"/>
      <c r="SJZ147" s="294"/>
      <c r="SKF147" s="292"/>
      <c r="SKG147" s="293"/>
      <c r="SKH147" s="294"/>
      <c r="SKN147" s="292"/>
      <c r="SKO147" s="293"/>
      <c r="SKP147" s="294"/>
      <c r="SKV147" s="292"/>
      <c r="SKW147" s="293"/>
      <c r="SKX147" s="294"/>
      <c r="SLD147" s="292"/>
      <c r="SLE147" s="293"/>
      <c r="SLF147" s="294"/>
      <c r="SLL147" s="292"/>
      <c r="SLM147" s="293"/>
      <c r="SLN147" s="294"/>
      <c r="SLT147" s="292"/>
      <c r="SLU147" s="293"/>
      <c r="SLV147" s="294"/>
      <c r="SMB147" s="292"/>
      <c r="SMC147" s="293"/>
      <c r="SMD147" s="294"/>
      <c r="SMJ147" s="292"/>
      <c r="SMK147" s="293"/>
      <c r="SML147" s="294"/>
      <c r="SMR147" s="292"/>
      <c r="SMS147" s="293"/>
      <c r="SMT147" s="294"/>
      <c r="SMZ147" s="292"/>
      <c r="SNA147" s="293"/>
      <c r="SNB147" s="294"/>
      <c r="SNH147" s="292"/>
      <c r="SNI147" s="293"/>
      <c r="SNJ147" s="294"/>
      <c r="SNP147" s="292"/>
      <c r="SNQ147" s="293"/>
      <c r="SNR147" s="294"/>
      <c r="SNX147" s="292"/>
      <c r="SNY147" s="293"/>
      <c r="SNZ147" s="294"/>
      <c r="SOF147" s="292"/>
      <c r="SOG147" s="293"/>
      <c r="SOH147" s="294"/>
      <c r="SON147" s="292"/>
      <c r="SOO147" s="293"/>
      <c r="SOP147" s="294"/>
      <c r="SOV147" s="292"/>
      <c r="SOW147" s="293"/>
      <c r="SOX147" s="294"/>
      <c r="SPD147" s="292"/>
      <c r="SPE147" s="293"/>
      <c r="SPF147" s="294"/>
      <c r="SPL147" s="292"/>
      <c r="SPM147" s="293"/>
      <c r="SPN147" s="294"/>
      <c r="SPT147" s="292"/>
      <c r="SPU147" s="293"/>
      <c r="SPV147" s="294"/>
      <c r="SQB147" s="292"/>
      <c r="SQC147" s="293"/>
      <c r="SQD147" s="294"/>
      <c r="SQJ147" s="292"/>
      <c r="SQK147" s="293"/>
      <c r="SQL147" s="294"/>
      <c r="SQR147" s="292"/>
      <c r="SQS147" s="293"/>
      <c r="SQT147" s="294"/>
      <c r="SQZ147" s="292"/>
      <c r="SRA147" s="293"/>
      <c r="SRB147" s="294"/>
      <c r="SRH147" s="292"/>
      <c r="SRI147" s="293"/>
      <c r="SRJ147" s="294"/>
      <c r="SRP147" s="292"/>
      <c r="SRQ147" s="293"/>
      <c r="SRR147" s="294"/>
      <c r="SRX147" s="292"/>
      <c r="SRY147" s="293"/>
      <c r="SRZ147" s="294"/>
      <c r="SSF147" s="292"/>
      <c r="SSG147" s="293"/>
      <c r="SSH147" s="294"/>
      <c r="SSN147" s="292"/>
      <c r="SSO147" s="293"/>
      <c r="SSP147" s="294"/>
      <c r="SSV147" s="292"/>
      <c r="SSW147" s="293"/>
      <c r="SSX147" s="294"/>
      <c r="STD147" s="292"/>
      <c r="STE147" s="293"/>
      <c r="STF147" s="294"/>
      <c r="STL147" s="292"/>
      <c r="STM147" s="293"/>
      <c r="STN147" s="294"/>
      <c r="STT147" s="292"/>
      <c r="STU147" s="293"/>
      <c r="STV147" s="294"/>
      <c r="SUB147" s="292"/>
      <c r="SUC147" s="293"/>
      <c r="SUD147" s="294"/>
      <c r="SUJ147" s="292"/>
      <c r="SUK147" s="293"/>
      <c r="SUL147" s="294"/>
      <c r="SUR147" s="292"/>
      <c r="SUS147" s="293"/>
      <c r="SUT147" s="294"/>
      <c r="SUZ147" s="292"/>
      <c r="SVA147" s="293"/>
      <c r="SVB147" s="294"/>
      <c r="SVH147" s="292"/>
      <c r="SVI147" s="293"/>
      <c r="SVJ147" s="294"/>
      <c r="SVP147" s="292"/>
      <c r="SVQ147" s="293"/>
      <c r="SVR147" s="294"/>
      <c r="SVX147" s="292"/>
      <c r="SVY147" s="293"/>
      <c r="SVZ147" s="294"/>
      <c r="SWF147" s="292"/>
      <c r="SWG147" s="293"/>
      <c r="SWH147" s="294"/>
      <c r="SWN147" s="292"/>
      <c r="SWO147" s="293"/>
      <c r="SWP147" s="294"/>
      <c r="SWV147" s="292"/>
      <c r="SWW147" s="293"/>
      <c r="SWX147" s="294"/>
      <c r="SXD147" s="292"/>
      <c r="SXE147" s="293"/>
      <c r="SXF147" s="294"/>
      <c r="SXL147" s="292"/>
      <c r="SXM147" s="293"/>
      <c r="SXN147" s="294"/>
      <c r="SXT147" s="292"/>
      <c r="SXU147" s="293"/>
      <c r="SXV147" s="294"/>
      <c r="SYB147" s="292"/>
      <c r="SYC147" s="293"/>
      <c r="SYD147" s="294"/>
      <c r="SYJ147" s="292"/>
      <c r="SYK147" s="293"/>
      <c r="SYL147" s="294"/>
      <c r="SYR147" s="292"/>
      <c r="SYS147" s="293"/>
      <c r="SYT147" s="294"/>
      <c r="SYZ147" s="292"/>
      <c r="SZA147" s="293"/>
      <c r="SZB147" s="294"/>
      <c r="SZH147" s="292"/>
      <c r="SZI147" s="293"/>
      <c r="SZJ147" s="294"/>
      <c r="SZP147" s="292"/>
      <c r="SZQ147" s="293"/>
      <c r="SZR147" s="294"/>
      <c r="SZX147" s="292"/>
      <c r="SZY147" s="293"/>
      <c r="SZZ147" s="294"/>
      <c r="TAF147" s="292"/>
      <c r="TAG147" s="293"/>
      <c r="TAH147" s="294"/>
      <c r="TAN147" s="292"/>
      <c r="TAO147" s="293"/>
      <c r="TAP147" s="294"/>
      <c r="TAV147" s="292"/>
      <c r="TAW147" s="293"/>
      <c r="TAX147" s="294"/>
      <c r="TBD147" s="292"/>
      <c r="TBE147" s="293"/>
      <c r="TBF147" s="294"/>
      <c r="TBL147" s="292"/>
      <c r="TBM147" s="293"/>
      <c r="TBN147" s="294"/>
      <c r="TBT147" s="292"/>
      <c r="TBU147" s="293"/>
      <c r="TBV147" s="294"/>
      <c r="TCB147" s="292"/>
      <c r="TCC147" s="293"/>
      <c r="TCD147" s="294"/>
      <c r="TCJ147" s="292"/>
      <c r="TCK147" s="293"/>
      <c r="TCL147" s="294"/>
      <c r="TCR147" s="292"/>
      <c r="TCS147" s="293"/>
      <c r="TCT147" s="294"/>
      <c r="TCZ147" s="292"/>
      <c r="TDA147" s="293"/>
      <c r="TDB147" s="294"/>
      <c r="TDH147" s="292"/>
      <c r="TDI147" s="293"/>
      <c r="TDJ147" s="294"/>
      <c r="TDP147" s="292"/>
      <c r="TDQ147" s="293"/>
      <c r="TDR147" s="294"/>
      <c r="TDX147" s="292"/>
      <c r="TDY147" s="293"/>
      <c r="TDZ147" s="294"/>
      <c r="TEF147" s="292"/>
      <c r="TEG147" s="293"/>
      <c r="TEH147" s="294"/>
      <c r="TEN147" s="292"/>
      <c r="TEO147" s="293"/>
      <c r="TEP147" s="294"/>
      <c r="TEV147" s="292"/>
      <c r="TEW147" s="293"/>
      <c r="TEX147" s="294"/>
      <c r="TFD147" s="292"/>
      <c r="TFE147" s="293"/>
      <c r="TFF147" s="294"/>
      <c r="TFL147" s="292"/>
      <c r="TFM147" s="293"/>
      <c r="TFN147" s="294"/>
      <c r="TFT147" s="292"/>
      <c r="TFU147" s="293"/>
      <c r="TFV147" s="294"/>
      <c r="TGB147" s="292"/>
      <c r="TGC147" s="293"/>
      <c r="TGD147" s="294"/>
      <c r="TGJ147" s="292"/>
      <c r="TGK147" s="293"/>
      <c r="TGL147" s="294"/>
      <c r="TGR147" s="292"/>
      <c r="TGS147" s="293"/>
      <c r="TGT147" s="294"/>
      <c r="TGZ147" s="292"/>
      <c r="THA147" s="293"/>
      <c r="THB147" s="294"/>
      <c r="THH147" s="292"/>
      <c r="THI147" s="293"/>
      <c r="THJ147" s="294"/>
      <c r="THP147" s="292"/>
      <c r="THQ147" s="293"/>
      <c r="THR147" s="294"/>
      <c r="THX147" s="292"/>
      <c r="THY147" s="293"/>
      <c r="THZ147" s="294"/>
      <c r="TIF147" s="292"/>
      <c r="TIG147" s="293"/>
      <c r="TIH147" s="294"/>
      <c r="TIN147" s="292"/>
      <c r="TIO147" s="293"/>
      <c r="TIP147" s="294"/>
      <c r="TIV147" s="292"/>
      <c r="TIW147" s="293"/>
      <c r="TIX147" s="294"/>
      <c r="TJD147" s="292"/>
      <c r="TJE147" s="293"/>
      <c r="TJF147" s="294"/>
      <c r="TJL147" s="292"/>
      <c r="TJM147" s="293"/>
      <c r="TJN147" s="294"/>
      <c r="TJT147" s="292"/>
      <c r="TJU147" s="293"/>
      <c r="TJV147" s="294"/>
      <c r="TKB147" s="292"/>
      <c r="TKC147" s="293"/>
      <c r="TKD147" s="294"/>
      <c r="TKJ147" s="292"/>
      <c r="TKK147" s="293"/>
      <c r="TKL147" s="294"/>
      <c r="TKR147" s="292"/>
      <c r="TKS147" s="293"/>
      <c r="TKT147" s="294"/>
      <c r="TKZ147" s="292"/>
      <c r="TLA147" s="293"/>
      <c r="TLB147" s="294"/>
      <c r="TLH147" s="292"/>
      <c r="TLI147" s="293"/>
      <c r="TLJ147" s="294"/>
      <c r="TLP147" s="292"/>
      <c r="TLQ147" s="293"/>
      <c r="TLR147" s="294"/>
      <c r="TLX147" s="292"/>
      <c r="TLY147" s="293"/>
      <c r="TLZ147" s="294"/>
      <c r="TMF147" s="292"/>
      <c r="TMG147" s="293"/>
      <c r="TMH147" s="294"/>
      <c r="TMN147" s="292"/>
      <c r="TMO147" s="293"/>
      <c r="TMP147" s="294"/>
      <c r="TMV147" s="292"/>
      <c r="TMW147" s="293"/>
      <c r="TMX147" s="294"/>
      <c r="TND147" s="292"/>
      <c r="TNE147" s="293"/>
      <c r="TNF147" s="294"/>
      <c r="TNL147" s="292"/>
      <c r="TNM147" s="293"/>
      <c r="TNN147" s="294"/>
      <c r="TNT147" s="292"/>
      <c r="TNU147" s="293"/>
      <c r="TNV147" s="294"/>
      <c r="TOB147" s="292"/>
      <c r="TOC147" s="293"/>
      <c r="TOD147" s="294"/>
      <c r="TOJ147" s="292"/>
      <c r="TOK147" s="293"/>
      <c r="TOL147" s="294"/>
      <c r="TOR147" s="292"/>
      <c r="TOS147" s="293"/>
      <c r="TOT147" s="294"/>
      <c r="TOZ147" s="292"/>
      <c r="TPA147" s="293"/>
      <c r="TPB147" s="294"/>
      <c r="TPH147" s="292"/>
      <c r="TPI147" s="293"/>
      <c r="TPJ147" s="294"/>
      <c r="TPP147" s="292"/>
      <c r="TPQ147" s="293"/>
      <c r="TPR147" s="294"/>
      <c r="TPX147" s="292"/>
      <c r="TPY147" s="293"/>
      <c r="TPZ147" s="294"/>
      <c r="TQF147" s="292"/>
      <c r="TQG147" s="293"/>
      <c r="TQH147" s="294"/>
      <c r="TQN147" s="292"/>
      <c r="TQO147" s="293"/>
      <c r="TQP147" s="294"/>
      <c r="TQV147" s="292"/>
      <c r="TQW147" s="293"/>
      <c r="TQX147" s="294"/>
      <c r="TRD147" s="292"/>
      <c r="TRE147" s="293"/>
      <c r="TRF147" s="294"/>
      <c r="TRL147" s="292"/>
      <c r="TRM147" s="293"/>
      <c r="TRN147" s="294"/>
      <c r="TRT147" s="292"/>
      <c r="TRU147" s="293"/>
      <c r="TRV147" s="294"/>
      <c r="TSB147" s="292"/>
      <c r="TSC147" s="293"/>
      <c r="TSD147" s="294"/>
      <c r="TSJ147" s="292"/>
      <c r="TSK147" s="293"/>
      <c r="TSL147" s="294"/>
      <c r="TSR147" s="292"/>
      <c r="TSS147" s="293"/>
      <c r="TST147" s="294"/>
      <c r="TSZ147" s="292"/>
      <c r="TTA147" s="293"/>
      <c r="TTB147" s="294"/>
      <c r="TTH147" s="292"/>
      <c r="TTI147" s="293"/>
      <c r="TTJ147" s="294"/>
      <c r="TTP147" s="292"/>
      <c r="TTQ147" s="293"/>
      <c r="TTR147" s="294"/>
      <c r="TTX147" s="292"/>
      <c r="TTY147" s="293"/>
      <c r="TTZ147" s="294"/>
      <c r="TUF147" s="292"/>
      <c r="TUG147" s="293"/>
      <c r="TUH147" s="294"/>
      <c r="TUN147" s="292"/>
      <c r="TUO147" s="293"/>
      <c r="TUP147" s="294"/>
      <c r="TUV147" s="292"/>
      <c r="TUW147" s="293"/>
      <c r="TUX147" s="294"/>
      <c r="TVD147" s="292"/>
      <c r="TVE147" s="293"/>
      <c r="TVF147" s="294"/>
      <c r="TVL147" s="292"/>
      <c r="TVM147" s="293"/>
      <c r="TVN147" s="294"/>
      <c r="TVT147" s="292"/>
      <c r="TVU147" s="293"/>
      <c r="TVV147" s="294"/>
      <c r="TWB147" s="292"/>
      <c r="TWC147" s="293"/>
      <c r="TWD147" s="294"/>
      <c r="TWJ147" s="292"/>
      <c r="TWK147" s="293"/>
      <c r="TWL147" s="294"/>
      <c r="TWR147" s="292"/>
      <c r="TWS147" s="293"/>
      <c r="TWT147" s="294"/>
      <c r="TWZ147" s="292"/>
      <c r="TXA147" s="293"/>
      <c r="TXB147" s="294"/>
      <c r="TXH147" s="292"/>
      <c r="TXI147" s="293"/>
      <c r="TXJ147" s="294"/>
      <c r="TXP147" s="292"/>
      <c r="TXQ147" s="293"/>
      <c r="TXR147" s="294"/>
      <c r="TXX147" s="292"/>
      <c r="TXY147" s="293"/>
      <c r="TXZ147" s="294"/>
      <c r="TYF147" s="292"/>
      <c r="TYG147" s="293"/>
      <c r="TYH147" s="294"/>
      <c r="TYN147" s="292"/>
      <c r="TYO147" s="293"/>
      <c r="TYP147" s="294"/>
      <c r="TYV147" s="292"/>
      <c r="TYW147" s="293"/>
      <c r="TYX147" s="294"/>
      <c r="TZD147" s="292"/>
      <c r="TZE147" s="293"/>
      <c r="TZF147" s="294"/>
      <c r="TZL147" s="292"/>
      <c r="TZM147" s="293"/>
      <c r="TZN147" s="294"/>
      <c r="TZT147" s="292"/>
      <c r="TZU147" s="293"/>
      <c r="TZV147" s="294"/>
      <c r="UAB147" s="292"/>
      <c r="UAC147" s="293"/>
      <c r="UAD147" s="294"/>
      <c r="UAJ147" s="292"/>
      <c r="UAK147" s="293"/>
      <c r="UAL147" s="294"/>
      <c r="UAR147" s="292"/>
      <c r="UAS147" s="293"/>
      <c r="UAT147" s="294"/>
      <c r="UAZ147" s="292"/>
      <c r="UBA147" s="293"/>
      <c r="UBB147" s="294"/>
      <c r="UBH147" s="292"/>
      <c r="UBI147" s="293"/>
      <c r="UBJ147" s="294"/>
      <c r="UBP147" s="292"/>
      <c r="UBQ147" s="293"/>
      <c r="UBR147" s="294"/>
      <c r="UBX147" s="292"/>
      <c r="UBY147" s="293"/>
      <c r="UBZ147" s="294"/>
      <c r="UCF147" s="292"/>
      <c r="UCG147" s="293"/>
      <c r="UCH147" s="294"/>
      <c r="UCN147" s="292"/>
      <c r="UCO147" s="293"/>
      <c r="UCP147" s="294"/>
      <c r="UCV147" s="292"/>
      <c r="UCW147" s="293"/>
      <c r="UCX147" s="294"/>
      <c r="UDD147" s="292"/>
      <c r="UDE147" s="293"/>
      <c r="UDF147" s="294"/>
      <c r="UDL147" s="292"/>
      <c r="UDM147" s="293"/>
      <c r="UDN147" s="294"/>
      <c r="UDT147" s="292"/>
      <c r="UDU147" s="293"/>
      <c r="UDV147" s="294"/>
      <c r="UEB147" s="292"/>
      <c r="UEC147" s="293"/>
      <c r="UED147" s="294"/>
      <c r="UEJ147" s="292"/>
      <c r="UEK147" s="293"/>
      <c r="UEL147" s="294"/>
      <c r="UER147" s="292"/>
      <c r="UES147" s="293"/>
      <c r="UET147" s="294"/>
      <c r="UEZ147" s="292"/>
      <c r="UFA147" s="293"/>
      <c r="UFB147" s="294"/>
      <c r="UFH147" s="292"/>
      <c r="UFI147" s="293"/>
      <c r="UFJ147" s="294"/>
      <c r="UFP147" s="292"/>
      <c r="UFQ147" s="293"/>
      <c r="UFR147" s="294"/>
      <c r="UFX147" s="292"/>
      <c r="UFY147" s="293"/>
      <c r="UFZ147" s="294"/>
      <c r="UGF147" s="292"/>
      <c r="UGG147" s="293"/>
      <c r="UGH147" s="294"/>
      <c r="UGN147" s="292"/>
      <c r="UGO147" s="293"/>
      <c r="UGP147" s="294"/>
      <c r="UGV147" s="292"/>
      <c r="UGW147" s="293"/>
      <c r="UGX147" s="294"/>
      <c r="UHD147" s="292"/>
      <c r="UHE147" s="293"/>
      <c r="UHF147" s="294"/>
      <c r="UHL147" s="292"/>
      <c r="UHM147" s="293"/>
      <c r="UHN147" s="294"/>
      <c r="UHT147" s="292"/>
      <c r="UHU147" s="293"/>
      <c r="UHV147" s="294"/>
      <c r="UIB147" s="292"/>
      <c r="UIC147" s="293"/>
      <c r="UID147" s="294"/>
      <c r="UIJ147" s="292"/>
      <c r="UIK147" s="293"/>
      <c r="UIL147" s="294"/>
      <c r="UIR147" s="292"/>
      <c r="UIS147" s="293"/>
      <c r="UIT147" s="294"/>
      <c r="UIZ147" s="292"/>
      <c r="UJA147" s="293"/>
      <c r="UJB147" s="294"/>
      <c r="UJH147" s="292"/>
      <c r="UJI147" s="293"/>
      <c r="UJJ147" s="294"/>
      <c r="UJP147" s="292"/>
      <c r="UJQ147" s="293"/>
      <c r="UJR147" s="294"/>
      <c r="UJX147" s="292"/>
      <c r="UJY147" s="293"/>
      <c r="UJZ147" s="294"/>
      <c r="UKF147" s="292"/>
      <c r="UKG147" s="293"/>
      <c r="UKH147" s="294"/>
      <c r="UKN147" s="292"/>
      <c r="UKO147" s="293"/>
      <c r="UKP147" s="294"/>
      <c r="UKV147" s="292"/>
      <c r="UKW147" s="293"/>
      <c r="UKX147" s="294"/>
      <c r="ULD147" s="292"/>
      <c r="ULE147" s="293"/>
      <c r="ULF147" s="294"/>
      <c r="ULL147" s="292"/>
      <c r="ULM147" s="293"/>
      <c r="ULN147" s="294"/>
      <c r="ULT147" s="292"/>
      <c r="ULU147" s="293"/>
      <c r="ULV147" s="294"/>
      <c r="UMB147" s="292"/>
      <c r="UMC147" s="293"/>
      <c r="UMD147" s="294"/>
      <c r="UMJ147" s="292"/>
      <c r="UMK147" s="293"/>
      <c r="UML147" s="294"/>
      <c r="UMR147" s="292"/>
      <c r="UMS147" s="293"/>
      <c r="UMT147" s="294"/>
      <c r="UMZ147" s="292"/>
      <c r="UNA147" s="293"/>
      <c r="UNB147" s="294"/>
      <c r="UNH147" s="292"/>
      <c r="UNI147" s="293"/>
      <c r="UNJ147" s="294"/>
      <c r="UNP147" s="292"/>
      <c r="UNQ147" s="293"/>
      <c r="UNR147" s="294"/>
      <c r="UNX147" s="292"/>
      <c r="UNY147" s="293"/>
      <c r="UNZ147" s="294"/>
      <c r="UOF147" s="292"/>
      <c r="UOG147" s="293"/>
      <c r="UOH147" s="294"/>
      <c r="UON147" s="292"/>
      <c r="UOO147" s="293"/>
      <c r="UOP147" s="294"/>
      <c r="UOV147" s="292"/>
      <c r="UOW147" s="293"/>
      <c r="UOX147" s="294"/>
      <c r="UPD147" s="292"/>
      <c r="UPE147" s="293"/>
      <c r="UPF147" s="294"/>
      <c r="UPL147" s="292"/>
      <c r="UPM147" s="293"/>
      <c r="UPN147" s="294"/>
      <c r="UPT147" s="292"/>
      <c r="UPU147" s="293"/>
      <c r="UPV147" s="294"/>
      <c r="UQB147" s="292"/>
      <c r="UQC147" s="293"/>
      <c r="UQD147" s="294"/>
      <c r="UQJ147" s="292"/>
      <c r="UQK147" s="293"/>
      <c r="UQL147" s="294"/>
      <c r="UQR147" s="292"/>
      <c r="UQS147" s="293"/>
      <c r="UQT147" s="294"/>
      <c r="UQZ147" s="292"/>
      <c r="URA147" s="293"/>
      <c r="URB147" s="294"/>
      <c r="URH147" s="292"/>
      <c r="URI147" s="293"/>
      <c r="URJ147" s="294"/>
      <c r="URP147" s="292"/>
      <c r="URQ147" s="293"/>
      <c r="URR147" s="294"/>
      <c r="URX147" s="292"/>
      <c r="URY147" s="293"/>
      <c r="URZ147" s="294"/>
      <c r="USF147" s="292"/>
      <c r="USG147" s="293"/>
      <c r="USH147" s="294"/>
      <c r="USN147" s="292"/>
      <c r="USO147" s="293"/>
      <c r="USP147" s="294"/>
      <c r="USV147" s="292"/>
      <c r="USW147" s="293"/>
      <c r="USX147" s="294"/>
      <c r="UTD147" s="292"/>
      <c r="UTE147" s="293"/>
      <c r="UTF147" s="294"/>
      <c r="UTL147" s="292"/>
      <c r="UTM147" s="293"/>
      <c r="UTN147" s="294"/>
      <c r="UTT147" s="292"/>
      <c r="UTU147" s="293"/>
      <c r="UTV147" s="294"/>
      <c r="UUB147" s="292"/>
      <c r="UUC147" s="293"/>
      <c r="UUD147" s="294"/>
      <c r="UUJ147" s="292"/>
      <c r="UUK147" s="293"/>
      <c r="UUL147" s="294"/>
      <c r="UUR147" s="292"/>
      <c r="UUS147" s="293"/>
      <c r="UUT147" s="294"/>
      <c r="UUZ147" s="292"/>
      <c r="UVA147" s="293"/>
      <c r="UVB147" s="294"/>
      <c r="UVH147" s="292"/>
      <c r="UVI147" s="293"/>
      <c r="UVJ147" s="294"/>
      <c r="UVP147" s="292"/>
      <c r="UVQ147" s="293"/>
      <c r="UVR147" s="294"/>
      <c r="UVX147" s="292"/>
      <c r="UVY147" s="293"/>
      <c r="UVZ147" s="294"/>
      <c r="UWF147" s="292"/>
      <c r="UWG147" s="293"/>
      <c r="UWH147" s="294"/>
      <c r="UWN147" s="292"/>
      <c r="UWO147" s="293"/>
      <c r="UWP147" s="294"/>
      <c r="UWV147" s="292"/>
      <c r="UWW147" s="293"/>
      <c r="UWX147" s="294"/>
      <c r="UXD147" s="292"/>
      <c r="UXE147" s="293"/>
      <c r="UXF147" s="294"/>
      <c r="UXL147" s="292"/>
      <c r="UXM147" s="293"/>
      <c r="UXN147" s="294"/>
      <c r="UXT147" s="292"/>
      <c r="UXU147" s="293"/>
      <c r="UXV147" s="294"/>
      <c r="UYB147" s="292"/>
      <c r="UYC147" s="293"/>
      <c r="UYD147" s="294"/>
      <c r="UYJ147" s="292"/>
      <c r="UYK147" s="293"/>
      <c r="UYL147" s="294"/>
      <c r="UYR147" s="292"/>
      <c r="UYS147" s="293"/>
      <c r="UYT147" s="294"/>
      <c r="UYZ147" s="292"/>
      <c r="UZA147" s="293"/>
      <c r="UZB147" s="294"/>
      <c r="UZH147" s="292"/>
      <c r="UZI147" s="293"/>
      <c r="UZJ147" s="294"/>
      <c r="UZP147" s="292"/>
      <c r="UZQ147" s="293"/>
      <c r="UZR147" s="294"/>
      <c r="UZX147" s="292"/>
      <c r="UZY147" s="293"/>
      <c r="UZZ147" s="294"/>
      <c r="VAF147" s="292"/>
      <c r="VAG147" s="293"/>
      <c r="VAH147" s="294"/>
      <c r="VAN147" s="292"/>
      <c r="VAO147" s="293"/>
      <c r="VAP147" s="294"/>
      <c r="VAV147" s="292"/>
      <c r="VAW147" s="293"/>
      <c r="VAX147" s="294"/>
      <c r="VBD147" s="292"/>
      <c r="VBE147" s="293"/>
      <c r="VBF147" s="294"/>
      <c r="VBL147" s="292"/>
      <c r="VBM147" s="293"/>
      <c r="VBN147" s="294"/>
      <c r="VBT147" s="292"/>
      <c r="VBU147" s="293"/>
      <c r="VBV147" s="294"/>
      <c r="VCB147" s="292"/>
      <c r="VCC147" s="293"/>
      <c r="VCD147" s="294"/>
      <c r="VCJ147" s="292"/>
      <c r="VCK147" s="293"/>
      <c r="VCL147" s="294"/>
      <c r="VCR147" s="292"/>
      <c r="VCS147" s="293"/>
      <c r="VCT147" s="294"/>
      <c r="VCZ147" s="292"/>
      <c r="VDA147" s="293"/>
      <c r="VDB147" s="294"/>
      <c r="VDH147" s="292"/>
      <c r="VDI147" s="293"/>
      <c r="VDJ147" s="294"/>
      <c r="VDP147" s="292"/>
      <c r="VDQ147" s="293"/>
      <c r="VDR147" s="294"/>
      <c r="VDX147" s="292"/>
      <c r="VDY147" s="293"/>
      <c r="VDZ147" s="294"/>
      <c r="VEF147" s="292"/>
      <c r="VEG147" s="293"/>
      <c r="VEH147" s="294"/>
      <c r="VEN147" s="292"/>
      <c r="VEO147" s="293"/>
      <c r="VEP147" s="294"/>
      <c r="VEV147" s="292"/>
      <c r="VEW147" s="293"/>
      <c r="VEX147" s="294"/>
      <c r="VFD147" s="292"/>
      <c r="VFE147" s="293"/>
      <c r="VFF147" s="294"/>
      <c r="VFL147" s="292"/>
      <c r="VFM147" s="293"/>
      <c r="VFN147" s="294"/>
      <c r="VFT147" s="292"/>
      <c r="VFU147" s="293"/>
      <c r="VFV147" s="294"/>
      <c r="VGB147" s="292"/>
      <c r="VGC147" s="293"/>
      <c r="VGD147" s="294"/>
      <c r="VGJ147" s="292"/>
      <c r="VGK147" s="293"/>
      <c r="VGL147" s="294"/>
      <c r="VGR147" s="292"/>
      <c r="VGS147" s="293"/>
      <c r="VGT147" s="294"/>
      <c r="VGZ147" s="292"/>
      <c r="VHA147" s="293"/>
      <c r="VHB147" s="294"/>
      <c r="VHH147" s="292"/>
      <c r="VHI147" s="293"/>
      <c r="VHJ147" s="294"/>
      <c r="VHP147" s="292"/>
      <c r="VHQ147" s="293"/>
      <c r="VHR147" s="294"/>
      <c r="VHX147" s="292"/>
      <c r="VHY147" s="293"/>
      <c r="VHZ147" s="294"/>
      <c r="VIF147" s="292"/>
      <c r="VIG147" s="293"/>
      <c r="VIH147" s="294"/>
      <c r="VIN147" s="292"/>
      <c r="VIO147" s="293"/>
      <c r="VIP147" s="294"/>
      <c r="VIV147" s="292"/>
      <c r="VIW147" s="293"/>
      <c r="VIX147" s="294"/>
      <c r="VJD147" s="292"/>
      <c r="VJE147" s="293"/>
      <c r="VJF147" s="294"/>
      <c r="VJL147" s="292"/>
      <c r="VJM147" s="293"/>
      <c r="VJN147" s="294"/>
      <c r="VJT147" s="292"/>
      <c r="VJU147" s="293"/>
      <c r="VJV147" s="294"/>
      <c r="VKB147" s="292"/>
      <c r="VKC147" s="293"/>
      <c r="VKD147" s="294"/>
      <c r="VKJ147" s="292"/>
      <c r="VKK147" s="293"/>
      <c r="VKL147" s="294"/>
      <c r="VKR147" s="292"/>
      <c r="VKS147" s="293"/>
      <c r="VKT147" s="294"/>
      <c r="VKZ147" s="292"/>
      <c r="VLA147" s="293"/>
      <c r="VLB147" s="294"/>
      <c r="VLH147" s="292"/>
      <c r="VLI147" s="293"/>
      <c r="VLJ147" s="294"/>
      <c r="VLP147" s="292"/>
      <c r="VLQ147" s="293"/>
      <c r="VLR147" s="294"/>
      <c r="VLX147" s="292"/>
      <c r="VLY147" s="293"/>
      <c r="VLZ147" s="294"/>
      <c r="VMF147" s="292"/>
      <c r="VMG147" s="293"/>
      <c r="VMH147" s="294"/>
      <c r="VMN147" s="292"/>
      <c r="VMO147" s="293"/>
      <c r="VMP147" s="294"/>
      <c r="VMV147" s="292"/>
      <c r="VMW147" s="293"/>
      <c r="VMX147" s="294"/>
      <c r="VND147" s="292"/>
      <c r="VNE147" s="293"/>
      <c r="VNF147" s="294"/>
      <c r="VNL147" s="292"/>
      <c r="VNM147" s="293"/>
      <c r="VNN147" s="294"/>
      <c r="VNT147" s="292"/>
      <c r="VNU147" s="293"/>
      <c r="VNV147" s="294"/>
      <c r="VOB147" s="292"/>
      <c r="VOC147" s="293"/>
      <c r="VOD147" s="294"/>
      <c r="VOJ147" s="292"/>
      <c r="VOK147" s="293"/>
      <c r="VOL147" s="294"/>
      <c r="VOR147" s="292"/>
      <c r="VOS147" s="293"/>
      <c r="VOT147" s="294"/>
      <c r="VOZ147" s="292"/>
      <c r="VPA147" s="293"/>
      <c r="VPB147" s="294"/>
      <c r="VPH147" s="292"/>
      <c r="VPI147" s="293"/>
      <c r="VPJ147" s="294"/>
      <c r="VPP147" s="292"/>
      <c r="VPQ147" s="293"/>
      <c r="VPR147" s="294"/>
      <c r="VPX147" s="292"/>
      <c r="VPY147" s="293"/>
      <c r="VPZ147" s="294"/>
      <c r="VQF147" s="292"/>
      <c r="VQG147" s="293"/>
      <c r="VQH147" s="294"/>
      <c r="VQN147" s="292"/>
      <c r="VQO147" s="293"/>
      <c r="VQP147" s="294"/>
      <c r="VQV147" s="292"/>
      <c r="VQW147" s="293"/>
      <c r="VQX147" s="294"/>
      <c r="VRD147" s="292"/>
      <c r="VRE147" s="293"/>
      <c r="VRF147" s="294"/>
      <c r="VRL147" s="292"/>
      <c r="VRM147" s="293"/>
      <c r="VRN147" s="294"/>
      <c r="VRT147" s="292"/>
      <c r="VRU147" s="293"/>
      <c r="VRV147" s="294"/>
      <c r="VSB147" s="292"/>
      <c r="VSC147" s="293"/>
      <c r="VSD147" s="294"/>
      <c r="VSJ147" s="292"/>
      <c r="VSK147" s="293"/>
      <c r="VSL147" s="294"/>
      <c r="VSR147" s="292"/>
      <c r="VSS147" s="293"/>
      <c r="VST147" s="294"/>
      <c r="VSZ147" s="292"/>
      <c r="VTA147" s="293"/>
      <c r="VTB147" s="294"/>
      <c r="VTH147" s="292"/>
      <c r="VTI147" s="293"/>
      <c r="VTJ147" s="294"/>
      <c r="VTP147" s="292"/>
      <c r="VTQ147" s="293"/>
      <c r="VTR147" s="294"/>
      <c r="VTX147" s="292"/>
      <c r="VTY147" s="293"/>
      <c r="VTZ147" s="294"/>
      <c r="VUF147" s="292"/>
      <c r="VUG147" s="293"/>
      <c r="VUH147" s="294"/>
      <c r="VUN147" s="292"/>
      <c r="VUO147" s="293"/>
      <c r="VUP147" s="294"/>
      <c r="VUV147" s="292"/>
      <c r="VUW147" s="293"/>
      <c r="VUX147" s="294"/>
      <c r="VVD147" s="292"/>
      <c r="VVE147" s="293"/>
      <c r="VVF147" s="294"/>
      <c r="VVL147" s="292"/>
      <c r="VVM147" s="293"/>
      <c r="VVN147" s="294"/>
      <c r="VVT147" s="292"/>
      <c r="VVU147" s="293"/>
      <c r="VVV147" s="294"/>
      <c r="VWB147" s="292"/>
      <c r="VWC147" s="293"/>
      <c r="VWD147" s="294"/>
      <c r="VWJ147" s="292"/>
      <c r="VWK147" s="293"/>
      <c r="VWL147" s="294"/>
      <c r="VWR147" s="292"/>
      <c r="VWS147" s="293"/>
      <c r="VWT147" s="294"/>
      <c r="VWZ147" s="292"/>
      <c r="VXA147" s="293"/>
      <c r="VXB147" s="294"/>
      <c r="VXH147" s="292"/>
      <c r="VXI147" s="293"/>
      <c r="VXJ147" s="294"/>
      <c r="VXP147" s="292"/>
      <c r="VXQ147" s="293"/>
      <c r="VXR147" s="294"/>
      <c r="VXX147" s="292"/>
      <c r="VXY147" s="293"/>
      <c r="VXZ147" s="294"/>
      <c r="VYF147" s="292"/>
      <c r="VYG147" s="293"/>
      <c r="VYH147" s="294"/>
      <c r="VYN147" s="292"/>
      <c r="VYO147" s="293"/>
      <c r="VYP147" s="294"/>
      <c r="VYV147" s="292"/>
      <c r="VYW147" s="293"/>
      <c r="VYX147" s="294"/>
      <c r="VZD147" s="292"/>
      <c r="VZE147" s="293"/>
      <c r="VZF147" s="294"/>
      <c r="VZL147" s="292"/>
      <c r="VZM147" s="293"/>
      <c r="VZN147" s="294"/>
      <c r="VZT147" s="292"/>
      <c r="VZU147" s="293"/>
      <c r="VZV147" s="294"/>
      <c r="WAB147" s="292"/>
      <c r="WAC147" s="293"/>
      <c r="WAD147" s="294"/>
      <c r="WAJ147" s="292"/>
      <c r="WAK147" s="293"/>
      <c r="WAL147" s="294"/>
      <c r="WAR147" s="292"/>
      <c r="WAS147" s="293"/>
      <c r="WAT147" s="294"/>
      <c r="WAZ147" s="292"/>
      <c r="WBA147" s="293"/>
      <c r="WBB147" s="294"/>
      <c r="WBH147" s="292"/>
      <c r="WBI147" s="293"/>
      <c r="WBJ147" s="294"/>
      <c r="WBP147" s="292"/>
      <c r="WBQ147" s="293"/>
      <c r="WBR147" s="294"/>
      <c r="WBX147" s="292"/>
      <c r="WBY147" s="293"/>
      <c r="WBZ147" s="294"/>
      <c r="WCF147" s="292"/>
      <c r="WCG147" s="293"/>
      <c r="WCH147" s="294"/>
      <c r="WCN147" s="292"/>
      <c r="WCO147" s="293"/>
      <c r="WCP147" s="294"/>
      <c r="WCV147" s="292"/>
      <c r="WCW147" s="293"/>
      <c r="WCX147" s="294"/>
      <c r="WDD147" s="292"/>
      <c r="WDE147" s="293"/>
      <c r="WDF147" s="294"/>
      <c r="WDL147" s="292"/>
      <c r="WDM147" s="293"/>
      <c r="WDN147" s="294"/>
      <c r="WDT147" s="292"/>
      <c r="WDU147" s="293"/>
      <c r="WDV147" s="294"/>
      <c r="WEB147" s="292"/>
      <c r="WEC147" s="293"/>
      <c r="WED147" s="294"/>
      <c r="WEJ147" s="292"/>
      <c r="WEK147" s="293"/>
      <c r="WEL147" s="294"/>
      <c r="WER147" s="292"/>
      <c r="WES147" s="293"/>
      <c r="WET147" s="294"/>
      <c r="WEZ147" s="292"/>
      <c r="WFA147" s="293"/>
      <c r="WFB147" s="294"/>
      <c r="WFH147" s="292"/>
      <c r="WFI147" s="293"/>
      <c r="WFJ147" s="294"/>
      <c r="WFP147" s="292"/>
      <c r="WFQ147" s="293"/>
      <c r="WFR147" s="294"/>
      <c r="WFX147" s="292"/>
      <c r="WFY147" s="293"/>
      <c r="WFZ147" s="294"/>
      <c r="WGF147" s="292"/>
      <c r="WGG147" s="293"/>
      <c r="WGH147" s="294"/>
      <c r="WGN147" s="292"/>
      <c r="WGO147" s="293"/>
      <c r="WGP147" s="294"/>
      <c r="WGV147" s="292"/>
      <c r="WGW147" s="293"/>
      <c r="WGX147" s="294"/>
      <c r="WHD147" s="292"/>
      <c r="WHE147" s="293"/>
      <c r="WHF147" s="294"/>
      <c r="WHL147" s="292"/>
      <c r="WHM147" s="293"/>
      <c r="WHN147" s="294"/>
      <c r="WHT147" s="292"/>
      <c r="WHU147" s="293"/>
      <c r="WHV147" s="294"/>
      <c r="WIB147" s="292"/>
      <c r="WIC147" s="293"/>
      <c r="WID147" s="294"/>
      <c r="WIJ147" s="292"/>
      <c r="WIK147" s="293"/>
      <c r="WIL147" s="294"/>
      <c r="WIR147" s="292"/>
      <c r="WIS147" s="293"/>
      <c r="WIT147" s="294"/>
      <c r="WIZ147" s="292"/>
      <c r="WJA147" s="293"/>
      <c r="WJB147" s="294"/>
      <c r="WJH147" s="292"/>
      <c r="WJI147" s="293"/>
      <c r="WJJ147" s="294"/>
      <c r="WJP147" s="292"/>
      <c r="WJQ147" s="293"/>
      <c r="WJR147" s="294"/>
      <c r="WJX147" s="292"/>
      <c r="WJY147" s="293"/>
      <c r="WJZ147" s="294"/>
      <c r="WKF147" s="292"/>
      <c r="WKG147" s="293"/>
      <c r="WKH147" s="294"/>
      <c r="WKN147" s="292"/>
      <c r="WKO147" s="293"/>
      <c r="WKP147" s="294"/>
      <c r="WKV147" s="292"/>
      <c r="WKW147" s="293"/>
      <c r="WKX147" s="294"/>
      <c r="WLD147" s="292"/>
      <c r="WLE147" s="293"/>
      <c r="WLF147" s="294"/>
      <c r="WLL147" s="292"/>
      <c r="WLM147" s="293"/>
      <c r="WLN147" s="294"/>
      <c r="WLT147" s="292"/>
      <c r="WLU147" s="293"/>
      <c r="WLV147" s="294"/>
      <c r="WMB147" s="292"/>
      <c r="WMC147" s="293"/>
      <c r="WMD147" s="294"/>
      <c r="WMJ147" s="292"/>
      <c r="WMK147" s="293"/>
      <c r="WML147" s="294"/>
      <c r="WMR147" s="292"/>
      <c r="WMS147" s="293"/>
      <c r="WMT147" s="294"/>
      <c r="WMZ147" s="292"/>
      <c r="WNA147" s="293"/>
      <c r="WNB147" s="294"/>
      <c r="WNH147" s="292"/>
      <c r="WNI147" s="293"/>
      <c r="WNJ147" s="294"/>
      <c r="WNP147" s="292"/>
      <c r="WNQ147" s="293"/>
      <c r="WNR147" s="294"/>
      <c r="WNX147" s="292"/>
      <c r="WNY147" s="293"/>
      <c r="WNZ147" s="294"/>
      <c r="WOF147" s="292"/>
      <c r="WOG147" s="293"/>
      <c r="WOH147" s="294"/>
      <c r="WON147" s="292"/>
      <c r="WOO147" s="293"/>
      <c r="WOP147" s="294"/>
      <c r="WOV147" s="292"/>
      <c r="WOW147" s="293"/>
      <c r="WOX147" s="294"/>
      <c r="WPD147" s="292"/>
      <c r="WPE147" s="293"/>
      <c r="WPF147" s="294"/>
      <c r="WPL147" s="292"/>
      <c r="WPM147" s="293"/>
      <c r="WPN147" s="294"/>
      <c r="WPT147" s="292"/>
      <c r="WPU147" s="293"/>
      <c r="WPV147" s="294"/>
      <c r="WQB147" s="292"/>
      <c r="WQC147" s="293"/>
      <c r="WQD147" s="294"/>
      <c r="WQJ147" s="292"/>
      <c r="WQK147" s="293"/>
      <c r="WQL147" s="294"/>
      <c r="WQR147" s="292"/>
      <c r="WQS147" s="293"/>
      <c r="WQT147" s="294"/>
      <c r="WQZ147" s="292"/>
      <c r="WRA147" s="293"/>
      <c r="WRB147" s="294"/>
      <c r="WRH147" s="292"/>
      <c r="WRI147" s="293"/>
      <c r="WRJ147" s="294"/>
      <c r="WRP147" s="292"/>
      <c r="WRQ147" s="293"/>
      <c r="WRR147" s="294"/>
      <c r="WRX147" s="292"/>
      <c r="WRY147" s="293"/>
      <c r="WRZ147" s="294"/>
      <c r="WSF147" s="292"/>
      <c r="WSG147" s="293"/>
      <c r="WSH147" s="294"/>
      <c r="WSN147" s="292"/>
      <c r="WSO147" s="293"/>
      <c r="WSP147" s="294"/>
      <c r="WSV147" s="292"/>
      <c r="WSW147" s="293"/>
      <c r="WSX147" s="294"/>
      <c r="WTD147" s="292"/>
      <c r="WTE147" s="293"/>
      <c r="WTF147" s="294"/>
      <c r="WTL147" s="292"/>
      <c r="WTM147" s="293"/>
      <c r="WTN147" s="294"/>
      <c r="WTT147" s="292"/>
      <c r="WTU147" s="293"/>
      <c r="WTV147" s="294"/>
      <c r="WUB147" s="292"/>
      <c r="WUC147" s="293"/>
      <c r="WUD147" s="294"/>
      <c r="WUJ147" s="292"/>
      <c r="WUK147" s="293"/>
      <c r="WUL147" s="294"/>
      <c r="WUR147" s="292"/>
      <c r="WUS147" s="293"/>
      <c r="WUT147" s="294"/>
      <c r="WUZ147" s="292"/>
      <c r="WVA147" s="293"/>
      <c r="WVB147" s="294"/>
      <c r="WVH147" s="292"/>
      <c r="WVI147" s="293"/>
      <c r="WVJ147" s="294"/>
      <c r="WVP147" s="292"/>
      <c r="WVQ147" s="293"/>
      <c r="WVR147" s="294"/>
      <c r="WVX147" s="292"/>
      <c r="WVY147" s="293"/>
      <c r="WVZ147" s="294"/>
      <c r="WWF147" s="292"/>
      <c r="WWG147" s="293"/>
      <c r="WWH147" s="294"/>
      <c r="WWN147" s="292"/>
      <c r="WWO147" s="293"/>
      <c r="WWP147" s="294"/>
      <c r="WWV147" s="292"/>
      <c r="WWW147" s="293"/>
      <c r="WWX147" s="294"/>
      <c r="WXD147" s="292"/>
      <c r="WXE147" s="293"/>
      <c r="WXF147" s="294"/>
      <c r="WXL147" s="292"/>
      <c r="WXM147" s="293"/>
      <c r="WXN147" s="294"/>
      <c r="WXT147" s="292"/>
      <c r="WXU147" s="293"/>
      <c r="WXV147" s="294"/>
      <c r="WYB147" s="292"/>
      <c r="WYC147" s="293"/>
      <c r="WYD147" s="294"/>
      <c r="WYJ147" s="292"/>
      <c r="WYK147" s="293"/>
      <c r="WYL147" s="294"/>
      <c r="WYR147" s="292"/>
      <c r="WYS147" s="293"/>
      <c r="WYT147" s="294"/>
      <c r="WYZ147" s="292"/>
      <c r="WZA147" s="293"/>
      <c r="WZB147" s="294"/>
      <c r="WZH147" s="292"/>
      <c r="WZI147" s="293"/>
      <c r="WZJ147" s="294"/>
      <c r="WZP147" s="292"/>
      <c r="WZQ147" s="293"/>
      <c r="WZR147" s="294"/>
      <c r="WZX147" s="292"/>
      <c r="WZY147" s="293"/>
      <c r="WZZ147" s="294"/>
      <c r="XAF147" s="292"/>
      <c r="XAG147" s="293"/>
      <c r="XAH147" s="294"/>
      <c r="XAN147" s="292"/>
      <c r="XAO147" s="293"/>
      <c r="XAP147" s="294"/>
      <c r="XAV147" s="292"/>
      <c r="XAW147" s="293"/>
      <c r="XAX147" s="294"/>
      <c r="XBD147" s="292"/>
      <c r="XBE147" s="293"/>
      <c r="XBF147" s="294"/>
      <c r="XBL147" s="292"/>
      <c r="XBM147" s="293"/>
      <c r="XBN147" s="294"/>
      <c r="XBT147" s="292"/>
      <c r="XBU147" s="293"/>
      <c r="XBV147" s="294"/>
      <c r="XCB147" s="292"/>
      <c r="XCC147" s="293"/>
      <c r="XCD147" s="294"/>
      <c r="XCJ147" s="292"/>
      <c r="XCK147" s="293"/>
      <c r="XCL147" s="294"/>
      <c r="XCR147" s="292"/>
      <c r="XCS147" s="293"/>
      <c r="XCT147" s="294"/>
      <c r="XCZ147" s="292"/>
      <c r="XDA147" s="293"/>
      <c r="XDB147" s="294"/>
      <c r="XDH147" s="292"/>
      <c r="XDI147" s="293"/>
      <c r="XDJ147" s="294"/>
      <c r="XDP147" s="292"/>
      <c r="XDQ147" s="293"/>
      <c r="XDR147" s="294"/>
      <c r="XDX147" s="292"/>
      <c r="XDY147" s="293"/>
      <c r="XDZ147" s="294"/>
      <c r="XEF147" s="292"/>
      <c r="XEG147" s="293"/>
      <c r="XEH147" s="294"/>
      <c r="XEN147" s="292"/>
      <c r="XEO147" s="293"/>
      <c r="XEP147" s="294"/>
      <c r="XEV147" s="292"/>
      <c r="XEW147" s="293"/>
      <c r="XEX147" s="294"/>
    </row>
    <row r="148" spans="1:16378" s="313" customFormat="1" ht="20.149999999999999" customHeight="1" x14ac:dyDescent="0.3">
      <c r="A148" s="243" t="s">
        <v>1123</v>
      </c>
      <c r="B148" s="312"/>
    </row>
    <row r="149" spans="1:16378" s="313" customFormat="1" x14ac:dyDescent="0.3">
      <c r="A149" s="243" t="s">
        <v>1124</v>
      </c>
      <c r="B149" s="312"/>
    </row>
    <row r="150" spans="1:16378" s="313" customFormat="1" x14ac:dyDescent="0.3">
      <c r="A150" s="244" t="s">
        <v>1125</v>
      </c>
      <c r="B150" s="312"/>
    </row>
    <row r="151" spans="1:16378" s="313" customFormat="1" x14ac:dyDescent="0.3">
      <c r="A151" s="7" t="s">
        <v>1356</v>
      </c>
      <c r="B151" s="312"/>
    </row>
  </sheetData>
  <mergeCells count="40">
    <mergeCell ref="A126:G126"/>
    <mergeCell ref="A127:G127"/>
    <mergeCell ref="A129:A130"/>
    <mergeCell ref="B129:B130"/>
    <mergeCell ref="C129:C130"/>
    <mergeCell ref="D129:D130"/>
    <mergeCell ref="E129:E130"/>
    <mergeCell ref="F129:G129"/>
    <mergeCell ref="A94:G94"/>
    <mergeCell ref="A95:G95"/>
    <mergeCell ref="A97:A98"/>
    <mergeCell ref="B97:B98"/>
    <mergeCell ref="C97:C98"/>
    <mergeCell ref="D97:D98"/>
    <mergeCell ref="E97:E98"/>
    <mergeCell ref="F97:G97"/>
    <mergeCell ref="A62:G62"/>
    <mergeCell ref="A63:G63"/>
    <mergeCell ref="A65:A66"/>
    <mergeCell ref="B65:B66"/>
    <mergeCell ref="C65:C66"/>
    <mergeCell ref="D65:D66"/>
    <mergeCell ref="E65:E66"/>
    <mergeCell ref="F65:G65"/>
    <mergeCell ref="A34:G34"/>
    <mergeCell ref="A35:G35"/>
    <mergeCell ref="A37:A38"/>
    <mergeCell ref="B37:B38"/>
    <mergeCell ref="C37:C38"/>
    <mergeCell ref="D37:D38"/>
    <mergeCell ref="E37:E38"/>
    <mergeCell ref="F37:G37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51181102362204722" header="0.19685039370078741" footer="0.23622047244094491"/>
  <pageSetup paperSize="9" scale="91" fitToWidth="0" fitToHeight="0" orientation="landscape" useFirstPageNumber="1" r:id="rId1"/>
  <headerFooter alignWithMargins="0">
    <oddFooter>&amp;C&amp;"Arial,Regular"&amp;10&amp;P</oddFooter>
  </headerFooter>
  <rowBreaks count="4" manualBreakCount="4">
    <brk id="33" max="7" man="1"/>
    <brk id="61" max="16383" man="1"/>
    <brk id="93" max="16383" man="1"/>
    <brk id="12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8FD2-FD22-439D-BB41-9115662C6660}">
  <dimension ref="A1:XEX150"/>
  <sheetViews>
    <sheetView zoomScaleNormal="100" zoomScaleSheetLayoutView="100" zoomScalePageLayoutView="70" workbookViewId="0">
      <selection sqref="A1:G1"/>
    </sheetView>
  </sheetViews>
  <sheetFormatPr defaultColWidth="9.1796875" defaultRowHeight="14" x14ac:dyDescent="0.3"/>
  <cols>
    <col min="1" max="1" width="15.7265625" style="271" customWidth="1"/>
    <col min="2" max="2" width="49.7265625" style="282" customWidth="1"/>
    <col min="3" max="7" width="13.26953125" style="271" customWidth="1"/>
    <col min="8" max="16384" width="9.1796875" style="271"/>
  </cols>
  <sheetData>
    <row r="1" spans="1:11" s="270" customFormat="1" ht="44.25" customHeight="1" x14ac:dyDescent="0.3">
      <c r="A1" s="428" t="s">
        <v>1366</v>
      </c>
      <c r="B1" s="428"/>
      <c r="C1" s="428"/>
      <c r="D1" s="428"/>
      <c r="E1" s="428"/>
      <c r="F1" s="428"/>
      <c r="G1" s="428"/>
    </row>
    <row r="2" spans="1:11" ht="12.75" customHeight="1" x14ac:dyDescent="0.3">
      <c r="A2" s="431" t="s">
        <v>1337</v>
      </c>
      <c r="B2" s="431"/>
      <c r="C2" s="431"/>
      <c r="D2" s="431"/>
      <c r="E2" s="431"/>
      <c r="F2" s="431"/>
      <c r="G2" s="431"/>
    </row>
    <row r="3" spans="1:11" ht="12.75" customHeight="1" x14ac:dyDescent="0.3">
      <c r="A3" s="272"/>
      <c r="B3" s="352"/>
      <c r="C3" s="272"/>
      <c r="D3" s="272"/>
      <c r="E3" s="272"/>
      <c r="F3" s="272"/>
      <c r="G3" s="272"/>
    </row>
    <row r="4" spans="1:11" ht="15" customHeight="1" x14ac:dyDescent="0.3">
      <c r="A4" s="432" t="s">
        <v>1038</v>
      </c>
      <c r="B4" s="432" t="s">
        <v>1037</v>
      </c>
      <c r="C4" s="433" t="s">
        <v>1371</v>
      </c>
      <c r="D4" s="433" t="s">
        <v>90</v>
      </c>
      <c r="E4" s="433" t="s">
        <v>89</v>
      </c>
      <c r="F4" s="433" t="s">
        <v>1186</v>
      </c>
      <c r="G4" s="433"/>
    </row>
    <row r="5" spans="1:11" ht="50.15" customHeight="1" x14ac:dyDescent="0.3">
      <c r="A5" s="432"/>
      <c r="B5" s="432"/>
      <c r="C5" s="433"/>
      <c r="D5" s="433"/>
      <c r="E5" s="433"/>
      <c r="F5" s="273" t="s">
        <v>88</v>
      </c>
      <c r="G5" s="273" t="s">
        <v>87</v>
      </c>
    </row>
    <row r="6" spans="1:11" x14ac:dyDescent="0.3">
      <c r="A6" s="461"/>
      <c r="B6" s="462"/>
      <c r="C6" s="462"/>
      <c r="D6" s="463"/>
      <c r="E6" s="463"/>
      <c r="F6" s="463"/>
      <c r="G6" s="464"/>
    </row>
    <row r="7" spans="1:11" s="279" customFormat="1" ht="18" customHeight="1" x14ac:dyDescent="0.3">
      <c r="A7" s="277"/>
      <c r="B7" s="466" t="s">
        <v>1073</v>
      </c>
      <c r="C7" s="326">
        <v>20888.439999999999</v>
      </c>
      <c r="D7" s="326">
        <v>333.70580000000001</v>
      </c>
      <c r="E7" s="327">
        <f>IF(C7&lt;&gt;"",D7/C7*100,"")</f>
        <v>1.5975620965471813</v>
      </c>
      <c r="F7" s="326">
        <v>20339.5</v>
      </c>
      <c r="G7" s="328">
        <v>21437.38</v>
      </c>
      <c r="H7" s="278"/>
    </row>
    <row r="8" spans="1:11" s="279" customFormat="1" ht="9.75" customHeight="1" x14ac:dyDescent="0.3">
      <c r="A8" s="277"/>
      <c r="B8" s="369"/>
      <c r="C8" s="370"/>
      <c r="D8" s="319"/>
      <c r="E8" s="319"/>
      <c r="F8" s="319"/>
      <c r="G8" s="331"/>
    </row>
    <row r="9" spans="1:11" s="279" customFormat="1" ht="14.25" customHeight="1" x14ac:dyDescent="0.3">
      <c r="A9" s="465" t="s">
        <v>1071</v>
      </c>
      <c r="B9" s="354" t="s">
        <v>1072</v>
      </c>
      <c r="C9" s="326">
        <v>15339.97</v>
      </c>
      <c r="D9" s="326">
        <v>665.86590000000001</v>
      </c>
      <c r="E9" s="327">
        <f>IF(C9&lt;&gt;"",D9/C9*100,"")</f>
        <v>4.3407249166719364</v>
      </c>
      <c r="F9" s="326">
        <v>14244.64</v>
      </c>
      <c r="G9" s="328">
        <v>16435.310000000001</v>
      </c>
      <c r="H9" s="278"/>
    </row>
    <row r="10" spans="1:11" s="279" customFormat="1" ht="27.75" customHeight="1" x14ac:dyDescent="0.3">
      <c r="A10" s="377" t="s">
        <v>992</v>
      </c>
      <c r="B10" s="295" t="s">
        <v>1070</v>
      </c>
      <c r="C10" s="332">
        <v>15049.15</v>
      </c>
      <c r="D10" s="332">
        <v>711.15390000000002</v>
      </c>
      <c r="E10" s="333">
        <f>IF(C10&lt;&gt;"",D10/C10*100,"")</f>
        <v>4.7255419741314295</v>
      </c>
      <c r="F10" s="332">
        <v>13879.31</v>
      </c>
      <c r="G10" s="334">
        <v>16218.98</v>
      </c>
      <c r="H10" s="278"/>
    </row>
    <row r="11" spans="1:11" x14ac:dyDescent="0.3">
      <c r="A11" s="377" t="s">
        <v>704</v>
      </c>
      <c r="B11" s="298" t="s">
        <v>990</v>
      </c>
      <c r="C11" s="332">
        <v>20383.009999999998</v>
      </c>
      <c r="D11" s="332">
        <v>2374.0419999999999</v>
      </c>
      <c r="E11" s="333">
        <f>IF(C11&lt;&gt;"",D11/C11*100,"")</f>
        <v>11.647161042456439</v>
      </c>
      <c r="F11" s="332">
        <v>16477.75</v>
      </c>
      <c r="G11" s="334">
        <v>24288.27</v>
      </c>
      <c r="H11" s="278"/>
    </row>
    <row r="12" spans="1:11" x14ac:dyDescent="0.3">
      <c r="A12" s="446"/>
      <c r="B12" s="298"/>
      <c r="C12" s="323"/>
      <c r="D12" s="319"/>
      <c r="E12" s="319"/>
      <c r="F12" s="319"/>
      <c r="G12" s="331"/>
    </row>
    <row r="13" spans="1:11" s="279" customFormat="1" x14ac:dyDescent="0.3">
      <c r="A13" s="445" t="s">
        <v>1068</v>
      </c>
      <c r="B13" s="354" t="s">
        <v>1069</v>
      </c>
      <c r="C13" s="326">
        <v>22205.1</v>
      </c>
      <c r="D13" s="326">
        <v>1076.3699999999999</v>
      </c>
      <c r="E13" s="327">
        <f>IF(C13&lt;&gt;"",D13/C13*100,"")</f>
        <v>4.8473999216396235</v>
      </c>
      <c r="F13" s="326">
        <v>20434.490000000002</v>
      </c>
      <c r="G13" s="328">
        <v>23975.71</v>
      </c>
      <c r="H13" s="278"/>
    </row>
    <row r="14" spans="1:11" s="279" customFormat="1" ht="28.5" customHeight="1" x14ac:dyDescent="0.3">
      <c r="A14" s="377" t="s">
        <v>1106</v>
      </c>
      <c r="B14" s="298" t="s">
        <v>1067</v>
      </c>
      <c r="C14" s="332">
        <v>20797.64</v>
      </c>
      <c r="D14" s="332">
        <v>618.84479999999996</v>
      </c>
      <c r="E14" s="333">
        <f>IF(C14&lt;&gt;"",D14/C14*100,"")</f>
        <v>2.9755529954360203</v>
      </c>
      <c r="F14" s="332">
        <v>19779.650000000001</v>
      </c>
      <c r="G14" s="334">
        <v>21815.63</v>
      </c>
      <c r="H14" s="278"/>
      <c r="K14" s="279" t="s">
        <v>1107</v>
      </c>
    </row>
    <row r="15" spans="1:11" ht="12" customHeight="1" x14ac:dyDescent="0.3">
      <c r="A15" s="377" t="s">
        <v>506</v>
      </c>
      <c r="B15" s="298" t="s">
        <v>1066</v>
      </c>
      <c r="C15" s="332">
        <v>22331.96</v>
      </c>
      <c r="D15" s="332">
        <v>1278.5409999999999</v>
      </c>
      <c r="E15" s="333">
        <f>IF(C15&lt;&gt;"",D15/C15*100,"")</f>
        <v>5.7251625025300061</v>
      </c>
      <c r="F15" s="332">
        <v>20228.78</v>
      </c>
      <c r="G15" s="334">
        <v>24435.14</v>
      </c>
      <c r="H15" s="278"/>
    </row>
    <row r="16" spans="1:11" x14ac:dyDescent="0.3">
      <c r="A16" s="377" t="s">
        <v>1064</v>
      </c>
      <c r="B16" s="298" t="s">
        <v>1065</v>
      </c>
      <c r="C16" s="332">
        <v>23484.31</v>
      </c>
      <c r="D16" s="332">
        <v>4820.3410000000003</v>
      </c>
      <c r="E16" s="333">
        <f>IF(C16&lt;&gt;"",D16/C16*100,"")</f>
        <v>20.525793604325614</v>
      </c>
      <c r="F16" s="332">
        <v>15554.93</v>
      </c>
      <c r="G16" s="334">
        <v>31413.69</v>
      </c>
      <c r="H16" s="278"/>
    </row>
    <row r="17" spans="1:16378" x14ac:dyDescent="0.3">
      <c r="A17" s="277"/>
      <c r="B17" s="298"/>
      <c r="C17" s="298"/>
      <c r="D17" s="319"/>
      <c r="E17" s="319"/>
      <c r="F17" s="319"/>
      <c r="G17" s="331"/>
    </row>
    <row r="18" spans="1:16378" s="279" customFormat="1" x14ac:dyDescent="0.3">
      <c r="A18" s="445" t="s">
        <v>1062</v>
      </c>
      <c r="B18" s="354" t="s">
        <v>1063</v>
      </c>
      <c r="C18" s="326">
        <v>17492.77</v>
      </c>
      <c r="D18" s="326">
        <v>382.71870000000001</v>
      </c>
      <c r="E18" s="327">
        <f t="shared" ref="E18:E29" si="0">IF(C18&lt;&gt;"",D18/C18*100,"")</f>
        <v>2.1878679019960821</v>
      </c>
      <c r="F18" s="326">
        <v>16863.2</v>
      </c>
      <c r="G18" s="328">
        <v>18122.330000000002</v>
      </c>
      <c r="H18" s="278"/>
    </row>
    <row r="19" spans="1:16378" x14ac:dyDescent="0.3">
      <c r="A19" s="377" t="s">
        <v>330</v>
      </c>
      <c r="B19" s="460" t="s">
        <v>977</v>
      </c>
      <c r="C19" s="332">
        <v>17212.439999999999</v>
      </c>
      <c r="D19" s="332">
        <v>617.5915</v>
      </c>
      <c r="E19" s="333">
        <f t="shared" si="0"/>
        <v>3.5880531754940033</v>
      </c>
      <c r="F19" s="332">
        <v>16196.52</v>
      </c>
      <c r="G19" s="334">
        <v>18228.37</v>
      </c>
      <c r="H19" s="375"/>
    </row>
    <row r="20" spans="1:16378" x14ac:dyDescent="0.3">
      <c r="A20" s="377" t="s">
        <v>443</v>
      </c>
      <c r="B20" s="460" t="s">
        <v>973</v>
      </c>
      <c r="C20" s="332">
        <v>27191.919999999998</v>
      </c>
      <c r="D20" s="332">
        <v>1759.421</v>
      </c>
      <c r="E20" s="333">
        <f t="shared" si="0"/>
        <v>6.4703816427821206</v>
      </c>
      <c r="F20" s="332">
        <v>24297.7</v>
      </c>
      <c r="G20" s="334">
        <v>30086.13</v>
      </c>
      <c r="H20" s="375"/>
    </row>
    <row r="21" spans="1:16378" x14ac:dyDescent="0.3">
      <c r="A21" s="377" t="s">
        <v>1059</v>
      </c>
      <c r="B21" s="460" t="s">
        <v>1060</v>
      </c>
      <c r="C21" s="332">
        <v>31787.75</v>
      </c>
      <c r="D21" s="332">
        <v>13969.79</v>
      </c>
      <c r="E21" s="333">
        <f t="shared" si="0"/>
        <v>43.947086534907321</v>
      </c>
      <c r="F21" s="332">
        <v>8807.69</v>
      </c>
      <c r="G21" s="334">
        <v>54767.81</v>
      </c>
      <c r="H21" s="375"/>
    </row>
    <row r="22" spans="1:16378" ht="14.25" customHeight="1" x14ac:dyDescent="0.3">
      <c r="A22" s="377" t="s">
        <v>571</v>
      </c>
      <c r="B22" s="460" t="s">
        <v>970</v>
      </c>
      <c r="C22" s="332">
        <v>13493.07</v>
      </c>
      <c r="D22" s="332">
        <v>531.7002</v>
      </c>
      <c r="E22" s="333">
        <f t="shared" si="0"/>
        <v>3.9405428119768144</v>
      </c>
      <c r="F22" s="332">
        <v>12618.44</v>
      </c>
      <c r="G22" s="334">
        <v>14367.71</v>
      </c>
      <c r="H22" s="375"/>
    </row>
    <row r="23" spans="1:16378" ht="13.5" customHeight="1" x14ac:dyDescent="0.3">
      <c r="A23" s="377" t="s">
        <v>784</v>
      </c>
      <c r="B23" s="460" t="s">
        <v>964</v>
      </c>
      <c r="C23" s="332">
        <v>15199.53</v>
      </c>
      <c r="D23" s="332">
        <v>763.97429999999997</v>
      </c>
      <c r="E23" s="333">
        <f t="shared" si="0"/>
        <v>5.0263021290789913</v>
      </c>
      <c r="F23" s="332">
        <v>13942.8</v>
      </c>
      <c r="G23" s="334">
        <v>16456.25</v>
      </c>
      <c r="H23" s="375"/>
    </row>
    <row r="24" spans="1:16378" x14ac:dyDescent="0.3">
      <c r="A24" s="377" t="s">
        <v>667</v>
      </c>
      <c r="B24" s="460" t="s">
        <v>947</v>
      </c>
      <c r="C24" s="332">
        <v>16721.47</v>
      </c>
      <c r="D24" s="332">
        <v>3626.5160000000001</v>
      </c>
      <c r="E24" s="333">
        <f t="shared" si="0"/>
        <v>21.687782234456659</v>
      </c>
      <c r="F24" s="332">
        <v>10755.92</v>
      </c>
      <c r="G24" s="334">
        <v>22687.03</v>
      </c>
      <c r="H24" s="375"/>
    </row>
    <row r="25" spans="1:16378" ht="56" x14ac:dyDescent="0.3">
      <c r="A25" s="377" t="s">
        <v>1348</v>
      </c>
      <c r="B25" s="460" t="s">
        <v>1362</v>
      </c>
      <c r="C25" s="332">
        <v>14234.19</v>
      </c>
      <c r="D25" s="332">
        <v>776.23360000000002</v>
      </c>
      <c r="E25" s="333">
        <f t="shared" si="0"/>
        <v>5.4533036302030533</v>
      </c>
      <c r="F25" s="332">
        <v>12957.3</v>
      </c>
      <c r="G25" s="334">
        <v>15511.08</v>
      </c>
      <c r="H25" s="375"/>
    </row>
    <row r="26" spans="1:16378" ht="13.5" customHeight="1" x14ac:dyDescent="0.3">
      <c r="A26" s="377" t="s">
        <v>405</v>
      </c>
      <c r="B26" s="460" t="s">
        <v>921</v>
      </c>
      <c r="C26" s="332">
        <v>19716.439999999999</v>
      </c>
      <c r="D26" s="332">
        <v>796.72850000000005</v>
      </c>
      <c r="E26" s="333">
        <f t="shared" si="0"/>
        <v>4.0409348746528284</v>
      </c>
      <c r="F26" s="332">
        <v>18405.830000000002</v>
      </c>
      <c r="G26" s="334">
        <v>21027.040000000001</v>
      </c>
      <c r="H26" s="375"/>
    </row>
    <row r="27" spans="1:16378" ht="16.5" customHeight="1" x14ac:dyDescent="0.3">
      <c r="A27" s="377" t="s">
        <v>568</v>
      </c>
      <c r="B27" s="460" t="s">
        <v>913</v>
      </c>
      <c r="C27" s="332">
        <v>15345.2</v>
      </c>
      <c r="D27" s="332">
        <v>1258.319</v>
      </c>
      <c r="E27" s="333">
        <f t="shared" si="0"/>
        <v>8.2000821103667594</v>
      </c>
      <c r="F27" s="332">
        <v>13275.29</v>
      </c>
      <c r="G27" s="334">
        <v>17415.12</v>
      </c>
      <c r="H27" s="375"/>
    </row>
    <row r="28" spans="1:16378" x14ac:dyDescent="0.3">
      <c r="A28" s="377" t="s">
        <v>305</v>
      </c>
      <c r="B28" s="460" t="s">
        <v>906</v>
      </c>
      <c r="C28" s="332">
        <v>19894.07</v>
      </c>
      <c r="D28" s="332">
        <v>821.85389999999995</v>
      </c>
      <c r="E28" s="333">
        <f t="shared" si="0"/>
        <v>4.1311501366990262</v>
      </c>
      <c r="F28" s="332">
        <v>18542.14</v>
      </c>
      <c r="G28" s="334">
        <v>21246.01</v>
      </c>
      <c r="H28" s="375"/>
    </row>
    <row r="29" spans="1:16378" x14ac:dyDescent="0.3">
      <c r="A29" s="377" t="s">
        <v>349</v>
      </c>
      <c r="B29" s="460" t="s">
        <v>897</v>
      </c>
      <c r="C29" s="332">
        <v>24675.18</v>
      </c>
      <c r="D29" s="332">
        <v>1341.377</v>
      </c>
      <c r="E29" s="333">
        <f t="shared" si="0"/>
        <v>5.4361386624129997</v>
      </c>
      <c r="F29" s="332">
        <v>22468.639999999999</v>
      </c>
      <c r="G29" s="334">
        <v>26881.72</v>
      </c>
      <c r="H29" s="375"/>
    </row>
    <row r="30" spans="1:16378" x14ac:dyDescent="0.3">
      <c r="A30" s="373"/>
      <c r="B30" s="296"/>
      <c r="C30" s="372"/>
      <c r="D30" s="372"/>
      <c r="E30" s="372"/>
      <c r="F30" s="372"/>
      <c r="G30" s="374"/>
      <c r="H30" s="278"/>
    </row>
    <row r="31" spans="1:16378" s="287" customFormat="1" ht="5.5" customHeight="1" x14ac:dyDescent="0.3">
      <c r="A31" s="288"/>
      <c r="B31" s="289"/>
      <c r="C31" s="290"/>
      <c r="D31" s="291"/>
      <c r="E31" s="291"/>
      <c r="F31" s="291"/>
      <c r="G31" s="339"/>
      <c r="H31" s="292"/>
      <c r="I31" s="293"/>
      <c r="J31" s="294"/>
      <c r="P31" s="292"/>
      <c r="Q31" s="293"/>
      <c r="R31" s="294"/>
      <c r="X31" s="292"/>
      <c r="Y31" s="293"/>
      <c r="Z31" s="294"/>
      <c r="AF31" s="292"/>
      <c r="AG31" s="293"/>
      <c r="AH31" s="294"/>
      <c r="AN31" s="292"/>
      <c r="AO31" s="293"/>
      <c r="AP31" s="294"/>
      <c r="AV31" s="292"/>
      <c r="AW31" s="293"/>
      <c r="AX31" s="294"/>
      <c r="BD31" s="292"/>
      <c r="BE31" s="293"/>
      <c r="BF31" s="294"/>
      <c r="BL31" s="292"/>
      <c r="BM31" s="293"/>
      <c r="BN31" s="294"/>
      <c r="BT31" s="292"/>
      <c r="BU31" s="293"/>
      <c r="BV31" s="294"/>
      <c r="CB31" s="292"/>
      <c r="CC31" s="293"/>
      <c r="CD31" s="294"/>
      <c r="CJ31" s="292"/>
      <c r="CK31" s="293"/>
      <c r="CL31" s="294"/>
      <c r="CR31" s="292"/>
      <c r="CS31" s="293"/>
      <c r="CT31" s="294"/>
      <c r="CZ31" s="292"/>
      <c r="DA31" s="293"/>
      <c r="DB31" s="294"/>
      <c r="DH31" s="292"/>
      <c r="DI31" s="293"/>
      <c r="DJ31" s="294"/>
      <c r="DP31" s="292"/>
      <c r="DQ31" s="293"/>
      <c r="DR31" s="294"/>
      <c r="DX31" s="292"/>
      <c r="DY31" s="293"/>
      <c r="DZ31" s="294"/>
      <c r="EF31" s="292"/>
      <c r="EG31" s="293"/>
      <c r="EH31" s="294"/>
      <c r="EN31" s="292"/>
      <c r="EO31" s="293"/>
      <c r="EP31" s="294"/>
      <c r="EV31" s="292"/>
      <c r="EW31" s="293"/>
      <c r="EX31" s="294"/>
      <c r="FD31" s="292"/>
      <c r="FE31" s="293"/>
      <c r="FF31" s="294"/>
      <c r="FL31" s="292"/>
      <c r="FM31" s="293"/>
      <c r="FN31" s="294"/>
      <c r="FT31" s="292"/>
      <c r="FU31" s="293"/>
      <c r="FV31" s="294"/>
      <c r="GB31" s="292"/>
      <c r="GC31" s="293"/>
      <c r="GD31" s="294"/>
      <c r="GJ31" s="292"/>
      <c r="GK31" s="293"/>
      <c r="GL31" s="294"/>
      <c r="GR31" s="292"/>
      <c r="GS31" s="293"/>
      <c r="GT31" s="294"/>
      <c r="GZ31" s="292"/>
      <c r="HA31" s="293"/>
      <c r="HB31" s="294"/>
      <c r="HH31" s="292"/>
      <c r="HI31" s="293"/>
      <c r="HJ31" s="294"/>
      <c r="HP31" s="292"/>
      <c r="HQ31" s="293"/>
      <c r="HR31" s="294"/>
      <c r="HX31" s="292"/>
      <c r="HY31" s="293"/>
      <c r="HZ31" s="294"/>
      <c r="IF31" s="292"/>
      <c r="IG31" s="293"/>
      <c r="IH31" s="294"/>
      <c r="IN31" s="292"/>
      <c r="IO31" s="293"/>
      <c r="IP31" s="294"/>
      <c r="IV31" s="292"/>
      <c r="IW31" s="293"/>
      <c r="IX31" s="294"/>
      <c r="JD31" s="292"/>
      <c r="JE31" s="293"/>
      <c r="JF31" s="294"/>
      <c r="JL31" s="292"/>
      <c r="JM31" s="293"/>
      <c r="JN31" s="294"/>
      <c r="JT31" s="292"/>
      <c r="JU31" s="293"/>
      <c r="JV31" s="294"/>
      <c r="KB31" s="292"/>
      <c r="KC31" s="293"/>
      <c r="KD31" s="294"/>
      <c r="KJ31" s="292"/>
      <c r="KK31" s="293"/>
      <c r="KL31" s="294"/>
      <c r="KR31" s="292"/>
      <c r="KS31" s="293"/>
      <c r="KT31" s="294"/>
      <c r="KZ31" s="292"/>
      <c r="LA31" s="293"/>
      <c r="LB31" s="294"/>
      <c r="LH31" s="292"/>
      <c r="LI31" s="293"/>
      <c r="LJ31" s="294"/>
      <c r="LP31" s="292"/>
      <c r="LQ31" s="293"/>
      <c r="LR31" s="294"/>
      <c r="LX31" s="292"/>
      <c r="LY31" s="293"/>
      <c r="LZ31" s="294"/>
      <c r="MF31" s="292"/>
      <c r="MG31" s="293"/>
      <c r="MH31" s="294"/>
      <c r="MN31" s="292"/>
      <c r="MO31" s="293"/>
      <c r="MP31" s="294"/>
      <c r="MV31" s="292"/>
      <c r="MW31" s="293"/>
      <c r="MX31" s="294"/>
      <c r="ND31" s="292"/>
      <c r="NE31" s="293"/>
      <c r="NF31" s="294"/>
      <c r="NL31" s="292"/>
      <c r="NM31" s="293"/>
      <c r="NN31" s="294"/>
      <c r="NT31" s="292"/>
      <c r="NU31" s="293"/>
      <c r="NV31" s="294"/>
      <c r="OB31" s="292"/>
      <c r="OC31" s="293"/>
      <c r="OD31" s="294"/>
      <c r="OJ31" s="292"/>
      <c r="OK31" s="293"/>
      <c r="OL31" s="294"/>
      <c r="OR31" s="292"/>
      <c r="OS31" s="293"/>
      <c r="OT31" s="294"/>
      <c r="OZ31" s="292"/>
      <c r="PA31" s="293"/>
      <c r="PB31" s="294"/>
      <c r="PH31" s="292"/>
      <c r="PI31" s="293"/>
      <c r="PJ31" s="294"/>
      <c r="PP31" s="292"/>
      <c r="PQ31" s="293"/>
      <c r="PR31" s="294"/>
      <c r="PX31" s="292"/>
      <c r="PY31" s="293"/>
      <c r="PZ31" s="294"/>
      <c r="QF31" s="292"/>
      <c r="QG31" s="293"/>
      <c r="QH31" s="294"/>
      <c r="QN31" s="292"/>
      <c r="QO31" s="293"/>
      <c r="QP31" s="294"/>
      <c r="QV31" s="292"/>
      <c r="QW31" s="293"/>
      <c r="QX31" s="294"/>
      <c r="RD31" s="292"/>
      <c r="RE31" s="293"/>
      <c r="RF31" s="294"/>
      <c r="RL31" s="292"/>
      <c r="RM31" s="293"/>
      <c r="RN31" s="294"/>
      <c r="RT31" s="292"/>
      <c r="RU31" s="293"/>
      <c r="RV31" s="294"/>
      <c r="SB31" s="292"/>
      <c r="SC31" s="293"/>
      <c r="SD31" s="294"/>
      <c r="SJ31" s="292"/>
      <c r="SK31" s="293"/>
      <c r="SL31" s="294"/>
      <c r="SR31" s="292"/>
      <c r="SS31" s="293"/>
      <c r="ST31" s="294"/>
      <c r="SZ31" s="292"/>
      <c r="TA31" s="293"/>
      <c r="TB31" s="294"/>
      <c r="TH31" s="292"/>
      <c r="TI31" s="293"/>
      <c r="TJ31" s="294"/>
      <c r="TP31" s="292"/>
      <c r="TQ31" s="293"/>
      <c r="TR31" s="294"/>
      <c r="TX31" s="292"/>
      <c r="TY31" s="293"/>
      <c r="TZ31" s="294"/>
      <c r="UF31" s="292"/>
      <c r="UG31" s="293"/>
      <c r="UH31" s="294"/>
      <c r="UN31" s="292"/>
      <c r="UO31" s="293"/>
      <c r="UP31" s="294"/>
      <c r="UV31" s="292"/>
      <c r="UW31" s="293"/>
      <c r="UX31" s="294"/>
      <c r="VD31" s="292"/>
      <c r="VE31" s="293"/>
      <c r="VF31" s="294"/>
      <c r="VL31" s="292"/>
      <c r="VM31" s="293"/>
      <c r="VN31" s="294"/>
      <c r="VT31" s="292"/>
      <c r="VU31" s="293"/>
      <c r="VV31" s="294"/>
      <c r="WB31" s="292"/>
      <c r="WC31" s="293"/>
      <c r="WD31" s="294"/>
      <c r="WJ31" s="292"/>
      <c r="WK31" s="293"/>
      <c r="WL31" s="294"/>
      <c r="WR31" s="292"/>
      <c r="WS31" s="293"/>
      <c r="WT31" s="294"/>
      <c r="WZ31" s="292"/>
      <c r="XA31" s="293"/>
      <c r="XB31" s="294"/>
      <c r="XH31" s="292"/>
      <c r="XI31" s="293"/>
      <c r="XJ31" s="294"/>
      <c r="XP31" s="292"/>
      <c r="XQ31" s="293"/>
      <c r="XR31" s="294"/>
      <c r="XX31" s="292"/>
      <c r="XY31" s="293"/>
      <c r="XZ31" s="294"/>
      <c r="YF31" s="292"/>
      <c r="YG31" s="293"/>
      <c r="YH31" s="294"/>
      <c r="YN31" s="292"/>
      <c r="YO31" s="293"/>
      <c r="YP31" s="294"/>
      <c r="YV31" s="292"/>
      <c r="YW31" s="293"/>
      <c r="YX31" s="294"/>
      <c r="ZD31" s="292"/>
      <c r="ZE31" s="293"/>
      <c r="ZF31" s="294"/>
      <c r="ZL31" s="292"/>
      <c r="ZM31" s="293"/>
      <c r="ZN31" s="294"/>
      <c r="ZT31" s="292"/>
      <c r="ZU31" s="293"/>
      <c r="ZV31" s="294"/>
      <c r="AAB31" s="292"/>
      <c r="AAC31" s="293"/>
      <c r="AAD31" s="294"/>
      <c r="AAJ31" s="292"/>
      <c r="AAK31" s="293"/>
      <c r="AAL31" s="294"/>
      <c r="AAR31" s="292"/>
      <c r="AAS31" s="293"/>
      <c r="AAT31" s="294"/>
      <c r="AAZ31" s="292"/>
      <c r="ABA31" s="293"/>
      <c r="ABB31" s="294"/>
      <c r="ABH31" s="292"/>
      <c r="ABI31" s="293"/>
      <c r="ABJ31" s="294"/>
      <c r="ABP31" s="292"/>
      <c r="ABQ31" s="293"/>
      <c r="ABR31" s="294"/>
      <c r="ABX31" s="292"/>
      <c r="ABY31" s="293"/>
      <c r="ABZ31" s="294"/>
      <c r="ACF31" s="292"/>
      <c r="ACG31" s="293"/>
      <c r="ACH31" s="294"/>
      <c r="ACN31" s="292"/>
      <c r="ACO31" s="293"/>
      <c r="ACP31" s="294"/>
      <c r="ACV31" s="292"/>
      <c r="ACW31" s="293"/>
      <c r="ACX31" s="294"/>
      <c r="ADD31" s="292"/>
      <c r="ADE31" s="293"/>
      <c r="ADF31" s="294"/>
      <c r="ADL31" s="292"/>
      <c r="ADM31" s="293"/>
      <c r="ADN31" s="294"/>
      <c r="ADT31" s="292"/>
      <c r="ADU31" s="293"/>
      <c r="ADV31" s="294"/>
      <c r="AEB31" s="292"/>
      <c r="AEC31" s="293"/>
      <c r="AED31" s="294"/>
      <c r="AEJ31" s="292"/>
      <c r="AEK31" s="293"/>
      <c r="AEL31" s="294"/>
      <c r="AER31" s="292"/>
      <c r="AES31" s="293"/>
      <c r="AET31" s="294"/>
      <c r="AEZ31" s="292"/>
      <c r="AFA31" s="293"/>
      <c r="AFB31" s="294"/>
      <c r="AFH31" s="292"/>
      <c r="AFI31" s="293"/>
      <c r="AFJ31" s="294"/>
      <c r="AFP31" s="292"/>
      <c r="AFQ31" s="293"/>
      <c r="AFR31" s="294"/>
      <c r="AFX31" s="292"/>
      <c r="AFY31" s="293"/>
      <c r="AFZ31" s="294"/>
      <c r="AGF31" s="292"/>
      <c r="AGG31" s="293"/>
      <c r="AGH31" s="294"/>
      <c r="AGN31" s="292"/>
      <c r="AGO31" s="293"/>
      <c r="AGP31" s="294"/>
      <c r="AGV31" s="292"/>
      <c r="AGW31" s="293"/>
      <c r="AGX31" s="294"/>
      <c r="AHD31" s="292"/>
      <c r="AHE31" s="293"/>
      <c r="AHF31" s="294"/>
      <c r="AHL31" s="292"/>
      <c r="AHM31" s="293"/>
      <c r="AHN31" s="294"/>
      <c r="AHT31" s="292"/>
      <c r="AHU31" s="293"/>
      <c r="AHV31" s="294"/>
      <c r="AIB31" s="292"/>
      <c r="AIC31" s="293"/>
      <c r="AID31" s="294"/>
      <c r="AIJ31" s="292"/>
      <c r="AIK31" s="293"/>
      <c r="AIL31" s="294"/>
      <c r="AIR31" s="292"/>
      <c r="AIS31" s="293"/>
      <c r="AIT31" s="294"/>
      <c r="AIZ31" s="292"/>
      <c r="AJA31" s="293"/>
      <c r="AJB31" s="294"/>
      <c r="AJH31" s="292"/>
      <c r="AJI31" s="293"/>
      <c r="AJJ31" s="294"/>
      <c r="AJP31" s="292"/>
      <c r="AJQ31" s="293"/>
      <c r="AJR31" s="294"/>
      <c r="AJX31" s="292"/>
      <c r="AJY31" s="293"/>
      <c r="AJZ31" s="294"/>
      <c r="AKF31" s="292"/>
      <c r="AKG31" s="293"/>
      <c r="AKH31" s="294"/>
      <c r="AKN31" s="292"/>
      <c r="AKO31" s="293"/>
      <c r="AKP31" s="294"/>
      <c r="AKV31" s="292"/>
      <c r="AKW31" s="293"/>
      <c r="AKX31" s="294"/>
      <c r="ALD31" s="292"/>
      <c r="ALE31" s="293"/>
      <c r="ALF31" s="294"/>
      <c r="ALL31" s="292"/>
      <c r="ALM31" s="293"/>
      <c r="ALN31" s="294"/>
      <c r="ALT31" s="292"/>
      <c r="ALU31" s="293"/>
      <c r="ALV31" s="294"/>
      <c r="AMB31" s="292"/>
      <c r="AMC31" s="293"/>
      <c r="AMD31" s="294"/>
      <c r="AMJ31" s="292"/>
      <c r="AMK31" s="293"/>
      <c r="AML31" s="294"/>
      <c r="AMR31" s="292"/>
      <c r="AMS31" s="293"/>
      <c r="AMT31" s="294"/>
      <c r="AMZ31" s="292"/>
      <c r="ANA31" s="293"/>
      <c r="ANB31" s="294"/>
      <c r="ANH31" s="292"/>
      <c r="ANI31" s="293"/>
      <c r="ANJ31" s="294"/>
      <c r="ANP31" s="292"/>
      <c r="ANQ31" s="293"/>
      <c r="ANR31" s="294"/>
      <c r="ANX31" s="292"/>
      <c r="ANY31" s="293"/>
      <c r="ANZ31" s="294"/>
      <c r="AOF31" s="292"/>
      <c r="AOG31" s="293"/>
      <c r="AOH31" s="294"/>
      <c r="AON31" s="292"/>
      <c r="AOO31" s="293"/>
      <c r="AOP31" s="294"/>
      <c r="AOV31" s="292"/>
      <c r="AOW31" s="293"/>
      <c r="AOX31" s="294"/>
      <c r="APD31" s="292"/>
      <c r="APE31" s="293"/>
      <c r="APF31" s="294"/>
      <c r="APL31" s="292"/>
      <c r="APM31" s="293"/>
      <c r="APN31" s="294"/>
      <c r="APT31" s="292"/>
      <c r="APU31" s="293"/>
      <c r="APV31" s="294"/>
      <c r="AQB31" s="292"/>
      <c r="AQC31" s="293"/>
      <c r="AQD31" s="294"/>
      <c r="AQJ31" s="292"/>
      <c r="AQK31" s="293"/>
      <c r="AQL31" s="294"/>
      <c r="AQR31" s="292"/>
      <c r="AQS31" s="293"/>
      <c r="AQT31" s="294"/>
      <c r="AQZ31" s="292"/>
      <c r="ARA31" s="293"/>
      <c r="ARB31" s="294"/>
      <c r="ARH31" s="292"/>
      <c r="ARI31" s="293"/>
      <c r="ARJ31" s="294"/>
      <c r="ARP31" s="292"/>
      <c r="ARQ31" s="293"/>
      <c r="ARR31" s="294"/>
      <c r="ARX31" s="292"/>
      <c r="ARY31" s="293"/>
      <c r="ARZ31" s="294"/>
      <c r="ASF31" s="292"/>
      <c r="ASG31" s="293"/>
      <c r="ASH31" s="294"/>
      <c r="ASN31" s="292"/>
      <c r="ASO31" s="293"/>
      <c r="ASP31" s="294"/>
      <c r="ASV31" s="292"/>
      <c r="ASW31" s="293"/>
      <c r="ASX31" s="294"/>
      <c r="ATD31" s="292"/>
      <c r="ATE31" s="293"/>
      <c r="ATF31" s="294"/>
      <c r="ATL31" s="292"/>
      <c r="ATM31" s="293"/>
      <c r="ATN31" s="294"/>
      <c r="ATT31" s="292"/>
      <c r="ATU31" s="293"/>
      <c r="ATV31" s="294"/>
      <c r="AUB31" s="292"/>
      <c r="AUC31" s="293"/>
      <c r="AUD31" s="294"/>
      <c r="AUJ31" s="292"/>
      <c r="AUK31" s="293"/>
      <c r="AUL31" s="294"/>
      <c r="AUR31" s="292"/>
      <c r="AUS31" s="293"/>
      <c r="AUT31" s="294"/>
      <c r="AUZ31" s="292"/>
      <c r="AVA31" s="293"/>
      <c r="AVB31" s="294"/>
      <c r="AVH31" s="292"/>
      <c r="AVI31" s="293"/>
      <c r="AVJ31" s="294"/>
      <c r="AVP31" s="292"/>
      <c r="AVQ31" s="293"/>
      <c r="AVR31" s="294"/>
      <c r="AVX31" s="292"/>
      <c r="AVY31" s="293"/>
      <c r="AVZ31" s="294"/>
      <c r="AWF31" s="292"/>
      <c r="AWG31" s="293"/>
      <c r="AWH31" s="294"/>
      <c r="AWN31" s="292"/>
      <c r="AWO31" s="293"/>
      <c r="AWP31" s="294"/>
      <c r="AWV31" s="292"/>
      <c r="AWW31" s="293"/>
      <c r="AWX31" s="294"/>
      <c r="AXD31" s="292"/>
      <c r="AXE31" s="293"/>
      <c r="AXF31" s="294"/>
      <c r="AXL31" s="292"/>
      <c r="AXM31" s="293"/>
      <c r="AXN31" s="294"/>
      <c r="AXT31" s="292"/>
      <c r="AXU31" s="293"/>
      <c r="AXV31" s="294"/>
      <c r="AYB31" s="292"/>
      <c r="AYC31" s="293"/>
      <c r="AYD31" s="294"/>
      <c r="AYJ31" s="292"/>
      <c r="AYK31" s="293"/>
      <c r="AYL31" s="294"/>
      <c r="AYR31" s="292"/>
      <c r="AYS31" s="293"/>
      <c r="AYT31" s="294"/>
      <c r="AYZ31" s="292"/>
      <c r="AZA31" s="293"/>
      <c r="AZB31" s="294"/>
      <c r="AZH31" s="292"/>
      <c r="AZI31" s="293"/>
      <c r="AZJ31" s="294"/>
      <c r="AZP31" s="292"/>
      <c r="AZQ31" s="293"/>
      <c r="AZR31" s="294"/>
      <c r="AZX31" s="292"/>
      <c r="AZY31" s="293"/>
      <c r="AZZ31" s="294"/>
      <c r="BAF31" s="292"/>
      <c r="BAG31" s="293"/>
      <c r="BAH31" s="294"/>
      <c r="BAN31" s="292"/>
      <c r="BAO31" s="293"/>
      <c r="BAP31" s="294"/>
      <c r="BAV31" s="292"/>
      <c r="BAW31" s="293"/>
      <c r="BAX31" s="294"/>
      <c r="BBD31" s="292"/>
      <c r="BBE31" s="293"/>
      <c r="BBF31" s="294"/>
      <c r="BBL31" s="292"/>
      <c r="BBM31" s="293"/>
      <c r="BBN31" s="294"/>
      <c r="BBT31" s="292"/>
      <c r="BBU31" s="293"/>
      <c r="BBV31" s="294"/>
      <c r="BCB31" s="292"/>
      <c r="BCC31" s="293"/>
      <c r="BCD31" s="294"/>
      <c r="BCJ31" s="292"/>
      <c r="BCK31" s="293"/>
      <c r="BCL31" s="294"/>
      <c r="BCR31" s="292"/>
      <c r="BCS31" s="293"/>
      <c r="BCT31" s="294"/>
      <c r="BCZ31" s="292"/>
      <c r="BDA31" s="293"/>
      <c r="BDB31" s="294"/>
      <c r="BDH31" s="292"/>
      <c r="BDI31" s="293"/>
      <c r="BDJ31" s="294"/>
      <c r="BDP31" s="292"/>
      <c r="BDQ31" s="293"/>
      <c r="BDR31" s="294"/>
      <c r="BDX31" s="292"/>
      <c r="BDY31" s="293"/>
      <c r="BDZ31" s="294"/>
      <c r="BEF31" s="292"/>
      <c r="BEG31" s="293"/>
      <c r="BEH31" s="294"/>
      <c r="BEN31" s="292"/>
      <c r="BEO31" s="293"/>
      <c r="BEP31" s="294"/>
      <c r="BEV31" s="292"/>
      <c r="BEW31" s="293"/>
      <c r="BEX31" s="294"/>
      <c r="BFD31" s="292"/>
      <c r="BFE31" s="293"/>
      <c r="BFF31" s="294"/>
      <c r="BFL31" s="292"/>
      <c r="BFM31" s="293"/>
      <c r="BFN31" s="294"/>
      <c r="BFT31" s="292"/>
      <c r="BFU31" s="293"/>
      <c r="BFV31" s="294"/>
      <c r="BGB31" s="292"/>
      <c r="BGC31" s="293"/>
      <c r="BGD31" s="294"/>
      <c r="BGJ31" s="292"/>
      <c r="BGK31" s="293"/>
      <c r="BGL31" s="294"/>
      <c r="BGR31" s="292"/>
      <c r="BGS31" s="293"/>
      <c r="BGT31" s="294"/>
      <c r="BGZ31" s="292"/>
      <c r="BHA31" s="293"/>
      <c r="BHB31" s="294"/>
      <c r="BHH31" s="292"/>
      <c r="BHI31" s="293"/>
      <c r="BHJ31" s="294"/>
      <c r="BHP31" s="292"/>
      <c r="BHQ31" s="293"/>
      <c r="BHR31" s="294"/>
      <c r="BHX31" s="292"/>
      <c r="BHY31" s="293"/>
      <c r="BHZ31" s="294"/>
      <c r="BIF31" s="292"/>
      <c r="BIG31" s="293"/>
      <c r="BIH31" s="294"/>
      <c r="BIN31" s="292"/>
      <c r="BIO31" s="293"/>
      <c r="BIP31" s="294"/>
      <c r="BIV31" s="292"/>
      <c r="BIW31" s="293"/>
      <c r="BIX31" s="294"/>
      <c r="BJD31" s="292"/>
      <c r="BJE31" s="293"/>
      <c r="BJF31" s="294"/>
      <c r="BJL31" s="292"/>
      <c r="BJM31" s="293"/>
      <c r="BJN31" s="294"/>
      <c r="BJT31" s="292"/>
      <c r="BJU31" s="293"/>
      <c r="BJV31" s="294"/>
      <c r="BKB31" s="292"/>
      <c r="BKC31" s="293"/>
      <c r="BKD31" s="294"/>
      <c r="BKJ31" s="292"/>
      <c r="BKK31" s="293"/>
      <c r="BKL31" s="294"/>
      <c r="BKR31" s="292"/>
      <c r="BKS31" s="293"/>
      <c r="BKT31" s="294"/>
      <c r="BKZ31" s="292"/>
      <c r="BLA31" s="293"/>
      <c r="BLB31" s="294"/>
      <c r="BLH31" s="292"/>
      <c r="BLI31" s="293"/>
      <c r="BLJ31" s="294"/>
      <c r="BLP31" s="292"/>
      <c r="BLQ31" s="293"/>
      <c r="BLR31" s="294"/>
      <c r="BLX31" s="292"/>
      <c r="BLY31" s="293"/>
      <c r="BLZ31" s="294"/>
      <c r="BMF31" s="292"/>
      <c r="BMG31" s="293"/>
      <c r="BMH31" s="294"/>
      <c r="BMN31" s="292"/>
      <c r="BMO31" s="293"/>
      <c r="BMP31" s="294"/>
      <c r="BMV31" s="292"/>
      <c r="BMW31" s="293"/>
      <c r="BMX31" s="294"/>
      <c r="BND31" s="292"/>
      <c r="BNE31" s="293"/>
      <c r="BNF31" s="294"/>
      <c r="BNL31" s="292"/>
      <c r="BNM31" s="293"/>
      <c r="BNN31" s="294"/>
      <c r="BNT31" s="292"/>
      <c r="BNU31" s="293"/>
      <c r="BNV31" s="294"/>
      <c r="BOB31" s="292"/>
      <c r="BOC31" s="293"/>
      <c r="BOD31" s="294"/>
      <c r="BOJ31" s="292"/>
      <c r="BOK31" s="293"/>
      <c r="BOL31" s="294"/>
      <c r="BOR31" s="292"/>
      <c r="BOS31" s="293"/>
      <c r="BOT31" s="294"/>
      <c r="BOZ31" s="292"/>
      <c r="BPA31" s="293"/>
      <c r="BPB31" s="294"/>
      <c r="BPH31" s="292"/>
      <c r="BPI31" s="293"/>
      <c r="BPJ31" s="294"/>
      <c r="BPP31" s="292"/>
      <c r="BPQ31" s="293"/>
      <c r="BPR31" s="294"/>
      <c r="BPX31" s="292"/>
      <c r="BPY31" s="293"/>
      <c r="BPZ31" s="294"/>
      <c r="BQF31" s="292"/>
      <c r="BQG31" s="293"/>
      <c r="BQH31" s="294"/>
      <c r="BQN31" s="292"/>
      <c r="BQO31" s="293"/>
      <c r="BQP31" s="294"/>
      <c r="BQV31" s="292"/>
      <c r="BQW31" s="293"/>
      <c r="BQX31" s="294"/>
      <c r="BRD31" s="292"/>
      <c r="BRE31" s="293"/>
      <c r="BRF31" s="294"/>
      <c r="BRL31" s="292"/>
      <c r="BRM31" s="293"/>
      <c r="BRN31" s="294"/>
      <c r="BRT31" s="292"/>
      <c r="BRU31" s="293"/>
      <c r="BRV31" s="294"/>
      <c r="BSB31" s="292"/>
      <c r="BSC31" s="293"/>
      <c r="BSD31" s="294"/>
      <c r="BSJ31" s="292"/>
      <c r="BSK31" s="293"/>
      <c r="BSL31" s="294"/>
      <c r="BSR31" s="292"/>
      <c r="BSS31" s="293"/>
      <c r="BST31" s="294"/>
      <c r="BSZ31" s="292"/>
      <c r="BTA31" s="293"/>
      <c r="BTB31" s="294"/>
      <c r="BTH31" s="292"/>
      <c r="BTI31" s="293"/>
      <c r="BTJ31" s="294"/>
      <c r="BTP31" s="292"/>
      <c r="BTQ31" s="293"/>
      <c r="BTR31" s="294"/>
      <c r="BTX31" s="292"/>
      <c r="BTY31" s="293"/>
      <c r="BTZ31" s="294"/>
      <c r="BUF31" s="292"/>
      <c r="BUG31" s="293"/>
      <c r="BUH31" s="294"/>
      <c r="BUN31" s="292"/>
      <c r="BUO31" s="293"/>
      <c r="BUP31" s="294"/>
      <c r="BUV31" s="292"/>
      <c r="BUW31" s="293"/>
      <c r="BUX31" s="294"/>
      <c r="BVD31" s="292"/>
      <c r="BVE31" s="293"/>
      <c r="BVF31" s="294"/>
      <c r="BVL31" s="292"/>
      <c r="BVM31" s="293"/>
      <c r="BVN31" s="294"/>
      <c r="BVT31" s="292"/>
      <c r="BVU31" s="293"/>
      <c r="BVV31" s="294"/>
      <c r="BWB31" s="292"/>
      <c r="BWC31" s="293"/>
      <c r="BWD31" s="294"/>
      <c r="BWJ31" s="292"/>
      <c r="BWK31" s="293"/>
      <c r="BWL31" s="294"/>
      <c r="BWR31" s="292"/>
      <c r="BWS31" s="293"/>
      <c r="BWT31" s="294"/>
      <c r="BWZ31" s="292"/>
      <c r="BXA31" s="293"/>
      <c r="BXB31" s="294"/>
      <c r="BXH31" s="292"/>
      <c r="BXI31" s="293"/>
      <c r="BXJ31" s="294"/>
      <c r="BXP31" s="292"/>
      <c r="BXQ31" s="293"/>
      <c r="BXR31" s="294"/>
      <c r="BXX31" s="292"/>
      <c r="BXY31" s="293"/>
      <c r="BXZ31" s="294"/>
      <c r="BYF31" s="292"/>
      <c r="BYG31" s="293"/>
      <c r="BYH31" s="294"/>
      <c r="BYN31" s="292"/>
      <c r="BYO31" s="293"/>
      <c r="BYP31" s="294"/>
      <c r="BYV31" s="292"/>
      <c r="BYW31" s="293"/>
      <c r="BYX31" s="294"/>
      <c r="BZD31" s="292"/>
      <c r="BZE31" s="293"/>
      <c r="BZF31" s="294"/>
      <c r="BZL31" s="292"/>
      <c r="BZM31" s="293"/>
      <c r="BZN31" s="294"/>
      <c r="BZT31" s="292"/>
      <c r="BZU31" s="293"/>
      <c r="BZV31" s="294"/>
      <c r="CAB31" s="292"/>
      <c r="CAC31" s="293"/>
      <c r="CAD31" s="294"/>
      <c r="CAJ31" s="292"/>
      <c r="CAK31" s="293"/>
      <c r="CAL31" s="294"/>
      <c r="CAR31" s="292"/>
      <c r="CAS31" s="293"/>
      <c r="CAT31" s="294"/>
      <c r="CAZ31" s="292"/>
      <c r="CBA31" s="293"/>
      <c r="CBB31" s="294"/>
      <c r="CBH31" s="292"/>
      <c r="CBI31" s="293"/>
      <c r="CBJ31" s="294"/>
      <c r="CBP31" s="292"/>
      <c r="CBQ31" s="293"/>
      <c r="CBR31" s="294"/>
      <c r="CBX31" s="292"/>
      <c r="CBY31" s="293"/>
      <c r="CBZ31" s="294"/>
      <c r="CCF31" s="292"/>
      <c r="CCG31" s="293"/>
      <c r="CCH31" s="294"/>
      <c r="CCN31" s="292"/>
      <c r="CCO31" s="293"/>
      <c r="CCP31" s="294"/>
      <c r="CCV31" s="292"/>
      <c r="CCW31" s="293"/>
      <c r="CCX31" s="294"/>
      <c r="CDD31" s="292"/>
      <c r="CDE31" s="293"/>
      <c r="CDF31" s="294"/>
      <c r="CDL31" s="292"/>
      <c r="CDM31" s="293"/>
      <c r="CDN31" s="294"/>
      <c r="CDT31" s="292"/>
      <c r="CDU31" s="293"/>
      <c r="CDV31" s="294"/>
      <c r="CEB31" s="292"/>
      <c r="CEC31" s="293"/>
      <c r="CED31" s="294"/>
      <c r="CEJ31" s="292"/>
      <c r="CEK31" s="293"/>
      <c r="CEL31" s="294"/>
      <c r="CER31" s="292"/>
      <c r="CES31" s="293"/>
      <c r="CET31" s="294"/>
      <c r="CEZ31" s="292"/>
      <c r="CFA31" s="293"/>
      <c r="CFB31" s="294"/>
      <c r="CFH31" s="292"/>
      <c r="CFI31" s="293"/>
      <c r="CFJ31" s="294"/>
      <c r="CFP31" s="292"/>
      <c r="CFQ31" s="293"/>
      <c r="CFR31" s="294"/>
      <c r="CFX31" s="292"/>
      <c r="CFY31" s="293"/>
      <c r="CFZ31" s="294"/>
      <c r="CGF31" s="292"/>
      <c r="CGG31" s="293"/>
      <c r="CGH31" s="294"/>
      <c r="CGN31" s="292"/>
      <c r="CGO31" s="293"/>
      <c r="CGP31" s="294"/>
      <c r="CGV31" s="292"/>
      <c r="CGW31" s="293"/>
      <c r="CGX31" s="294"/>
      <c r="CHD31" s="292"/>
      <c r="CHE31" s="293"/>
      <c r="CHF31" s="294"/>
      <c r="CHL31" s="292"/>
      <c r="CHM31" s="293"/>
      <c r="CHN31" s="294"/>
      <c r="CHT31" s="292"/>
      <c r="CHU31" s="293"/>
      <c r="CHV31" s="294"/>
      <c r="CIB31" s="292"/>
      <c r="CIC31" s="293"/>
      <c r="CID31" s="294"/>
      <c r="CIJ31" s="292"/>
      <c r="CIK31" s="293"/>
      <c r="CIL31" s="294"/>
      <c r="CIR31" s="292"/>
      <c r="CIS31" s="293"/>
      <c r="CIT31" s="294"/>
      <c r="CIZ31" s="292"/>
      <c r="CJA31" s="293"/>
      <c r="CJB31" s="294"/>
      <c r="CJH31" s="292"/>
      <c r="CJI31" s="293"/>
      <c r="CJJ31" s="294"/>
      <c r="CJP31" s="292"/>
      <c r="CJQ31" s="293"/>
      <c r="CJR31" s="294"/>
      <c r="CJX31" s="292"/>
      <c r="CJY31" s="293"/>
      <c r="CJZ31" s="294"/>
      <c r="CKF31" s="292"/>
      <c r="CKG31" s="293"/>
      <c r="CKH31" s="294"/>
      <c r="CKN31" s="292"/>
      <c r="CKO31" s="293"/>
      <c r="CKP31" s="294"/>
      <c r="CKV31" s="292"/>
      <c r="CKW31" s="293"/>
      <c r="CKX31" s="294"/>
      <c r="CLD31" s="292"/>
      <c r="CLE31" s="293"/>
      <c r="CLF31" s="294"/>
      <c r="CLL31" s="292"/>
      <c r="CLM31" s="293"/>
      <c r="CLN31" s="294"/>
      <c r="CLT31" s="292"/>
      <c r="CLU31" s="293"/>
      <c r="CLV31" s="294"/>
      <c r="CMB31" s="292"/>
      <c r="CMC31" s="293"/>
      <c r="CMD31" s="294"/>
      <c r="CMJ31" s="292"/>
      <c r="CMK31" s="293"/>
      <c r="CML31" s="294"/>
      <c r="CMR31" s="292"/>
      <c r="CMS31" s="293"/>
      <c r="CMT31" s="294"/>
      <c r="CMZ31" s="292"/>
      <c r="CNA31" s="293"/>
      <c r="CNB31" s="294"/>
      <c r="CNH31" s="292"/>
      <c r="CNI31" s="293"/>
      <c r="CNJ31" s="294"/>
      <c r="CNP31" s="292"/>
      <c r="CNQ31" s="293"/>
      <c r="CNR31" s="294"/>
      <c r="CNX31" s="292"/>
      <c r="CNY31" s="293"/>
      <c r="CNZ31" s="294"/>
      <c r="COF31" s="292"/>
      <c r="COG31" s="293"/>
      <c r="COH31" s="294"/>
      <c r="CON31" s="292"/>
      <c r="COO31" s="293"/>
      <c r="COP31" s="294"/>
      <c r="COV31" s="292"/>
      <c r="COW31" s="293"/>
      <c r="COX31" s="294"/>
      <c r="CPD31" s="292"/>
      <c r="CPE31" s="293"/>
      <c r="CPF31" s="294"/>
      <c r="CPL31" s="292"/>
      <c r="CPM31" s="293"/>
      <c r="CPN31" s="294"/>
      <c r="CPT31" s="292"/>
      <c r="CPU31" s="293"/>
      <c r="CPV31" s="294"/>
      <c r="CQB31" s="292"/>
      <c r="CQC31" s="293"/>
      <c r="CQD31" s="294"/>
      <c r="CQJ31" s="292"/>
      <c r="CQK31" s="293"/>
      <c r="CQL31" s="294"/>
      <c r="CQR31" s="292"/>
      <c r="CQS31" s="293"/>
      <c r="CQT31" s="294"/>
      <c r="CQZ31" s="292"/>
      <c r="CRA31" s="293"/>
      <c r="CRB31" s="294"/>
      <c r="CRH31" s="292"/>
      <c r="CRI31" s="293"/>
      <c r="CRJ31" s="294"/>
      <c r="CRP31" s="292"/>
      <c r="CRQ31" s="293"/>
      <c r="CRR31" s="294"/>
      <c r="CRX31" s="292"/>
      <c r="CRY31" s="293"/>
      <c r="CRZ31" s="294"/>
      <c r="CSF31" s="292"/>
      <c r="CSG31" s="293"/>
      <c r="CSH31" s="294"/>
      <c r="CSN31" s="292"/>
      <c r="CSO31" s="293"/>
      <c r="CSP31" s="294"/>
      <c r="CSV31" s="292"/>
      <c r="CSW31" s="293"/>
      <c r="CSX31" s="294"/>
      <c r="CTD31" s="292"/>
      <c r="CTE31" s="293"/>
      <c r="CTF31" s="294"/>
      <c r="CTL31" s="292"/>
      <c r="CTM31" s="293"/>
      <c r="CTN31" s="294"/>
      <c r="CTT31" s="292"/>
      <c r="CTU31" s="293"/>
      <c r="CTV31" s="294"/>
      <c r="CUB31" s="292"/>
      <c r="CUC31" s="293"/>
      <c r="CUD31" s="294"/>
      <c r="CUJ31" s="292"/>
      <c r="CUK31" s="293"/>
      <c r="CUL31" s="294"/>
      <c r="CUR31" s="292"/>
      <c r="CUS31" s="293"/>
      <c r="CUT31" s="294"/>
      <c r="CUZ31" s="292"/>
      <c r="CVA31" s="293"/>
      <c r="CVB31" s="294"/>
      <c r="CVH31" s="292"/>
      <c r="CVI31" s="293"/>
      <c r="CVJ31" s="294"/>
      <c r="CVP31" s="292"/>
      <c r="CVQ31" s="293"/>
      <c r="CVR31" s="294"/>
      <c r="CVX31" s="292"/>
      <c r="CVY31" s="293"/>
      <c r="CVZ31" s="294"/>
      <c r="CWF31" s="292"/>
      <c r="CWG31" s="293"/>
      <c r="CWH31" s="294"/>
      <c r="CWN31" s="292"/>
      <c r="CWO31" s="293"/>
      <c r="CWP31" s="294"/>
      <c r="CWV31" s="292"/>
      <c r="CWW31" s="293"/>
      <c r="CWX31" s="294"/>
      <c r="CXD31" s="292"/>
      <c r="CXE31" s="293"/>
      <c r="CXF31" s="294"/>
      <c r="CXL31" s="292"/>
      <c r="CXM31" s="293"/>
      <c r="CXN31" s="294"/>
      <c r="CXT31" s="292"/>
      <c r="CXU31" s="293"/>
      <c r="CXV31" s="294"/>
      <c r="CYB31" s="292"/>
      <c r="CYC31" s="293"/>
      <c r="CYD31" s="294"/>
      <c r="CYJ31" s="292"/>
      <c r="CYK31" s="293"/>
      <c r="CYL31" s="294"/>
      <c r="CYR31" s="292"/>
      <c r="CYS31" s="293"/>
      <c r="CYT31" s="294"/>
      <c r="CYZ31" s="292"/>
      <c r="CZA31" s="293"/>
      <c r="CZB31" s="294"/>
      <c r="CZH31" s="292"/>
      <c r="CZI31" s="293"/>
      <c r="CZJ31" s="294"/>
      <c r="CZP31" s="292"/>
      <c r="CZQ31" s="293"/>
      <c r="CZR31" s="294"/>
      <c r="CZX31" s="292"/>
      <c r="CZY31" s="293"/>
      <c r="CZZ31" s="294"/>
      <c r="DAF31" s="292"/>
      <c r="DAG31" s="293"/>
      <c r="DAH31" s="294"/>
      <c r="DAN31" s="292"/>
      <c r="DAO31" s="293"/>
      <c r="DAP31" s="294"/>
      <c r="DAV31" s="292"/>
      <c r="DAW31" s="293"/>
      <c r="DAX31" s="294"/>
      <c r="DBD31" s="292"/>
      <c r="DBE31" s="293"/>
      <c r="DBF31" s="294"/>
      <c r="DBL31" s="292"/>
      <c r="DBM31" s="293"/>
      <c r="DBN31" s="294"/>
      <c r="DBT31" s="292"/>
      <c r="DBU31" s="293"/>
      <c r="DBV31" s="294"/>
      <c r="DCB31" s="292"/>
      <c r="DCC31" s="293"/>
      <c r="DCD31" s="294"/>
      <c r="DCJ31" s="292"/>
      <c r="DCK31" s="293"/>
      <c r="DCL31" s="294"/>
      <c r="DCR31" s="292"/>
      <c r="DCS31" s="293"/>
      <c r="DCT31" s="294"/>
      <c r="DCZ31" s="292"/>
      <c r="DDA31" s="293"/>
      <c r="DDB31" s="294"/>
      <c r="DDH31" s="292"/>
      <c r="DDI31" s="293"/>
      <c r="DDJ31" s="294"/>
      <c r="DDP31" s="292"/>
      <c r="DDQ31" s="293"/>
      <c r="DDR31" s="294"/>
      <c r="DDX31" s="292"/>
      <c r="DDY31" s="293"/>
      <c r="DDZ31" s="294"/>
      <c r="DEF31" s="292"/>
      <c r="DEG31" s="293"/>
      <c r="DEH31" s="294"/>
      <c r="DEN31" s="292"/>
      <c r="DEO31" s="293"/>
      <c r="DEP31" s="294"/>
      <c r="DEV31" s="292"/>
      <c r="DEW31" s="293"/>
      <c r="DEX31" s="294"/>
      <c r="DFD31" s="292"/>
      <c r="DFE31" s="293"/>
      <c r="DFF31" s="294"/>
      <c r="DFL31" s="292"/>
      <c r="DFM31" s="293"/>
      <c r="DFN31" s="294"/>
      <c r="DFT31" s="292"/>
      <c r="DFU31" s="293"/>
      <c r="DFV31" s="294"/>
      <c r="DGB31" s="292"/>
      <c r="DGC31" s="293"/>
      <c r="DGD31" s="294"/>
      <c r="DGJ31" s="292"/>
      <c r="DGK31" s="293"/>
      <c r="DGL31" s="294"/>
      <c r="DGR31" s="292"/>
      <c r="DGS31" s="293"/>
      <c r="DGT31" s="294"/>
      <c r="DGZ31" s="292"/>
      <c r="DHA31" s="293"/>
      <c r="DHB31" s="294"/>
      <c r="DHH31" s="292"/>
      <c r="DHI31" s="293"/>
      <c r="DHJ31" s="294"/>
      <c r="DHP31" s="292"/>
      <c r="DHQ31" s="293"/>
      <c r="DHR31" s="294"/>
      <c r="DHX31" s="292"/>
      <c r="DHY31" s="293"/>
      <c r="DHZ31" s="294"/>
      <c r="DIF31" s="292"/>
      <c r="DIG31" s="293"/>
      <c r="DIH31" s="294"/>
      <c r="DIN31" s="292"/>
      <c r="DIO31" s="293"/>
      <c r="DIP31" s="294"/>
      <c r="DIV31" s="292"/>
      <c r="DIW31" s="293"/>
      <c r="DIX31" s="294"/>
      <c r="DJD31" s="292"/>
      <c r="DJE31" s="293"/>
      <c r="DJF31" s="294"/>
      <c r="DJL31" s="292"/>
      <c r="DJM31" s="293"/>
      <c r="DJN31" s="294"/>
      <c r="DJT31" s="292"/>
      <c r="DJU31" s="293"/>
      <c r="DJV31" s="294"/>
      <c r="DKB31" s="292"/>
      <c r="DKC31" s="293"/>
      <c r="DKD31" s="294"/>
      <c r="DKJ31" s="292"/>
      <c r="DKK31" s="293"/>
      <c r="DKL31" s="294"/>
      <c r="DKR31" s="292"/>
      <c r="DKS31" s="293"/>
      <c r="DKT31" s="294"/>
      <c r="DKZ31" s="292"/>
      <c r="DLA31" s="293"/>
      <c r="DLB31" s="294"/>
      <c r="DLH31" s="292"/>
      <c r="DLI31" s="293"/>
      <c r="DLJ31" s="294"/>
      <c r="DLP31" s="292"/>
      <c r="DLQ31" s="293"/>
      <c r="DLR31" s="294"/>
      <c r="DLX31" s="292"/>
      <c r="DLY31" s="293"/>
      <c r="DLZ31" s="294"/>
      <c r="DMF31" s="292"/>
      <c r="DMG31" s="293"/>
      <c r="DMH31" s="294"/>
      <c r="DMN31" s="292"/>
      <c r="DMO31" s="293"/>
      <c r="DMP31" s="294"/>
      <c r="DMV31" s="292"/>
      <c r="DMW31" s="293"/>
      <c r="DMX31" s="294"/>
      <c r="DND31" s="292"/>
      <c r="DNE31" s="293"/>
      <c r="DNF31" s="294"/>
      <c r="DNL31" s="292"/>
      <c r="DNM31" s="293"/>
      <c r="DNN31" s="294"/>
      <c r="DNT31" s="292"/>
      <c r="DNU31" s="293"/>
      <c r="DNV31" s="294"/>
      <c r="DOB31" s="292"/>
      <c r="DOC31" s="293"/>
      <c r="DOD31" s="294"/>
      <c r="DOJ31" s="292"/>
      <c r="DOK31" s="293"/>
      <c r="DOL31" s="294"/>
      <c r="DOR31" s="292"/>
      <c r="DOS31" s="293"/>
      <c r="DOT31" s="294"/>
      <c r="DOZ31" s="292"/>
      <c r="DPA31" s="293"/>
      <c r="DPB31" s="294"/>
      <c r="DPH31" s="292"/>
      <c r="DPI31" s="293"/>
      <c r="DPJ31" s="294"/>
      <c r="DPP31" s="292"/>
      <c r="DPQ31" s="293"/>
      <c r="DPR31" s="294"/>
      <c r="DPX31" s="292"/>
      <c r="DPY31" s="293"/>
      <c r="DPZ31" s="294"/>
      <c r="DQF31" s="292"/>
      <c r="DQG31" s="293"/>
      <c r="DQH31" s="294"/>
      <c r="DQN31" s="292"/>
      <c r="DQO31" s="293"/>
      <c r="DQP31" s="294"/>
      <c r="DQV31" s="292"/>
      <c r="DQW31" s="293"/>
      <c r="DQX31" s="294"/>
      <c r="DRD31" s="292"/>
      <c r="DRE31" s="293"/>
      <c r="DRF31" s="294"/>
      <c r="DRL31" s="292"/>
      <c r="DRM31" s="293"/>
      <c r="DRN31" s="294"/>
      <c r="DRT31" s="292"/>
      <c r="DRU31" s="293"/>
      <c r="DRV31" s="294"/>
      <c r="DSB31" s="292"/>
      <c r="DSC31" s="293"/>
      <c r="DSD31" s="294"/>
      <c r="DSJ31" s="292"/>
      <c r="DSK31" s="293"/>
      <c r="DSL31" s="294"/>
      <c r="DSR31" s="292"/>
      <c r="DSS31" s="293"/>
      <c r="DST31" s="294"/>
      <c r="DSZ31" s="292"/>
      <c r="DTA31" s="293"/>
      <c r="DTB31" s="294"/>
      <c r="DTH31" s="292"/>
      <c r="DTI31" s="293"/>
      <c r="DTJ31" s="294"/>
      <c r="DTP31" s="292"/>
      <c r="DTQ31" s="293"/>
      <c r="DTR31" s="294"/>
      <c r="DTX31" s="292"/>
      <c r="DTY31" s="293"/>
      <c r="DTZ31" s="294"/>
      <c r="DUF31" s="292"/>
      <c r="DUG31" s="293"/>
      <c r="DUH31" s="294"/>
      <c r="DUN31" s="292"/>
      <c r="DUO31" s="293"/>
      <c r="DUP31" s="294"/>
      <c r="DUV31" s="292"/>
      <c r="DUW31" s="293"/>
      <c r="DUX31" s="294"/>
      <c r="DVD31" s="292"/>
      <c r="DVE31" s="293"/>
      <c r="DVF31" s="294"/>
      <c r="DVL31" s="292"/>
      <c r="DVM31" s="293"/>
      <c r="DVN31" s="294"/>
      <c r="DVT31" s="292"/>
      <c r="DVU31" s="293"/>
      <c r="DVV31" s="294"/>
      <c r="DWB31" s="292"/>
      <c r="DWC31" s="293"/>
      <c r="DWD31" s="294"/>
      <c r="DWJ31" s="292"/>
      <c r="DWK31" s="293"/>
      <c r="DWL31" s="294"/>
      <c r="DWR31" s="292"/>
      <c r="DWS31" s="293"/>
      <c r="DWT31" s="294"/>
      <c r="DWZ31" s="292"/>
      <c r="DXA31" s="293"/>
      <c r="DXB31" s="294"/>
      <c r="DXH31" s="292"/>
      <c r="DXI31" s="293"/>
      <c r="DXJ31" s="294"/>
      <c r="DXP31" s="292"/>
      <c r="DXQ31" s="293"/>
      <c r="DXR31" s="294"/>
      <c r="DXX31" s="292"/>
      <c r="DXY31" s="293"/>
      <c r="DXZ31" s="294"/>
      <c r="DYF31" s="292"/>
      <c r="DYG31" s="293"/>
      <c r="DYH31" s="294"/>
      <c r="DYN31" s="292"/>
      <c r="DYO31" s="293"/>
      <c r="DYP31" s="294"/>
      <c r="DYV31" s="292"/>
      <c r="DYW31" s="293"/>
      <c r="DYX31" s="294"/>
      <c r="DZD31" s="292"/>
      <c r="DZE31" s="293"/>
      <c r="DZF31" s="294"/>
      <c r="DZL31" s="292"/>
      <c r="DZM31" s="293"/>
      <c r="DZN31" s="294"/>
      <c r="DZT31" s="292"/>
      <c r="DZU31" s="293"/>
      <c r="DZV31" s="294"/>
      <c r="EAB31" s="292"/>
      <c r="EAC31" s="293"/>
      <c r="EAD31" s="294"/>
      <c r="EAJ31" s="292"/>
      <c r="EAK31" s="293"/>
      <c r="EAL31" s="294"/>
      <c r="EAR31" s="292"/>
      <c r="EAS31" s="293"/>
      <c r="EAT31" s="294"/>
      <c r="EAZ31" s="292"/>
      <c r="EBA31" s="293"/>
      <c r="EBB31" s="294"/>
      <c r="EBH31" s="292"/>
      <c r="EBI31" s="293"/>
      <c r="EBJ31" s="294"/>
      <c r="EBP31" s="292"/>
      <c r="EBQ31" s="293"/>
      <c r="EBR31" s="294"/>
      <c r="EBX31" s="292"/>
      <c r="EBY31" s="293"/>
      <c r="EBZ31" s="294"/>
      <c r="ECF31" s="292"/>
      <c r="ECG31" s="293"/>
      <c r="ECH31" s="294"/>
      <c r="ECN31" s="292"/>
      <c r="ECO31" s="293"/>
      <c r="ECP31" s="294"/>
      <c r="ECV31" s="292"/>
      <c r="ECW31" s="293"/>
      <c r="ECX31" s="294"/>
      <c r="EDD31" s="292"/>
      <c r="EDE31" s="293"/>
      <c r="EDF31" s="294"/>
      <c r="EDL31" s="292"/>
      <c r="EDM31" s="293"/>
      <c r="EDN31" s="294"/>
      <c r="EDT31" s="292"/>
      <c r="EDU31" s="293"/>
      <c r="EDV31" s="294"/>
      <c r="EEB31" s="292"/>
      <c r="EEC31" s="293"/>
      <c r="EED31" s="294"/>
      <c r="EEJ31" s="292"/>
      <c r="EEK31" s="293"/>
      <c r="EEL31" s="294"/>
      <c r="EER31" s="292"/>
      <c r="EES31" s="293"/>
      <c r="EET31" s="294"/>
      <c r="EEZ31" s="292"/>
      <c r="EFA31" s="293"/>
      <c r="EFB31" s="294"/>
      <c r="EFH31" s="292"/>
      <c r="EFI31" s="293"/>
      <c r="EFJ31" s="294"/>
      <c r="EFP31" s="292"/>
      <c r="EFQ31" s="293"/>
      <c r="EFR31" s="294"/>
      <c r="EFX31" s="292"/>
      <c r="EFY31" s="293"/>
      <c r="EFZ31" s="294"/>
      <c r="EGF31" s="292"/>
      <c r="EGG31" s="293"/>
      <c r="EGH31" s="294"/>
      <c r="EGN31" s="292"/>
      <c r="EGO31" s="293"/>
      <c r="EGP31" s="294"/>
      <c r="EGV31" s="292"/>
      <c r="EGW31" s="293"/>
      <c r="EGX31" s="294"/>
      <c r="EHD31" s="292"/>
      <c r="EHE31" s="293"/>
      <c r="EHF31" s="294"/>
      <c r="EHL31" s="292"/>
      <c r="EHM31" s="293"/>
      <c r="EHN31" s="294"/>
      <c r="EHT31" s="292"/>
      <c r="EHU31" s="293"/>
      <c r="EHV31" s="294"/>
      <c r="EIB31" s="292"/>
      <c r="EIC31" s="293"/>
      <c r="EID31" s="294"/>
      <c r="EIJ31" s="292"/>
      <c r="EIK31" s="293"/>
      <c r="EIL31" s="294"/>
      <c r="EIR31" s="292"/>
      <c r="EIS31" s="293"/>
      <c r="EIT31" s="294"/>
      <c r="EIZ31" s="292"/>
      <c r="EJA31" s="293"/>
      <c r="EJB31" s="294"/>
      <c r="EJH31" s="292"/>
      <c r="EJI31" s="293"/>
      <c r="EJJ31" s="294"/>
      <c r="EJP31" s="292"/>
      <c r="EJQ31" s="293"/>
      <c r="EJR31" s="294"/>
      <c r="EJX31" s="292"/>
      <c r="EJY31" s="293"/>
      <c r="EJZ31" s="294"/>
      <c r="EKF31" s="292"/>
      <c r="EKG31" s="293"/>
      <c r="EKH31" s="294"/>
      <c r="EKN31" s="292"/>
      <c r="EKO31" s="293"/>
      <c r="EKP31" s="294"/>
      <c r="EKV31" s="292"/>
      <c r="EKW31" s="293"/>
      <c r="EKX31" s="294"/>
      <c r="ELD31" s="292"/>
      <c r="ELE31" s="293"/>
      <c r="ELF31" s="294"/>
      <c r="ELL31" s="292"/>
      <c r="ELM31" s="293"/>
      <c r="ELN31" s="294"/>
      <c r="ELT31" s="292"/>
      <c r="ELU31" s="293"/>
      <c r="ELV31" s="294"/>
      <c r="EMB31" s="292"/>
      <c r="EMC31" s="293"/>
      <c r="EMD31" s="294"/>
      <c r="EMJ31" s="292"/>
      <c r="EMK31" s="293"/>
      <c r="EML31" s="294"/>
      <c r="EMR31" s="292"/>
      <c r="EMS31" s="293"/>
      <c r="EMT31" s="294"/>
      <c r="EMZ31" s="292"/>
      <c r="ENA31" s="293"/>
      <c r="ENB31" s="294"/>
      <c r="ENH31" s="292"/>
      <c r="ENI31" s="293"/>
      <c r="ENJ31" s="294"/>
      <c r="ENP31" s="292"/>
      <c r="ENQ31" s="293"/>
      <c r="ENR31" s="294"/>
      <c r="ENX31" s="292"/>
      <c r="ENY31" s="293"/>
      <c r="ENZ31" s="294"/>
      <c r="EOF31" s="292"/>
      <c r="EOG31" s="293"/>
      <c r="EOH31" s="294"/>
      <c r="EON31" s="292"/>
      <c r="EOO31" s="293"/>
      <c r="EOP31" s="294"/>
      <c r="EOV31" s="292"/>
      <c r="EOW31" s="293"/>
      <c r="EOX31" s="294"/>
      <c r="EPD31" s="292"/>
      <c r="EPE31" s="293"/>
      <c r="EPF31" s="294"/>
      <c r="EPL31" s="292"/>
      <c r="EPM31" s="293"/>
      <c r="EPN31" s="294"/>
      <c r="EPT31" s="292"/>
      <c r="EPU31" s="293"/>
      <c r="EPV31" s="294"/>
      <c r="EQB31" s="292"/>
      <c r="EQC31" s="293"/>
      <c r="EQD31" s="294"/>
      <c r="EQJ31" s="292"/>
      <c r="EQK31" s="293"/>
      <c r="EQL31" s="294"/>
      <c r="EQR31" s="292"/>
      <c r="EQS31" s="293"/>
      <c r="EQT31" s="294"/>
      <c r="EQZ31" s="292"/>
      <c r="ERA31" s="293"/>
      <c r="ERB31" s="294"/>
      <c r="ERH31" s="292"/>
      <c r="ERI31" s="293"/>
      <c r="ERJ31" s="294"/>
      <c r="ERP31" s="292"/>
      <c r="ERQ31" s="293"/>
      <c r="ERR31" s="294"/>
      <c r="ERX31" s="292"/>
      <c r="ERY31" s="293"/>
      <c r="ERZ31" s="294"/>
      <c r="ESF31" s="292"/>
      <c r="ESG31" s="293"/>
      <c r="ESH31" s="294"/>
      <c r="ESN31" s="292"/>
      <c r="ESO31" s="293"/>
      <c r="ESP31" s="294"/>
      <c r="ESV31" s="292"/>
      <c r="ESW31" s="293"/>
      <c r="ESX31" s="294"/>
      <c r="ETD31" s="292"/>
      <c r="ETE31" s="293"/>
      <c r="ETF31" s="294"/>
      <c r="ETL31" s="292"/>
      <c r="ETM31" s="293"/>
      <c r="ETN31" s="294"/>
      <c r="ETT31" s="292"/>
      <c r="ETU31" s="293"/>
      <c r="ETV31" s="294"/>
      <c r="EUB31" s="292"/>
      <c r="EUC31" s="293"/>
      <c r="EUD31" s="294"/>
      <c r="EUJ31" s="292"/>
      <c r="EUK31" s="293"/>
      <c r="EUL31" s="294"/>
      <c r="EUR31" s="292"/>
      <c r="EUS31" s="293"/>
      <c r="EUT31" s="294"/>
      <c r="EUZ31" s="292"/>
      <c r="EVA31" s="293"/>
      <c r="EVB31" s="294"/>
      <c r="EVH31" s="292"/>
      <c r="EVI31" s="293"/>
      <c r="EVJ31" s="294"/>
      <c r="EVP31" s="292"/>
      <c r="EVQ31" s="293"/>
      <c r="EVR31" s="294"/>
      <c r="EVX31" s="292"/>
      <c r="EVY31" s="293"/>
      <c r="EVZ31" s="294"/>
      <c r="EWF31" s="292"/>
      <c r="EWG31" s="293"/>
      <c r="EWH31" s="294"/>
      <c r="EWN31" s="292"/>
      <c r="EWO31" s="293"/>
      <c r="EWP31" s="294"/>
      <c r="EWV31" s="292"/>
      <c r="EWW31" s="293"/>
      <c r="EWX31" s="294"/>
      <c r="EXD31" s="292"/>
      <c r="EXE31" s="293"/>
      <c r="EXF31" s="294"/>
      <c r="EXL31" s="292"/>
      <c r="EXM31" s="293"/>
      <c r="EXN31" s="294"/>
      <c r="EXT31" s="292"/>
      <c r="EXU31" s="293"/>
      <c r="EXV31" s="294"/>
      <c r="EYB31" s="292"/>
      <c r="EYC31" s="293"/>
      <c r="EYD31" s="294"/>
      <c r="EYJ31" s="292"/>
      <c r="EYK31" s="293"/>
      <c r="EYL31" s="294"/>
      <c r="EYR31" s="292"/>
      <c r="EYS31" s="293"/>
      <c r="EYT31" s="294"/>
      <c r="EYZ31" s="292"/>
      <c r="EZA31" s="293"/>
      <c r="EZB31" s="294"/>
      <c r="EZH31" s="292"/>
      <c r="EZI31" s="293"/>
      <c r="EZJ31" s="294"/>
      <c r="EZP31" s="292"/>
      <c r="EZQ31" s="293"/>
      <c r="EZR31" s="294"/>
      <c r="EZX31" s="292"/>
      <c r="EZY31" s="293"/>
      <c r="EZZ31" s="294"/>
      <c r="FAF31" s="292"/>
      <c r="FAG31" s="293"/>
      <c r="FAH31" s="294"/>
      <c r="FAN31" s="292"/>
      <c r="FAO31" s="293"/>
      <c r="FAP31" s="294"/>
      <c r="FAV31" s="292"/>
      <c r="FAW31" s="293"/>
      <c r="FAX31" s="294"/>
      <c r="FBD31" s="292"/>
      <c r="FBE31" s="293"/>
      <c r="FBF31" s="294"/>
      <c r="FBL31" s="292"/>
      <c r="FBM31" s="293"/>
      <c r="FBN31" s="294"/>
      <c r="FBT31" s="292"/>
      <c r="FBU31" s="293"/>
      <c r="FBV31" s="294"/>
      <c r="FCB31" s="292"/>
      <c r="FCC31" s="293"/>
      <c r="FCD31" s="294"/>
      <c r="FCJ31" s="292"/>
      <c r="FCK31" s="293"/>
      <c r="FCL31" s="294"/>
      <c r="FCR31" s="292"/>
      <c r="FCS31" s="293"/>
      <c r="FCT31" s="294"/>
      <c r="FCZ31" s="292"/>
      <c r="FDA31" s="293"/>
      <c r="FDB31" s="294"/>
      <c r="FDH31" s="292"/>
      <c r="FDI31" s="293"/>
      <c r="FDJ31" s="294"/>
      <c r="FDP31" s="292"/>
      <c r="FDQ31" s="293"/>
      <c r="FDR31" s="294"/>
      <c r="FDX31" s="292"/>
      <c r="FDY31" s="293"/>
      <c r="FDZ31" s="294"/>
      <c r="FEF31" s="292"/>
      <c r="FEG31" s="293"/>
      <c r="FEH31" s="294"/>
      <c r="FEN31" s="292"/>
      <c r="FEO31" s="293"/>
      <c r="FEP31" s="294"/>
      <c r="FEV31" s="292"/>
      <c r="FEW31" s="293"/>
      <c r="FEX31" s="294"/>
      <c r="FFD31" s="292"/>
      <c r="FFE31" s="293"/>
      <c r="FFF31" s="294"/>
      <c r="FFL31" s="292"/>
      <c r="FFM31" s="293"/>
      <c r="FFN31" s="294"/>
      <c r="FFT31" s="292"/>
      <c r="FFU31" s="293"/>
      <c r="FFV31" s="294"/>
      <c r="FGB31" s="292"/>
      <c r="FGC31" s="293"/>
      <c r="FGD31" s="294"/>
      <c r="FGJ31" s="292"/>
      <c r="FGK31" s="293"/>
      <c r="FGL31" s="294"/>
      <c r="FGR31" s="292"/>
      <c r="FGS31" s="293"/>
      <c r="FGT31" s="294"/>
      <c r="FGZ31" s="292"/>
      <c r="FHA31" s="293"/>
      <c r="FHB31" s="294"/>
      <c r="FHH31" s="292"/>
      <c r="FHI31" s="293"/>
      <c r="FHJ31" s="294"/>
      <c r="FHP31" s="292"/>
      <c r="FHQ31" s="293"/>
      <c r="FHR31" s="294"/>
      <c r="FHX31" s="292"/>
      <c r="FHY31" s="293"/>
      <c r="FHZ31" s="294"/>
      <c r="FIF31" s="292"/>
      <c r="FIG31" s="293"/>
      <c r="FIH31" s="294"/>
      <c r="FIN31" s="292"/>
      <c r="FIO31" s="293"/>
      <c r="FIP31" s="294"/>
      <c r="FIV31" s="292"/>
      <c r="FIW31" s="293"/>
      <c r="FIX31" s="294"/>
      <c r="FJD31" s="292"/>
      <c r="FJE31" s="293"/>
      <c r="FJF31" s="294"/>
      <c r="FJL31" s="292"/>
      <c r="FJM31" s="293"/>
      <c r="FJN31" s="294"/>
      <c r="FJT31" s="292"/>
      <c r="FJU31" s="293"/>
      <c r="FJV31" s="294"/>
      <c r="FKB31" s="292"/>
      <c r="FKC31" s="293"/>
      <c r="FKD31" s="294"/>
      <c r="FKJ31" s="292"/>
      <c r="FKK31" s="293"/>
      <c r="FKL31" s="294"/>
      <c r="FKR31" s="292"/>
      <c r="FKS31" s="293"/>
      <c r="FKT31" s="294"/>
      <c r="FKZ31" s="292"/>
      <c r="FLA31" s="293"/>
      <c r="FLB31" s="294"/>
      <c r="FLH31" s="292"/>
      <c r="FLI31" s="293"/>
      <c r="FLJ31" s="294"/>
      <c r="FLP31" s="292"/>
      <c r="FLQ31" s="293"/>
      <c r="FLR31" s="294"/>
      <c r="FLX31" s="292"/>
      <c r="FLY31" s="293"/>
      <c r="FLZ31" s="294"/>
      <c r="FMF31" s="292"/>
      <c r="FMG31" s="293"/>
      <c r="FMH31" s="294"/>
      <c r="FMN31" s="292"/>
      <c r="FMO31" s="293"/>
      <c r="FMP31" s="294"/>
      <c r="FMV31" s="292"/>
      <c r="FMW31" s="293"/>
      <c r="FMX31" s="294"/>
      <c r="FND31" s="292"/>
      <c r="FNE31" s="293"/>
      <c r="FNF31" s="294"/>
      <c r="FNL31" s="292"/>
      <c r="FNM31" s="293"/>
      <c r="FNN31" s="294"/>
      <c r="FNT31" s="292"/>
      <c r="FNU31" s="293"/>
      <c r="FNV31" s="294"/>
      <c r="FOB31" s="292"/>
      <c r="FOC31" s="293"/>
      <c r="FOD31" s="294"/>
      <c r="FOJ31" s="292"/>
      <c r="FOK31" s="293"/>
      <c r="FOL31" s="294"/>
      <c r="FOR31" s="292"/>
      <c r="FOS31" s="293"/>
      <c r="FOT31" s="294"/>
      <c r="FOZ31" s="292"/>
      <c r="FPA31" s="293"/>
      <c r="FPB31" s="294"/>
      <c r="FPH31" s="292"/>
      <c r="FPI31" s="293"/>
      <c r="FPJ31" s="294"/>
      <c r="FPP31" s="292"/>
      <c r="FPQ31" s="293"/>
      <c r="FPR31" s="294"/>
      <c r="FPX31" s="292"/>
      <c r="FPY31" s="293"/>
      <c r="FPZ31" s="294"/>
      <c r="FQF31" s="292"/>
      <c r="FQG31" s="293"/>
      <c r="FQH31" s="294"/>
      <c r="FQN31" s="292"/>
      <c r="FQO31" s="293"/>
      <c r="FQP31" s="294"/>
      <c r="FQV31" s="292"/>
      <c r="FQW31" s="293"/>
      <c r="FQX31" s="294"/>
      <c r="FRD31" s="292"/>
      <c r="FRE31" s="293"/>
      <c r="FRF31" s="294"/>
      <c r="FRL31" s="292"/>
      <c r="FRM31" s="293"/>
      <c r="FRN31" s="294"/>
      <c r="FRT31" s="292"/>
      <c r="FRU31" s="293"/>
      <c r="FRV31" s="294"/>
      <c r="FSB31" s="292"/>
      <c r="FSC31" s="293"/>
      <c r="FSD31" s="294"/>
      <c r="FSJ31" s="292"/>
      <c r="FSK31" s="293"/>
      <c r="FSL31" s="294"/>
      <c r="FSR31" s="292"/>
      <c r="FSS31" s="293"/>
      <c r="FST31" s="294"/>
      <c r="FSZ31" s="292"/>
      <c r="FTA31" s="293"/>
      <c r="FTB31" s="294"/>
      <c r="FTH31" s="292"/>
      <c r="FTI31" s="293"/>
      <c r="FTJ31" s="294"/>
      <c r="FTP31" s="292"/>
      <c r="FTQ31" s="293"/>
      <c r="FTR31" s="294"/>
      <c r="FTX31" s="292"/>
      <c r="FTY31" s="293"/>
      <c r="FTZ31" s="294"/>
      <c r="FUF31" s="292"/>
      <c r="FUG31" s="293"/>
      <c r="FUH31" s="294"/>
      <c r="FUN31" s="292"/>
      <c r="FUO31" s="293"/>
      <c r="FUP31" s="294"/>
      <c r="FUV31" s="292"/>
      <c r="FUW31" s="293"/>
      <c r="FUX31" s="294"/>
      <c r="FVD31" s="292"/>
      <c r="FVE31" s="293"/>
      <c r="FVF31" s="294"/>
      <c r="FVL31" s="292"/>
      <c r="FVM31" s="293"/>
      <c r="FVN31" s="294"/>
      <c r="FVT31" s="292"/>
      <c r="FVU31" s="293"/>
      <c r="FVV31" s="294"/>
      <c r="FWB31" s="292"/>
      <c r="FWC31" s="293"/>
      <c r="FWD31" s="294"/>
      <c r="FWJ31" s="292"/>
      <c r="FWK31" s="293"/>
      <c r="FWL31" s="294"/>
      <c r="FWR31" s="292"/>
      <c r="FWS31" s="293"/>
      <c r="FWT31" s="294"/>
      <c r="FWZ31" s="292"/>
      <c r="FXA31" s="293"/>
      <c r="FXB31" s="294"/>
      <c r="FXH31" s="292"/>
      <c r="FXI31" s="293"/>
      <c r="FXJ31" s="294"/>
      <c r="FXP31" s="292"/>
      <c r="FXQ31" s="293"/>
      <c r="FXR31" s="294"/>
      <c r="FXX31" s="292"/>
      <c r="FXY31" s="293"/>
      <c r="FXZ31" s="294"/>
      <c r="FYF31" s="292"/>
      <c r="FYG31" s="293"/>
      <c r="FYH31" s="294"/>
      <c r="FYN31" s="292"/>
      <c r="FYO31" s="293"/>
      <c r="FYP31" s="294"/>
      <c r="FYV31" s="292"/>
      <c r="FYW31" s="293"/>
      <c r="FYX31" s="294"/>
      <c r="FZD31" s="292"/>
      <c r="FZE31" s="293"/>
      <c r="FZF31" s="294"/>
      <c r="FZL31" s="292"/>
      <c r="FZM31" s="293"/>
      <c r="FZN31" s="294"/>
      <c r="FZT31" s="292"/>
      <c r="FZU31" s="293"/>
      <c r="FZV31" s="294"/>
      <c r="GAB31" s="292"/>
      <c r="GAC31" s="293"/>
      <c r="GAD31" s="294"/>
      <c r="GAJ31" s="292"/>
      <c r="GAK31" s="293"/>
      <c r="GAL31" s="294"/>
      <c r="GAR31" s="292"/>
      <c r="GAS31" s="293"/>
      <c r="GAT31" s="294"/>
      <c r="GAZ31" s="292"/>
      <c r="GBA31" s="293"/>
      <c r="GBB31" s="294"/>
      <c r="GBH31" s="292"/>
      <c r="GBI31" s="293"/>
      <c r="GBJ31" s="294"/>
      <c r="GBP31" s="292"/>
      <c r="GBQ31" s="293"/>
      <c r="GBR31" s="294"/>
      <c r="GBX31" s="292"/>
      <c r="GBY31" s="293"/>
      <c r="GBZ31" s="294"/>
      <c r="GCF31" s="292"/>
      <c r="GCG31" s="293"/>
      <c r="GCH31" s="294"/>
      <c r="GCN31" s="292"/>
      <c r="GCO31" s="293"/>
      <c r="GCP31" s="294"/>
      <c r="GCV31" s="292"/>
      <c r="GCW31" s="293"/>
      <c r="GCX31" s="294"/>
      <c r="GDD31" s="292"/>
      <c r="GDE31" s="293"/>
      <c r="GDF31" s="294"/>
      <c r="GDL31" s="292"/>
      <c r="GDM31" s="293"/>
      <c r="GDN31" s="294"/>
      <c r="GDT31" s="292"/>
      <c r="GDU31" s="293"/>
      <c r="GDV31" s="294"/>
      <c r="GEB31" s="292"/>
      <c r="GEC31" s="293"/>
      <c r="GED31" s="294"/>
      <c r="GEJ31" s="292"/>
      <c r="GEK31" s="293"/>
      <c r="GEL31" s="294"/>
      <c r="GER31" s="292"/>
      <c r="GES31" s="293"/>
      <c r="GET31" s="294"/>
      <c r="GEZ31" s="292"/>
      <c r="GFA31" s="293"/>
      <c r="GFB31" s="294"/>
      <c r="GFH31" s="292"/>
      <c r="GFI31" s="293"/>
      <c r="GFJ31" s="294"/>
      <c r="GFP31" s="292"/>
      <c r="GFQ31" s="293"/>
      <c r="GFR31" s="294"/>
      <c r="GFX31" s="292"/>
      <c r="GFY31" s="293"/>
      <c r="GFZ31" s="294"/>
      <c r="GGF31" s="292"/>
      <c r="GGG31" s="293"/>
      <c r="GGH31" s="294"/>
      <c r="GGN31" s="292"/>
      <c r="GGO31" s="293"/>
      <c r="GGP31" s="294"/>
      <c r="GGV31" s="292"/>
      <c r="GGW31" s="293"/>
      <c r="GGX31" s="294"/>
      <c r="GHD31" s="292"/>
      <c r="GHE31" s="293"/>
      <c r="GHF31" s="294"/>
      <c r="GHL31" s="292"/>
      <c r="GHM31" s="293"/>
      <c r="GHN31" s="294"/>
      <c r="GHT31" s="292"/>
      <c r="GHU31" s="293"/>
      <c r="GHV31" s="294"/>
      <c r="GIB31" s="292"/>
      <c r="GIC31" s="293"/>
      <c r="GID31" s="294"/>
      <c r="GIJ31" s="292"/>
      <c r="GIK31" s="293"/>
      <c r="GIL31" s="294"/>
      <c r="GIR31" s="292"/>
      <c r="GIS31" s="293"/>
      <c r="GIT31" s="294"/>
      <c r="GIZ31" s="292"/>
      <c r="GJA31" s="293"/>
      <c r="GJB31" s="294"/>
      <c r="GJH31" s="292"/>
      <c r="GJI31" s="293"/>
      <c r="GJJ31" s="294"/>
      <c r="GJP31" s="292"/>
      <c r="GJQ31" s="293"/>
      <c r="GJR31" s="294"/>
      <c r="GJX31" s="292"/>
      <c r="GJY31" s="293"/>
      <c r="GJZ31" s="294"/>
      <c r="GKF31" s="292"/>
      <c r="GKG31" s="293"/>
      <c r="GKH31" s="294"/>
      <c r="GKN31" s="292"/>
      <c r="GKO31" s="293"/>
      <c r="GKP31" s="294"/>
      <c r="GKV31" s="292"/>
      <c r="GKW31" s="293"/>
      <c r="GKX31" s="294"/>
      <c r="GLD31" s="292"/>
      <c r="GLE31" s="293"/>
      <c r="GLF31" s="294"/>
      <c r="GLL31" s="292"/>
      <c r="GLM31" s="293"/>
      <c r="GLN31" s="294"/>
      <c r="GLT31" s="292"/>
      <c r="GLU31" s="293"/>
      <c r="GLV31" s="294"/>
      <c r="GMB31" s="292"/>
      <c r="GMC31" s="293"/>
      <c r="GMD31" s="294"/>
      <c r="GMJ31" s="292"/>
      <c r="GMK31" s="293"/>
      <c r="GML31" s="294"/>
      <c r="GMR31" s="292"/>
      <c r="GMS31" s="293"/>
      <c r="GMT31" s="294"/>
      <c r="GMZ31" s="292"/>
      <c r="GNA31" s="293"/>
      <c r="GNB31" s="294"/>
      <c r="GNH31" s="292"/>
      <c r="GNI31" s="293"/>
      <c r="GNJ31" s="294"/>
      <c r="GNP31" s="292"/>
      <c r="GNQ31" s="293"/>
      <c r="GNR31" s="294"/>
      <c r="GNX31" s="292"/>
      <c r="GNY31" s="293"/>
      <c r="GNZ31" s="294"/>
      <c r="GOF31" s="292"/>
      <c r="GOG31" s="293"/>
      <c r="GOH31" s="294"/>
      <c r="GON31" s="292"/>
      <c r="GOO31" s="293"/>
      <c r="GOP31" s="294"/>
      <c r="GOV31" s="292"/>
      <c r="GOW31" s="293"/>
      <c r="GOX31" s="294"/>
      <c r="GPD31" s="292"/>
      <c r="GPE31" s="293"/>
      <c r="GPF31" s="294"/>
      <c r="GPL31" s="292"/>
      <c r="GPM31" s="293"/>
      <c r="GPN31" s="294"/>
      <c r="GPT31" s="292"/>
      <c r="GPU31" s="293"/>
      <c r="GPV31" s="294"/>
      <c r="GQB31" s="292"/>
      <c r="GQC31" s="293"/>
      <c r="GQD31" s="294"/>
      <c r="GQJ31" s="292"/>
      <c r="GQK31" s="293"/>
      <c r="GQL31" s="294"/>
      <c r="GQR31" s="292"/>
      <c r="GQS31" s="293"/>
      <c r="GQT31" s="294"/>
      <c r="GQZ31" s="292"/>
      <c r="GRA31" s="293"/>
      <c r="GRB31" s="294"/>
      <c r="GRH31" s="292"/>
      <c r="GRI31" s="293"/>
      <c r="GRJ31" s="294"/>
      <c r="GRP31" s="292"/>
      <c r="GRQ31" s="293"/>
      <c r="GRR31" s="294"/>
      <c r="GRX31" s="292"/>
      <c r="GRY31" s="293"/>
      <c r="GRZ31" s="294"/>
      <c r="GSF31" s="292"/>
      <c r="GSG31" s="293"/>
      <c r="GSH31" s="294"/>
      <c r="GSN31" s="292"/>
      <c r="GSO31" s="293"/>
      <c r="GSP31" s="294"/>
      <c r="GSV31" s="292"/>
      <c r="GSW31" s="293"/>
      <c r="GSX31" s="294"/>
      <c r="GTD31" s="292"/>
      <c r="GTE31" s="293"/>
      <c r="GTF31" s="294"/>
      <c r="GTL31" s="292"/>
      <c r="GTM31" s="293"/>
      <c r="GTN31" s="294"/>
      <c r="GTT31" s="292"/>
      <c r="GTU31" s="293"/>
      <c r="GTV31" s="294"/>
      <c r="GUB31" s="292"/>
      <c r="GUC31" s="293"/>
      <c r="GUD31" s="294"/>
      <c r="GUJ31" s="292"/>
      <c r="GUK31" s="293"/>
      <c r="GUL31" s="294"/>
      <c r="GUR31" s="292"/>
      <c r="GUS31" s="293"/>
      <c r="GUT31" s="294"/>
      <c r="GUZ31" s="292"/>
      <c r="GVA31" s="293"/>
      <c r="GVB31" s="294"/>
      <c r="GVH31" s="292"/>
      <c r="GVI31" s="293"/>
      <c r="GVJ31" s="294"/>
      <c r="GVP31" s="292"/>
      <c r="GVQ31" s="293"/>
      <c r="GVR31" s="294"/>
      <c r="GVX31" s="292"/>
      <c r="GVY31" s="293"/>
      <c r="GVZ31" s="294"/>
      <c r="GWF31" s="292"/>
      <c r="GWG31" s="293"/>
      <c r="GWH31" s="294"/>
      <c r="GWN31" s="292"/>
      <c r="GWO31" s="293"/>
      <c r="GWP31" s="294"/>
      <c r="GWV31" s="292"/>
      <c r="GWW31" s="293"/>
      <c r="GWX31" s="294"/>
      <c r="GXD31" s="292"/>
      <c r="GXE31" s="293"/>
      <c r="GXF31" s="294"/>
      <c r="GXL31" s="292"/>
      <c r="GXM31" s="293"/>
      <c r="GXN31" s="294"/>
      <c r="GXT31" s="292"/>
      <c r="GXU31" s="293"/>
      <c r="GXV31" s="294"/>
      <c r="GYB31" s="292"/>
      <c r="GYC31" s="293"/>
      <c r="GYD31" s="294"/>
      <c r="GYJ31" s="292"/>
      <c r="GYK31" s="293"/>
      <c r="GYL31" s="294"/>
      <c r="GYR31" s="292"/>
      <c r="GYS31" s="293"/>
      <c r="GYT31" s="294"/>
      <c r="GYZ31" s="292"/>
      <c r="GZA31" s="293"/>
      <c r="GZB31" s="294"/>
      <c r="GZH31" s="292"/>
      <c r="GZI31" s="293"/>
      <c r="GZJ31" s="294"/>
      <c r="GZP31" s="292"/>
      <c r="GZQ31" s="293"/>
      <c r="GZR31" s="294"/>
      <c r="GZX31" s="292"/>
      <c r="GZY31" s="293"/>
      <c r="GZZ31" s="294"/>
      <c r="HAF31" s="292"/>
      <c r="HAG31" s="293"/>
      <c r="HAH31" s="294"/>
      <c r="HAN31" s="292"/>
      <c r="HAO31" s="293"/>
      <c r="HAP31" s="294"/>
      <c r="HAV31" s="292"/>
      <c r="HAW31" s="293"/>
      <c r="HAX31" s="294"/>
      <c r="HBD31" s="292"/>
      <c r="HBE31" s="293"/>
      <c r="HBF31" s="294"/>
      <c r="HBL31" s="292"/>
      <c r="HBM31" s="293"/>
      <c r="HBN31" s="294"/>
      <c r="HBT31" s="292"/>
      <c r="HBU31" s="293"/>
      <c r="HBV31" s="294"/>
      <c r="HCB31" s="292"/>
      <c r="HCC31" s="293"/>
      <c r="HCD31" s="294"/>
      <c r="HCJ31" s="292"/>
      <c r="HCK31" s="293"/>
      <c r="HCL31" s="294"/>
      <c r="HCR31" s="292"/>
      <c r="HCS31" s="293"/>
      <c r="HCT31" s="294"/>
      <c r="HCZ31" s="292"/>
      <c r="HDA31" s="293"/>
      <c r="HDB31" s="294"/>
      <c r="HDH31" s="292"/>
      <c r="HDI31" s="293"/>
      <c r="HDJ31" s="294"/>
      <c r="HDP31" s="292"/>
      <c r="HDQ31" s="293"/>
      <c r="HDR31" s="294"/>
      <c r="HDX31" s="292"/>
      <c r="HDY31" s="293"/>
      <c r="HDZ31" s="294"/>
      <c r="HEF31" s="292"/>
      <c r="HEG31" s="293"/>
      <c r="HEH31" s="294"/>
      <c r="HEN31" s="292"/>
      <c r="HEO31" s="293"/>
      <c r="HEP31" s="294"/>
      <c r="HEV31" s="292"/>
      <c r="HEW31" s="293"/>
      <c r="HEX31" s="294"/>
      <c r="HFD31" s="292"/>
      <c r="HFE31" s="293"/>
      <c r="HFF31" s="294"/>
      <c r="HFL31" s="292"/>
      <c r="HFM31" s="293"/>
      <c r="HFN31" s="294"/>
      <c r="HFT31" s="292"/>
      <c r="HFU31" s="293"/>
      <c r="HFV31" s="294"/>
      <c r="HGB31" s="292"/>
      <c r="HGC31" s="293"/>
      <c r="HGD31" s="294"/>
      <c r="HGJ31" s="292"/>
      <c r="HGK31" s="293"/>
      <c r="HGL31" s="294"/>
      <c r="HGR31" s="292"/>
      <c r="HGS31" s="293"/>
      <c r="HGT31" s="294"/>
      <c r="HGZ31" s="292"/>
      <c r="HHA31" s="293"/>
      <c r="HHB31" s="294"/>
      <c r="HHH31" s="292"/>
      <c r="HHI31" s="293"/>
      <c r="HHJ31" s="294"/>
      <c r="HHP31" s="292"/>
      <c r="HHQ31" s="293"/>
      <c r="HHR31" s="294"/>
      <c r="HHX31" s="292"/>
      <c r="HHY31" s="293"/>
      <c r="HHZ31" s="294"/>
      <c r="HIF31" s="292"/>
      <c r="HIG31" s="293"/>
      <c r="HIH31" s="294"/>
      <c r="HIN31" s="292"/>
      <c r="HIO31" s="293"/>
      <c r="HIP31" s="294"/>
      <c r="HIV31" s="292"/>
      <c r="HIW31" s="293"/>
      <c r="HIX31" s="294"/>
      <c r="HJD31" s="292"/>
      <c r="HJE31" s="293"/>
      <c r="HJF31" s="294"/>
      <c r="HJL31" s="292"/>
      <c r="HJM31" s="293"/>
      <c r="HJN31" s="294"/>
      <c r="HJT31" s="292"/>
      <c r="HJU31" s="293"/>
      <c r="HJV31" s="294"/>
      <c r="HKB31" s="292"/>
      <c r="HKC31" s="293"/>
      <c r="HKD31" s="294"/>
      <c r="HKJ31" s="292"/>
      <c r="HKK31" s="293"/>
      <c r="HKL31" s="294"/>
      <c r="HKR31" s="292"/>
      <c r="HKS31" s="293"/>
      <c r="HKT31" s="294"/>
      <c r="HKZ31" s="292"/>
      <c r="HLA31" s="293"/>
      <c r="HLB31" s="294"/>
      <c r="HLH31" s="292"/>
      <c r="HLI31" s="293"/>
      <c r="HLJ31" s="294"/>
      <c r="HLP31" s="292"/>
      <c r="HLQ31" s="293"/>
      <c r="HLR31" s="294"/>
      <c r="HLX31" s="292"/>
      <c r="HLY31" s="293"/>
      <c r="HLZ31" s="294"/>
      <c r="HMF31" s="292"/>
      <c r="HMG31" s="293"/>
      <c r="HMH31" s="294"/>
      <c r="HMN31" s="292"/>
      <c r="HMO31" s="293"/>
      <c r="HMP31" s="294"/>
      <c r="HMV31" s="292"/>
      <c r="HMW31" s="293"/>
      <c r="HMX31" s="294"/>
      <c r="HND31" s="292"/>
      <c r="HNE31" s="293"/>
      <c r="HNF31" s="294"/>
      <c r="HNL31" s="292"/>
      <c r="HNM31" s="293"/>
      <c r="HNN31" s="294"/>
      <c r="HNT31" s="292"/>
      <c r="HNU31" s="293"/>
      <c r="HNV31" s="294"/>
      <c r="HOB31" s="292"/>
      <c r="HOC31" s="293"/>
      <c r="HOD31" s="294"/>
      <c r="HOJ31" s="292"/>
      <c r="HOK31" s="293"/>
      <c r="HOL31" s="294"/>
      <c r="HOR31" s="292"/>
      <c r="HOS31" s="293"/>
      <c r="HOT31" s="294"/>
      <c r="HOZ31" s="292"/>
      <c r="HPA31" s="293"/>
      <c r="HPB31" s="294"/>
      <c r="HPH31" s="292"/>
      <c r="HPI31" s="293"/>
      <c r="HPJ31" s="294"/>
      <c r="HPP31" s="292"/>
      <c r="HPQ31" s="293"/>
      <c r="HPR31" s="294"/>
      <c r="HPX31" s="292"/>
      <c r="HPY31" s="293"/>
      <c r="HPZ31" s="294"/>
      <c r="HQF31" s="292"/>
      <c r="HQG31" s="293"/>
      <c r="HQH31" s="294"/>
      <c r="HQN31" s="292"/>
      <c r="HQO31" s="293"/>
      <c r="HQP31" s="294"/>
      <c r="HQV31" s="292"/>
      <c r="HQW31" s="293"/>
      <c r="HQX31" s="294"/>
      <c r="HRD31" s="292"/>
      <c r="HRE31" s="293"/>
      <c r="HRF31" s="294"/>
      <c r="HRL31" s="292"/>
      <c r="HRM31" s="293"/>
      <c r="HRN31" s="294"/>
      <c r="HRT31" s="292"/>
      <c r="HRU31" s="293"/>
      <c r="HRV31" s="294"/>
      <c r="HSB31" s="292"/>
      <c r="HSC31" s="293"/>
      <c r="HSD31" s="294"/>
      <c r="HSJ31" s="292"/>
      <c r="HSK31" s="293"/>
      <c r="HSL31" s="294"/>
      <c r="HSR31" s="292"/>
      <c r="HSS31" s="293"/>
      <c r="HST31" s="294"/>
      <c r="HSZ31" s="292"/>
      <c r="HTA31" s="293"/>
      <c r="HTB31" s="294"/>
      <c r="HTH31" s="292"/>
      <c r="HTI31" s="293"/>
      <c r="HTJ31" s="294"/>
      <c r="HTP31" s="292"/>
      <c r="HTQ31" s="293"/>
      <c r="HTR31" s="294"/>
      <c r="HTX31" s="292"/>
      <c r="HTY31" s="293"/>
      <c r="HTZ31" s="294"/>
      <c r="HUF31" s="292"/>
      <c r="HUG31" s="293"/>
      <c r="HUH31" s="294"/>
      <c r="HUN31" s="292"/>
      <c r="HUO31" s="293"/>
      <c r="HUP31" s="294"/>
      <c r="HUV31" s="292"/>
      <c r="HUW31" s="293"/>
      <c r="HUX31" s="294"/>
      <c r="HVD31" s="292"/>
      <c r="HVE31" s="293"/>
      <c r="HVF31" s="294"/>
      <c r="HVL31" s="292"/>
      <c r="HVM31" s="293"/>
      <c r="HVN31" s="294"/>
      <c r="HVT31" s="292"/>
      <c r="HVU31" s="293"/>
      <c r="HVV31" s="294"/>
      <c r="HWB31" s="292"/>
      <c r="HWC31" s="293"/>
      <c r="HWD31" s="294"/>
      <c r="HWJ31" s="292"/>
      <c r="HWK31" s="293"/>
      <c r="HWL31" s="294"/>
      <c r="HWR31" s="292"/>
      <c r="HWS31" s="293"/>
      <c r="HWT31" s="294"/>
      <c r="HWZ31" s="292"/>
      <c r="HXA31" s="293"/>
      <c r="HXB31" s="294"/>
      <c r="HXH31" s="292"/>
      <c r="HXI31" s="293"/>
      <c r="HXJ31" s="294"/>
      <c r="HXP31" s="292"/>
      <c r="HXQ31" s="293"/>
      <c r="HXR31" s="294"/>
      <c r="HXX31" s="292"/>
      <c r="HXY31" s="293"/>
      <c r="HXZ31" s="294"/>
      <c r="HYF31" s="292"/>
      <c r="HYG31" s="293"/>
      <c r="HYH31" s="294"/>
      <c r="HYN31" s="292"/>
      <c r="HYO31" s="293"/>
      <c r="HYP31" s="294"/>
      <c r="HYV31" s="292"/>
      <c r="HYW31" s="293"/>
      <c r="HYX31" s="294"/>
      <c r="HZD31" s="292"/>
      <c r="HZE31" s="293"/>
      <c r="HZF31" s="294"/>
      <c r="HZL31" s="292"/>
      <c r="HZM31" s="293"/>
      <c r="HZN31" s="294"/>
      <c r="HZT31" s="292"/>
      <c r="HZU31" s="293"/>
      <c r="HZV31" s="294"/>
      <c r="IAB31" s="292"/>
      <c r="IAC31" s="293"/>
      <c r="IAD31" s="294"/>
      <c r="IAJ31" s="292"/>
      <c r="IAK31" s="293"/>
      <c r="IAL31" s="294"/>
      <c r="IAR31" s="292"/>
      <c r="IAS31" s="293"/>
      <c r="IAT31" s="294"/>
      <c r="IAZ31" s="292"/>
      <c r="IBA31" s="293"/>
      <c r="IBB31" s="294"/>
      <c r="IBH31" s="292"/>
      <c r="IBI31" s="293"/>
      <c r="IBJ31" s="294"/>
      <c r="IBP31" s="292"/>
      <c r="IBQ31" s="293"/>
      <c r="IBR31" s="294"/>
      <c r="IBX31" s="292"/>
      <c r="IBY31" s="293"/>
      <c r="IBZ31" s="294"/>
      <c r="ICF31" s="292"/>
      <c r="ICG31" s="293"/>
      <c r="ICH31" s="294"/>
      <c r="ICN31" s="292"/>
      <c r="ICO31" s="293"/>
      <c r="ICP31" s="294"/>
      <c r="ICV31" s="292"/>
      <c r="ICW31" s="293"/>
      <c r="ICX31" s="294"/>
      <c r="IDD31" s="292"/>
      <c r="IDE31" s="293"/>
      <c r="IDF31" s="294"/>
      <c r="IDL31" s="292"/>
      <c r="IDM31" s="293"/>
      <c r="IDN31" s="294"/>
      <c r="IDT31" s="292"/>
      <c r="IDU31" s="293"/>
      <c r="IDV31" s="294"/>
      <c r="IEB31" s="292"/>
      <c r="IEC31" s="293"/>
      <c r="IED31" s="294"/>
      <c r="IEJ31" s="292"/>
      <c r="IEK31" s="293"/>
      <c r="IEL31" s="294"/>
      <c r="IER31" s="292"/>
      <c r="IES31" s="293"/>
      <c r="IET31" s="294"/>
      <c r="IEZ31" s="292"/>
      <c r="IFA31" s="293"/>
      <c r="IFB31" s="294"/>
      <c r="IFH31" s="292"/>
      <c r="IFI31" s="293"/>
      <c r="IFJ31" s="294"/>
      <c r="IFP31" s="292"/>
      <c r="IFQ31" s="293"/>
      <c r="IFR31" s="294"/>
      <c r="IFX31" s="292"/>
      <c r="IFY31" s="293"/>
      <c r="IFZ31" s="294"/>
      <c r="IGF31" s="292"/>
      <c r="IGG31" s="293"/>
      <c r="IGH31" s="294"/>
      <c r="IGN31" s="292"/>
      <c r="IGO31" s="293"/>
      <c r="IGP31" s="294"/>
      <c r="IGV31" s="292"/>
      <c r="IGW31" s="293"/>
      <c r="IGX31" s="294"/>
      <c r="IHD31" s="292"/>
      <c r="IHE31" s="293"/>
      <c r="IHF31" s="294"/>
      <c r="IHL31" s="292"/>
      <c r="IHM31" s="293"/>
      <c r="IHN31" s="294"/>
      <c r="IHT31" s="292"/>
      <c r="IHU31" s="293"/>
      <c r="IHV31" s="294"/>
      <c r="IIB31" s="292"/>
      <c r="IIC31" s="293"/>
      <c r="IID31" s="294"/>
      <c r="IIJ31" s="292"/>
      <c r="IIK31" s="293"/>
      <c r="IIL31" s="294"/>
      <c r="IIR31" s="292"/>
      <c r="IIS31" s="293"/>
      <c r="IIT31" s="294"/>
      <c r="IIZ31" s="292"/>
      <c r="IJA31" s="293"/>
      <c r="IJB31" s="294"/>
      <c r="IJH31" s="292"/>
      <c r="IJI31" s="293"/>
      <c r="IJJ31" s="294"/>
      <c r="IJP31" s="292"/>
      <c r="IJQ31" s="293"/>
      <c r="IJR31" s="294"/>
      <c r="IJX31" s="292"/>
      <c r="IJY31" s="293"/>
      <c r="IJZ31" s="294"/>
      <c r="IKF31" s="292"/>
      <c r="IKG31" s="293"/>
      <c r="IKH31" s="294"/>
      <c r="IKN31" s="292"/>
      <c r="IKO31" s="293"/>
      <c r="IKP31" s="294"/>
      <c r="IKV31" s="292"/>
      <c r="IKW31" s="293"/>
      <c r="IKX31" s="294"/>
      <c r="ILD31" s="292"/>
      <c r="ILE31" s="293"/>
      <c r="ILF31" s="294"/>
      <c r="ILL31" s="292"/>
      <c r="ILM31" s="293"/>
      <c r="ILN31" s="294"/>
      <c r="ILT31" s="292"/>
      <c r="ILU31" s="293"/>
      <c r="ILV31" s="294"/>
      <c r="IMB31" s="292"/>
      <c r="IMC31" s="293"/>
      <c r="IMD31" s="294"/>
      <c r="IMJ31" s="292"/>
      <c r="IMK31" s="293"/>
      <c r="IML31" s="294"/>
      <c r="IMR31" s="292"/>
      <c r="IMS31" s="293"/>
      <c r="IMT31" s="294"/>
      <c r="IMZ31" s="292"/>
      <c r="INA31" s="293"/>
      <c r="INB31" s="294"/>
      <c r="INH31" s="292"/>
      <c r="INI31" s="293"/>
      <c r="INJ31" s="294"/>
      <c r="INP31" s="292"/>
      <c r="INQ31" s="293"/>
      <c r="INR31" s="294"/>
      <c r="INX31" s="292"/>
      <c r="INY31" s="293"/>
      <c r="INZ31" s="294"/>
      <c r="IOF31" s="292"/>
      <c r="IOG31" s="293"/>
      <c r="IOH31" s="294"/>
      <c r="ION31" s="292"/>
      <c r="IOO31" s="293"/>
      <c r="IOP31" s="294"/>
      <c r="IOV31" s="292"/>
      <c r="IOW31" s="293"/>
      <c r="IOX31" s="294"/>
      <c r="IPD31" s="292"/>
      <c r="IPE31" s="293"/>
      <c r="IPF31" s="294"/>
      <c r="IPL31" s="292"/>
      <c r="IPM31" s="293"/>
      <c r="IPN31" s="294"/>
      <c r="IPT31" s="292"/>
      <c r="IPU31" s="293"/>
      <c r="IPV31" s="294"/>
      <c r="IQB31" s="292"/>
      <c r="IQC31" s="293"/>
      <c r="IQD31" s="294"/>
      <c r="IQJ31" s="292"/>
      <c r="IQK31" s="293"/>
      <c r="IQL31" s="294"/>
      <c r="IQR31" s="292"/>
      <c r="IQS31" s="293"/>
      <c r="IQT31" s="294"/>
      <c r="IQZ31" s="292"/>
      <c r="IRA31" s="293"/>
      <c r="IRB31" s="294"/>
      <c r="IRH31" s="292"/>
      <c r="IRI31" s="293"/>
      <c r="IRJ31" s="294"/>
      <c r="IRP31" s="292"/>
      <c r="IRQ31" s="293"/>
      <c r="IRR31" s="294"/>
      <c r="IRX31" s="292"/>
      <c r="IRY31" s="293"/>
      <c r="IRZ31" s="294"/>
      <c r="ISF31" s="292"/>
      <c r="ISG31" s="293"/>
      <c r="ISH31" s="294"/>
      <c r="ISN31" s="292"/>
      <c r="ISO31" s="293"/>
      <c r="ISP31" s="294"/>
      <c r="ISV31" s="292"/>
      <c r="ISW31" s="293"/>
      <c r="ISX31" s="294"/>
      <c r="ITD31" s="292"/>
      <c r="ITE31" s="293"/>
      <c r="ITF31" s="294"/>
      <c r="ITL31" s="292"/>
      <c r="ITM31" s="293"/>
      <c r="ITN31" s="294"/>
      <c r="ITT31" s="292"/>
      <c r="ITU31" s="293"/>
      <c r="ITV31" s="294"/>
      <c r="IUB31" s="292"/>
      <c r="IUC31" s="293"/>
      <c r="IUD31" s="294"/>
      <c r="IUJ31" s="292"/>
      <c r="IUK31" s="293"/>
      <c r="IUL31" s="294"/>
      <c r="IUR31" s="292"/>
      <c r="IUS31" s="293"/>
      <c r="IUT31" s="294"/>
      <c r="IUZ31" s="292"/>
      <c r="IVA31" s="293"/>
      <c r="IVB31" s="294"/>
      <c r="IVH31" s="292"/>
      <c r="IVI31" s="293"/>
      <c r="IVJ31" s="294"/>
      <c r="IVP31" s="292"/>
      <c r="IVQ31" s="293"/>
      <c r="IVR31" s="294"/>
      <c r="IVX31" s="292"/>
      <c r="IVY31" s="293"/>
      <c r="IVZ31" s="294"/>
      <c r="IWF31" s="292"/>
      <c r="IWG31" s="293"/>
      <c r="IWH31" s="294"/>
      <c r="IWN31" s="292"/>
      <c r="IWO31" s="293"/>
      <c r="IWP31" s="294"/>
      <c r="IWV31" s="292"/>
      <c r="IWW31" s="293"/>
      <c r="IWX31" s="294"/>
      <c r="IXD31" s="292"/>
      <c r="IXE31" s="293"/>
      <c r="IXF31" s="294"/>
      <c r="IXL31" s="292"/>
      <c r="IXM31" s="293"/>
      <c r="IXN31" s="294"/>
      <c r="IXT31" s="292"/>
      <c r="IXU31" s="293"/>
      <c r="IXV31" s="294"/>
      <c r="IYB31" s="292"/>
      <c r="IYC31" s="293"/>
      <c r="IYD31" s="294"/>
      <c r="IYJ31" s="292"/>
      <c r="IYK31" s="293"/>
      <c r="IYL31" s="294"/>
      <c r="IYR31" s="292"/>
      <c r="IYS31" s="293"/>
      <c r="IYT31" s="294"/>
      <c r="IYZ31" s="292"/>
      <c r="IZA31" s="293"/>
      <c r="IZB31" s="294"/>
      <c r="IZH31" s="292"/>
      <c r="IZI31" s="293"/>
      <c r="IZJ31" s="294"/>
      <c r="IZP31" s="292"/>
      <c r="IZQ31" s="293"/>
      <c r="IZR31" s="294"/>
      <c r="IZX31" s="292"/>
      <c r="IZY31" s="293"/>
      <c r="IZZ31" s="294"/>
      <c r="JAF31" s="292"/>
      <c r="JAG31" s="293"/>
      <c r="JAH31" s="294"/>
      <c r="JAN31" s="292"/>
      <c r="JAO31" s="293"/>
      <c r="JAP31" s="294"/>
      <c r="JAV31" s="292"/>
      <c r="JAW31" s="293"/>
      <c r="JAX31" s="294"/>
      <c r="JBD31" s="292"/>
      <c r="JBE31" s="293"/>
      <c r="JBF31" s="294"/>
      <c r="JBL31" s="292"/>
      <c r="JBM31" s="293"/>
      <c r="JBN31" s="294"/>
      <c r="JBT31" s="292"/>
      <c r="JBU31" s="293"/>
      <c r="JBV31" s="294"/>
      <c r="JCB31" s="292"/>
      <c r="JCC31" s="293"/>
      <c r="JCD31" s="294"/>
      <c r="JCJ31" s="292"/>
      <c r="JCK31" s="293"/>
      <c r="JCL31" s="294"/>
      <c r="JCR31" s="292"/>
      <c r="JCS31" s="293"/>
      <c r="JCT31" s="294"/>
      <c r="JCZ31" s="292"/>
      <c r="JDA31" s="293"/>
      <c r="JDB31" s="294"/>
      <c r="JDH31" s="292"/>
      <c r="JDI31" s="293"/>
      <c r="JDJ31" s="294"/>
      <c r="JDP31" s="292"/>
      <c r="JDQ31" s="293"/>
      <c r="JDR31" s="294"/>
      <c r="JDX31" s="292"/>
      <c r="JDY31" s="293"/>
      <c r="JDZ31" s="294"/>
      <c r="JEF31" s="292"/>
      <c r="JEG31" s="293"/>
      <c r="JEH31" s="294"/>
      <c r="JEN31" s="292"/>
      <c r="JEO31" s="293"/>
      <c r="JEP31" s="294"/>
      <c r="JEV31" s="292"/>
      <c r="JEW31" s="293"/>
      <c r="JEX31" s="294"/>
      <c r="JFD31" s="292"/>
      <c r="JFE31" s="293"/>
      <c r="JFF31" s="294"/>
      <c r="JFL31" s="292"/>
      <c r="JFM31" s="293"/>
      <c r="JFN31" s="294"/>
      <c r="JFT31" s="292"/>
      <c r="JFU31" s="293"/>
      <c r="JFV31" s="294"/>
      <c r="JGB31" s="292"/>
      <c r="JGC31" s="293"/>
      <c r="JGD31" s="294"/>
      <c r="JGJ31" s="292"/>
      <c r="JGK31" s="293"/>
      <c r="JGL31" s="294"/>
      <c r="JGR31" s="292"/>
      <c r="JGS31" s="293"/>
      <c r="JGT31" s="294"/>
      <c r="JGZ31" s="292"/>
      <c r="JHA31" s="293"/>
      <c r="JHB31" s="294"/>
      <c r="JHH31" s="292"/>
      <c r="JHI31" s="293"/>
      <c r="JHJ31" s="294"/>
      <c r="JHP31" s="292"/>
      <c r="JHQ31" s="293"/>
      <c r="JHR31" s="294"/>
      <c r="JHX31" s="292"/>
      <c r="JHY31" s="293"/>
      <c r="JHZ31" s="294"/>
      <c r="JIF31" s="292"/>
      <c r="JIG31" s="293"/>
      <c r="JIH31" s="294"/>
      <c r="JIN31" s="292"/>
      <c r="JIO31" s="293"/>
      <c r="JIP31" s="294"/>
      <c r="JIV31" s="292"/>
      <c r="JIW31" s="293"/>
      <c r="JIX31" s="294"/>
      <c r="JJD31" s="292"/>
      <c r="JJE31" s="293"/>
      <c r="JJF31" s="294"/>
      <c r="JJL31" s="292"/>
      <c r="JJM31" s="293"/>
      <c r="JJN31" s="294"/>
      <c r="JJT31" s="292"/>
      <c r="JJU31" s="293"/>
      <c r="JJV31" s="294"/>
      <c r="JKB31" s="292"/>
      <c r="JKC31" s="293"/>
      <c r="JKD31" s="294"/>
      <c r="JKJ31" s="292"/>
      <c r="JKK31" s="293"/>
      <c r="JKL31" s="294"/>
      <c r="JKR31" s="292"/>
      <c r="JKS31" s="293"/>
      <c r="JKT31" s="294"/>
      <c r="JKZ31" s="292"/>
      <c r="JLA31" s="293"/>
      <c r="JLB31" s="294"/>
      <c r="JLH31" s="292"/>
      <c r="JLI31" s="293"/>
      <c r="JLJ31" s="294"/>
      <c r="JLP31" s="292"/>
      <c r="JLQ31" s="293"/>
      <c r="JLR31" s="294"/>
      <c r="JLX31" s="292"/>
      <c r="JLY31" s="293"/>
      <c r="JLZ31" s="294"/>
      <c r="JMF31" s="292"/>
      <c r="JMG31" s="293"/>
      <c r="JMH31" s="294"/>
      <c r="JMN31" s="292"/>
      <c r="JMO31" s="293"/>
      <c r="JMP31" s="294"/>
      <c r="JMV31" s="292"/>
      <c r="JMW31" s="293"/>
      <c r="JMX31" s="294"/>
      <c r="JND31" s="292"/>
      <c r="JNE31" s="293"/>
      <c r="JNF31" s="294"/>
      <c r="JNL31" s="292"/>
      <c r="JNM31" s="293"/>
      <c r="JNN31" s="294"/>
      <c r="JNT31" s="292"/>
      <c r="JNU31" s="293"/>
      <c r="JNV31" s="294"/>
      <c r="JOB31" s="292"/>
      <c r="JOC31" s="293"/>
      <c r="JOD31" s="294"/>
      <c r="JOJ31" s="292"/>
      <c r="JOK31" s="293"/>
      <c r="JOL31" s="294"/>
      <c r="JOR31" s="292"/>
      <c r="JOS31" s="293"/>
      <c r="JOT31" s="294"/>
      <c r="JOZ31" s="292"/>
      <c r="JPA31" s="293"/>
      <c r="JPB31" s="294"/>
      <c r="JPH31" s="292"/>
      <c r="JPI31" s="293"/>
      <c r="JPJ31" s="294"/>
      <c r="JPP31" s="292"/>
      <c r="JPQ31" s="293"/>
      <c r="JPR31" s="294"/>
      <c r="JPX31" s="292"/>
      <c r="JPY31" s="293"/>
      <c r="JPZ31" s="294"/>
      <c r="JQF31" s="292"/>
      <c r="JQG31" s="293"/>
      <c r="JQH31" s="294"/>
      <c r="JQN31" s="292"/>
      <c r="JQO31" s="293"/>
      <c r="JQP31" s="294"/>
      <c r="JQV31" s="292"/>
      <c r="JQW31" s="293"/>
      <c r="JQX31" s="294"/>
      <c r="JRD31" s="292"/>
      <c r="JRE31" s="293"/>
      <c r="JRF31" s="294"/>
      <c r="JRL31" s="292"/>
      <c r="JRM31" s="293"/>
      <c r="JRN31" s="294"/>
      <c r="JRT31" s="292"/>
      <c r="JRU31" s="293"/>
      <c r="JRV31" s="294"/>
      <c r="JSB31" s="292"/>
      <c r="JSC31" s="293"/>
      <c r="JSD31" s="294"/>
      <c r="JSJ31" s="292"/>
      <c r="JSK31" s="293"/>
      <c r="JSL31" s="294"/>
      <c r="JSR31" s="292"/>
      <c r="JSS31" s="293"/>
      <c r="JST31" s="294"/>
      <c r="JSZ31" s="292"/>
      <c r="JTA31" s="293"/>
      <c r="JTB31" s="294"/>
      <c r="JTH31" s="292"/>
      <c r="JTI31" s="293"/>
      <c r="JTJ31" s="294"/>
      <c r="JTP31" s="292"/>
      <c r="JTQ31" s="293"/>
      <c r="JTR31" s="294"/>
      <c r="JTX31" s="292"/>
      <c r="JTY31" s="293"/>
      <c r="JTZ31" s="294"/>
      <c r="JUF31" s="292"/>
      <c r="JUG31" s="293"/>
      <c r="JUH31" s="294"/>
      <c r="JUN31" s="292"/>
      <c r="JUO31" s="293"/>
      <c r="JUP31" s="294"/>
      <c r="JUV31" s="292"/>
      <c r="JUW31" s="293"/>
      <c r="JUX31" s="294"/>
      <c r="JVD31" s="292"/>
      <c r="JVE31" s="293"/>
      <c r="JVF31" s="294"/>
      <c r="JVL31" s="292"/>
      <c r="JVM31" s="293"/>
      <c r="JVN31" s="294"/>
      <c r="JVT31" s="292"/>
      <c r="JVU31" s="293"/>
      <c r="JVV31" s="294"/>
      <c r="JWB31" s="292"/>
      <c r="JWC31" s="293"/>
      <c r="JWD31" s="294"/>
      <c r="JWJ31" s="292"/>
      <c r="JWK31" s="293"/>
      <c r="JWL31" s="294"/>
      <c r="JWR31" s="292"/>
      <c r="JWS31" s="293"/>
      <c r="JWT31" s="294"/>
      <c r="JWZ31" s="292"/>
      <c r="JXA31" s="293"/>
      <c r="JXB31" s="294"/>
      <c r="JXH31" s="292"/>
      <c r="JXI31" s="293"/>
      <c r="JXJ31" s="294"/>
      <c r="JXP31" s="292"/>
      <c r="JXQ31" s="293"/>
      <c r="JXR31" s="294"/>
      <c r="JXX31" s="292"/>
      <c r="JXY31" s="293"/>
      <c r="JXZ31" s="294"/>
      <c r="JYF31" s="292"/>
      <c r="JYG31" s="293"/>
      <c r="JYH31" s="294"/>
      <c r="JYN31" s="292"/>
      <c r="JYO31" s="293"/>
      <c r="JYP31" s="294"/>
      <c r="JYV31" s="292"/>
      <c r="JYW31" s="293"/>
      <c r="JYX31" s="294"/>
      <c r="JZD31" s="292"/>
      <c r="JZE31" s="293"/>
      <c r="JZF31" s="294"/>
      <c r="JZL31" s="292"/>
      <c r="JZM31" s="293"/>
      <c r="JZN31" s="294"/>
      <c r="JZT31" s="292"/>
      <c r="JZU31" s="293"/>
      <c r="JZV31" s="294"/>
      <c r="KAB31" s="292"/>
      <c r="KAC31" s="293"/>
      <c r="KAD31" s="294"/>
      <c r="KAJ31" s="292"/>
      <c r="KAK31" s="293"/>
      <c r="KAL31" s="294"/>
      <c r="KAR31" s="292"/>
      <c r="KAS31" s="293"/>
      <c r="KAT31" s="294"/>
      <c r="KAZ31" s="292"/>
      <c r="KBA31" s="293"/>
      <c r="KBB31" s="294"/>
      <c r="KBH31" s="292"/>
      <c r="KBI31" s="293"/>
      <c r="KBJ31" s="294"/>
      <c r="KBP31" s="292"/>
      <c r="KBQ31" s="293"/>
      <c r="KBR31" s="294"/>
      <c r="KBX31" s="292"/>
      <c r="KBY31" s="293"/>
      <c r="KBZ31" s="294"/>
      <c r="KCF31" s="292"/>
      <c r="KCG31" s="293"/>
      <c r="KCH31" s="294"/>
      <c r="KCN31" s="292"/>
      <c r="KCO31" s="293"/>
      <c r="KCP31" s="294"/>
      <c r="KCV31" s="292"/>
      <c r="KCW31" s="293"/>
      <c r="KCX31" s="294"/>
      <c r="KDD31" s="292"/>
      <c r="KDE31" s="293"/>
      <c r="KDF31" s="294"/>
      <c r="KDL31" s="292"/>
      <c r="KDM31" s="293"/>
      <c r="KDN31" s="294"/>
      <c r="KDT31" s="292"/>
      <c r="KDU31" s="293"/>
      <c r="KDV31" s="294"/>
      <c r="KEB31" s="292"/>
      <c r="KEC31" s="293"/>
      <c r="KED31" s="294"/>
      <c r="KEJ31" s="292"/>
      <c r="KEK31" s="293"/>
      <c r="KEL31" s="294"/>
      <c r="KER31" s="292"/>
      <c r="KES31" s="293"/>
      <c r="KET31" s="294"/>
      <c r="KEZ31" s="292"/>
      <c r="KFA31" s="293"/>
      <c r="KFB31" s="294"/>
      <c r="KFH31" s="292"/>
      <c r="KFI31" s="293"/>
      <c r="KFJ31" s="294"/>
      <c r="KFP31" s="292"/>
      <c r="KFQ31" s="293"/>
      <c r="KFR31" s="294"/>
      <c r="KFX31" s="292"/>
      <c r="KFY31" s="293"/>
      <c r="KFZ31" s="294"/>
      <c r="KGF31" s="292"/>
      <c r="KGG31" s="293"/>
      <c r="KGH31" s="294"/>
      <c r="KGN31" s="292"/>
      <c r="KGO31" s="293"/>
      <c r="KGP31" s="294"/>
      <c r="KGV31" s="292"/>
      <c r="KGW31" s="293"/>
      <c r="KGX31" s="294"/>
      <c r="KHD31" s="292"/>
      <c r="KHE31" s="293"/>
      <c r="KHF31" s="294"/>
      <c r="KHL31" s="292"/>
      <c r="KHM31" s="293"/>
      <c r="KHN31" s="294"/>
      <c r="KHT31" s="292"/>
      <c r="KHU31" s="293"/>
      <c r="KHV31" s="294"/>
      <c r="KIB31" s="292"/>
      <c r="KIC31" s="293"/>
      <c r="KID31" s="294"/>
      <c r="KIJ31" s="292"/>
      <c r="KIK31" s="293"/>
      <c r="KIL31" s="294"/>
      <c r="KIR31" s="292"/>
      <c r="KIS31" s="293"/>
      <c r="KIT31" s="294"/>
      <c r="KIZ31" s="292"/>
      <c r="KJA31" s="293"/>
      <c r="KJB31" s="294"/>
      <c r="KJH31" s="292"/>
      <c r="KJI31" s="293"/>
      <c r="KJJ31" s="294"/>
      <c r="KJP31" s="292"/>
      <c r="KJQ31" s="293"/>
      <c r="KJR31" s="294"/>
      <c r="KJX31" s="292"/>
      <c r="KJY31" s="293"/>
      <c r="KJZ31" s="294"/>
      <c r="KKF31" s="292"/>
      <c r="KKG31" s="293"/>
      <c r="KKH31" s="294"/>
      <c r="KKN31" s="292"/>
      <c r="KKO31" s="293"/>
      <c r="KKP31" s="294"/>
      <c r="KKV31" s="292"/>
      <c r="KKW31" s="293"/>
      <c r="KKX31" s="294"/>
      <c r="KLD31" s="292"/>
      <c r="KLE31" s="293"/>
      <c r="KLF31" s="294"/>
      <c r="KLL31" s="292"/>
      <c r="KLM31" s="293"/>
      <c r="KLN31" s="294"/>
      <c r="KLT31" s="292"/>
      <c r="KLU31" s="293"/>
      <c r="KLV31" s="294"/>
      <c r="KMB31" s="292"/>
      <c r="KMC31" s="293"/>
      <c r="KMD31" s="294"/>
      <c r="KMJ31" s="292"/>
      <c r="KMK31" s="293"/>
      <c r="KML31" s="294"/>
      <c r="KMR31" s="292"/>
      <c r="KMS31" s="293"/>
      <c r="KMT31" s="294"/>
      <c r="KMZ31" s="292"/>
      <c r="KNA31" s="293"/>
      <c r="KNB31" s="294"/>
      <c r="KNH31" s="292"/>
      <c r="KNI31" s="293"/>
      <c r="KNJ31" s="294"/>
      <c r="KNP31" s="292"/>
      <c r="KNQ31" s="293"/>
      <c r="KNR31" s="294"/>
      <c r="KNX31" s="292"/>
      <c r="KNY31" s="293"/>
      <c r="KNZ31" s="294"/>
      <c r="KOF31" s="292"/>
      <c r="KOG31" s="293"/>
      <c r="KOH31" s="294"/>
      <c r="KON31" s="292"/>
      <c r="KOO31" s="293"/>
      <c r="KOP31" s="294"/>
      <c r="KOV31" s="292"/>
      <c r="KOW31" s="293"/>
      <c r="KOX31" s="294"/>
      <c r="KPD31" s="292"/>
      <c r="KPE31" s="293"/>
      <c r="KPF31" s="294"/>
      <c r="KPL31" s="292"/>
      <c r="KPM31" s="293"/>
      <c r="KPN31" s="294"/>
      <c r="KPT31" s="292"/>
      <c r="KPU31" s="293"/>
      <c r="KPV31" s="294"/>
      <c r="KQB31" s="292"/>
      <c r="KQC31" s="293"/>
      <c r="KQD31" s="294"/>
      <c r="KQJ31" s="292"/>
      <c r="KQK31" s="293"/>
      <c r="KQL31" s="294"/>
      <c r="KQR31" s="292"/>
      <c r="KQS31" s="293"/>
      <c r="KQT31" s="294"/>
      <c r="KQZ31" s="292"/>
      <c r="KRA31" s="293"/>
      <c r="KRB31" s="294"/>
      <c r="KRH31" s="292"/>
      <c r="KRI31" s="293"/>
      <c r="KRJ31" s="294"/>
      <c r="KRP31" s="292"/>
      <c r="KRQ31" s="293"/>
      <c r="KRR31" s="294"/>
      <c r="KRX31" s="292"/>
      <c r="KRY31" s="293"/>
      <c r="KRZ31" s="294"/>
      <c r="KSF31" s="292"/>
      <c r="KSG31" s="293"/>
      <c r="KSH31" s="294"/>
      <c r="KSN31" s="292"/>
      <c r="KSO31" s="293"/>
      <c r="KSP31" s="294"/>
      <c r="KSV31" s="292"/>
      <c r="KSW31" s="293"/>
      <c r="KSX31" s="294"/>
      <c r="KTD31" s="292"/>
      <c r="KTE31" s="293"/>
      <c r="KTF31" s="294"/>
      <c r="KTL31" s="292"/>
      <c r="KTM31" s="293"/>
      <c r="KTN31" s="294"/>
      <c r="KTT31" s="292"/>
      <c r="KTU31" s="293"/>
      <c r="KTV31" s="294"/>
      <c r="KUB31" s="292"/>
      <c r="KUC31" s="293"/>
      <c r="KUD31" s="294"/>
      <c r="KUJ31" s="292"/>
      <c r="KUK31" s="293"/>
      <c r="KUL31" s="294"/>
      <c r="KUR31" s="292"/>
      <c r="KUS31" s="293"/>
      <c r="KUT31" s="294"/>
      <c r="KUZ31" s="292"/>
      <c r="KVA31" s="293"/>
      <c r="KVB31" s="294"/>
      <c r="KVH31" s="292"/>
      <c r="KVI31" s="293"/>
      <c r="KVJ31" s="294"/>
      <c r="KVP31" s="292"/>
      <c r="KVQ31" s="293"/>
      <c r="KVR31" s="294"/>
      <c r="KVX31" s="292"/>
      <c r="KVY31" s="293"/>
      <c r="KVZ31" s="294"/>
      <c r="KWF31" s="292"/>
      <c r="KWG31" s="293"/>
      <c r="KWH31" s="294"/>
      <c r="KWN31" s="292"/>
      <c r="KWO31" s="293"/>
      <c r="KWP31" s="294"/>
      <c r="KWV31" s="292"/>
      <c r="KWW31" s="293"/>
      <c r="KWX31" s="294"/>
      <c r="KXD31" s="292"/>
      <c r="KXE31" s="293"/>
      <c r="KXF31" s="294"/>
      <c r="KXL31" s="292"/>
      <c r="KXM31" s="293"/>
      <c r="KXN31" s="294"/>
      <c r="KXT31" s="292"/>
      <c r="KXU31" s="293"/>
      <c r="KXV31" s="294"/>
      <c r="KYB31" s="292"/>
      <c r="KYC31" s="293"/>
      <c r="KYD31" s="294"/>
      <c r="KYJ31" s="292"/>
      <c r="KYK31" s="293"/>
      <c r="KYL31" s="294"/>
      <c r="KYR31" s="292"/>
      <c r="KYS31" s="293"/>
      <c r="KYT31" s="294"/>
      <c r="KYZ31" s="292"/>
      <c r="KZA31" s="293"/>
      <c r="KZB31" s="294"/>
      <c r="KZH31" s="292"/>
      <c r="KZI31" s="293"/>
      <c r="KZJ31" s="294"/>
      <c r="KZP31" s="292"/>
      <c r="KZQ31" s="293"/>
      <c r="KZR31" s="294"/>
      <c r="KZX31" s="292"/>
      <c r="KZY31" s="293"/>
      <c r="KZZ31" s="294"/>
      <c r="LAF31" s="292"/>
      <c r="LAG31" s="293"/>
      <c r="LAH31" s="294"/>
      <c r="LAN31" s="292"/>
      <c r="LAO31" s="293"/>
      <c r="LAP31" s="294"/>
      <c r="LAV31" s="292"/>
      <c r="LAW31" s="293"/>
      <c r="LAX31" s="294"/>
      <c r="LBD31" s="292"/>
      <c r="LBE31" s="293"/>
      <c r="LBF31" s="294"/>
      <c r="LBL31" s="292"/>
      <c r="LBM31" s="293"/>
      <c r="LBN31" s="294"/>
      <c r="LBT31" s="292"/>
      <c r="LBU31" s="293"/>
      <c r="LBV31" s="294"/>
      <c r="LCB31" s="292"/>
      <c r="LCC31" s="293"/>
      <c r="LCD31" s="294"/>
      <c r="LCJ31" s="292"/>
      <c r="LCK31" s="293"/>
      <c r="LCL31" s="294"/>
      <c r="LCR31" s="292"/>
      <c r="LCS31" s="293"/>
      <c r="LCT31" s="294"/>
      <c r="LCZ31" s="292"/>
      <c r="LDA31" s="293"/>
      <c r="LDB31" s="294"/>
      <c r="LDH31" s="292"/>
      <c r="LDI31" s="293"/>
      <c r="LDJ31" s="294"/>
      <c r="LDP31" s="292"/>
      <c r="LDQ31" s="293"/>
      <c r="LDR31" s="294"/>
      <c r="LDX31" s="292"/>
      <c r="LDY31" s="293"/>
      <c r="LDZ31" s="294"/>
      <c r="LEF31" s="292"/>
      <c r="LEG31" s="293"/>
      <c r="LEH31" s="294"/>
      <c r="LEN31" s="292"/>
      <c r="LEO31" s="293"/>
      <c r="LEP31" s="294"/>
      <c r="LEV31" s="292"/>
      <c r="LEW31" s="293"/>
      <c r="LEX31" s="294"/>
      <c r="LFD31" s="292"/>
      <c r="LFE31" s="293"/>
      <c r="LFF31" s="294"/>
      <c r="LFL31" s="292"/>
      <c r="LFM31" s="293"/>
      <c r="LFN31" s="294"/>
      <c r="LFT31" s="292"/>
      <c r="LFU31" s="293"/>
      <c r="LFV31" s="294"/>
      <c r="LGB31" s="292"/>
      <c r="LGC31" s="293"/>
      <c r="LGD31" s="294"/>
      <c r="LGJ31" s="292"/>
      <c r="LGK31" s="293"/>
      <c r="LGL31" s="294"/>
      <c r="LGR31" s="292"/>
      <c r="LGS31" s="293"/>
      <c r="LGT31" s="294"/>
      <c r="LGZ31" s="292"/>
      <c r="LHA31" s="293"/>
      <c r="LHB31" s="294"/>
      <c r="LHH31" s="292"/>
      <c r="LHI31" s="293"/>
      <c r="LHJ31" s="294"/>
      <c r="LHP31" s="292"/>
      <c r="LHQ31" s="293"/>
      <c r="LHR31" s="294"/>
      <c r="LHX31" s="292"/>
      <c r="LHY31" s="293"/>
      <c r="LHZ31" s="294"/>
      <c r="LIF31" s="292"/>
      <c r="LIG31" s="293"/>
      <c r="LIH31" s="294"/>
      <c r="LIN31" s="292"/>
      <c r="LIO31" s="293"/>
      <c r="LIP31" s="294"/>
      <c r="LIV31" s="292"/>
      <c r="LIW31" s="293"/>
      <c r="LIX31" s="294"/>
      <c r="LJD31" s="292"/>
      <c r="LJE31" s="293"/>
      <c r="LJF31" s="294"/>
      <c r="LJL31" s="292"/>
      <c r="LJM31" s="293"/>
      <c r="LJN31" s="294"/>
      <c r="LJT31" s="292"/>
      <c r="LJU31" s="293"/>
      <c r="LJV31" s="294"/>
      <c r="LKB31" s="292"/>
      <c r="LKC31" s="293"/>
      <c r="LKD31" s="294"/>
      <c r="LKJ31" s="292"/>
      <c r="LKK31" s="293"/>
      <c r="LKL31" s="294"/>
      <c r="LKR31" s="292"/>
      <c r="LKS31" s="293"/>
      <c r="LKT31" s="294"/>
      <c r="LKZ31" s="292"/>
      <c r="LLA31" s="293"/>
      <c r="LLB31" s="294"/>
      <c r="LLH31" s="292"/>
      <c r="LLI31" s="293"/>
      <c r="LLJ31" s="294"/>
      <c r="LLP31" s="292"/>
      <c r="LLQ31" s="293"/>
      <c r="LLR31" s="294"/>
      <c r="LLX31" s="292"/>
      <c r="LLY31" s="293"/>
      <c r="LLZ31" s="294"/>
      <c r="LMF31" s="292"/>
      <c r="LMG31" s="293"/>
      <c r="LMH31" s="294"/>
      <c r="LMN31" s="292"/>
      <c r="LMO31" s="293"/>
      <c r="LMP31" s="294"/>
      <c r="LMV31" s="292"/>
      <c r="LMW31" s="293"/>
      <c r="LMX31" s="294"/>
      <c r="LND31" s="292"/>
      <c r="LNE31" s="293"/>
      <c r="LNF31" s="294"/>
      <c r="LNL31" s="292"/>
      <c r="LNM31" s="293"/>
      <c r="LNN31" s="294"/>
      <c r="LNT31" s="292"/>
      <c r="LNU31" s="293"/>
      <c r="LNV31" s="294"/>
      <c r="LOB31" s="292"/>
      <c r="LOC31" s="293"/>
      <c r="LOD31" s="294"/>
      <c r="LOJ31" s="292"/>
      <c r="LOK31" s="293"/>
      <c r="LOL31" s="294"/>
      <c r="LOR31" s="292"/>
      <c r="LOS31" s="293"/>
      <c r="LOT31" s="294"/>
      <c r="LOZ31" s="292"/>
      <c r="LPA31" s="293"/>
      <c r="LPB31" s="294"/>
      <c r="LPH31" s="292"/>
      <c r="LPI31" s="293"/>
      <c r="LPJ31" s="294"/>
      <c r="LPP31" s="292"/>
      <c r="LPQ31" s="293"/>
      <c r="LPR31" s="294"/>
      <c r="LPX31" s="292"/>
      <c r="LPY31" s="293"/>
      <c r="LPZ31" s="294"/>
      <c r="LQF31" s="292"/>
      <c r="LQG31" s="293"/>
      <c r="LQH31" s="294"/>
      <c r="LQN31" s="292"/>
      <c r="LQO31" s="293"/>
      <c r="LQP31" s="294"/>
      <c r="LQV31" s="292"/>
      <c r="LQW31" s="293"/>
      <c r="LQX31" s="294"/>
      <c r="LRD31" s="292"/>
      <c r="LRE31" s="293"/>
      <c r="LRF31" s="294"/>
      <c r="LRL31" s="292"/>
      <c r="LRM31" s="293"/>
      <c r="LRN31" s="294"/>
      <c r="LRT31" s="292"/>
      <c r="LRU31" s="293"/>
      <c r="LRV31" s="294"/>
      <c r="LSB31" s="292"/>
      <c r="LSC31" s="293"/>
      <c r="LSD31" s="294"/>
      <c r="LSJ31" s="292"/>
      <c r="LSK31" s="293"/>
      <c r="LSL31" s="294"/>
      <c r="LSR31" s="292"/>
      <c r="LSS31" s="293"/>
      <c r="LST31" s="294"/>
      <c r="LSZ31" s="292"/>
      <c r="LTA31" s="293"/>
      <c r="LTB31" s="294"/>
      <c r="LTH31" s="292"/>
      <c r="LTI31" s="293"/>
      <c r="LTJ31" s="294"/>
      <c r="LTP31" s="292"/>
      <c r="LTQ31" s="293"/>
      <c r="LTR31" s="294"/>
      <c r="LTX31" s="292"/>
      <c r="LTY31" s="293"/>
      <c r="LTZ31" s="294"/>
      <c r="LUF31" s="292"/>
      <c r="LUG31" s="293"/>
      <c r="LUH31" s="294"/>
      <c r="LUN31" s="292"/>
      <c r="LUO31" s="293"/>
      <c r="LUP31" s="294"/>
      <c r="LUV31" s="292"/>
      <c r="LUW31" s="293"/>
      <c r="LUX31" s="294"/>
      <c r="LVD31" s="292"/>
      <c r="LVE31" s="293"/>
      <c r="LVF31" s="294"/>
      <c r="LVL31" s="292"/>
      <c r="LVM31" s="293"/>
      <c r="LVN31" s="294"/>
      <c r="LVT31" s="292"/>
      <c r="LVU31" s="293"/>
      <c r="LVV31" s="294"/>
      <c r="LWB31" s="292"/>
      <c r="LWC31" s="293"/>
      <c r="LWD31" s="294"/>
      <c r="LWJ31" s="292"/>
      <c r="LWK31" s="293"/>
      <c r="LWL31" s="294"/>
      <c r="LWR31" s="292"/>
      <c r="LWS31" s="293"/>
      <c r="LWT31" s="294"/>
      <c r="LWZ31" s="292"/>
      <c r="LXA31" s="293"/>
      <c r="LXB31" s="294"/>
      <c r="LXH31" s="292"/>
      <c r="LXI31" s="293"/>
      <c r="LXJ31" s="294"/>
      <c r="LXP31" s="292"/>
      <c r="LXQ31" s="293"/>
      <c r="LXR31" s="294"/>
      <c r="LXX31" s="292"/>
      <c r="LXY31" s="293"/>
      <c r="LXZ31" s="294"/>
      <c r="LYF31" s="292"/>
      <c r="LYG31" s="293"/>
      <c r="LYH31" s="294"/>
      <c r="LYN31" s="292"/>
      <c r="LYO31" s="293"/>
      <c r="LYP31" s="294"/>
      <c r="LYV31" s="292"/>
      <c r="LYW31" s="293"/>
      <c r="LYX31" s="294"/>
      <c r="LZD31" s="292"/>
      <c r="LZE31" s="293"/>
      <c r="LZF31" s="294"/>
      <c r="LZL31" s="292"/>
      <c r="LZM31" s="293"/>
      <c r="LZN31" s="294"/>
      <c r="LZT31" s="292"/>
      <c r="LZU31" s="293"/>
      <c r="LZV31" s="294"/>
      <c r="MAB31" s="292"/>
      <c r="MAC31" s="293"/>
      <c r="MAD31" s="294"/>
      <c r="MAJ31" s="292"/>
      <c r="MAK31" s="293"/>
      <c r="MAL31" s="294"/>
      <c r="MAR31" s="292"/>
      <c r="MAS31" s="293"/>
      <c r="MAT31" s="294"/>
      <c r="MAZ31" s="292"/>
      <c r="MBA31" s="293"/>
      <c r="MBB31" s="294"/>
      <c r="MBH31" s="292"/>
      <c r="MBI31" s="293"/>
      <c r="MBJ31" s="294"/>
      <c r="MBP31" s="292"/>
      <c r="MBQ31" s="293"/>
      <c r="MBR31" s="294"/>
      <c r="MBX31" s="292"/>
      <c r="MBY31" s="293"/>
      <c r="MBZ31" s="294"/>
      <c r="MCF31" s="292"/>
      <c r="MCG31" s="293"/>
      <c r="MCH31" s="294"/>
      <c r="MCN31" s="292"/>
      <c r="MCO31" s="293"/>
      <c r="MCP31" s="294"/>
      <c r="MCV31" s="292"/>
      <c r="MCW31" s="293"/>
      <c r="MCX31" s="294"/>
      <c r="MDD31" s="292"/>
      <c r="MDE31" s="293"/>
      <c r="MDF31" s="294"/>
      <c r="MDL31" s="292"/>
      <c r="MDM31" s="293"/>
      <c r="MDN31" s="294"/>
      <c r="MDT31" s="292"/>
      <c r="MDU31" s="293"/>
      <c r="MDV31" s="294"/>
      <c r="MEB31" s="292"/>
      <c r="MEC31" s="293"/>
      <c r="MED31" s="294"/>
      <c r="MEJ31" s="292"/>
      <c r="MEK31" s="293"/>
      <c r="MEL31" s="294"/>
      <c r="MER31" s="292"/>
      <c r="MES31" s="293"/>
      <c r="MET31" s="294"/>
      <c r="MEZ31" s="292"/>
      <c r="MFA31" s="293"/>
      <c r="MFB31" s="294"/>
      <c r="MFH31" s="292"/>
      <c r="MFI31" s="293"/>
      <c r="MFJ31" s="294"/>
      <c r="MFP31" s="292"/>
      <c r="MFQ31" s="293"/>
      <c r="MFR31" s="294"/>
      <c r="MFX31" s="292"/>
      <c r="MFY31" s="293"/>
      <c r="MFZ31" s="294"/>
      <c r="MGF31" s="292"/>
      <c r="MGG31" s="293"/>
      <c r="MGH31" s="294"/>
      <c r="MGN31" s="292"/>
      <c r="MGO31" s="293"/>
      <c r="MGP31" s="294"/>
      <c r="MGV31" s="292"/>
      <c r="MGW31" s="293"/>
      <c r="MGX31" s="294"/>
      <c r="MHD31" s="292"/>
      <c r="MHE31" s="293"/>
      <c r="MHF31" s="294"/>
      <c r="MHL31" s="292"/>
      <c r="MHM31" s="293"/>
      <c r="MHN31" s="294"/>
      <c r="MHT31" s="292"/>
      <c r="MHU31" s="293"/>
      <c r="MHV31" s="294"/>
      <c r="MIB31" s="292"/>
      <c r="MIC31" s="293"/>
      <c r="MID31" s="294"/>
      <c r="MIJ31" s="292"/>
      <c r="MIK31" s="293"/>
      <c r="MIL31" s="294"/>
      <c r="MIR31" s="292"/>
      <c r="MIS31" s="293"/>
      <c r="MIT31" s="294"/>
      <c r="MIZ31" s="292"/>
      <c r="MJA31" s="293"/>
      <c r="MJB31" s="294"/>
      <c r="MJH31" s="292"/>
      <c r="MJI31" s="293"/>
      <c r="MJJ31" s="294"/>
      <c r="MJP31" s="292"/>
      <c r="MJQ31" s="293"/>
      <c r="MJR31" s="294"/>
      <c r="MJX31" s="292"/>
      <c r="MJY31" s="293"/>
      <c r="MJZ31" s="294"/>
      <c r="MKF31" s="292"/>
      <c r="MKG31" s="293"/>
      <c r="MKH31" s="294"/>
      <c r="MKN31" s="292"/>
      <c r="MKO31" s="293"/>
      <c r="MKP31" s="294"/>
      <c r="MKV31" s="292"/>
      <c r="MKW31" s="293"/>
      <c r="MKX31" s="294"/>
      <c r="MLD31" s="292"/>
      <c r="MLE31" s="293"/>
      <c r="MLF31" s="294"/>
      <c r="MLL31" s="292"/>
      <c r="MLM31" s="293"/>
      <c r="MLN31" s="294"/>
      <c r="MLT31" s="292"/>
      <c r="MLU31" s="293"/>
      <c r="MLV31" s="294"/>
      <c r="MMB31" s="292"/>
      <c r="MMC31" s="293"/>
      <c r="MMD31" s="294"/>
      <c r="MMJ31" s="292"/>
      <c r="MMK31" s="293"/>
      <c r="MML31" s="294"/>
      <c r="MMR31" s="292"/>
      <c r="MMS31" s="293"/>
      <c r="MMT31" s="294"/>
      <c r="MMZ31" s="292"/>
      <c r="MNA31" s="293"/>
      <c r="MNB31" s="294"/>
      <c r="MNH31" s="292"/>
      <c r="MNI31" s="293"/>
      <c r="MNJ31" s="294"/>
      <c r="MNP31" s="292"/>
      <c r="MNQ31" s="293"/>
      <c r="MNR31" s="294"/>
      <c r="MNX31" s="292"/>
      <c r="MNY31" s="293"/>
      <c r="MNZ31" s="294"/>
      <c r="MOF31" s="292"/>
      <c r="MOG31" s="293"/>
      <c r="MOH31" s="294"/>
      <c r="MON31" s="292"/>
      <c r="MOO31" s="293"/>
      <c r="MOP31" s="294"/>
      <c r="MOV31" s="292"/>
      <c r="MOW31" s="293"/>
      <c r="MOX31" s="294"/>
      <c r="MPD31" s="292"/>
      <c r="MPE31" s="293"/>
      <c r="MPF31" s="294"/>
      <c r="MPL31" s="292"/>
      <c r="MPM31" s="293"/>
      <c r="MPN31" s="294"/>
      <c r="MPT31" s="292"/>
      <c r="MPU31" s="293"/>
      <c r="MPV31" s="294"/>
      <c r="MQB31" s="292"/>
      <c r="MQC31" s="293"/>
      <c r="MQD31" s="294"/>
      <c r="MQJ31" s="292"/>
      <c r="MQK31" s="293"/>
      <c r="MQL31" s="294"/>
      <c r="MQR31" s="292"/>
      <c r="MQS31" s="293"/>
      <c r="MQT31" s="294"/>
      <c r="MQZ31" s="292"/>
      <c r="MRA31" s="293"/>
      <c r="MRB31" s="294"/>
      <c r="MRH31" s="292"/>
      <c r="MRI31" s="293"/>
      <c r="MRJ31" s="294"/>
      <c r="MRP31" s="292"/>
      <c r="MRQ31" s="293"/>
      <c r="MRR31" s="294"/>
      <c r="MRX31" s="292"/>
      <c r="MRY31" s="293"/>
      <c r="MRZ31" s="294"/>
      <c r="MSF31" s="292"/>
      <c r="MSG31" s="293"/>
      <c r="MSH31" s="294"/>
      <c r="MSN31" s="292"/>
      <c r="MSO31" s="293"/>
      <c r="MSP31" s="294"/>
      <c r="MSV31" s="292"/>
      <c r="MSW31" s="293"/>
      <c r="MSX31" s="294"/>
      <c r="MTD31" s="292"/>
      <c r="MTE31" s="293"/>
      <c r="MTF31" s="294"/>
      <c r="MTL31" s="292"/>
      <c r="MTM31" s="293"/>
      <c r="MTN31" s="294"/>
      <c r="MTT31" s="292"/>
      <c r="MTU31" s="293"/>
      <c r="MTV31" s="294"/>
      <c r="MUB31" s="292"/>
      <c r="MUC31" s="293"/>
      <c r="MUD31" s="294"/>
      <c r="MUJ31" s="292"/>
      <c r="MUK31" s="293"/>
      <c r="MUL31" s="294"/>
      <c r="MUR31" s="292"/>
      <c r="MUS31" s="293"/>
      <c r="MUT31" s="294"/>
      <c r="MUZ31" s="292"/>
      <c r="MVA31" s="293"/>
      <c r="MVB31" s="294"/>
      <c r="MVH31" s="292"/>
      <c r="MVI31" s="293"/>
      <c r="MVJ31" s="294"/>
      <c r="MVP31" s="292"/>
      <c r="MVQ31" s="293"/>
      <c r="MVR31" s="294"/>
      <c r="MVX31" s="292"/>
      <c r="MVY31" s="293"/>
      <c r="MVZ31" s="294"/>
      <c r="MWF31" s="292"/>
      <c r="MWG31" s="293"/>
      <c r="MWH31" s="294"/>
      <c r="MWN31" s="292"/>
      <c r="MWO31" s="293"/>
      <c r="MWP31" s="294"/>
      <c r="MWV31" s="292"/>
      <c r="MWW31" s="293"/>
      <c r="MWX31" s="294"/>
      <c r="MXD31" s="292"/>
      <c r="MXE31" s="293"/>
      <c r="MXF31" s="294"/>
      <c r="MXL31" s="292"/>
      <c r="MXM31" s="293"/>
      <c r="MXN31" s="294"/>
      <c r="MXT31" s="292"/>
      <c r="MXU31" s="293"/>
      <c r="MXV31" s="294"/>
      <c r="MYB31" s="292"/>
      <c r="MYC31" s="293"/>
      <c r="MYD31" s="294"/>
      <c r="MYJ31" s="292"/>
      <c r="MYK31" s="293"/>
      <c r="MYL31" s="294"/>
      <c r="MYR31" s="292"/>
      <c r="MYS31" s="293"/>
      <c r="MYT31" s="294"/>
      <c r="MYZ31" s="292"/>
      <c r="MZA31" s="293"/>
      <c r="MZB31" s="294"/>
      <c r="MZH31" s="292"/>
      <c r="MZI31" s="293"/>
      <c r="MZJ31" s="294"/>
      <c r="MZP31" s="292"/>
      <c r="MZQ31" s="293"/>
      <c r="MZR31" s="294"/>
      <c r="MZX31" s="292"/>
      <c r="MZY31" s="293"/>
      <c r="MZZ31" s="294"/>
      <c r="NAF31" s="292"/>
      <c r="NAG31" s="293"/>
      <c r="NAH31" s="294"/>
      <c r="NAN31" s="292"/>
      <c r="NAO31" s="293"/>
      <c r="NAP31" s="294"/>
      <c r="NAV31" s="292"/>
      <c r="NAW31" s="293"/>
      <c r="NAX31" s="294"/>
      <c r="NBD31" s="292"/>
      <c r="NBE31" s="293"/>
      <c r="NBF31" s="294"/>
      <c r="NBL31" s="292"/>
      <c r="NBM31" s="293"/>
      <c r="NBN31" s="294"/>
      <c r="NBT31" s="292"/>
      <c r="NBU31" s="293"/>
      <c r="NBV31" s="294"/>
      <c r="NCB31" s="292"/>
      <c r="NCC31" s="293"/>
      <c r="NCD31" s="294"/>
      <c r="NCJ31" s="292"/>
      <c r="NCK31" s="293"/>
      <c r="NCL31" s="294"/>
      <c r="NCR31" s="292"/>
      <c r="NCS31" s="293"/>
      <c r="NCT31" s="294"/>
      <c r="NCZ31" s="292"/>
      <c r="NDA31" s="293"/>
      <c r="NDB31" s="294"/>
      <c r="NDH31" s="292"/>
      <c r="NDI31" s="293"/>
      <c r="NDJ31" s="294"/>
      <c r="NDP31" s="292"/>
      <c r="NDQ31" s="293"/>
      <c r="NDR31" s="294"/>
      <c r="NDX31" s="292"/>
      <c r="NDY31" s="293"/>
      <c r="NDZ31" s="294"/>
      <c r="NEF31" s="292"/>
      <c r="NEG31" s="293"/>
      <c r="NEH31" s="294"/>
      <c r="NEN31" s="292"/>
      <c r="NEO31" s="293"/>
      <c r="NEP31" s="294"/>
      <c r="NEV31" s="292"/>
      <c r="NEW31" s="293"/>
      <c r="NEX31" s="294"/>
      <c r="NFD31" s="292"/>
      <c r="NFE31" s="293"/>
      <c r="NFF31" s="294"/>
      <c r="NFL31" s="292"/>
      <c r="NFM31" s="293"/>
      <c r="NFN31" s="294"/>
      <c r="NFT31" s="292"/>
      <c r="NFU31" s="293"/>
      <c r="NFV31" s="294"/>
      <c r="NGB31" s="292"/>
      <c r="NGC31" s="293"/>
      <c r="NGD31" s="294"/>
      <c r="NGJ31" s="292"/>
      <c r="NGK31" s="293"/>
      <c r="NGL31" s="294"/>
      <c r="NGR31" s="292"/>
      <c r="NGS31" s="293"/>
      <c r="NGT31" s="294"/>
      <c r="NGZ31" s="292"/>
      <c r="NHA31" s="293"/>
      <c r="NHB31" s="294"/>
      <c r="NHH31" s="292"/>
      <c r="NHI31" s="293"/>
      <c r="NHJ31" s="294"/>
      <c r="NHP31" s="292"/>
      <c r="NHQ31" s="293"/>
      <c r="NHR31" s="294"/>
      <c r="NHX31" s="292"/>
      <c r="NHY31" s="293"/>
      <c r="NHZ31" s="294"/>
      <c r="NIF31" s="292"/>
      <c r="NIG31" s="293"/>
      <c r="NIH31" s="294"/>
      <c r="NIN31" s="292"/>
      <c r="NIO31" s="293"/>
      <c r="NIP31" s="294"/>
      <c r="NIV31" s="292"/>
      <c r="NIW31" s="293"/>
      <c r="NIX31" s="294"/>
      <c r="NJD31" s="292"/>
      <c r="NJE31" s="293"/>
      <c r="NJF31" s="294"/>
      <c r="NJL31" s="292"/>
      <c r="NJM31" s="293"/>
      <c r="NJN31" s="294"/>
      <c r="NJT31" s="292"/>
      <c r="NJU31" s="293"/>
      <c r="NJV31" s="294"/>
      <c r="NKB31" s="292"/>
      <c r="NKC31" s="293"/>
      <c r="NKD31" s="294"/>
      <c r="NKJ31" s="292"/>
      <c r="NKK31" s="293"/>
      <c r="NKL31" s="294"/>
      <c r="NKR31" s="292"/>
      <c r="NKS31" s="293"/>
      <c r="NKT31" s="294"/>
      <c r="NKZ31" s="292"/>
      <c r="NLA31" s="293"/>
      <c r="NLB31" s="294"/>
      <c r="NLH31" s="292"/>
      <c r="NLI31" s="293"/>
      <c r="NLJ31" s="294"/>
      <c r="NLP31" s="292"/>
      <c r="NLQ31" s="293"/>
      <c r="NLR31" s="294"/>
      <c r="NLX31" s="292"/>
      <c r="NLY31" s="293"/>
      <c r="NLZ31" s="294"/>
      <c r="NMF31" s="292"/>
      <c r="NMG31" s="293"/>
      <c r="NMH31" s="294"/>
      <c r="NMN31" s="292"/>
      <c r="NMO31" s="293"/>
      <c r="NMP31" s="294"/>
      <c r="NMV31" s="292"/>
      <c r="NMW31" s="293"/>
      <c r="NMX31" s="294"/>
      <c r="NND31" s="292"/>
      <c r="NNE31" s="293"/>
      <c r="NNF31" s="294"/>
      <c r="NNL31" s="292"/>
      <c r="NNM31" s="293"/>
      <c r="NNN31" s="294"/>
      <c r="NNT31" s="292"/>
      <c r="NNU31" s="293"/>
      <c r="NNV31" s="294"/>
      <c r="NOB31" s="292"/>
      <c r="NOC31" s="293"/>
      <c r="NOD31" s="294"/>
      <c r="NOJ31" s="292"/>
      <c r="NOK31" s="293"/>
      <c r="NOL31" s="294"/>
      <c r="NOR31" s="292"/>
      <c r="NOS31" s="293"/>
      <c r="NOT31" s="294"/>
      <c r="NOZ31" s="292"/>
      <c r="NPA31" s="293"/>
      <c r="NPB31" s="294"/>
      <c r="NPH31" s="292"/>
      <c r="NPI31" s="293"/>
      <c r="NPJ31" s="294"/>
      <c r="NPP31" s="292"/>
      <c r="NPQ31" s="293"/>
      <c r="NPR31" s="294"/>
      <c r="NPX31" s="292"/>
      <c r="NPY31" s="293"/>
      <c r="NPZ31" s="294"/>
      <c r="NQF31" s="292"/>
      <c r="NQG31" s="293"/>
      <c r="NQH31" s="294"/>
      <c r="NQN31" s="292"/>
      <c r="NQO31" s="293"/>
      <c r="NQP31" s="294"/>
      <c r="NQV31" s="292"/>
      <c r="NQW31" s="293"/>
      <c r="NQX31" s="294"/>
      <c r="NRD31" s="292"/>
      <c r="NRE31" s="293"/>
      <c r="NRF31" s="294"/>
      <c r="NRL31" s="292"/>
      <c r="NRM31" s="293"/>
      <c r="NRN31" s="294"/>
      <c r="NRT31" s="292"/>
      <c r="NRU31" s="293"/>
      <c r="NRV31" s="294"/>
      <c r="NSB31" s="292"/>
      <c r="NSC31" s="293"/>
      <c r="NSD31" s="294"/>
      <c r="NSJ31" s="292"/>
      <c r="NSK31" s="293"/>
      <c r="NSL31" s="294"/>
      <c r="NSR31" s="292"/>
      <c r="NSS31" s="293"/>
      <c r="NST31" s="294"/>
      <c r="NSZ31" s="292"/>
      <c r="NTA31" s="293"/>
      <c r="NTB31" s="294"/>
      <c r="NTH31" s="292"/>
      <c r="NTI31" s="293"/>
      <c r="NTJ31" s="294"/>
      <c r="NTP31" s="292"/>
      <c r="NTQ31" s="293"/>
      <c r="NTR31" s="294"/>
      <c r="NTX31" s="292"/>
      <c r="NTY31" s="293"/>
      <c r="NTZ31" s="294"/>
      <c r="NUF31" s="292"/>
      <c r="NUG31" s="293"/>
      <c r="NUH31" s="294"/>
      <c r="NUN31" s="292"/>
      <c r="NUO31" s="293"/>
      <c r="NUP31" s="294"/>
      <c r="NUV31" s="292"/>
      <c r="NUW31" s="293"/>
      <c r="NUX31" s="294"/>
      <c r="NVD31" s="292"/>
      <c r="NVE31" s="293"/>
      <c r="NVF31" s="294"/>
      <c r="NVL31" s="292"/>
      <c r="NVM31" s="293"/>
      <c r="NVN31" s="294"/>
      <c r="NVT31" s="292"/>
      <c r="NVU31" s="293"/>
      <c r="NVV31" s="294"/>
      <c r="NWB31" s="292"/>
      <c r="NWC31" s="293"/>
      <c r="NWD31" s="294"/>
      <c r="NWJ31" s="292"/>
      <c r="NWK31" s="293"/>
      <c r="NWL31" s="294"/>
      <c r="NWR31" s="292"/>
      <c r="NWS31" s="293"/>
      <c r="NWT31" s="294"/>
      <c r="NWZ31" s="292"/>
      <c r="NXA31" s="293"/>
      <c r="NXB31" s="294"/>
      <c r="NXH31" s="292"/>
      <c r="NXI31" s="293"/>
      <c r="NXJ31" s="294"/>
      <c r="NXP31" s="292"/>
      <c r="NXQ31" s="293"/>
      <c r="NXR31" s="294"/>
      <c r="NXX31" s="292"/>
      <c r="NXY31" s="293"/>
      <c r="NXZ31" s="294"/>
      <c r="NYF31" s="292"/>
      <c r="NYG31" s="293"/>
      <c r="NYH31" s="294"/>
      <c r="NYN31" s="292"/>
      <c r="NYO31" s="293"/>
      <c r="NYP31" s="294"/>
      <c r="NYV31" s="292"/>
      <c r="NYW31" s="293"/>
      <c r="NYX31" s="294"/>
      <c r="NZD31" s="292"/>
      <c r="NZE31" s="293"/>
      <c r="NZF31" s="294"/>
      <c r="NZL31" s="292"/>
      <c r="NZM31" s="293"/>
      <c r="NZN31" s="294"/>
      <c r="NZT31" s="292"/>
      <c r="NZU31" s="293"/>
      <c r="NZV31" s="294"/>
      <c r="OAB31" s="292"/>
      <c r="OAC31" s="293"/>
      <c r="OAD31" s="294"/>
      <c r="OAJ31" s="292"/>
      <c r="OAK31" s="293"/>
      <c r="OAL31" s="294"/>
      <c r="OAR31" s="292"/>
      <c r="OAS31" s="293"/>
      <c r="OAT31" s="294"/>
      <c r="OAZ31" s="292"/>
      <c r="OBA31" s="293"/>
      <c r="OBB31" s="294"/>
      <c r="OBH31" s="292"/>
      <c r="OBI31" s="293"/>
      <c r="OBJ31" s="294"/>
      <c r="OBP31" s="292"/>
      <c r="OBQ31" s="293"/>
      <c r="OBR31" s="294"/>
      <c r="OBX31" s="292"/>
      <c r="OBY31" s="293"/>
      <c r="OBZ31" s="294"/>
      <c r="OCF31" s="292"/>
      <c r="OCG31" s="293"/>
      <c r="OCH31" s="294"/>
      <c r="OCN31" s="292"/>
      <c r="OCO31" s="293"/>
      <c r="OCP31" s="294"/>
      <c r="OCV31" s="292"/>
      <c r="OCW31" s="293"/>
      <c r="OCX31" s="294"/>
      <c r="ODD31" s="292"/>
      <c r="ODE31" s="293"/>
      <c r="ODF31" s="294"/>
      <c r="ODL31" s="292"/>
      <c r="ODM31" s="293"/>
      <c r="ODN31" s="294"/>
      <c r="ODT31" s="292"/>
      <c r="ODU31" s="293"/>
      <c r="ODV31" s="294"/>
      <c r="OEB31" s="292"/>
      <c r="OEC31" s="293"/>
      <c r="OED31" s="294"/>
      <c r="OEJ31" s="292"/>
      <c r="OEK31" s="293"/>
      <c r="OEL31" s="294"/>
      <c r="OER31" s="292"/>
      <c r="OES31" s="293"/>
      <c r="OET31" s="294"/>
      <c r="OEZ31" s="292"/>
      <c r="OFA31" s="293"/>
      <c r="OFB31" s="294"/>
      <c r="OFH31" s="292"/>
      <c r="OFI31" s="293"/>
      <c r="OFJ31" s="294"/>
      <c r="OFP31" s="292"/>
      <c r="OFQ31" s="293"/>
      <c r="OFR31" s="294"/>
      <c r="OFX31" s="292"/>
      <c r="OFY31" s="293"/>
      <c r="OFZ31" s="294"/>
      <c r="OGF31" s="292"/>
      <c r="OGG31" s="293"/>
      <c r="OGH31" s="294"/>
      <c r="OGN31" s="292"/>
      <c r="OGO31" s="293"/>
      <c r="OGP31" s="294"/>
      <c r="OGV31" s="292"/>
      <c r="OGW31" s="293"/>
      <c r="OGX31" s="294"/>
      <c r="OHD31" s="292"/>
      <c r="OHE31" s="293"/>
      <c r="OHF31" s="294"/>
      <c r="OHL31" s="292"/>
      <c r="OHM31" s="293"/>
      <c r="OHN31" s="294"/>
      <c r="OHT31" s="292"/>
      <c r="OHU31" s="293"/>
      <c r="OHV31" s="294"/>
      <c r="OIB31" s="292"/>
      <c r="OIC31" s="293"/>
      <c r="OID31" s="294"/>
      <c r="OIJ31" s="292"/>
      <c r="OIK31" s="293"/>
      <c r="OIL31" s="294"/>
      <c r="OIR31" s="292"/>
      <c r="OIS31" s="293"/>
      <c r="OIT31" s="294"/>
      <c r="OIZ31" s="292"/>
      <c r="OJA31" s="293"/>
      <c r="OJB31" s="294"/>
      <c r="OJH31" s="292"/>
      <c r="OJI31" s="293"/>
      <c r="OJJ31" s="294"/>
      <c r="OJP31" s="292"/>
      <c r="OJQ31" s="293"/>
      <c r="OJR31" s="294"/>
      <c r="OJX31" s="292"/>
      <c r="OJY31" s="293"/>
      <c r="OJZ31" s="294"/>
      <c r="OKF31" s="292"/>
      <c r="OKG31" s="293"/>
      <c r="OKH31" s="294"/>
      <c r="OKN31" s="292"/>
      <c r="OKO31" s="293"/>
      <c r="OKP31" s="294"/>
      <c r="OKV31" s="292"/>
      <c r="OKW31" s="293"/>
      <c r="OKX31" s="294"/>
      <c r="OLD31" s="292"/>
      <c r="OLE31" s="293"/>
      <c r="OLF31" s="294"/>
      <c r="OLL31" s="292"/>
      <c r="OLM31" s="293"/>
      <c r="OLN31" s="294"/>
      <c r="OLT31" s="292"/>
      <c r="OLU31" s="293"/>
      <c r="OLV31" s="294"/>
      <c r="OMB31" s="292"/>
      <c r="OMC31" s="293"/>
      <c r="OMD31" s="294"/>
      <c r="OMJ31" s="292"/>
      <c r="OMK31" s="293"/>
      <c r="OML31" s="294"/>
      <c r="OMR31" s="292"/>
      <c r="OMS31" s="293"/>
      <c r="OMT31" s="294"/>
      <c r="OMZ31" s="292"/>
      <c r="ONA31" s="293"/>
      <c r="ONB31" s="294"/>
      <c r="ONH31" s="292"/>
      <c r="ONI31" s="293"/>
      <c r="ONJ31" s="294"/>
      <c r="ONP31" s="292"/>
      <c r="ONQ31" s="293"/>
      <c r="ONR31" s="294"/>
      <c r="ONX31" s="292"/>
      <c r="ONY31" s="293"/>
      <c r="ONZ31" s="294"/>
      <c r="OOF31" s="292"/>
      <c r="OOG31" s="293"/>
      <c r="OOH31" s="294"/>
      <c r="OON31" s="292"/>
      <c r="OOO31" s="293"/>
      <c r="OOP31" s="294"/>
      <c r="OOV31" s="292"/>
      <c r="OOW31" s="293"/>
      <c r="OOX31" s="294"/>
      <c r="OPD31" s="292"/>
      <c r="OPE31" s="293"/>
      <c r="OPF31" s="294"/>
      <c r="OPL31" s="292"/>
      <c r="OPM31" s="293"/>
      <c r="OPN31" s="294"/>
      <c r="OPT31" s="292"/>
      <c r="OPU31" s="293"/>
      <c r="OPV31" s="294"/>
      <c r="OQB31" s="292"/>
      <c r="OQC31" s="293"/>
      <c r="OQD31" s="294"/>
      <c r="OQJ31" s="292"/>
      <c r="OQK31" s="293"/>
      <c r="OQL31" s="294"/>
      <c r="OQR31" s="292"/>
      <c r="OQS31" s="293"/>
      <c r="OQT31" s="294"/>
      <c r="OQZ31" s="292"/>
      <c r="ORA31" s="293"/>
      <c r="ORB31" s="294"/>
      <c r="ORH31" s="292"/>
      <c r="ORI31" s="293"/>
      <c r="ORJ31" s="294"/>
      <c r="ORP31" s="292"/>
      <c r="ORQ31" s="293"/>
      <c r="ORR31" s="294"/>
      <c r="ORX31" s="292"/>
      <c r="ORY31" s="293"/>
      <c r="ORZ31" s="294"/>
      <c r="OSF31" s="292"/>
      <c r="OSG31" s="293"/>
      <c r="OSH31" s="294"/>
      <c r="OSN31" s="292"/>
      <c r="OSO31" s="293"/>
      <c r="OSP31" s="294"/>
      <c r="OSV31" s="292"/>
      <c r="OSW31" s="293"/>
      <c r="OSX31" s="294"/>
      <c r="OTD31" s="292"/>
      <c r="OTE31" s="293"/>
      <c r="OTF31" s="294"/>
      <c r="OTL31" s="292"/>
      <c r="OTM31" s="293"/>
      <c r="OTN31" s="294"/>
      <c r="OTT31" s="292"/>
      <c r="OTU31" s="293"/>
      <c r="OTV31" s="294"/>
      <c r="OUB31" s="292"/>
      <c r="OUC31" s="293"/>
      <c r="OUD31" s="294"/>
      <c r="OUJ31" s="292"/>
      <c r="OUK31" s="293"/>
      <c r="OUL31" s="294"/>
      <c r="OUR31" s="292"/>
      <c r="OUS31" s="293"/>
      <c r="OUT31" s="294"/>
      <c r="OUZ31" s="292"/>
      <c r="OVA31" s="293"/>
      <c r="OVB31" s="294"/>
      <c r="OVH31" s="292"/>
      <c r="OVI31" s="293"/>
      <c r="OVJ31" s="294"/>
      <c r="OVP31" s="292"/>
      <c r="OVQ31" s="293"/>
      <c r="OVR31" s="294"/>
      <c r="OVX31" s="292"/>
      <c r="OVY31" s="293"/>
      <c r="OVZ31" s="294"/>
      <c r="OWF31" s="292"/>
      <c r="OWG31" s="293"/>
      <c r="OWH31" s="294"/>
      <c r="OWN31" s="292"/>
      <c r="OWO31" s="293"/>
      <c r="OWP31" s="294"/>
      <c r="OWV31" s="292"/>
      <c r="OWW31" s="293"/>
      <c r="OWX31" s="294"/>
      <c r="OXD31" s="292"/>
      <c r="OXE31" s="293"/>
      <c r="OXF31" s="294"/>
      <c r="OXL31" s="292"/>
      <c r="OXM31" s="293"/>
      <c r="OXN31" s="294"/>
      <c r="OXT31" s="292"/>
      <c r="OXU31" s="293"/>
      <c r="OXV31" s="294"/>
      <c r="OYB31" s="292"/>
      <c r="OYC31" s="293"/>
      <c r="OYD31" s="294"/>
      <c r="OYJ31" s="292"/>
      <c r="OYK31" s="293"/>
      <c r="OYL31" s="294"/>
      <c r="OYR31" s="292"/>
      <c r="OYS31" s="293"/>
      <c r="OYT31" s="294"/>
      <c r="OYZ31" s="292"/>
      <c r="OZA31" s="293"/>
      <c r="OZB31" s="294"/>
      <c r="OZH31" s="292"/>
      <c r="OZI31" s="293"/>
      <c r="OZJ31" s="294"/>
      <c r="OZP31" s="292"/>
      <c r="OZQ31" s="293"/>
      <c r="OZR31" s="294"/>
      <c r="OZX31" s="292"/>
      <c r="OZY31" s="293"/>
      <c r="OZZ31" s="294"/>
      <c r="PAF31" s="292"/>
      <c r="PAG31" s="293"/>
      <c r="PAH31" s="294"/>
      <c r="PAN31" s="292"/>
      <c r="PAO31" s="293"/>
      <c r="PAP31" s="294"/>
      <c r="PAV31" s="292"/>
      <c r="PAW31" s="293"/>
      <c r="PAX31" s="294"/>
      <c r="PBD31" s="292"/>
      <c r="PBE31" s="293"/>
      <c r="PBF31" s="294"/>
      <c r="PBL31" s="292"/>
      <c r="PBM31" s="293"/>
      <c r="PBN31" s="294"/>
      <c r="PBT31" s="292"/>
      <c r="PBU31" s="293"/>
      <c r="PBV31" s="294"/>
      <c r="PCB31" s="292"/>
      <c r="PCC31" s="293"/>
      <c r="PCD31" s="294"/>
      <c r="PCJ31" s="292"/>
      <c r="PCK31" s="293"/>
      <c r="PCL31" s="294"/>
      <c r="PCR31" s="292"/>
      <c r="PCS31" s="293"/>
      <c r="PCT31" s="294"/>
      <c r="PCZ31" s="292"/>
      <c r="PDA31" s="293"/>
      <c r="PDB31" s="294"/>
      <c r="PDH31" s="292"/>
      <c r="PDI31" s="293"/>
      <c r="PDJ31" s="294"/>
      <c r="PDP31" s="292"/>
      <c r="PDQ31" s="293"/>
      <c r="PDR31" s="294"/>
      <c r="PDX31" s="292"/>
      <c r="PDY31" s="293"/>
      <c r="PDZ31" s="294"/>
      <c r="PEF31" s="292"/>
      <c r="PEG31" s="293"/>
      <c r="PEH31" s="294"/>
      <c r="PEN31" s="292"/>
      <c r="PEO31" s="293"/>
      <c r="PEP31" s="294"/>
      <c r="PEV31" s="292"/>
      <c r="PEW31" s="293"/>
      <c r="PEX31" s="294"/>
      <c r="PFD31" s="292"/>
      <c r="PFE31" s="293"/>
      <c r="PFF31" s="294"/>
      <c r="PFL31" s="292"/>
      <c r="PFM31" s="293"/>
      <c r="PFN31" s="294"/>
      <c r="PFT31" s="292"/>
      <c r="PFU31" s="293"/>
      <c r="PFV31" s="294"/>
      <c r="PGB31" s="292"/>
      <c r="PGC31" s="293"/>
      <c r="PGD31" s="294"/>
      <c r="PGJ31" s="292"/>
      <c r="PGK31" s="293"/>
      <c r="PGL31" s="294"/>
      <c r="PGR31" s="292"/>
      <c r="PGS31" s="293"/>
      <c r="PGT31" s="294"/>
      <c r="PGZ31" s="292"/>
      <c r="PHA31" s="293"/>
      <c r="PHB31" s="294"/>
      <c r="PHH31" s="292"/>
      <c r="PHI31" s="293"/>
      <c r="PHJ31" s="294"/>
      <c r="PHP31" s="292"/>
      <c r="PHQ31" s="293"/>
      <c r="PHR31" s="294"/>
      <c r="PHX31" s="292"/>
      <c r="PHY31" s="293"/>
      <c r="PHZ31" s="294"/>
      <c r="PIF31" s="292"/>
      <c r="PIG31" s="293"/>
      <c r="PIH31" s="294"/>
      <c r="PIN31" s="292"/>
      <c r="PIO31" s="293"/>
      <c r="PIP31" s="294"/>
      <c r="PIV31" s="292"/>
      <c r="PIW31" s="293"/>
      <c r="PIX31" s="294"/>
      <c r="PJD31" s="292"/>
      <c r="PJE31" s="293"/>
      <c r="PJF31" s="294"/>
      <c r="PJL31" s="292"/>
      <c r="PJM31" s="293"/>
      <c r="PJN31" s="294"/>
      <c r="PJT31" s="292"/>
      <c r="PJU31" s="293"/>
      <c r="PJV31" s="294"/>
      <c r="PKB31" s="292"/>
      <c r="PKC31" s="293"/>
      <c r="PKD31" s="294"/>
      <c r="PKJ31" s="292"/>
      <c r="PKK31" s="293"/>
      <c r="PKL31" s="294"/>
      <c r="PKR31" s="292"/>
      <c r="PKS31" s="293"/>
      <c r="PKT31" s="294"/>
      <c r="PKZ31" s="292"/>
      <c r="PLA31" s="293"/>
      <c r="PLB31" s="294"/>
      <c r="PLH31" s="292"/>
      <c r="PLI31" s="293"/>
      <c r="PLJ31" s="294"/>
      <c r="PLP31" s="292"/>
      <c r="PLQ31" s="293"/>
      <c r="PLR31" s="294"/>
      <c r="PLX31" s="292"/>
      <c r="PLY31" s="293"/>
      <c r="PLZ31" s="294"/>
      <c r="PMF31" s="292"/>
      <c r="PMG31" s="293"/>
      <c r="PMH31" s="294"/>
      <c r="PMN31" s="292"/>
      <c r="PMO31" s="293"/>
      <c r="PMP31" s="294"/>
      <c r="PMV31" s="292"/>
      <c r="PMW31" s="293"/>
      <c r="PMX31" s="294"/>
      <c r="PND31" s="292"/>
      <c r="PNE31" s="293"/>
      <c r="PNF31" s="294"/>
      <c r="PNL31" s="292"/>
      <c r="PNM31" s="293"/>
      <c r="PNN31" s="294"/>
      <c r="PNT31" s="292"/>
      <c r="PNU31" s="293"/>
      <c r="PNV31" s="294"/>
      <c r="POB31" s="292"/>
      <c r="POC31" s="293"/>
      <c r="POD31" s="294"/>
      <c r="POJ31" s="292"/>
      <c r="POK31" s="293"/>
      <c r="POL31" s="294"/>
      <c r="POR31" s="292"/>
      <c r="POS31" s="293"/>
      <c r="POT31" s="294"/>
      <c r="POZ31" s="292"/>
      <c r="PPA31" s="293"/>
      <c r="PPB31" s="294"/>
      <c r="PPH31" s="292"/>
      <c r="PPI31" s="293"/>
      <c r="PPJ31" s="294"/>
      <c r="PPP31" s="292"/>
      <c r="PPQ31" s="293"/>
      <c r="PPR31" s="294"/>
      <c r="PPX31" s="292"/>
      <c r="PPY31" s="293"/>
      <c r="PPZ31" s="294"/>
      <c r="PQF31" s="292"/>
      <c r="PQG31" s="293"/>
      <c r="PQH31" s="294"/>
      <c r="PQN31" s="292"/>
      <c r="PQO31" s="293"/>
      <c r="PQP31" s="294"/>
      <c r="PQV31" s="292"/>
      <c r="PQW31" s="293"/>
      <c r="PQX31" s="294"/>
      <c r="PRD31" s="292"/>
      <c r="PRE31" s="293"/>
      <c r="PRF31" s="294"/>
      <c r="PRL31" s="292"/>
      <c r="PRM31" s="293"/>
      <c r="PRN31" s="294"/>
      <c r="PRT31" s="292"/>
      <c r="PRU31" s="293"/>
      <c r="PRV31" s="294"/>
      <c r="PSB31" s="292"/>
      <c r="PSC31" s="293"/>
      <c r="PSD31" s="294"/>
      <c r="PSJ31" s="292"/>
      <c r="PSK31" s="293"/>
      <c r="PSL31" s="294"/>
      <c r="PSR31" s="292"/>
      <c r="PSS31" s="293"/>
      <c r="PST31" s="294"/>
      <c r="PSZ31" s="292"/>
      <c r="PTA31" s="293"/>
      <c r="PTB31" s="294"/>
      <c r="PTH31" s="292"/>
      <c r="PTI31" s="293"/>
      <c r="PTJ31" s="294"/>
      <c r="PTP31" s="292"/>
      <c r="PTQ31" s="293"/>
      <c r="PTR31" s="294"/>
      <c r="PTX31" s="292"/>
      <c r="PTY31" s="293"/>
      <c r="PTZ31" s="294"/>
      <c r="PUF31" s="292"/>
      <c r="PUG31" s="293"/>
      <c r="PUH31" s="294"/>
      <c r="PUN31" s="292"/>
      <c r="PUO31" s="293"/>
      <c r="PUP31" s="294"/>
      <c r="PUV31" s="292"/>
      <c r="PUW31" s="293"/>
      <c r="PUX31" s="294"/>
      <c r="PVD31" s="292"/>
      <c r="PVE31" s="293"/>
      <c r="PVF31" s="294"/>
      <c r="PVL31" s="292"/>
      <c r="PVM31" s="293"/>
      <c r="PVN31" s="294"/>
      <c r="PVT31" s="292"/>
      <c r="PVU31" s="293"/>
      <c r="PVV31" s="294"/>
      <c r="PWB31" s="292"/>
      <c r="PWC31" s="293"/>
      <c r="PWD31" s="294"/>
      <c r="PWJ31" s="292"/>
      <c r="PWK31" s="293"/>
      <c r="PWL31" s="294"/>
      <c r="PWR31" s="292"/>
      <c r="PWS31" s="293"/>
      <c r="PWT31" s="294"/>
      <c r="PWZ31" s="292"/>
      <c r="PXA31" s="293"/>
      <c r="PXB31" s="294"/>
      <c r="PXH31" s="292"/>
      <c r="PXI31" s="293"/>
      <c r="PXJ31" s="294"/>
      <c r="PXP31" s="292"/>
      <c r="PXQ31" s="293"/>
      <c r="PXR31" s="294"/>
      <c r="PXX31" s="292"/>
      <c r="PXY31" s="293"/>
      <c r="PXZ31" s="294"/>
      <c r="PYF31" s="292"/>
      <c r="PYG31" s="293"/>
      <c r="PYH31" s="294"/>
      <c r="PYN31" s="292"/>
      <c r="PYO31" s="293"/>
      <c r="PYP31" s="294"/>
      <c r="PYV31" s="292"/>
      <c r="PYW31" s="293"/>
      <c r="PYX31" s="294"/>
      <c r="PZD31" s="292"/>
      <c r="PZE31" s="293"/>
      <c r="PZF31" s="294"/>
      <c r="PZL31" s="292"/>
      <c r="PZM31" s="293"/>
      <c r="PZN31" s="294"/>
      <c r="PZT31" s="292"/>
      <c r="PZU31" s="293"/>
      <c r="PZV31" s="294"/>
      <c r="QAB31" s="292"/>
      <c r="QAC31" s="293"/>
      <c r="QAD31" s="294"/>
      <c r="QAJ31" s="292"/>
      <c r="QAK31" s="293"/>
      <c r="QAL31" s="294"/>
      <c r="QAR31" s="292"/>
      <c r="QAS31" s="293"/>
      <c r="QAT31" s="294"/>
      <c r="QAZ31" s="292"/>
      <c r="QBA31" s="293"/>
      <c r="QBB31" s="294"/>
      <c r="QBH31" s="292"/>
      <c r="QBI31" s="293"/>
      <c r="QBJ31" s="294"/>
      <c r="QBP31" s="292"/>
      <c r="QBQ31" s="293"/>
      <c r="QBR31" s="294"/>
      <c r="QBX31" s="292"/>
      <c r="QBY31" s="293"/>
      <c r="QBZ31" s="294"/>
      <c r="QCF31" s="292"/>
      <c r="QCG31" s="293"/>
      <c r="QCH31" s="294"/>
      <c r="QCN31" s="292"/>
      <c r="QCO31" s="293"/>
      <c r="QCP31" s="294"/>
      <c r="QCV31" s="292"/>
      <c r="QCW31" s="293"/>
      <c r="QCX31" s="294"/>
      <c r="QDD31" s="292"/>
      <c r="QDE31" s="293"/>
      <c r="QDF31" s="294"/>
      <c r="QDL31" s="292"/>
      <c r="QDM31" s="293"/>
      <c r="QDN31" s="294"/>
      <c r="QDT31" s="292"/>
      <c r="QDU31" s="293"/>
      <c r="QDV31" s="294"/>
      <c r="QEB31" s="292"/>
      <c r="QEC31" s="293"/>
      <c r="QED31" s="294"/>
      <c r="QEJ31" s="292"/>
      <c r="QEK31" s="293"/>
      <c r="QEL31" s="294"/>
      <c r="QER31" s="292"/>
      <c r="QES31" s="293"/>
      <c r="QET31" s="294"/>
      <c r="QEZ31" s="292"/>
      <c r="QFA31" s="293"/>
      <c r="QFB31" s="294"/>
      <c r="QFH31" s="292"/>
      <c r="QFI31" s="293"/>
      <c r="QFJ31" s="294"/>
      <c r="QFP31" s="292"/>
      <c r="QFQ31" s="293"/>
      <c r="QFR31" s="294"/>
      <c r="QFX31" s="292"/>
      <c r="QFY31" s="293"/>
      <c r="QFZ31" s="294"/>
      <c r="QGF31" s="292"/>
      <c r="QGG31" s="293"/>
      <c r="QGH31" s="294"/>
      <c r="QGN31" s="292"/>
      <c r="QGO31" s="293"/>
      <c r="QGP31" s="294"/>
      <c r="QGV31" s="292"/>
      <c r="QGW31" s="293"/>
      <c r="QGX31" s="294"/>
      <c r="QHD31" s="292"/>
      <c r="QHE31" s="293"/>
      <c r="QHF31" s="294"/>
      <c r="QHL31" s="292"/>
      <c r="QHM31" s="293"/>
      <c r="QHN31" s="294"/>
      <c r="QHT31" s="292"/>
      <c r="QHU31" s="293"/>
      <c r="QHV31" s="294"/>
      <c r="QIB31" s="292"/>
      <c r="QIC31" s="293"/>
      <c r="QID31" s="294"/>
      <c r="QIJ31" s="292"/>
      <c r="QIK31" s="293"/>
      <c r="QIL31" s="294"/>
      <c r="QIR31" s="292"/>
      <c r="QIS31" s="293"/>
      <c r="QIT31" s="294"/>
      <c r="QIZ31" s="292"/>
      <c r="QJA31" s="293"/>
      <c r="QJB31" s="294"/>
      <c r="QJH31" s="292"/>
      <c r="QJI31" s="293"/>
      <c r="QJJ31" s="294"/>
      <c r="QJP31" s="292"/>
      <c r="QJQ31" s="293"/>
      <c r="QJR31" s="294"/>
      <c r="QJX31" s="292"/>
      <c r="QJY31" s="293"/>
      <c r="QJZ31" s="294"/>
      <c r="QKF31" s="292"/>
      <c r="QKG31" s="293"/>
      <c r="QKH31" s="294"/>
      <c r="QKN31" s="292"/>
      <c r="QKO31" s="293"/>
      <c r="QKP31" s="294"/>
      <c r="QKV31" s="292"/>
      <c r="QKW31" s="293"/>
      <c r="QKX31" s="294"/>
      <c r="QLD31" s="292"/>
      <c r="QLE31" s="293"/>
      <c r="QLF31" s="294"/>
      <c r="QLL31" s="292"/>
      <c r="QLM31" s="293"/>
      <c r="QLN31" s="294"/>
      <c r="QLT31" s="292"/>
      <c r="QLU31" s="293"/>
      <c r="QLV31" s="294"/>
      <c r="QMB31" s="292"/>
      <c r="QMC31" s="293"/>
      <c r="QMD31" s="294"/>
      <c r="QMJ31" s="292"/>
      <c r="QMK31" s="293"/>
      <c r="QML31" s="294"/>
      <c r="QMR31" s="292"/>
      <c r="QMS31" s="293"/>
      <c r="QMT31" s="294"/>
      <c r="QMZ31" s="292"/>
      <c r="QNA31" s="293"/>
      <c r="QNB31" s="294"/>
      <c r="QNH31" s="292"/>
      <c r="QNI31" s="293"/>
      <c r="QNJ31" s="294"/>
      <c r="QNP31" s="292"/>
      <c r="QNQ31" s="293"/>
      <c r="QNR31" s="294"/>
      <c r="QNX31" s="292"/>
      <c r="QNY31" s="293"/>
      <c r="QNZ31" s="294"/>
      <c r="QOF31" s="292"/>
      <c r="QOG31" s="293"/>
      <c r="QOH31" s="294"/>
      <c r="QON31" s="292"/>
      <c r="QOO31" s="293"/>
      <c r="QOP31" s="294"/>
      <c r="QOV31" s="292"/>
      <c r="QOW31" s="293"/>
      <c r="QOX31" s="294"/>
      <c r="QPD31" s="292"/>
      <c r="QPE31" s="293"/>
      <c r="QPF31" s="294"/>
      <c r="QPL31" s="292"/>
      <c r="QPM31" s="293"/>
      <c r="QPN31" s="294"/>
      <c r="QPT31" s="292"/>
      <c r="QPU31" s="293"/>
      <c r="QPV31" s="294"/>
      <c r="QQB31" s="292"/>
      <c r="QQC31" s="293"/>
      <c r="QQD31" s="294"/>
      <c r="QQJ31" s="292"/>
      <c r="QQK31" s="293"/>
      <c r="QQL31" s="294"/>
      <c r="QQR31" s="292"/>
      <c r="QQS31" s="293"/>
      <c r="QQT31" s="294"/>
      <c r="QQZ31" s="292"/>
      <c r="QRA31" s="293"/>
      <c r="QRB31" s="294"/>
      <c r="QRH31" s="292"/>
      <c r="QRI31" s="293"/>
      <c r="QRJ31" s="294"/>
      <c r="QRP31" s="292"/>
      <c r="QRQ31" s="293"/>
      <c r="QRR31" s="294"/>
      <c r="QRX31" s="292"/>
      <c r="QRY31" s="293"/>
      <c r="QRZ31" s="294"/>
      <c r="QSF31" s="292"/>
      <c r="QSG31" s="293"/>
      <c r="QSH31" s="294"/>
      <c r="QSN31" s="292"/>
      <c r="QSO31" s="293"/>
      <c r="QSP31" s="294"/>
      <c r="QSV31" s="292"/>
      <c r="QSW31" s="293"/>
      <c r="QSX31" s="294"/>
      <c r="QTD31" s="292"/>
      <c r="QTE31" s="293"/>
      <c r="QTF31" s="294"/>
      <c r="QTL31" s="292"/>
      <c r="QTM31" s="293"/>
      <c r="QTN31" s="294"/>
      <c r="QTT31" s="292"/>
      <c r="QTU31" s="293"/>
      <c r="QTV31" s="294"/>
      <c r="QUB31" s="292"/>
      <c r="QUC31" s="293"/>
      <c r="QUD31" s="294"/>
      <c r="QUJ31" s="292"/>
      <c r="QUK31" s="293"/>
      <c r="QUL31" s="294"/>
      <c r="QUR31" s="292"/>
      <c r="QUS31" s="293"/>
      <c r="QUT31" s="294"/>
      <c r="QUZ31" s="292"/>
      <c r="QVA31" s="293"/>
      <c r="QVB31" s="294"/>
      <c r="QVH31" s="292"/>
      <c r="QVI31" s="293"/>
      <c r="QVJ31" s="294"/>
      <c r="QVP31" s="292"/>
      <c r="QVQ31" s="293"/>
      <c r="QVR31" s="294"/>
      <c r="QVX31" s="292"/>
      <c r="QVY31" s="293"/>
      <c r="QVZ31" s="294"/>
      <c r="QWF31" s="292"/>
      <c r="QWG31" s="293"/>
      <c r="QWH31" s="294"/>
      <c r="QWN31" s="292"/>
      <c r="QWO31" s="293"/>
      <c r="QWP31" s="294"/>
      <c r="QWV31" s="292"/>
      <c r="QWW31" s="293"/>
      <c r="QWX31" s="294"/>
      <c r="QXD31" s="292"/>
      <c r="QXE31" s="293"/>
      <c r="QXF31" s="294"/>
      <c r="QXL31" s="292"/>
      <c r="QXM31" s="293"/>
      <c r="QXN31" s="294"/>
      <c r="QXT31" s="292"/>
      <c r="QXU31" s="293"/>
      <c r="QXV31" s="294"/>
      <c r="QYB31" s="292"/>
      <c r="QYC31" s="293"/>
      <c r="QYD31" s="294"/>
      <c r="QYJ31" s="292"/>
      <c r="QYK31" s="293"/>
      <c r="QYL31" s="294"/>
      <c r="QYR31" s="292"/>
      <c r="QYS31" s="293"/>
      <c r="QYT31" s="294"/>
      <c r="QYZ31" s="292"/>
      <c r="QZA31" s="293"/>
      <c r="QZB31" s="294"/>
      <c r="QZH31" s="292"/>
      <c r="QZI31" s="293"/>
      <c r="QZJ31" s="294"/>
      <c r="QZP31" s="292"/>
      <c r="QZQ31" s="293"/>
      <c r="QZR31" s="294"/>
      <c r="QZX31" s="292"/>
      <c r="QZY31" s="293"/>
      <c r="QZZ31" s="294"/>
      <c r="RAF31" s="292"/>
      <c r="RAG31" s="293"/>
      <c r="RAH31" s="294"/>
      <c r="RAN31" s="292"/>
      <c r="RAO31" s="293"/>
      <c r="RAP31" s="294"/>
      <c r="RAV31" s="292"/>
      <c r="RAW31" s="293"/>
      <c r="RAX31" s="294"/>
      <c r="RBD31" s="292"/>
      <c r="RBE31" s="293"/>
      <c r="RBF31" s="294"/>
      <c r="RBL31" s="292"/>
      <c r="RBM31" s="293"/>
      <c r="RBN31" s="294"/>
      <c r="RBT31" s="292"/>
      <c r="RBU31" s="293"/>
      <c r="RBV31" s="294"/>
      <c r="RCB31" s="292"/>
      <c r="RCC31" s="293"/>
      <c r="RCD31" s="294"/>
      <c r="RCJ31" s="292"/>
      <c r="RCK31" s="293"/>
      <c r="RCL31" s="294"/>
      <c r="RCR31" s="292"/>
      <c r="RCS31" s="293"/>
      <c r="RCT31" s="294"/>
      <c r="RCZ31" s="292"/>
      <c r="RDA31" s="293"/>
      <c r="RDB31" s="294"/>
      <c r="RDH31" s="292"/>
      <c r="RDI31" s="293"/>
      <c r="RDJ31" s="294"/>
      <c r="RDP31" s="292"/>
      <c r="RDQ31" s="293"/>
      <c r="RDR31" s="294"/>
      <c r="RDX31" s="292"/>
      <c r="RDY31" s="293"/>
      <c r="RDZ31" s="294"/>
      <c r="REF31" s="292"/>
      <c r="REG31" s="293"/>
      <c r="REH31" s="294"/>
      <c r="REN31" s="292"/>
      <c r="REO31" s="293"/>
      <c r="REP31" s="294"/>
      <c r="REV31" s="292"/>
      <c r="REW31" s="293"/>
      <c r="REX31" s="294"/>
      <c r="RFD31" s="292"/>
      <c r="RFE31" s="293"/>
      <c r="RFF31" s="294"/>
      <c r="RFL31" s="292"/>
      <c r="RFM31" s="293"/>
      <c r="RFN31" s="294"/>
      <c r="RFT31" s="292"/>
      <c r="RFU31" s="293"/>
      <c r="RFV31" s="294"/>
      <c r="RGB31" s="292"/>
      <c r="RGC31" s="293"/>
      <c r="RGD31" s="294"/>
      <c r="RGJ31" s="292"/>
      <c r="RGK31" s="293"/>
      <c r="RGL31" s="294"/>
      <c r="RGR31" s="292"/>
      <c r="RGS31" s="293"/>
      <c r="RGT31" s="294"/>
      <c r="RGZ31" s="292"/>
      <c r="RHA31" s="293"/>
      <c r="RHB31" s="294"/>
      <c r="RHH31" s="292"/>
      <c r="RHI31" s="293"/>
      <c r="RHJ31" s="294"/>
      <c r="RHP31" s="292"/>
      <c r="RHQ31" s="293"/>
      <c r="RHR31" s="294"/>
      <c r="RHX31" s="292"/>
      <c r="RHY31" s="293"/>
      <c r="RHZ31" s="294"/>
      <c r="RIF31" s="292"/>
      <c r="RIG31" s="293"/>
      <c r="RIH31" s="294"/>
      <c r="RIN31" s="292"/>
      <c r="RIO31" s="293"/>
      <c r="RIP31" s="294"/>
      <c r="RIV31" s="292"/>
      <c r="RIW31" s="293"/>
      <c r="RIX31" s="294"/>
      <c r="RJD31" s="292"/>
      <c r="RJE31" s="293"/>
      <c r="RJF31" s="294"/>
      <c r="RJL31" s="292"/>
      <c r="RJM31" s="293"/>
      <c r="RJN31" s="294"/>
      <c r="RJT31" s="292"/>
      <c r="RJU31" s="293"/>
      <c r="RJV31" s="294"/>
      <c r="RKB31" s="292"/>
      <c r="RKC31" s="293"/>
      <c r="RKD31" s="294"/>
      <c r="RKJ31" s="292"/>
      <c r="RKK31" s="293"/>
      <c r="RKL31" s="294"/>
      <c r="RKR31" s="292"/>
      <c r="RKS31" s="293"/>
      <c r="RKT31" s="294"/>
      <c r="RKZ31" s="292"/>
      <c r="RLA31" s="293"/>
      <c r="RLB31" s="294"/>
      <c r="RLH31" s="292"/>
      <c r="RLI31" s="293"/>
      <c r="RLJ31" s="294"/>
      <c r="RLP31" s="292"/>
      <c r="RLQ31" s="293"/>
      <c r="RLR31" s="294"/>
      <c r="RLX31" s="292"/>
      <c r="RLY31" s="293"/>
      <c r="RLZ31" s="294"/>
      <c r="RMF31" s="292"/>
      <c r="RMG31" s="293"/>
      <c r="RMH31" s="294"/>
      <c r="RMN31" s="292"/>
      <c r="RMO31" s="293"/>
      <c r="RMP31" s="294"/>
      <c r="RMV31" s="292"/>
      <c r="RMW31" s="293"/>
      <c r="RMX31" s="294"/>
      <c r="RND31" s="292"/>
      <c r="RNE31" s="293"/>
      <c r="RNF31" s="294"/>
      <c r="RNL31" s="292"/>
      <c r="RNM31" s="293"/>
      <c r="RNN31" s="294"/>
      <c r="RNT31" s="292"/>
      <c r="RNU31" s="293"/>
      <c r="RNV31" s="294"/>
      <c r="ROB31" s="292"/>
      <c r="ROC31" s="293"/>
      <c r="ROD31" s="294"/>
      <c r="ROJ31" s="292"/>
      <c r="ROK31" s="293"/>
      <c r="ROL31" s="294"/>
      <c r="ROR31" s="292"/>
      <c r="ROS31" s="293"/>
      <c r="ROT31" s="294"/>
      <c r="ROZ31" s="292"/>
      <c r="RPA31" s="293"/>
      <c r="RPB31" s="294"/>
      <c r="RPH31" s="292"/>
      <c r="RPI31" s="293"/>
      <c r="RPJ31" s="294"/>
      <c r="RPP31" s="292"/>
      <c r="RPQ31" s="293"/>
      <c r="RPR31" s="294"/>
      <c r="RPX31" s="292"/>
      <c r="RPY31" s="293"/>
      <c r="RPZ31" s="294"/>
      <c r="RQF31" s="292"/>
      <c r="RQG31" s="293"/>
      <c r="RQH31" s="294"/>
      <c r="RQN31" s="292"/>
      <c r="RQO31" s="293"/>
      <c r="RQP31" s="294"/>
      <c r="RQV31" s="292"/>
      <c r="RQW31" s="293"/>
      <c r="RQX31" s="294"/>
      <c r="RRD31" s="292"/>
      <c r="RRE31" s="293"/>
      <c r="RRF31" s="294"/>
      <c r="RRL31" s="292"/>
      <c r="RRM31" s="293"/>
      <c r="RRN31" s="294"/>
      <c r="RRT31" s="292"/>
      <c r="RRU31" s="293"/>
      <c r="RRV31" s="294"/>
      <c r="RSB31" s="292"/>
      <c r="RSC31" s="293"/>
      <c r="RSD31" s="294"/>
      <c r="RSJ31" s="292"/>
      <c r="RSK31" s="293"/>
      <c r="RSL31" s="294"/>
      <c r="RSR31" s="292"/>
      <c r="RSS31" s="293"/>
      <c r="RST31" s="294"/>
      <c r="RSZ31" s="292"/>
      <c r="RTA31" s="293"/>
      <c r="RTB31" s="294"/>
      <c r="RTH31" s="292"/>
      <c r="RTI31" s="293"/>
      <c r="RTJ31" s="294"/>
      <c r="RTP31" s="292"/>
      <c r="RTQ31" s="293"/>
      <c r="RTR31" s="294"/>
      <c r="RTX31" s="292"/>
      <c r="RTY31" s="293"/>
      <c r="RTZ31" s="294"/>
      <c r="RUF31" s="292"/>
      <c r="RUG31" s="293"/>
      <c r="RUH31" s="294"/>
      <c r="RUN31" s="292"/>
      <c r="RUO31" s="293"/>
      <c r="RUP31" s="294"/>
      <c r="RUV31" s="292"/>
      <c r="RUW31" s="293"/>
      <c r="RUX31" s="294"/>
      <c r="RVD31" s="292"/>
      <c r="RVE31" s="293"/>
      <c r="RVF31" s="294"/>
      <c r="RVL31" s="292"/>
      <c r="RVM31" s="293"/>
      <c r="RVN31" s="294"/>
      <c r="RVT31" s="292"/>
      <c r="RVU31" s="293"/>
      <c r="RVV31" s="294"/>
      <c r="RWB31" s="292"/>
      <c r="RWC31" s="293"/>
      <c r="RWD31" s="294"/>
      <c r="RWJ31" s="292"/>
      <c r="RWK31" s="293"/>
      <c r="RWL31" s="294"/>
      <c r="RWR31" s="292"/>
      <c r="RWS31" s="293"/>
      <c r="RWT31" s="294"/>
      <c r="RWZ31" s="292"/>
      <c r="RXA31" s="293"/>
      <c r="RXB31" s="294"/>
      <c r="RXH31" s="292"/>
      <c r="RXI31" s="293"/>
      <c r="RXJ31" s="294"/>
      <c r="RXP31" s="292"/>
      <c r="RXQ31" s="293"/>
      <c r="RXR31" s="294"/>
      <c r="RXX31" s="292"/>
      <c r="RXY31" s="293"/>
      <c r="RXZ31" s="294"/>
      <c r="RYF31" s="292"/>
      <c r="RYG31" s="293"/>
      <c r="RYH31" s="294"/>
      <c r="RYN31" s="292"/>
      <c r="RYO31" s="293"/>
      <c r="RYP31" s="294"/>
      <c r="RYV31" s="292"/>
      <c r="RYW31" s="293"/>
      <c r="RYX31" s="294"/>
      <c r="RZD31" s="292"/>
      <c r="RZE31" s="293"/>
      <c r="RZF31" s="294"/>
      <c r="RZL31" s="292"/>
      <c r="RZM31" s="293"/>
      <c r="RZN31" s="294"/>
      <c r="RZT31" s="292"/>
      <c r="RZU31" s="293"/>
      <c r="RZV31" s="294"/>
      <c r="SAB31" s="292"/>
      <c r="SAC31" s="293"/>
      <c r="SAD31" s="294"/>
      <c r="SAJ31" s="292"/>
      <c r="SAK31" s="293"/>
      <c r="SAL31" s="294"/>
      <c r="SAR31" s="292"/>
      <c r="SAS31" s="293"/>
      <c r="SAT31" s="294"/>
      <c r="SAZ31" s="292"/>
      <c r="SBA31" s="293"/>
      <c r="SBB31" s="294"/>
      <c r="SBH31" s="292"/>
      <c r="SBI31" s="293"/>
      <c r="SBJ31" s="294"/>
      <c r="SBP31" s="292"/>
      <c r="SBQ31" s="293"/>
      <c r="SBR31" s="294"/>
      <c r="SBX31" s="292"/>
      <c r="SBY31" s="293"/>
      <c r="SBZ31" s="294"/>
      <c r="SCF31" s="292"/>
      <c r="SCG31" s="293"/>
      <c r="SCH31" s="294"/>
      <c r="SCN31" s="292"/>
      <c r="SCO31" s="293"/>
      <c r="SCP31" s="294"/>
      <c r="SCV31" s="292"/>
      <c r="SCW31" s="293"/>
      <c r="SCX31" s="294"/>
      <c r="SDD31" s="292"/>
      <c r="SDE31" s="293"/>
      <c r="SDF31" s="294"/>
      <c r="SDL31" s="292"/>
      <c r="SDM31" s="293"/>
      <c r="SDN31" s="294"/>
      <c r="SDT31" s="292"/>
      <c r="SDU31" s="293"/>
      <c r="SDV31" s="294"/>
      <c r="SEB31" s="292"/>
      <c r="SEC31" s="293"/>
      <c r="SED31" s="294"/>
      <c r="SEJ31" s="292"/>
      <c r="SEK31" s="293"/>
      <c r="SEL31" s="294"/>
      <c r="SER31" s="292"/>
      <c r="SES31" s="293"/>
      <c r="SET31" s="294"/>
      <c r="SEZ31" s="292"/>
      <c r="SFA31" s="293"/>
      <c r="SFB31" s="294"/>
      <c r="SFH31" s="292"/>
      <c r="SFI31" s="293"/>
      <c r="SFJ31" s="294"/>
      <c r="SFP31" s="292"/>
      <c r="SFQ31" s="293"/>
      <c r="SFR31" s="294"/>
      <c r="SFX31" s="292"/>
      <c r="SFY31" s="293"/>
      <c r="SFZ31" s="294"/>
      <c r="SGF31" s="292"/>
      <c r="SGG31" s="293"/>
      <c r="SGH31" s="294"/>
      <c r="SGN31" s="292"/>
      <c r="SGO31" s="293"/>
      <c r="SGP31" s="294"/>
      <c r="SGV31" s="292"/>
      <c r="SGW31" s="293"/>
      <c r="SGX31" s="294"/>
      <c r="SHD31" s="292"/>
      <c r="SHE31" s="293"/>
      <c r="SHF31" s="294"/>
      <c r="SHL31" s="292"/>
      <c r="SHM31" s="293"/>
      <c r="SHN31" s="294"/>
      <c r="SHT31" s="292"/>
      <c r="SHU31" s="293"/>
      <c r="SHV31" s="294"/>
      <c r="SIB31" s="292"/>
      <c r="SIC31" s="293"/>
      <c r="SID31" s="294"/>
      <c r="SIJ31" s="292"/>
      <c r="SIK31" s="293"/>
      <c r="SIL31" s="294"/>
      <c r="SIR31" s="292"/>
      <c r="SIS31" s="293"/>
      <c r="SIT31" s="294"/>
      <c r="SIZ31" s="292"/>
      <c r="SJA31" s="293"/>
      <c r="SJB31" s="294"/>
      <c r="SJH31" s="292"/>
      <c r="SJI31" s="293"/>
      <c r="SJJ31" s="294"/>
      <c r="SJP31" s="292"/>
      <c r="SJQ31" s="293"/>
      <c r="SJR31" s="294"/>
      <c r="SJX31" s="292"/>
      <c r="SJY31" s="293"/>
      <c r="SJZ31" s="294"/>
      <c r="SKF31" s="292"/>
      <c r="SKG31" s="293"/>
      <c r="SKH31" s="294"/>
      <c r="SKN31" s="292"/>
      <c r="SKO31" s="293"/>
      <c r="SKP31" s="294"/>
      <c r="SKV31" s="292"/>
      <c r="SKW31" s="293"/>
      <c r="SKX31" s="294"/>
      <c r="SLD31" s="292"/>
      <c r="SLE31" s="293"/>
      <c r="SLF31" s="294"/>
      <c r="SLL31" s="292"/>
      <c r="SLM31" s="293"/>
      <c r="SLN31" s="294"/>
      <c r="SLT31" s="292"/>
      <c r="SLU31" s="293"/>
      <c r="SLV31" s="294"/>
      <c r="SMB31" s="292"/>
      <c r="SMC31" s="293"/>
      <c r="SMD31" s="294"/>
      <c r="SMJ31" s="292"/>
      <c r="SMK31" s="293"/>
      <c r="SML31" s="294"/>
      <c r="SMR31" s="292"/>
      <c r="SMS31" s="293"/>
      <c r="SMT31" s="294"/>
      <c r="SMZ31" s="292"/>
      <c r="SNA31" s="293"/>
      <c r="SNB31" s="294"/>
      <c r="SNH31" s="292"/>
      <c r="SNI31" s="293"/>
      <c r="SNJ31" s="294"/>
      <c r="SNP31" s="292"/>
      <c r="SNQ31" s="293"/>
      <c r="SNR31" s="294"/>
      <c r="SNX31" s="292"/>
      <c r="SNY31" s="293"/>
      <c r="SNZ31" s="294"/>
      <c r="SOF31" s="292"/>
      <c r="SOG31" s="293"/>
      <c r="SOH31" s="294"/>
      <c r="SON31" s="292"/>
      <c r="SOO31" s="293"/>
      <c r="SOP31" s="294"/>
      <c r="SOV31" s="292"/>
      <c r="SOW31" s="293"/>
      <c r="SOX31" s="294"/>
      <c r="SPD31" s="292"/>
      <c r="SPE31" s="293"/>
      <c r="SPF31" s="294"/>
      <c r="SPL31" s="292"/>
      <c r="SPM31" s="293"/>
      <c r="SPN31" s="294"/>
      <c r="SPT31" s="292"/>
      <c r="SPU31" s="293"/>
      <c r="SPV31" s="294"/>
      <c r="SQB31" s="292"/>
      <c r="SQC31" s="293"/>
      <c r="SQD31" s="294"/>
      <c r="SQJ31" s="292"/>
      <c r="SQK31" s="293"/>
      <c r="SQL31" s="294"/>
      <c r="SQR31" s="292"/>
      <c r="SQS31" s="293"/>
      <c r="SQT31" s="294"/>
      <c r="SQZ31" s="292"/>
      <c r="SRA31" s="293"/>
      <c r="SRB31" s="294"/>
      <c r="SRH31" s="292"/>
      <c r="SRI31" s="293"/>
      <c r="SRJ31" s="294"/>
      <c r="SRP31" s="292"/>
      <c r="SRQ31" s="293"/>
      <c r="SRR31" s="294"/>
      <c r="SRX31" s="292"/>
      <c r="SRY31" s="293"/>
      <c r="SRZ31" s="294"/>
      <c r="SSF31" s="292"/>
      <c r="SSG31" s="293"/>
      <c r="SSH31" s="294"/>
      <c r="SSN31" s="292"/>
      <c r="SSO31" s="293"/>
      <c r="SSP31" s="294"/>
      <c r="SSV31" s="292"/>
      <c r="SSW31" s="293"/>
      <c r="SSX31" s="294"/>
      <c r="STD31" s="292"/>
      <c r="STE31" s="293"/>
      <c r="STF31" s="294"/>
      <c r="STL31" s="292"/>
      <c r="STM31" s="293"/>
      <c r="STN31" s="294"/>
      <c r="STT31" s="292"/>
      <c r="STU31" s="293"/>
      <c r="STV31" s="294"/>
      <c r="SUB31" s="292"/>
      <c r="SUC31" s="293"/>
      <c r="SUD31" s="294"/>
      <c r="SUJ31" s="292"/>
      <c r="SUK31" s="293"/>
      <c r="SUL31" s="294"/>
      <c r="SUR31" s="292"/>
      <c r="SUS31" s="293"/>
      <c r="SUT31" s="294"/>
      <c r="SUZ31" s="292"/>
      <c r="SVA31" s="293"/>
      <c r="SVB31" s="294"/>
      <c r="SVH31" s="292"/>
      <c r="SVI31" s="293"/>
      <c r="SVJ31" s="294"/>
      <c r="SVP31" s="292"/>
      <c r="SVQ31" s="293"/>
      <c r="SVR31" s="294"/>
      <c r="SVX31" s="292"/>
      <c r="SVY31" s="293"/>
      <c r="SVZ31" s="294"/>
      <c r="SWF31" s="292"/>
      <c r="SWG31" s="293"/>
      <c r="SWH31" s="294"/>
      <c r="SWN31" s="292"/>
      <c r="SWO31" s="293"/>
      <c r="SWP31" s="294"/>
      <c r="SWV31" s="292"/>
      <c r="SWW31" s="293"/>
      <c r="SWX31" s="294"/>
      <c r="SXD31" s="292"/>
      <c r="SXE31" s="293"/>
      <c r="SXF31" s="294"/>
      <c r="SXL31" s="292"/>
      <c r="SXM31" s="293"/>
      <c r="SXN31" s="294"/>
      <c r="SXT31" s="292"/>
      <c r="SXU31" s="293"/>
      <c r="SXV31" s="294"/>
      <c r="SYB31" s="292"/>
      <c r="SYC31" s="293"/>
      <c r="SYD31" s="294"/>
      <c r="SYJ31" s="292"/>
      <c r="SYK31" s="293"/>
      <c r="SYL31" s="294"/>
      <c r="SYR31" s="292"/>
      <c r="SYS31" s="293"/>
      <c r="SYT31" s="294"/>
      <c r="SYZ31" s="292"/>
      <c r="SZA31" s="293"/>
      <c r="SZB31" s="294"/>
      <c r="SZH31" s="292"/>
      <c r="SZI31" s="293"/>
      <c r="SZJ31" s="294"/>
      <c r="SZP31" s="292"/>
      <c r="SZQ31" s="293"/>
      <c r="SZR31" s="294"/>
      <c r="SZX31" s="292"/>
      <c r="SZY31" s="293"/>
      <c r="SZZ31" s="294"/>
      <c r="TAF31" s="292"/>
      <c r="TAG31" s="293"/>
      <c r="TAH31" s="294"/>
      <c r="TAN31" s="292"/>
      <c r="TAO31" s="293"/>
      <c r="TAP31" s="294"/>
      <c r="TAV31" s="292"/>
      <c r="TAW31" s="293"/>
      <c r="TAX31" s="294"/>
      <c r="TBD31" s="292"/>
      <c r="TBE31" s="293"/>
      <c r="TBF31" s="294"/>
      <c r="TBL31" s="292"/>
      <c r="TBM31" s="293"/>
      <c r="TBN31" s="294"/>
      <c r="TBT31" s="292"/>
      <c r="TBU31" s="293"/>
      <c r="TBV31" s="294"/>
      <c r="TCB31" s="292"/>
      <c r="TCC31" s="293"/>
      <c r="TCD31" s="294"/>
      <c r="TCJ31" s="292"/>
      <c r="TCK31" s="293"/>
      <c r="TCL31" s="294"/>
      <c r="TCR31" s="292"/>
      <c r="TCS31" s="293"/>
      <c r="TCT31" s="294"/>
      <c r="TCZ31" s="292"/>
      <c r="TDA31" s="293"/>
      <c r="TDB31" s="294"/>
      <c r="TDH31" s="292"/>
      <c r="TDI31" s="293"/>
      <c r="TDJ31" s="294"/>
      <c r="TDP31" s="292"/>
      <c r="TDQ31" s="293"/>
      <c r="TDR31" s="294"/>
      <c r="TDX31" s="292"/>
      <c r="TDY31" s="293"/>
      <c r="TDZ31" s="294"/>
      <c r="TEF31" s="292"/>
      <c r="TEG31" s="293"/>
      <c r="TEH31" s="294"/>
      <c r="TEN31" s="292"/>
      <c r="TEO31" s="293"/>
      <c r="TEP31" s="294"/>
      <c r="TEV31" s="292"/>
      <c r="TEW31" s="293"/>
      <c r="TEX31" s="294"/>
      <c r="TFD31" s="292"/>
      <c r="TFE31" s="293"/>
      <c r="TFF31" s="294"/>
      <c r="TFL31" s="292"/>
      <c r="TFM31" s="293"/>
      <c r="TFN31" s="294"/>
      <c r="TFT31" s="292"/>
      <c r="TFU31" s="293"/>
      <c r="TFV31" s="294"/>
      <c r="TGB31" s="292"/>
      <c r="TGC31" s="293"/>
      <c r="TGD31" s="294"/>
      <c r="TGJ31" s="292"/>
      <c r="TGK31" s="293"/>
      <c r="TGL31" s="294"/>
      <c r="TGR31" s="292"/>
      <c r="TGS31" s="293"/>
      <c r="TGT31" s="294"/>
      <c r="TGZ31" s="292"/>
      <c r="THA31" s="293"/>
      <c r="THB31" s="294"/>
      <c r="THH31" s="292"/>
      <c r="THI31" s="293"/>
      <c r="THJ31" s="294"/>
      <c r="THP31" s="292"/>
      <c r="THQ31" s="293"/>
      <c r="THR31" s="294"/>
      <c r="THX31" s="292"/>
      <c r="THY31" s="293"/>
      <c r="THZ31" s="294"/>
      <c r="TIF31" s="292"/>
      <c r="TIG31" s="293"/>
      <c r="TIH31" s="294"/>
      <c r="TIN31" s="292"/>
      <c r="TIO31" s="293"/>
      <c r="TIP31" s="294"/>
      <c r="TIV31" s="292"/>
      <c r="TIW31" s="293"/>
      <c r="TIX31" s="294"/>
      <c r="TJD31" s="292"/>
      <c r="TJE31" s="293"/>
      <c r="TJF31" s="294"/>
      <c r="TJL31" s="292"/>
      <c r="TJM31" s="293"/>
      <c r="TJN31" s="294"/>
      <c r="TJT31" s="292"/>
      <c r="TJU31" s="293"/>
      <c r="TJV31" s="294"/>
      <c r="TKB31" s="292"/>
      <c r="TKC31" s="293"/>
      <c r="TKD31" s="294"/>
      <c r="TKJ31" s="292"/>
      <c r="TKK31" s="293"/>
      <c r="TKL31" s="294"/>
      <c r="TKR31" s="292"/>
      <c r="TKS31" s="293"/>
      <c r="TKT31" s="294"/>
      <c r="TKZ31" s="292"/>
      <c r="TLA31" s="293"/>
      <c r="TLB31" s="294"/>
      <c r="TLH31" s="292"/>
      <c r="TLI31" s="293"/>
      <c r="TLJ31" s="294"/>
      <c r="TLP31" s="292"/>
      <c r="TLQ31" s="293"/>
      <c r="TLR31" s="294"/>
      <c r="TLX31" s="292"/>
      <c r="TLY31" s="293"/>
      <c r="TLZ31" s="294"/>
      <c r="TMF31" s="292"/>
      <c r="TMG31" s="293"/>
      <c r="TMH31" s="294"/>
      <c r="TMN31" s="292"/>
      <c r="TMO31" s="293"/>
      <c r="TMP31" s="294"/>
      <c r="TMV31" s="292"/>
      <c r="TMW31" s="293"/>
      <c r="TMX31" s="294"/>
      <c r="TND31" s="292"/>
      <c r="TNE31" s="293"/>
      <c r="TNF31" s="294"/>
      <c r="TNL31" s="292"/>
      <c r="TNM31" s="293"/>
      <c r="TNN31" s="294"/>
      <c r="TNT31" s="292"/>
      <c r="TNU31" s="293"/>
      <c r="TNV31" s="294"/>
      <c r="TOB31" s="292"/>
      <c r="TOC31" s="293"/>
      <c r="TOD31" s="294"/>
      <c r="TOJ31" s="292"/>
      <c r="TOK31" s="293"/>
      <c r="TOL31" s="294"/>
      <c r="TOR31" s="292"/>
      <c r="TOS31" s="293"/>
      <c r="TOT31" s="294"/>
      <c r="TOZ31" s="292"/>
      <c r="TPA31" s="293"/>
      <c r="TPB31" s="294"/>
      <c r="TPH31" s="292"/>
      <c r="TPI31" s="293"/>
      <c r="TPJ31" s="294"/>
      <c r="TPP31" s="292"/>
      <c r="TPQ31" s="293"/>
      <c r="TPR31" s="294"/>
      <c r="TPX31" s="292"/>
      <c r="TPY31" s="293"/>
      <c r="TPZ31" s="294"/>
      <c r="TQF31" s="292"/>
      <c r="TQG31" s="293"/>
      <c r="TQH31" s="294"/>
      <c r="TQN31" s="292"/>
      <c r="TQO31" s="293"/>
      <c r="TQP31" s="294"/>
      <c r="TQV31" s="292"/>
      <c r="TQW31" s="293"/>
      <c r="TQX31" s="294"/>
      <c r="TRD31" s="292"/>
      <c r="TRE31" s="293"/>
      <c r="TRF31" s="294"/>
      <c r="TRL31" s="292"/>
      <c r="TRM31" s="293"/>
      <c r="TRN31" s="294"/>
      <c r="TRT31" s="292"/>
      <c r="TRU31" s="293"/>
      <c r="TRV31" s="294"/>
      <c r="TSB31" s="292"/>
      <c r="TSC31" s="293"/>
      <c r="TSD31" s="294"/>
      <c r="TSJ31" s="292"/>
      <c r="TSK31" s="293"/>
      <c r="TSL31" s="294"/>
      <c r="TSR31" s="292"/>
      <c r="TSS31" s="293"/>
      <c r="TST31" s="294"/>
      <c r="TSZ31" s="292"/>
      <c r="TTA31" s="293"/>
      <c r="TTB31" s="294"/>
      <c r="TTH31" s="292"/>
      <c r="TTI31" s="293"/>
      <c r="TTJ31" s="294"/>
      <c r="TTP31" s="292"/>
      <c r="TTQ31" s="293"/>
      <c r="TTR31" s="294"/>
      <c r="TTX31" s="292"/>
      <c r="TTY31" s="293"/>
      <c r="TTZ31" s="294"/>
      <c r="TUF31" s="292"/>
      <c r="TUG31" s="293"/>
      <c r="TUH31" s="294"/>
      <c r="TUN31" s="292"/>
      <c r="TUO31" s="293"/>
      <c r="TUP31" s="294"/>
      <c r="TUV31" s="292"/>
      <c r="TUW31" s="293"/>
      <c r="TUX31" s="294"/>
      <c r="TVD31" s="292"/>
      <c r="TVE31" s="293"/>
      <c r="TVF31" s="294"/>
      <c r="TVL31" s="292"/>
      <c r="TVM31" s="293"/>
      <c r="TVN31" s="294"/>
      <c r="TVT31" s="292"/>
      <c r="TVU31" s="293"/>
      <c r="TVV31" s="294"/>
      <c r="TWB31" s="292"/>
      <c r="TWC31" s="293"/>
      <c r="TWD31" s="294"/>
      <c r="TWJ31" s="292"/>
      <c r="TWK31" s="293"/>
      <c r="TWL31" s="294"/>
      <c r="TWR31" s="292"/>
      <c r="TWS31" s="293"/>
      <c r="TWT31" s="294"/>
      <c r="TWZ31" s="292"/>
      <c r="TXA31" s="293"/>
      <c r="TXB31" s="294"/>
      <c r="TXH31" s="292"/>
      <c r="TXI31" s="293"/>
      <c r="TXJ31" s="294"/>
      <c r="TXP31" s="292"/>
      <c r="TXQ31" s="293"/>
      <c r="TXR31" s="294"/>
      <c r="TXX31" s="292"/>
      <c r="TXY31" s="293"/>
      <c r="TXZ31" s="294"/>
      <c r="TYF31" s="292"/>
      <c r="TYG31" s="293"/>
      <c r="TYH31" s="294"/>
      <c r="TYN31" s="292"/>
      <c r="TYO31" s="293"/>
      <c r="TYP31" s="294"/>
      <c r="TYV31" s="292"/>
      <c r="TYW31" s="293"/>
      <c r="TYX31" s="294"/>
      <c r="TZD31" s="292"/>
      <c r="TZE31" s="293"/>
      <c r="TZF31" s="294"/>
      <c r="TZL31" s="292"/>
      <c r="TZM31" s="293"/>
      <c r="TZN31" s="294"/>
      <c r="TZT31" s="292"/>
      <c r="TZU31" s="293"/>
      <c r="TZV31" s="294"/>
      <c r="UAB31" s="292"/>
      <c r="UAC31" s="293"/>
      <c r="UAD31" s="294"/>
      <c r="UAJ31" s="292"/>
      <c r="UAK31" s="293"/>
      <c r="UAL31" s="294"/>
      <c r="UAR31" s="292"/>
      <c r="UAS31" s="293"/>
      <c r="UAT31" s="294"/>
      <c r="UAZ31" s="292"/>
      <c r="UBA31" s="293"/>
      <c r="UBB31" s="294"/>
      <c r="UBH31" s="292"/>
      <c r="UBI31" s="293"/>
      <c r="UBJ31" s="294"/>
      <c r="UBP31" s="292"/>
      <c r="UBQ31" s="293"/>
      <c r="UBR31" s="294"/>
      <c r="UBX31" s="292"/>
      <c r="UBY31" s="293"/>
      <c r="UBZ31" s="294"/>
      <c r="UCF31" s="292"/>
      <c r="UCG31" s="293"/>
      <c r="UCH31" s="294"/>
      <c r="UCN31" s="292"/>
      <c r="UCO31" s="293"/>
      <c r="UCP31" s="294"/>
      <c r="UCV31" s="292"/>
      <c r="UCW31" s="293"/>
      <c r="UCX31" s="294"/>
      <c r="UDD31" s="292"/>
      <c r="UDE31" s="293"/>
      <c r="UDF31" s="294"/>
      <c r="UDL31" s="292"/>
      <c r="UDM31" s="293"/>
      <c r="UDN31" s="294"/>
      <c r="UDT31" s="292"/>
      <c r="UDU31" s="293"/>
      <c r="UDV31" s="294"/>
      <c r="UEB31" s="292"/>
      <c r="UEC31" s="293"/>
      <c r="UED31" s="294"/>
      <c r="UEJ31" s="292"/>
      <c r="UEK31" s="293"/>
      <c r="UEL31" s="294"/>
      <c r="UER31" s="292"/>
      <c r="UES31" s="293"/>
      <c r="UET31" s="294"/>
      <c r="UEZ31" s="292"/>
      <c r="UFA31" s="293"/>
      <c r="UFB31" s="294"/>
      <c r="UFH31" s="292"/>
      <c r="UFI31" s="293"/>
      <c r="UFJ31" s="294"/>
      <c r="UFP31" s="292"/>
      <c r="UFQ31" s="293"/>
      <c r="UFR31" s="294"/>
      <c r="UFX31" s="292"/>
      <c r="UFY31" s="293"/>
      <c r="UFZ31" s="294"/>
      <c r="UGF31" s="292"/>
      <c r="UGG31" s="293"/>
      <c r="UGH31" s="294"/>
      <c r="UGN31" s="292"/>
      <c r="UGO31" s="293"/>
      <c r="UGP31" s="294"/>
      <c r="UGV31" s="292"/>
      <c r="UGW31" s="293"/>
      <c r="UGX31" s="294"/>
      <c r="UHD31" s="292"/>
      <c r="UHE31" s="293"/>
      <c r="UHF31" s="294"/>
      <c r="UHL31" s="292"/>
      <c r="UHM31" s="293"/>
      <c r="UHN31" s="294"/>
      <c r="UHT31" s="292"/>
      <c r="UHU31" s="293"/>
      <c r="UHV31" s="294"/>
      <c r="UIB31" s="292"/>
      <c r="UIC31" s="293"/>
      <c r="UID31" s="294"/>
      <c r="UIJ31" s="292"/>
      <c r="UIK31" s="293"/>
      <c r="UIL31" s="294"/>
      <c r="UIR31" s="292"/>
      <c r="UIS31" s="293"/>
      <c r="UIT31" s="294"/>
      <c r="UIZ31" s="292"/>
      <c r="UJA31" s="293"/>
      <c r="UJB31" s="294"/>
      <c r="UJH31" s="292"/>
      <c r="UJI31" s="293"/>
      <c r="UJJ31" s="294"/>
      <c r="UJP31" s="292"/>
      <c r="UJQ31" s="293"/>
      <c r="UJR31" s="294"/>
      <c r="UJX31" s="292"/>
      <c r="UJY31" s="293"/>
      <c r="UJZ31" s="294"/>
      <c r="UKF31" s="292"/>
      <c r="UKG31" s="293"/>
      <c r="UKH31" s="294"/>
      <c r="UKN31" s="292"/>
      <c r="UKO31" s="293"/>
      <c r="UKP31" s="294"/>
      <c r="UKV31" s="292"/>
      <c r="UKW31" s="293"/>
      <c r="UKX31" s="294"/>
      <c r="ULD31" s="292"/>
      <c r="ULE31" s="293"/>
      <c r="ULF31" s="294"/>
      <c r="ULL31" s="292"/>
      <c r="ULM31" s="293"/>
      <c r="ULN31" s="294"/>
      <c r="ULT31" s="292"/>
      <c r="ULU31" s="293"/>
      <c r="ULV31" s="294"/>
      <c r="UMB31" s="292"/>
      <c r="UMC31" s="293"/>
      <c r="UMD31" s="294"/>
      <c r="UMJ31" s="292"/>
      <c r="UMK31" s="293"/>
      <c r="UML31" s="294"/>
      <c r="UMR31" s="292"/>
      <c r="UMS31" s="293"/>
      <c r="UMT31" s="294"/>
      <c r="UMZ31" s="292"/>
      <c r="UNA31" s="293"/>
      <c r="UNB31" s="294"/>
      <c r="UNH31" s="292"/>
      <c r="UNI31" s="293"/>
      <c r="UNJ31" s="294"/>
      <c r="UNP31" s="292"/>
      <c r="UNQ31" s="293"/>
      <c r="UNR31" s="294"/>
      <c r="UNX31" s="292"/>
      <c r="UNY31" s="293"/>
      <c r="UNZ31" s="294"/>
      <c r="UOF31" s="292"/>
      <c r="UOG31" s="293"/>
      <c r="UOH31" s="294"/>
      <c r="UON31" s="292"/>
      <c r="UOO31" s="293"/>
      <c r="UOP31" s="294"/>
      <c r="UOV31" s="292"/>
      <c r="UOW31" s="293"/>
      <c r="UOX31" s="294"/>
      <c r="UPD31" s="292"/>
      <c r="UPE31" s="293"/>
      <c r="UPF31" s="294"/>
      <c r="UPL31" s="292"/>
      <c r="UPM31" s="293"/>
      <c r="UPN31" s="294"/>
      <c r="UPT31" s="292"/>
      <c r="UPU31" s="293"/>
      <c r="UPV31" s="294"/>
      <c r="UQB31" s="292"/>
      <c r="UQC31" s="293"/>
      <c r="UQD31" s="294"/>
      <c r="UQJ31" s="292"/>
      <c r="UQK31" s="293"/>
      <c r="UQL31" s="294"/>
      <c r="UQR31" s="292"/>
      <c r="UQS31" s="293"/>
      <c r="UQT31" s="294"/>
      <c r="UQZ31" s="292"/>
      <c r="URA31" s="293"/>
      <c r="URB31" s="294"/>
      <c r="URH31" s="292"/>
      <c r="URI31" s="293"/>
      <c r="URJ31" s="294"/>
      <c r="URP31" s="292"/>
      <c r="URQ31" s="293"/>
      <c r="URR31" s="294"/>
      <c r="URX31" s="292"/>
      <c r="URY31" s="293"/>
      <c r="URZ31" s="294"/>
      <c r="USF31" s="292"/>
      <c r="USG31" s="293"/>
      <c r="USH31" s="294"/>
      <c r="USN31" s="292"/>
      <c r="USO31" s="293"/>
      <c r="USP31" s="294"/>
      <c r="USV31" s="292"/>
      <c r="USW31" s="293"/>
      <c r="USX31" s="294"/>
      <c r="UTD31" s="292"/>
      <c r="UTE31" s="293"/>
      <c r="UTF31" s="294"/>
      <c r="UTL31" s="292"/>
      <c r="UTM31" s="293"/>
      <c r="UTN31" s="294"/>
      <c r="UTT31" s="292"/>
      <c r="UTU31" s="293"/>
      <c r="UTV31" s="294"/>
      <c r="UUB31" s="292"/>
      <c r="UUC31" s="293"/>
      <c r="UUD31" s="294"/>
      <c r="UUJ31" s="292"/>
      <c r="UUK31" s="293"/>
      <c r="UUL31" s="294"/>
      <c r="UUR31" s="292"/>
      <c r="UUS31" s="293"/>
      <c r="UUT31" s="294"/>
      <c r="UUZ31" s="292"/>
      <c r="UVA31" s="293"/>
      <c r="UVB31" s="294"/>
      <c r="UVH31" s="292"/>
      <c r="UVI31" s="293"/>
      <c r="UVJ31" s="294"/>
      <c r="UVP31" s="292"/>
      <c r="UVQ31" s="293"/>
      <c r="UVR31" s="294"/>
      <c r="UVX31" s="292"/>
      <c r="UVY31" s="293"/>
      <c r="UVZ31" s="294"/>
      <c r="UWF31" s="292"/>
      <c r="UWG31" s="293"/>
      <c r="UWH31" s="294"/>
      <c r="UWN31" s="292"/>
      <c r="UWO31" s="293"/>
      <c r="UWP31" s="294"/>
      <c r="UWV31" s="292"/>
      <c r="UWW31" s="293"/>
      <c r="UWX31" s="294"/>
      <c r="UXD31" s="292"/>
      <c r="UXE31" s="293"/>
      <c r="UXF31" s="294"/>
      <c r="UXL31" s="292"/>
      <c r="UXM31" s="293"/>
      <c r="UXN31" s="294"/>
      <c r="UXT31" s="292"/>
      <c r="UXU31" s="293"/>
      <c r="UXV31" s="294"/>
      <c r="UYB31" s="292"/>
      <c r="UYC31" s="293"/>
      <c r="UYD31" s="294"/>
      <c r="UYJ31" s="292"/>
      <c r="UYK31" s="293"/>
      <c r="UYL31" s="294"/>
      <c r="UYR31" s="292"/>
      <c r="UYS31" s="293"/>
      <c r="UYT31" s="294"/>
      <c r="UYZ31" s="292"/>
      <c r="UZA31" s="293"/>
      <c r="UZB31" s="294"/>
      <c r="UZH31" s="292"/>
      <c r="UZI31" s="293"/>
      <c r="UZJ31" s="294"/>
      <c r="UZP31" s="292"/>
      <c r="UZQ31" s="293"/>
      <c r="UZR31" s="294"/>
      <c r="UZX31" s="292"/>
      <c r="UZY31" s="293"/>
      <c r="UZZ31" s="294"/>
      <c r="VAF31" s="292"/>
      <c r="VAG31" s="293"/>
      <c r="VAH31" s="294"/>
      <c r="VAN31" s="292"/>
      <c r="VAO31" s="293"/>
      <c r="VAP31" s="294"/>
      <c r="VAV31" s="292"/>
      <c r="VAW31" s="293"/>
      <c r="VAX31" s="294"/>
      <c r="VBD31" s="292"/>
      <c r="VBE31" s="293"/>
      <c r="VBF31" s="294"/>
      <c r="VBL31" s="292"/>
      <c r="VBM31" s="293"/>
      <c r="VBN31" s="294"/>
      <c r="VBT31" s="292"/>
      <c r="VBU31" s="293"/>
      <c r="VBV31" s="294"/>
      <c r="VCB31" s="292"/>
      <c r="VCC31" s="293"/>
      <c r="VCD31" s="294"/>
      <c r="VCJ31" s="292"/>
      <c r="VCK31" s="293"/>
      <c r="VCL31" s="294"/>
      <c r="VCR31" s="292"/>
      <c r="VCS31" s="293"/>
      <c r="VCT31" s="294"/>
      <c r="VCZ31" s="292"/>
      <c r="VDA31" s="293"/>
      <c r="VDB31" s="294"/>
      <c r="VDH31" s="292"/>
      <c r="VDI31" s="293"/>
      <c r="VDJ31" s="294"/>
      <c r="VDP31" s="292"/>
      <c r="VDQ31" s="293"/>
      <c r="VDR31" s="294"/>
      <c r="VDX31" s="292"/>
      <c r="VDY31" s="293"/>
      <c r="VDZ31" s="294"/>
      <c r="VEF31" s="292"/>
      <c r="VEG31" s="293"/>
      <c r="VEH31" s="294"/>
      <c r="VEN31" s="292"/>
      <c r="VEO31" s="293"/>
      <c r="VEP31" s="294"/>
      <c r="VEV31" s="292"/>
      <c r="VEW31" s="293"/>
      <c r="VEX31" s="294"/>
      <c r="VFD31" s="292"/>
      <c r="VFE31" s="293"/>
      <c r="VFF31" s="294"/>
      <c r="VFL31" s="292"/>
      <c r="VFM31" s="293"/>
      <c r="VFN31" s="294"/>
      <c r="VFT31" s="292"/>
      <c r="VFU31" s="293"/>
      <c r="VFV31" s="294"/>
      <c r="VGB31" s="292"/>
      <c r="VGC31" s="293"/>
      <c r="VGD31" s="294"/>
      <c r="VGJ31" s="292"/>
      <c r="VGK31" s="293"/>
      <c r="VGL31" s="294"/>
      <c r="VGR31" s="292"/>
      <c r="VGS31" s="293"/>
      <c r="VGT31" s="294"/>
      <c r="VGZ31" s="292"/>
      <c r="VHA31" s="293"/>
      <c r="VHB31" s="294"/>
      <c r="VHH31" s="292"/>
      <c r="VHI31" s="293"/>
      <c r="VHJ31" s="294"/>
      <c r="VHP31" s="292"/>
      <c r="VHQ31" s="293"/>
      <c r="VHR31" s="294"/>
      <c r="VHX31" s="292"/>
      <c r="VHY31" s="293"/>
      <c r="VHZ31" s="294"/>
      <c r="VIF31" s="292"/>
      <c r="VIG31" s="293"/>
      <c r="VIH31" s="294"/>
      <c r="VIN31" s="292"/>
      <c r="VIO31" s="293"/>
      <c r="VIP31" s="294"/>
      <c r="VIV31" s="292"/>
      <c r="VIW31" s="293"/>
      <c r="VIX31" s="294"/>
      <c r="VJD31" s="292"/>
      <c r="VJE31" s="293"/>
      <c r="VJF31" s="294"/>
      <c r="VJL31" s="292"/>
      <c r="VJM31" s="293"/>
      <c r="VJN31" s="294"/>
      <c r="VJT31" s="292"/>
      <c r="VJU31" s="293"/>
      <c r="VJV31" s="294"/>
      <c r="VKB31" s="292"/>
      <c r="VKC31" s="293"/>
      <c r="VKD31" s="294"/>
      <c r="VKJ31" s="292"/>
      <c r="VKK31" s="293"/>
      <c r="VKL31" s="294"/>
      <c r="VKR31" s="292"/>
      <c r="VKS31" s="293"/>
      <c r="VKT31" s="294"/>
      <c r="VKZ31" s="292"/>
      <c r="VLA31" s="293"/>
      <c r="VLB31" s="294"/>
      <c r="VLH31" s="292"/>
      <c r="VLI31" s="293"/>
      <c r="VLJ31" s="294"/>
      <c r="VLP31" s="292"/>
      <c r="VLQ31" s="293"/>
      <c r="VLR31" s="294"/>
      <c r="VLX31" s="292"/>
      <c r="VLY31" s="293"/>
      <c r="VLZ31" s="294"/>
      <c r="VMF31" s="292"/>
      <c r="VMG31" s="293"/>
      <c r="VMH31" s="294"/>
      <c r="VMN31" s="292"/>
      <c r="VMO31" s="293"/>
      <c r="VMP31" s="294"/>
      <c r="VMV31" s="292"/>
      <c r="VMW31" s="293"/>
      <c r="VMX31" s="294"/>
      <c r="VND31" s="292"/>
      <c r="VNE31" s="293"/>
      <c r="VNF31" s="294"/>
      <c r="VNL31" s="292"/>
      <c r="VNM31" s="293"/>
      <c r="VNN31" s="294"/>
      <c r="VNT31" s="292"/>
      <c r="VNU31" s="293"/>
      <c r="VNV31" s="294"/>
      <c r="VOB31" s="292"/>
      <c r="VOC31" s="293"/>
      <c r="VOD31" s="294"/>
      <c r="VOJ31" s="292"/>
      <c r="VOK31" s="293"/>
      <c r="VOL31" s="294"/>
      <c r="VOR31" s="292"/>
      <c r="VOS31" s="293"/>
      <c r="VOT31" s="294"/>
      <c r="VOZ31" s="292"/>
      <c r="VPA31" s="293"/>
      <c r="VPB31" s="294"/>
      <c r="VPH31" s="292"/>
      <c r="VPI31" s="293"/>
      <c r="VPJ31" s="294"/>
      <c r="VPP31" s="292"/>
      <c r="VPQ31" s="293"/>
      <c r="VPR31" s="294"/>
      <c r="VPX31" s="292"/>
      <c r="VPY31" s="293"/>
      <c r="VPZ31" s="294"/>
      <c r="VQF31" s="292"/>
      <c r="VQG31" s="293"/>
      <c r="VQH31" s="294"/>
      <c r="VQN31" s="292"/>
      <c r="VQO31" s="293"/>
      <c r="VQP31" s="294"/>
      <c r="VQV31" s="292"/>
      <c r="VQW31" s="293"/>
      <c r="VQX31" s="294"/>
      <c r="VRD31" s="292"/>
      <c r="VRE31" s="293"/>
      <c r="VRF31" s="294"/>
      <c r="VRL31" s="292"/>
      <c r="VRM31" s="293"/>
      <c r="VRN31" s="294"/>
      <c r="VRT31" s="292"/>
      <c r="VRU31" s="293"/>
      <c r="VRV31" s="294"/>
      <c r="VSB31" s="292"/>
      <c r="VSC31" s="293"/>
      <c r="VSD31" s="294"/>
      <c r="VSJ31" s="292"/>
      <c r="VSK31" s="293"/>
      <c r="VSL31" s="294"/>
      <c r="VSR31" s="292"/>
      <c r="VSS31" s="293"/>
      <c r="VST31" s="294"/>
      <c r="VSZ31" s="292"/>
      <c r="VTA31" s="293"/>
      <c r="VTB31" s="294"/>
      <c r="VTH31" s="292"/>
      <c r="VTI31" s="293"/>
      <c r="VTJ31" s="294"/>
      <c r="VTP31" s="292"/>
      <c r="VTQ31" s="293"/>
      <c r="VTR31" s="294"/>
      <c r="VTX31" s="292"/>
      <c r="VTY31" s="293"/>
      <c r="VTZ31" s="294"/>
      <c r="VUF31" s="292"/>
      <c r="VUG31" s="293"/>
      <c r="VUH31" s="294"/>
      <c r="VUN31" s="292"/>
      <c r="VUO31" s="293"/>
      <c r="VUP31" s="294"/>
      <c r="VUV31" s="292"/>
      <c r="VUW31" s="293"/>
      <c r="VUX31" s="294"/>
      <c r="VVD31" s="292"/>
      <c r="VVE31" s="293"/>
      <c r="VVF31" s="294"/>
      <c r="VVL31" s="292"/>
      <c r="VVM31" s="293"/>
      <c r="VVN31" s="294"/>
      <c r="VVT31" s="292"/>
      <c r="VVU31" s="293"/>
      <c r="VVV31" s="294"/>
      <c r="VWB31" s="292"/>
      <c r="VWC31" s="293"/>
      <c r="VWD31" s="294"/>
      <c r="VWJ31" s="292"/>
      <c r="VWK31" s="293"/>
      <c r="VWL31" s="294"/>
      <c r="VWR31" s="292"/>
      <c r="VWS31" s="293"/>
      <c r="VWT31" s="294"/>
      <c r="VWZ31" s="292"/>
      <c r="VXA31" s="293"/>
      <c r="VXB31" s="294"/>
      <c r="VXH31" s="292"/>
      <c r="VXI31" s="293"/>
      <c r="VXJ31" s="294"/>
      <c r="VXP31" s="292"/>
      <c r="VXQ31" s="293"/>
      <c r="VXR31" s="294"/>
      <c r="VXX31" s="292"/>
      <c r="VXY31" s="293"/>
      <c r="VXZ31" s="294"/>
      <c r="VYF31" s="292"/>
      <c r="VYG31" s="293"/>
      <c r="VYH31" s="294"/>
      <c r="VYN31" s="292"/>
      <c r="VYO31" s="293"/>
      <c r="VYP31" s="294"/>
      <c r="VYV31" s="292"/>
      <c r="VYW31" s="293"/>
      <c r="VYX31" s="294"/>
      <c r="VZD31" s="292"/>
      <c r="VZE31" s="293"/>
      <c r="VZF31" s="294"/>
      <c r="VZL31" s="292"/>
      <c r="VZM31" s="293"/>
      <c r="VZN31" s="294"/>
      <c r="VZT31" s="292"/>
      <c r="VZU31" s="293"/>
      <c r="VZV31" s="294"/>
      <c r="WAB31" s="292"/>
      <c r="WAC31" s="293"/>
      <c r="WAD31" s="294"/>
      <c r="WAJ31" s="292"/>
      <c r="WAK31" s="293"/>
      <c r="WAL31" s="294"/>
      <c r="WAR31" s="292"/>
      <c r="WAS31" s="293"/>
      <c r="WAT31" s="294"/>
      <c r="WAZ31" s="292"/>
      <c r="WBA31" s="293"/>
      <c r="WBB31" s="294"/>
      <c r="WBH31" s="292"/>
      <c r="WBI31" s="293"/>
      <c r="WBJ31" s="294"/>
      <c r="WBP31" s="292"/>
      <c r="WBQ31" s="293"/>
      <c r="WBR31" s="294"/>
      <c r="WBX31" s="292"/>
      <c r="WBY31" s="293"/>
      <c r="WBZ31" s="294"/>
      <c r="WCF31" s="292"/>
      <c r="WCG31" s="293"/>
      <c r="WCH31" s="294"/>
      <c r="WCN31" s="292"/>
      <c r="WCO31" s="293"/>
      <c r="WCP31" s="294"/>
      <c r="WCV31" s="292"/>
      <c r="WCW31" s="293"/>
      <c r="WCX31" s="294"/>
      <c r="WDD31" s="292"/>
      <c r="WDE31" s="293"/>
      <c r="WDF31" s="294"/>
      <c r="WDL31" s="292"/>
      <c r="WDM31" s="293"/>
      <c r="WDN31" s="294"/>
      <c r="WDT31" s="292"/>
      <c r="WDU31" s="293"/>
      <c r="WDV31" s="294"/>
      <c r="WEB31" s="292"/>
      <c r="WEC31" s="293"/>
      <c r="WED31" s="294"/>
      <c r="WEJ31" s="292"/>
      <c r="WEK31" s="293"/>
      <c r="WEL31" s="294"/>
      <c r="WER31" s="292"/>
      <c r="WES31" s="293"/>
      <c r="WET31" s="294"/>
      <c r="WEZ31" s="292"/>
      <c r="WFA31" s="293"/>
      <c r="WFB31" s="294"/>
      <c r="WFH31" s="292"/>
      <c r="WFI31" s="293"/>
      <c r="WFJ31" s="294"/>
      <c r="WFP31" s="292"/>
      <c r="WFQ31" s="293"/>
      <c r="WFR31" s="294"/>
      <c r="WFX31" s="292"/>
      <c r="WFY31" s="293"/>
      <c r="WFZ31" s="294"/>
      <c r="WGF31" s="292"/>
      <c r="WGG31" s="293"/>
      <c r="WGH31" s="294"/>
      <c r="WGN31" s="292"/>
      <c r="WGO31" s="293"/>
      <c r="WGP31" s="294"/>
      <c r="WGV31" s="292"/>
      <c r="WGW31" s="293"/>
      <c r="WGX31" s="294"/>
      <c r="WHD31" s="292"/>
      <c r="WHE31" s="293"/>
      <c r="WHF31" s="294"/>
      <c r="WHL31" s="292"/>
      <c r="WHM31" s="293"/>
      <c r="WHN31" s="294"/>
      <c r="WHT31" s="292"/>
      <c r="WHU31" s="293"/>
      <c r="WHV31" s="294"/>
      <c r="WIB31" s="292"/>
      <c r="WIC31" s="293"/>
      <c r="WID31" s="294"/>
      <c r="WIJ31" s="292"/>
      <c r="WIK31" s="293"/>
      <c r="WIL31" s="294"/>
      <c r="WIR31" s="292"/>
      <c r="WIS31" s="293"/>
      <c r="WIT31" s="294"/>
      <c r="WIZ31" s="292"/>
      <c r="WJA31" s="293"/>
      <c r="WJB31" s="294"/>
      <c r="WJH31" s="292"/>
      <c r="WJI31" s="293"/>
      <c r="WJJ31" s="294"/>
      <c r="WJP31" s="292"/>
      <c r="WJQ31" s="293"/>
      <c r="WJR31" s="294"/>
      <c r="WJX31" s="292"/>
      <c r="WJY31" s="293"/>
      <c r="WJZ31" s="294"/>
      <c r="WKF31" s="292"/>
      <c r="WKG31" s="293"/>
      <c r="WKH31" s="294"/>
      <c r="WKN31" s="292"/>
      <c r="WKO31" s="293"/>
      <c r="WKP31" s="294"/>
      <c r="WKV31" s="292"/>
      <c r="WKW31" s="293"/>
      <c r="WKX31" s="294"/>
      <c r="WLD31" s="292"/>
      <c r="WLE31" s="293"/>
      <c r="WLF31" s="294"/>
      <c r="WLL31" s="292"/>
      <c r="WLM31" s="293"/>
      <c r="WLN31" s="294"/>
      <c r="WLT31" s="292"/>
      <c r="WLU31" s="293"/>
      <c r="WLV31" s="294"/>
      <c r="WMB31" s="292"/>
      <c r="WMC31" s="293"/>
      <c r="WMD31" s="294"/>
      <c r="WMJ31" s="292"/>
      <c r="WMK31" s="293"/>
      <c r="WML31" s="294"/>
      <c r="WMR31" s="292"/>
      <c r="WMS31" s="293"/>
      <c r="WMT31" s="294"/>
      <c r="WMZ31" s="292"/>
      <c r="WNA31" s="293"/>
      <c r="WNB31" s="294"/>
      <c r="WNH31" s="292"/>
      <c r="WNI31" s="293"/>
      <c r="WNJ31" s="294"/>
      <c r="WNP31" s="292"/>
      <c r="WNQ31" s="293"/>
      <c r="WNR31" s="294"/>
      <c r="WNX31" s="292"/>
      <c r="WNY31" s="293"/>
      <c r="WNZ31" s="294"/>
      <c r="WOF31" s="292"/>
      <c r="WOG31" s="293"/>
      <c r="WOH31" s="294"/>
      <c r="WON31" s="292"/>
      <c r="WOO31" s="293"/>
      <c r="WOP31" s="294"/>
      <c r="WOV31" s="292"/>
      <c r="WOW31" s="293"/>
      <c r="WOX31" s="294"/>
      <c r="WPD31" s="292"/>
      <c r="WPE31" s="293"/>
      <c r="WPF31" s="294"/>
      <c r="WPL31" s="292"/>
      <c r="WPM31" s="293"/>
      <c r="WPN31" s="294"/>
      <c r="WPT31" s="292"/>
      <c r="WPU31" s="293"/>
      <c r="WPV31" s="294"/>
      <c r="WQB31" s="292"/>
      <c r="WQC31" s="293"/>
      <c r="WQD31" s="294"/>
      <c r="WQJ31" s="292"/>
      <c r="WQK31" s="293"/>
      <c r="WQL31" s="294"/>
      <c r="WQR31" s="292"/>
      <c r="WQS31" s="293"/>
      <c r="WQT31" s="294"/>
      <c r="WQZ31" s="292"/>
      <c r="WRA31" s="293"/>
      <c r="WRB31" s="294"/>
      <c r="WRH31" s="292"/>
      <c r="WRI31" s="293"/>
      <c r="WRJ31" s="294"/>
      <c r="WRP31" s="292"/>
      <c r="WRQ31" s="293"/>
      <c r="WRR31" s="294"/>
      <c r="WRX31" s="292"/>
      <c r="WRY31" s="293"/>
      <c r="WRZ31" s="294"/>
      <c r="WSF31" s="292"/>
      <c r="WSG31" s="293"/>
      <c r="WSH31" s="294"/>
      <c r="WSN31" s="292"/>
      <c r="WSO31" s="293"/>
      <c r="WSP31" s="294"/>
      <c r="WSV31" s="292"/>
      <c r="WSW31" s="293"/>
      <c r="WSX31" s="294"/>
      <c r="WTD31" s="292"/>
      <c r="WTE31" s="293"/>
      <c r="WTF31" s="294"/>
      <c r="WTL31" s="292"/>
      <c r="WTM31" s="293"/>
      <c r="WTN31" s="294"/>
      <c r="WTT31" s="292"/>
      <c r="WTU31" s="293"/>
      <c r="WTV31" s="294"/>
      <c r="WUB31" s="292"/>
      <c r="WUC31" s="293"/>
      <c r="WUD31" s="294"/>
      <c r="WUJ31" s="292"/>
      <c r="WUK31" s="293"/>
      <c r="WUL31" s="294"/>
      <c r="WUR31" s="292"/>
      <c r="WUS31" s="293"/>
      <c r="WUT31" s="294"/>
      <c r="WUZ31" s="292"/>
      <c r="WVA31" s="293"/>
      <c r="WVB31" s="294"/>
      <c r="WVH31" s="292"/>
      <c r="WVI31" s="293"/>
      <c r="WVJ31" s="294"/>
      <c r="WVP31" s="292"/>
      <c r="WVQ31" s="293"/>
      <c r="WVR31" s="294"/>
      <c r="WVX31" s="292"/>
      <c r="WVY31" s="293"/>
      <c r="WVZ31" s="294"/>
      <c r="WWF31" s="292"/>
      <c r="WWG31" s="293"/>
      <c r="WWH31" s="294"/>
      <c r="WWN31" s="292"/>
      <c r="WWO31" s="293"/>
      <c r="WWP31" s="294"/>
      <c r="WWV31" s="292"/>
      <c r="WWW31" s="293"/>
      <c r="WWX31" s="294"/>
      <c r="WXD31" s="292"/>
      <c r="WXE31" s="293"/>
      <c r="WXF31" s="294"/>
      <c r="WXL31" s="292"/>
      <c r="WXM31" s="293"/>
      <c r="WXN31" s="294"/>
      <c r="WXT31" s="292"/>
      <c r="WXU31" s="293"/>
      <c r="WXV31" s="294"/>
      <c r="WYB31" s="292"/>
      <c r="WYC31" s="293"/>
      <c r="WYD31" s="294"/>
      <c r="WYJ31" s="292"/>
      <c r="WYK31" s="293"/>
      <c r="WYL31" s="294"/>
      <c r="WYR31" s="292"/>
      <c r="WYS31" s="293"/>
      <c r="WYT31" s="294"/>
      <c r="WYZ31" s="292"/>
      <c r="WZA31" s="293"/>
      <c r="WZB31" s="294"/>
      <c r="WZH31" s="292"/>
      <c r="WZI31" s="293"/>
      <c r="WZJ31" s="294"/>
      <c r="WZP31" s="292"/>
      <c r="WZQ31" s="293"/>
      <c r="WZR31" s="294"/>
      <c r="WZX31" s="292"/>
      <c r="WZY31" s="293"/>
      <c r="WZZ31" s="294"/>
      <c r="XAF31" s="292"/>
      <c r="XAG31" s="293"/>
      <c r="XAH31" s="294"/>
      <c r="XAN31" s="292"/>
      <c r="XAO31" s="293"/>
      <c r="XAP31" s="294"/>
      <c r="XAV31" s="292"/>
      <c r="XAW31" s="293"/>
      <c r="XAX31" s="294"/>
      <c r="XBD31" s="292"/>
      <c r="XBE31" s="293"/>
      <c r="XBF31" s="294"/>
      <c r="XBL31" s="292"/>
      <c r="XBM31" s="293"/>
      <c r="XBN31" s="294"/>
      <c r="XBT31" s="292"/>
      <c r="XBU31" s="293"/>
      <c r="XBV31" s="294"/>
      <c r="XCB31" s="292"/>
      <c r="XCC31" s="293"/>
      <c r="XCD31" s="294"/>
      <c r="XCJ31" s="292"/>
      <c r="XCK31" s="293"/>
      <c r="XCL31" s="294"/>
      <c r="XCR31" s="292"/>
      <c r="XCS31" s="293"/>
      <c r="XCT31" s="294"/>
      <c r="XCZ31" s="292"/>
      <c r="XDA31" s="293"/>
      <c r="XDB31" s="294"/>
      <c r="XDH31" s="292"/>
      <c r="XDI31" s="293"/>
      <c r="XDJ31" s="294"/>
      <c r="XDP31" s="292"/>
      <c r="XDQ31" s="293"/>
      <c r="XDR31" s="294"/>
      <c r="XDX31" s="292"/>
      <c r="XDY31" s="293"/>
      <c r="XDZ31" s="294"/>
      <c r="XEF31" s="292"/>
      <c r="XEG31" s="293"/>
      <c r="XEH31" s="294"/>
      <c r="XEN31" s="292"/>
      <c r="XEO31" s="293"/>
      <c r="XEP31" s="294"/>
      <c r="XEV31" s="292"/>
      <c r="XEW31" s="293"/>
      <c r="XEX31" s="294"/>
    </row>
    <row r="32" spans="1:16378" x14ac:dyDescent="0.3">
      <c r="A32" s="396"/>
      <c r="B32" s="470"/>
      <c r="C32" s="471"/>
      <c r="D32" s="472"/>
      <c r="E32" s="472"/>
      <c r="F32" s="472"/>
      <c r="G32" s="472"/>
    </row>
    <row r="33" spans="1:8" s="270" customFormat="1" ht="33.75" customHeight="1" x14ac:dyDescent="0.3">
      <c r="A33" s="436" t="s">
        <v>1367</v>
      </c>
      <c r="B33" s="436"/>
      <c r="C33" s="436"/>
      <c r="D33" s="436"/>
      <c r="E33" s="436"/>
      <c r="F33" s="436"/>
      <c r="G33" s="436"/>
      <c r="H33" s="271"/>
    </row>
    <row r="34" spans="1:8" ht="12.75" customHeight="1" x14ac:dyDescent="0.3">
      <c r="A34" s="431" t="s">
        <v>1337</v>
      </c>
      <c r="B34" s="431"/>
      <c r="C34" s="431"/>
      <c r="D34" s="431"/>
      <c r="E34" s="431"/>
      <c r="F34" s="431"/>
      <c r="G34" s="431"/>
    </row>
    <row r="35" spans="1:8" x14ac:dyDescent="0.3">
      <c r="A35" s="272"/>
      <c r="B35" s="352"/>
      <c r="C35" s="272"/>
      <c r="D35" s="272"/>
      <c r="E35" s="272"/>
      <c r="F35" s="272"/>
      <c r="G35" s="272"/>
    </row>
    <row r="36" spans="1:8" ht="15" customHeight="1" x14ac:dyDescent="0.3">
      <c r="A36" s="432" t="s">
        <v>1038</v>
      </c>
      <c r="B36" s="432" t="s">
        <v>1037</v>
      </c>
      <c r="C36" s="433" t="s">
        <v>91</v>
      </c>
      <c r="D36" s="433" t="s">
        <v>90</v>
      </c>
      <c r="E36" s="433" t="s">
        <v>89</v>
      </c>
      <c r="F36" s="433" t="s">
        <v>1186</v>
      </c>
      <c r="G36" s="433"/>
    </row>
    <row r="37" spans="1:8" ht="50.15" customHeight="1" x14ac:dyDescent="0.3">
      <c r="A37" s="432"/>
      <c r="B37" s="432"/>
      <c r="C37" s="433"/>
      <c r="D37" s="433"/>
      <c r="E37" s="433"/>
      <c r="F37" s="273" t="s">
        <v>88</v>
      </c>
      <c r="G37" s="273" t="s">
        <v>87</v>
      </c>
    </row>
    <row r="38" spans="1:8" x14ac:dyDescent="0.3">
      <c r="A38" s="274"/>
      <c r="B38" s="275"/>
      <c r="C38" s="275"/>
      <c r="D38" s="276"/>
      <c r="E38" s="276"/>
      <c r="F38" s="276"/>
      <c r="G38" s="365"/>
    </row>
    <row r="39" spans="1:8" ht="29" customHeight="1" x14ac:dyDescent="0.3">
      <c r="A39" s="377" t="s">
        <v>574</v>
      </c>
      <c r="B39" s="298" t="s">
        <v>1003</v>
      </c>
      <c r="C39" s="332">
        <v>20208.93</v>
      </c>
      <c r="D39" s="332">
        <v>1568.06</v>
      </c>
      <c r="E39" s="333">
        <f t="shared" ref="E39:E52" si="1">IF(C39&lt;&gt;"",D39/C39*100,"")</f>
        <v>7.7592430672974766</v>
      </c>
      <c r="F39" s="332">
        <v>17629.5</v>
      </c>
      <c r="G39" s="334">
        <v>22788.37</v>
      </c>
      <c r="H39" s="278"/>
    </row>
    <row r="40" spans="1:8" x14ac:dyDescent="0.3">
      <c r="A40" s="377" t="s">
        <v>375</v>
      </c>
      <c r="B40" s="298" t="s">
        <v>876</v>
      </c>
      <c r="C40" s="332">
        <v>15408.71</v>
      </c>
      <c r="D40" s="332">
        <v>321.1592</v>
      </c>
      <c r="E40" s="333">
        <f t="shared" si="1"/>
        <v>2.084270519725532</v>
      </c>
      <c r="F40" s="332">
        <v>14880.41</v>
      </c>
      <c r="G40" s="334">
        <v>15937.01</v>
      </c>
      <c r="H40" s="278"/>
    </row>
    <row r="41" spans="1:8" x14ac:dyDescent="0.3">
      <c r="A41" s="377" t="s">
        <v>650</v>
      </c>
      <c r="B41" s="298" t="s">
        <v>867</v>
      </c>
      <c r="C41" s="332">
        <v>20012.87</v>
      </c>
      <c r="D41" s="332">
        <v>2598.29</v>
      </c>
      <c r="E41" s="333">
        <f t="shared" si="1"/>
        <v>12.983095378124176</v>
      </c>
      <c r="F41" s="332">
        <v>15738.72</v>
      </c>
      <c r="G41" s="334">
        <v>24287.01</v>
      </c>
      <c r="H41" s="278"/>
    </row>
    <row r="42" spans="1:8" ht="14.25" customHeight="1" x14ac:dyDescent="0.3">
      <c r="A42" s="377" t="s">
        <v>474</v>
      </c>
      <c r="B42" s="298" t="s">
        <v>1057</v>
      </c>
      <c r="C42" s="332">
        <v>22729.11</v>
      </c>
      <c r="D42" s="332">
        <v>1721.8340000000001</v>
      </c>
      <c r="E42" s="333">
        <f t="shared" si="1"/>
        <v>7.5754572000399492</v>
      </c>
      <c r="F42" s="332">
        <v>19896.72</v>
      </c>
      <c r="G42" s="334">
        <v>25561.49</v>
      </c>
      <c r="H42" s="278"/>
    </row>
    <row r="43" spans="1:8" x14ac:dyDescent="0.3">
      <c r="A43" s="377" t="s">
        <v>441</v>
      </c>
      <c r="B43" s="298" t="s">
        <v>846</v>
      </c>
      <c r="C43" s="332">
        <v>19758.32</v>
      </c>
      <c r="D43" s="332">
        <v>870.50310000000002</v>
      </c>
      <c r="E43" s="333">
        <f t="shared" si="1"/>
        <v>4.4057546390583822</v>
      </c>
      <c r="F43" s="332">
        <v>18326.349999999999</v>
      </c>
      <c r="G43" s="334">
        <v>21190.28</v>
      </c>
      <c r="H43" s="278"/>
    </row>
    <row r="44" spans="1:8" ht="28" x14ac:dyDescent="0.3">
      <c r="A44" s="377" t="s">
        <v>581</v>
      </c>
      <c r="B44" s="298" t="s">
        <v>1376</v>
      </c>
      <c r="C44" s="332">
        <v>17326.91</v>
      </c>
      <c r="D44" s="332">
        <v>1070.979</v>
      </c>
      <c r="E44" s="333">
        <f t="shared" si="1"/>
        <v>6.1810155417209423</v>
      </c>
      <c r="F44" s="332">
        <v>15565.17</v>
      </c>
      <c r="G44" s="334">
        <v>19088.650000000001</v>
      </c>
      <c r="H44" s="278"/>
    </row>
    <row r="45" spans="1:8" ht="12" customHeight="1" x14ac:dyDescent="0.3">
      <c r="A45" s="377" t="s">
        <v>554</v>
      </c>
      <c r="B45" s="298" t="s">
        <v>817</v>
      </c>
      <c r="C45" s="332">
        <v>15825.65</v>
      </c>
      <c r="D45" s="332">
        <v>916.81629999999996</v>
      </c>
      <c r="E45" s="333">
        <f t="shared" si="1"/>
        <v>5.7932299779155993</v>
      </c>
      <c r="F45" s="332">
        <v>14317.5</v>
      </c>
      <c r="G45" s="334">
        <v>17333.79</v>
      </c>
      <c r="H45" s="278"/>
    </row>
    <row r="46" spans="1:8" ht="12.75" customHeight="1" x14ac:dyDescent="0.3">
      <c r="A46" s="377" t="s">
        <v>598</v>
      </c>
      <c r="B46" s="298" t="s">
        <v>800</v>
      </c>
      <c r="C46" s="332">
        <v>19404.7</v>
      </c>
      <c r="D46" s="332">
        <v>844.57029999999997</v>
      </c>
      <c r="E46" s="333">
        <f t="shared" si="1"/>
        <v>4.3524007070452004</v>
      </c>
      <c r="F46" s="332">
        <v>18015.39</v>
      </c>
      <c r="G46" s="334">
        <v>20794</v>
      </c>
      <c r="H46" s="278"/>
    </row>
    <row r="47" spans="1:8" ht="12.75" customHeight="1" x14ac:dyDescent="0.3">
      <c r="A47" s="377" t="s">
        <v>396</v>
      </c>
      <c r="B47" s="298" t="s">
        <v>786</v>
      </c>
      <c r="C47" s="332">
        <v>16620.98</v>
      </c>
      <c r="D47" s="332">
        <v>1489.25</v>
      </c>
      <c r="E47" s="333">
        <f t="shared" si="1"/>
        <v>8.9600613200906327</v>
      </c>
      <c r="F47" s="332">
        <v>14171.19</v>
      </c>
      <c r="G47" s="334">
        <v>19070.78</v>
      </c>
      <c r="H47" s="278"/>
    </row>
    <row r="48" spans="1:8" ht="14.25" customHeight="1" x14ac:dyDescent="0.3">
      <c r="A48" s="377" t="s">
        <v>334</v>
      </c>
      <c r="B48" s="298" t="s">
        <v>1056</v>
      </c>
      <c r="C48" s="332">
        <v>18719.07</v>
      </c>
      <c r="D48" s="332">
        <v>1206.883</v>
      </c>
      <c r="E48" s="333">
        <f t="shared" si="1"/>
        <v>6.4473448734365544</v>
      </c>
      <c r="F48" s="332">
        <v>16733.77</v>
      </c>
      <c r="G48" s="334">
        <v>20704.37</v>
      </c>
      <c r="H48" s="278"/>
    </row>
    <row r="49" spans="1:16378" ht="27.75" customHeight="1" x14ac:dyDescent="0.3">
      <c r="A49" s="377" t="s">
        <v>1055</v>
      </c>
      <c r="B49" s="298" t="s">
        <v>1377</v>
      </c>
      <c r="C49" s="332">
        <v>18659.740000000002</v>
      </c>
      <c r="D49" s="332">
        <v>2370.451</v>
      </c>
      <c r="E49" s="333">
        <f t="shared" si="1"/>
        <v>12.703558570483834</v>
      </c>
      <c r="F49" s="332">
        <v>14760.39</v>
      </c>
      <c r="G49" s="334">
        <v>22559.1</v>
      </c>
      <c r="H49" s="278"/>
    </row>
    <row r="50" spans="1:16378" ht="13.5" customHeight="1" x14ac:dyDescent="0.3">
      <c r="A50" s="377" t="s">
        <v>385</v>
      </c>
      <c r="B50" s="298" t="s">
        <v>751</v>
      </c>
      <c r="C50" s="332">
        <v>16887.12</v>
      </c>
      <c r="D50" s="332">
        <v>524.85469999999998</v>
      </c>
      <c r="E50" s="333">
        <f t="shared" si="1"/>
        <v>3.1080178266039442</v>
      </c>
      <c r="F50" s="332">
        <v>16023.74</v>
      </c>
      <c r="G50" s="334">
        <v>17750.490000000002</v>
      </c>
      <c r="H50" s="278"/>
    </row>
    <row r="51" spans="1:16378" x14ac:dyDescent="0.3">
      <c r="A51" s="377" t="s">
        <v>487</v>
      </c>
      <c r="B51" s="298" t="s">
        <v>730</v>
      </c>
      <c r="C51" s="332">
        <v>17467.32</v>
      </c>
      <c r="D51" s="332">
        <v>1247.421</v>
      </c>
      <c r="E51" s="333">
        <f t="shared" si="1"/>
        <v>7.1414561592734325</v>
      </c>
      <c r="F51" s="332">
        <v>15415.33</v>
      </c>
      <c r="G51" s="334">
        <v>19519.3</v>
      </c>
      <c r="H51" s="278"/>
    </row>
    <row r="52" spans="1:16378" ht="28" x14ac:dyDescent="0.3">
      <c r="A52" s="377" t="s">
        <v>1053</v>
      </c>
      <c r="B52" s="298" t="s">
        <v>1378</v>
      </c>
      <c r="C52" s="332">
        <v>18751.759999999998</v>
      </c>
      <c r="D52" s="332">
        <v>966.04049999999995</v>
      </c>
      <c r="E52" s="333">
        <f t="shared" si="1"/>
        <v>5.1517324240497961</v>
      </c>
      <c r="F52" s="332">
        <v>17162.64</v>
      </c>
      <c r="G52" s="334">
        <v>20340.88</v>
      </c>
      <c r="H52" s="278"/>
    </row>
    <row r="53" spans="1:16378" x14ac:dyDescent="0.3">
      <c r="A53" s="277"/>
      <c r="B53" s="298"/>
      <c r="C53" s="298"/>
      <c r="D53" s="319"/>
      <c r="E53" s="319"/>
      <c r="F53" s="319"/>
      <c r="G53" s="331"/>
    </row>
    <row r="54" spans="1:16378" s="279" customFormat="1" ht="28" x14ac:dyDescent="0.3">
      <c r="A54" s="445" t="s">
        <v>391</v>
      </c>
      <c r="B54" s="354" t="s">
        <v>1379</v>
      </c>
      <c r="C54" s="326">
        <v>33457.879999999997</v>
      </c>
      <c r="D54" s="326">
        <v>1713.4749999999999</v>
      </c>
      <c r="E54" s="327">
        <f>IF(C54&lt;&gt;"",D54/C54*100,"")</f>
        <v>5.1212898127436643</v>
      </c>
      <c r="F54" s="326">
        <v>30639.25</v>
      </c>
      <c r="G54" s="328">
        <v>36276.519999999997</v>
      </c>
      <c r="H54" s="278"/>
    </row>
    <row r="55" spans="1:16378" x14ac:dyDescent="0.3">
      <c r="A55" s="277"/>
      <c r="B55" s="298"/>
      <c r="C55" s="298"/>
      <c r="D55" s="366"/>
      <c r="E55" s="323"/>
      <c r="F55" s="323"/>
      <c r="G55" s="361"/>
    </row>
    <row r="56" spans="1:16378" s="279" customFormat="1" ht="26.25" customHeight="1" x14ac:dyDescent="0.3">
      <c r="A56" s="445" t="s">
        <v>1049</v>
      </c>
      <c r="B56" s="354" t="s">
        <v>1050</v>
      </c>
      <c r="C56" s="326">
        <v>24670.560000000001</v>
      </c>
      <c r="D56" s="326">
        <v>721.50969999999995</v>
      </c>
      <c r="E56" s="327">
        <f>IF(C56&lt;&gt;"",D56/C56*100,"")</f>
        <v>2.9245777153011518</v>
      </c>
      <c r="F56" s="326">
        <v>23483.69</v>
      </c>
      <c r="G56" s="328">
        <v>25857.43</v>
      </c>
      <c r="H56" s="278"/>
    </row>
    <row r="57" spans="1:16378" ht="18" customHeight="1" x14ac:dyDescent="0.3">
      <c r="A57" s="377" t="s">
        <v>402</v>
      </c>
      <c r="B57" s="298" t="s">
        <v>677</v>
      </c>
      <c r="C57" s="332">
        <v>25583.439999999999</v>
      </c>
      <c r="D57" s="332">
        <v>808.83979999999997</v>
      </c>
      <c r="E57" s="333">
        <f>IF(C57&lt;&gt;"",D57/C57*100,"")</f>
        <v>3.1615756129746431</v>
      </c>
      <c r="F57" s="332">
        <v>24252.91</v>
      </c>
      <c r="G57" s="334">
        <v>26913.97</v>
      </c>
      <c r="H57" s="278"/>
    </row>
    <row r="58" spans="1:16378" ht="42" x14ac:dyDescent="0.3">
      <c r="A58" s="377" t="s">
        <v>1110</v>
      </c>
      <c r="B58" s="298" t="s">
        <v>1368</v>
      </c>
      <c r="C58" s="332">
        <v>19616.060000000001</v>
      </c>
      <c r="D58" s="332">
        <v>568.7491</v>
      </c>
      <c r="E58" s="333">
        <f>IF(C58&lt;&gt;"",D58/C58*100,"")</f>
        <v>2.8994053851792865</v>
      </c>
      <c r="F58" s="332">
        <v>18680.48</v>
      </c>
      <c r="G58" s="334">
        <v>20551.64</v>
      </c>
      <c r="H58" s="278"/>
    </row>
    <row r="59" spans="1:16378" s="287" customFormat="1" ht="5.5" customHeight="1" x14ac:dyDescent="0.3">
      <c r="A59" s="288"/>
      <c r="B59" s="289"/>
      <c r="C59" s="290"/>
      <c r="D59" s="291"/>
      <c r="E59" s="291"/>
      <c r="F59" s="291"/>
      <c r="G59" s="339"/>
      <c r="H59" s="292"/>
      <c r="I59" s="293"/>
      <c r="J59" s="294"/>
      <c r="P59" s="292"/>
      <c r="Q59" s="293"/>
      <c r="R59" s="294"/>
      <c r="X59" s="292"/>
      <c r="Y59" s="293"/>
      <c r="Z59" s="294"/>
      <c r="AF59" s="292"/>
      <c r="AG59" s="293"/>
      <c r="AH59" s="294"/>
      <c r="AN59" s="292"/>
      <c r="AO59" s="293"/>
      <c r="AP59" s="294"/>
      <c r="AV59" s="292"/>
      <c r="AW59" s="293"/>
      <c r="AX59" s="294"/>
      <c r="BD59" s="292"/>
      <c r="BE59" s="293"/>
      <c r="BF59" s="294"/>
      <c r="BL59" s="292"/>
      <c r="BM59" s="293"/>
      <c r="BN59" s="294"/>
      <c r="BT59" s="292"/>
      <c r="BU59" s="293"/>
      <c r="BV59" s="294"/>
      <c r="CB59" s="292"/>
      <c r="CC59" s="293"/>
      <c r="CD59" s="294"/>
      <c r="CJ59" s="292"/>
      <c r="CK59" s="293"/>
      <c r="CL59" s="294"/>
      <c r="CR59" s="292"/>
      <c r="CS59" s="293"/>
      <c r="CT59" s="294"/>
      <c r="CZ59" s="292"/>
      <c r="DA59" s="293"/>
      <c r="DB59" s="294"/>
      <c r="DH59" s="292"/>
      <c r="DI59" s="293"/>
      <c r="DJ59" s="294"/>
      <c r="DP59" s="292"/>
      <c r="DQ59" s="293"/>
      <c r="DR59" s="294"/>
      <c r="DX59" s="292"/>
      <c r="DY59" s="293"/>
      <c r="DZ59" s="294"/>
      <c r="EF59" s="292"/>
      <c r="EG59" s="293"/>
      <c r="EH59" s="294"/>
      <c r="EN59" s="292"/>
      <c r="EO59" s="293"/>
      <c r="EP59" s="294"/>
      <c r="EV59" s="292"/>
      <c r="EW59" s="293"/>
      <c r="EX59" s="294"/>
      <c r="FD59" s="292"/>
      <c r="FE59" s="293"/>
      <c r="FF59" s="294"/>
      <c r="FL59" s="292"/>
      <c r="FM59" s="293"/>
      <c r="FN59" s="294"/>
      <c r="FT59" s="292"/>
      <c r="FU59" s="293"/>
      <c r="FV59" s="294"/>
      <c r="GB59" s="292"/>
      <c r="GC59" s="293"/>
      <c r="GD59" s="294"/>
      <c r="GJ59" s="292"/>
      <c r="GK59" s="293"/>
      <c r="GL59" s="294"/>
      <c r="GR59" s="292"/>
      <c r="GS59" s="293"/>
      <c r="GT59" s="294"/>
      <c r="GZ59" s="292"/>
      <c r="HA59" s="293"/>
      <c r="HB59" s="294"/>
      <c r="HH59" s="292"/>
      <c r="HI59" s="293"/>
      <c r="HJ59" s="294"/>
      <c r="HP59" s="292"/>
      <c r="HQ59" s="293"/>
      <c r="HR59" s="294"/>
      <c r="HX59" s="292"/>
      <c r="HY59" s="293"/>
      <c r="HZ59" s="294"/>
      <c r="IF59" s="292"/>
      <c r="IG59" s="293"/>
      <c r="IH59" s="294"/>
      <c r="IN59" s="292"/>
      <c r="IO59" s="293"/>
      <c r="IP59" s="294"/>
      <c r="IV59" s="292"/>
      <c r="IW59" s="293"/>
      <c r="IX59" s="294"/>
      <c r="JD59" s="292"/>
      <c r="JE59" s="293"/>
      <c r="JF59" s="294"/>
      <c r="JL59" s="292"/>
      <c r="JM59" s="293"/>
      <c r="JN59" s="294"/>
      <c r="JT59" s="292"/>
      <c r="JU59" s="293"/>
      <c r="JV59" s="294"/>
      <c r="KB59" s="292"/>
      <c r="KC59" s="293"/>
      <c r="KD59" s="294"/>
      <c r="KJ59" s="292"/>
      <c r="KK59" s="293"/>
      <c r="KL59" s="294"/>
      <c r="KR59" s="292"/>
      <c r="KS59" s="293"/>
      <c r="KT59" s="294"/>
      <c r="KZ59" s="292"/>
      <c r="LA59" s="293"/>
      <c r="LB59" s="294"/>
      <c r="LH59" s="292"/>
      <c r="LI59" s="293"/>
      <c r="LJ59" s="294"/>
      <c r="LP59" s="292"/>
      <c r="LQ59" s="293"/>
      <c r="LR59" s="294"/>
      <c r="LX59" s="292"/>
      <c r="LY59" s="293"/>
      <c r="LZ59" s="294"/>
      <c r="MF59" s="292"/>
      <c r="MG59" s="293"/>
      <c r="MH59" s="294"/>
      <c r="MN59" s="292"/>
      <c r="MO59" s="293"/>
      <c r="MP59" s="294"/>
      <c r="MV59" s="292"/>
      <c r="MW59" s="293"/>
      <c r="MX59" s="294"/>
      <c r="ND59" s="292"/>
      <c r="NE59" s="293"/>
      <c r="NF59" s="294"/>
      <c r="NL59" s="292"/>
      <c r="NM59" s="293"/>
      <c r="NN59" s="294"/>
      <c r="NT59" s="292"/>
      <c r="NU59" s="293"/>
      <c r="NV59" s="294"/>
      <c r="OB59" s="292"/>
      <c r="OC59" s="293"/>
      <c r="OD59" s="294"/>
      <c r="OJ59" s="292"/>
      <c r="OK59" s="293"/>
      <c r="OL59" s="294"/>
      <c r="OR59" s="292"/>
      <c r="OS59" s="293"/>
      <c r="OT59" s="294"/>
      <c r="OZ59" s="292"/>
      <c r="PA59" s="293"/>
      <c r="PB59" s="294"/>
      <c r="PH59" s="292"/>
      <c r="PI59" s="293"/>
      <c r="PJ59" s="294"/>
      <c r="PP59" s="292"/>
      <c r="PQ59" s="293"/>
      <c r="PR59" s="294"/>
      <c r="PX59" s="292"/>
      <c r="PY59" s="293"/>
      <c r="PZ59" s="294"/>
      <c r="QF59" s="292"/>
      <c r="QG59" s="293"/>
      <c r="QH59" s="294"/>
      <c r="QN59" s="292"/>
      <c r="QO59" s="293"/>
      <c r="QP59" s="294"/>
      <c r="QV59" s="292"/>
      <c r="QW59" s="293"/>
      <c r="QX59" s="294"/>
      <c r="RD59" s="292"/>
      <c r="RE59" s="293"/>
      <c r="RF59" s="294"/>
      <c r="RL59" s="292"/>
      <c r="RM59" s="293"/>
      <c r="RN59" s="294"/>
      <c r="RT59" s="292"/>
      <c r="RU59" s="293"/>
      <c r="RV59" s="294"/>
      <c r="SB59" s="292"/>
      <c r="SC59" s="293"/>
      <c r="SD59" s="294"/>
      <c r="SJ59" s="292"/>
      <c r="SK59" s="293"/>
      <c r="SL59" s="294"/>
      <c r="SR59" s="292"/>
      <c r="SS59" s="293"/>
      <c r="ST59" s="294"/>
      <c r="SZ59" s="292"/>
      <c r="TA59" s="293"/>
      <c r="TB59" s="294"/>
      <c r="TH59" s="292"/>
      <c r="TI59" s="293"/>
      <c r="TJ59" s="294"/>
      <c r="TP59" s="292"/>
      <c r="TQ59" s="293"/>
      <c r="TR59" s="294"/>
      <c r="TX59" s="292"/>
      <c r="TY59" s="293"/>
      <c r="TZ59" s="294"/>
      <c r="UF59" s="292"/>
      <c r="UG59" s="293"/>
      <c r="UH59" s="294"/>
      <c r="UN59" s="292"/>
      <c r="UO59" s="293"/>
      <c r="UP59" s="294"/>
      <c r="UV59" s="292"/>
      <c r="UW59" s="293"/>
      <c r="UX59" s="294"/>
      <c r="VD59" s="292"/>
      <c r="VE59" s="293"/>
      <c r="VF59" s="294"/>
      <c r="VL59" s="292"/>
      <c r="VM59" s="293"/>
      <c r="VN59" s="294"/>
      <c r="VT59" s="292"/>
      <c r="VU59" s="293"/>
      <c r="VV59" s="294"/>
      <c r="WB59" s="292"/>
      <c r="WC59" s="293"/>
      <c r="WD59" s="294"/>
      <c r="WJ59" s="292"/>
      <c r="WK59" s="293"/>
      <c r="WL59" s="294"/>
      <c r="WR59" s="292"/>
      <c r="WS59" s="293"/>
      <c r="WT59" s="294"/>
      <c r="WZ59" s="292"/>
      <c r="XA59" s="293"/>
      <c r="XB59" s="294"/>
      <c r="XH59" s="292"/>
      <c r="XI59" s="293"/>
      <c r="XJ59" s="294"/>
      <c r="XP59" s="292"/>
      <c r="XQ59" s="293"/>
      <c r="XR59" s="294"/>
      <c r="XX59" s="292"/>
      <c r="XY59" s="293"/>
      <c r="XZ59" s="294"/>
      <c r="YF59" s="292"/>
      <c r="YG59" s="293"/>
      <c r="YH59" s="294"/>
      <c r="YN59" s="292"/>
      <c r="YO59" s="293"/>
      <c r="YP59" s="294"/>
      <c r="YV59" s="292"/>
      <c r="YW59" s="293"/>
      <c r="YX59" s="294"/>
      <c r="ZD59" s="292"/>
      <c r="ZE59" s="293"/>
      <c r="ZF59" s="294"/>
      <c r="ZL59" s="292"/>
      <c r="ZM59" s="293"/>
      <c r="ZN59" s="294"/>
      <c r="ZT59" s="292"/>
      <c r="ZU59" s="293"/>
      <c r="ZV59" s="294"/>
      <c r="AAB59" s="292"/>
      <c r="AAC59" s="293"/>
      <c r="AAD59" s="294"/>
      <c r="AAJ59" s="292"/>
      <c r="AAK59" s="293"/>
      <c r="AAL59" s="294"/>
      <c r="AAR59" s="292"/>
      <c r="AAS59" s="293"/>
      <c r="AAT59" s="294"/>
      <c r="AAZ59" s="292"/>
      <c r="ABA59" s="293"/>
      <c r="ABB59" s="294"/>
      <c r="ABH59" s="292"/>
      <c r="ABI59" s="293"/>
      <c r="ABJ59" s="294"/>
      <c r="ABP59" s="292"/>
      <c r="ABQ59" s="293"/>
      <c r="ABR59" s="294"/>
      <c r="ABX59" s="292"/>
      <c r="ABY59" s="293"/>
      <c r="ABZ59" s="294"/>
      <c r="ACF59" s="292"/>
      <c r="ACG59" s="293"/>
      <c r="ACH59" s="294"/>
      <c r="ACN59" s="292"/>
      <c r="ACO59" s="293"/>
      <c r="ACP59" s="294"/>
      <c r="ACV59" s="292"/>
      <c r="ACW59" s="293"/>
      <c r="ACX59" s="294"/>
      <c r="ADD59" s="292"/>
      <c r="ADE59" s="293"/>
      <c r="ADF59" s="294"/>
      <c r="ADL59" s="292"/>
      <c r="ADM59" s="293"/>
      <c r="ADN59" s="294"/>
      <c r="ADT59" s="292"/>
      <c r="ADU59" s="293"/>
      <c r="ADV59" s="294"/>
      <c r="AEB59" s="292"/>
      <c r="AEC59" s="293"/>
      <c r="AED59" s="294"/>
      <c r="AEJ59" s="292"/>
      <c r="AEK59" s="293"/>
      <c r="AEL59" s="294"/>
      <c r="AER59" s="292"/>
      <c r="AES59" s="293"/>
      <c r="AET59" s="294"/>
      <c r="AEZ59" s="292"/>
      <c r="AFA59" s="293"/>
      <c r="AFB59" s="294"/>
      <c r="AFH59" s="292"/>
      <c r="AFI59" s="293"/>
      <c r="AFJ59" s="294"/>
      <c r="AFP59" s="292"/>
      <c r="AFQ59" s="293"/>
      <c r="AFR59" s="294"/>
      <c r="AFX59" s="292"/>
      <c r="AFY59" s="293"/>
      <c r="AFZ59" s="294"/>
      <c r="AGF59" s="292"/>
      <c r="AGG59" s="293"/>
      <c r="AGH59" s="294"/>
      <c r="AGN59" s="292"/>
      <c r="AGO59" s="293"/>
      <c r="AGP59" s="294"/>
      <c r="AGV59" s="292"/>
      <c r="AGW59" s="293"/>
      <c r="AGX59" s="294"/>
      <c r="AHD59" s="292"/>
      <c r="AHE59" s="293"/>
      <c r="AHF59" s="294"/>
      <c r="AHL59" s="292"/>
      <c r="AHM59" s="293"/>
      <c r="AHN59" s="294"/>
      <c r="AHT59" s="292"/>
      <c r="AHU59" s="293"/>
      <c r="AHV59" s="294"/>
      <c r="AIB59" s="292"/>
      <c r="AIC59" s="293"/>
      <c r="AID59" s="294"/>
      <c r="AIJ59" s="292"/>
      <c r="AIK59" s="293"/>
      <c r="AIL59" s="294"/>
      <c r="AIR59" s="292"/>
      <c r="AIS59" s="293"/>
      <c r="AIT59" s="294"/>
      <c r="AIZ59" s="292"/>
      <c r="AJA59" s="293"/>
      <c r="AJB59" s="294"/>
      <c r="AJH59" s="292"/>
      <c r="AJI59" s="293"/>
      <c r="AJJ59" s="294"/>
      <c r="AJP59" s="292"/>
      <c r="AJQ59" s="293"/>
      <c r="AJR59" s="294"/>
      <c r="AJX59" s="292"/>
      <c r="AJY59" s="293"/>
      <c r="AJZ59" s="294"/>
      <c r="AKF59" s="292"/>
      <c r="AKG59" s="293"/>
      <c r="AKH59" s="294"/>
      <c r="AKN59" s="292"/>
      <c r="AKO59" s="293"/>
      <c r="AKP59" s="294"/>
      <c r="AKV59" s="292"/>
      <c r="AKW59" s="293"/>
      <c r="AKX59" s="294"/>
      <c r="ALD59" s="292"/>
      <c r="ALE59" s="293"/>
      <c r="ALF59" s="294"/>
      <c r="ALL59" s="292"/>
      <c r="ALM59" s="293"/>
      <c r="ALN59" s="294"/>
      <c r="ALT59" s="292"/>
      <c r="ALU59" s="293"/>
      <c r="ALV59" s="294"/>
      <c r="AMB59" s="292"/>
      <c r="AMC59" s="293"/>
      <c r="AMD59" s="294"/>
      <c r="AMJ59" s="292"/>
      <c r="AMK59" s="293"/>
      <c r="AML59" s="294"/>
      <c r="AMR59" s="292"/>
      <c r="AMS59" s="293"/>
      <c r="AMT59" s="294"/>
      <c r="AMZ59" s="292"/>
      <c r="ANA59" s="293"/>
      <c r="ANB59" s="294"/>
      <c r="ANH59" s="292"/>
      <c r="ANI59" s="293"/>
      <c r="ANJ59" s="294"/>
      <c r="ANP59" s="292"/>
      <c r="ANQ59" s="293"/>
      <c r="ANR59" s="294"/>
      <c r="ANX59" s="292"/>
      <c r="ANY59" s="293"/>
      <c r="ANZ59" s="294"/>
      <c r="AOF59" s="292"/>
      <c r="AOG59" s="293"/>
      <c r="AOH59" s="294"/>
      <c r="AON59" s="292"/>
      <c r="AOO59" s="293"/>
      <c r="AOP59" s="294"/>
      <c r="AOV59" s="292"/>
      <c r="AOW59" s="293"/>
      <c r="AOX59" s="294"/>
      <c r="APD59" s="292"/>
      <c r="APE59" s="293"/>
      <c r="APF59" s="294"/>
      <c r="APL59" s="292"/>
      <c r="APM59" s="293"/>
      <c r="APN59" s="294"/>
      <c r="APT59" s="292"/>
      <c r="APU59" s="293"/>
      <c r="APV59" s="294"/>
      <c r="AQB59" s="292"/>
      <c r="AQC59" s="293"/>
      <c r="AQD59" s="294"/>
      <c r="AQJ59" s="292"/>
      <c r="AQK59" s="293"/>
      <c r="AQL59" s="294"/>
      <c r="AQR59" s="292"/>
      <c r="AQS59" s="293"/>
      <c r="AQT59" s="294"/>
      <c r="AQZ59" s="292"/>
      <c r="ARA59" s="293"/>
      <c r="ARB59" s="294"/>
      <c r="ARH59" s="292"/>
      <c r="ARI59" s="293"/>
      <c r="ARJ59" s="294"/>
      <c r="ARP59" s="292"/>
      <c r="ARQ59" s="293"/>
      <c r="ARR59" s="294"/>
      <c r="ARX59" s="292"/>
      <c r="ARY59" s="293"/>
      <c r="ARZ59" s="294"/>
      <c r="ASF59" s="292"/>
      <c r="ASG59" s="293"/>
      <c r="ASH59" s="294"/>
      <c r="ASN59" s="292"/>
      <c r="ASO59" s="293"/>
      <c r="ASP59" s="294"/>
      <c r="ASV59" s="292"/>
      <c r="ASW59" s="293"/>
      <c r="ASX59" s="294"/>
      <c r="ATD59" s="292"/>
      <c r="ATE59" s="293"/>
      <c r="ATF59" s="294"/>
      <c r="ATL59" s="292"/>
      <c r="ATM59" s="293"/>
      <c r="ATN59" s="294"/>
      <c r="ATT59" s="292"/>
      <c r="ATU59" s="293"/>
      <c r="ATV59" s="294"/>
      <c r="AUB59" s="292"/>
      <c r="AUC59" s="293"/>
      <c r="AUD59" s="294"/>
      <c r="AUJ59" s="292"/>
      <c r="AUK59" s="293"/>
      <c r="AUL59" s="294"/>
      <c r="AUR59" s="292"/>
      <c r="AUS59" s="293"/>
      <c r="AUT59" s="294"/>
      <c r="AUZ59" s="292"/>
      <c r="AVA59" s="293"/>
      <c r="AVB59" s="294"/>
      <c r="AVH59" s="292"/>
      <c r="AVI59" s="293"/>
      <c r="AVJ59" s="294"/>
      <c r="AVP59" s="292"/>
      <c r="AVQ59" s="293"/>
      <c r="AVR59" s="294"/>
      <c r="AVX59" s="292"/>
      <c r="AVY59" s="293"/>
      <c r="AVZ59" s="294"/>
      <c r="AWF59" s="292"/>
      <c r="AWG59" s="293"/>
      <c r="AWH59" s="294"/>
      <c r="AWN59" s="292"/>
      <c r="AWO59" s="293"/>
      <c r="AWP59" s="294"/>
      <c r="AWV59" s="292"/>
      <c r="AWW59" s="293"/>
      <c r="AWX59" s="294"/>
      <c r="AXD59" s="292"/>
      <c r="AXE59" s="293"/>
      <c r="AXF59" s="294"/>
      <c r="AXL59" s="292"/>
      <c r="AXM59" s="293"/>
      <c r="AXN59" s="294"/>
      <c r="AXT59" s="292"/>
      <c r="AXU59" s="293"/>
      <c r="AXV59" s="294"/>
      <c r="AYB59" s="292"/>
      <c r="AYC59" s="293"/>
      <c r="AYD59" s="294"/>
      <c r="AYJ59" s="292"/>
      <c r="AYK59" s="293"/>
      <c r="AYL59" s="294"/>
      <c r="AYR59" s="292"/>
      <c r="AYS59" s="293"/>
      <c r="AYT59" s="294"/>
      <c r="AYZ59" s="292"/>
      <c r="AZA59" s="293"/>
      <c r="AZB59" s="294"/>
      <c r="AZH59" s="292"/>
      <c r="AZI59" s="293"/>
      <c r="AZJ59" s="294"/>
      <c r="AZP59" s="292"/>
      <c r="AZQ59" s="293"/>
      <c r="AZR59" s="294"/>
      <c r="AZX59" s="292"/>
      <c r="AZY59" s="293"/>
      <c r="AZZ59" s="294"/>
      <c r="BAF59" s="292"/>
      <c r="BAG59" s="293"/>
      <c r="BAH59" s="294"/>
      <c r="BAN59" s="292"/>
      <c r="BAO59" s="293"/>
      <c r="BAP59" s="294"/>
      <c r="BAV59" s="292"/>
      <c r="BAW59" s="293"/>
      <c r="BAX59" s="294"/>
      <c r="BBD59" s="292"/>
      <c r="BBE59" s="293"/>
      <c r="BBF59" s="294"/>
      <c r="BBL59" s="292"/>
      <c r="BBM59" s="293"/>
      <c r="BBN59" s="294"/>
      <c r="BBT59" s="292"/>
      <c r="BBU59" s="293"/>
      <c r="BBV59" s="294"/>
      <c r="BCB59" s="292"/>
      <c r="BCC59" s="293"/>
      <c r="BCD59" s="294"/>
      <c r="BCJ59" s="292"/>
      <c r="BCK59" s="293"/>
      <c r="BCL59" s="294"/>
      <c r="BCR59" s="292"/>
      <c r="BCS59" s="293"/>
      <c r="BCT59" s="294"/>
      <c r="BCZ59" s="292"/>
      <c r="BDA59" s="293"/>
      <c r="BDB59" s="294"/>
      <c r="BDH59" s="292"/>
      <c r="BDI59" s="293"/>
      <c r="BDJ59" s="294"/>
      <c r="BDP59" s="292"/>
      <c r="BDQ59" s="293"/>
      <c r="BDR59" s="294"/>
      <c r="BDX59" s="292"/>
      <c r="BDY59" s="293"/>
      <c r="BDZ59" s="294"/>
      <c r="BEF59" s="292"/>
      <c r="BEG59" s="293"/>
      <c r="BEH59" s="294"/>
      <c r="BEN59" s="292"/>
      <c r="BEO59" s="293"/>
      <c r="BEP59" s="294"/>
      <c r="BEV59" s="292"/>
      <c r="BEW59" s="293"/>
      <c r="BEX59" s="294"/>
      <c r="BFD59" s="292"/>
      <c r="BFE59" s="293"/>
      <c r="BFF59" s="294"/>
      <c r="BFL59" s="292"/>
      <c r="BFM59" s="293"/>
      <c r="BFN59" s="294"/>
      <c r="BFT59" s="292"/>
      <c r="BFU59" s="293"/>
      <c r="BFV59" s="294"/>
      <c r="BGB59" s="292"/>
      <c r="BGC59" s="293"/>
      <c r="BGD59" s="294"/>
      <c r="BGJ59" s="292"/>
      <c r="BGK59" s="293"/>
      <c r="BGL59" s="294"/>
      <c r="BGR59" s="292"/>
      <c r="BGS59" s="293"/>
      <c r="BGT59" s="294"/>
      <c r="BGZ59" s="292"/>
      <c r="BHA59" s="293"/>
      <c r="BHB59" s="294"/>
      <c r="BHH59" s="292"/>
      <c r="BHI59" s="293"/>
      <c r="BHJ59" s="294"/>
      <c r="BHP59" s="292"/>
      <c r="BHQ59" s="293"/>
      <c r="BHR59" s="294"/>
      <c r="BHX59" s="292"/>
      <c r="BHY59" s="293"/>
      <c r="BHZ59" s="294"/>
      <c r="BIF59" s="292"/>
      <c r="BIG59" s="293"/>
      <c r="BIH59" s="294"/>
      <c r="BIN59" s="292"/>
      <c r="BIO59" s="293"/>
      <c r="BIP59" s="294"/>
      <c r="BIV59" s="292"/>
      <c r="BIW59" s="293"/>
      <c r="BIX59" s="294"/>
      <c r="BJD59" s="292"/>
      <c r="BJE59" s="293"/>
      <c r="BJF59" s="294"/>
      <c r="BJL59" s="292"/>
      <c r="BJM59" s="293"/>
      <c r="BJN59" s="294"/>
      <c r="BJT59" s="292"/>
      <c r="BJU59" s="293"/>
      <c r="BJV59" s="294"/>
      <c r="BKB59" s="292"/>
      <c r="BKC59" s="293"/>
      <c r="BKD59" s="294"/>
      <c r="BKJ59" s="292"/>
      <c r="BKK59" s="293"/>
      <c r="BKL59" s="294"/>
      <c r="BKR59" s="292"/>
      <c r="BKS59" s="293"/>
      <c r="BKT59" s="294"/>
      <c r="BKZ59" s="292"/>
      <c r="BLA59" s="293"/>
      <c r="BLB59" s="294"/>
      <c r="BLH59" s="292"/>
      <c r="BLI59" s="293"/>
      <c r="BLJ59" s="294"/>
      <c r="BLP59" s="292"/>
      <c r="BLQ59" s="293"/>
      <c r="BLR59" s="294"/>
      <c r="BLX59" s="292"/>
      <c r="BLY59" s="293"/>
      <c r="BLZ59" s="294"/>
      <c r="BMF59" s="292"/>
      <c r="BMG59" s="293"/>
      <c r="BMH59" s="294"/>
      <c r="BMN59" s="292"/>
      <c r="BMO59" s="293"/>
      <c r="BMP59" s="294"/>
      <c r="BMV59" s="292"/>
      <c r="BMW59" s="293"/>
      <c r="BMX59" s="294"/>
      <c r="BND59" s="292"/>
      <c r="BNE59" s="293"/>
      <c r="BNF59" s="294"/>
      <c r="BNL59" s="292"/>
      <c r="BNM59" s="293"/>
      <c r="BNN59" s="294"/>
      <c r="BNT59" s="292"/>
      <c r="BNU59" s="293"/>
      <c r="BNV59" s="294"/>
      <c r="BOB59" s="292"/>
      <c r="BOC59" s="293"/>
      <c r="BOD59" s="294"/>
      <c r="BOJ59" s="292"/>
      <c r="BOK59" s="293"/>
      <c r="BOL59" s="294"/>
      <c r="BOR59" s="292"/>
      <c r="BOS59" s="293"/>
      <c r="BOT59" s="294"/>
      <c r="BOZ59" s="292"/>
      <c r="BPA59" s="293"/>
      <c r="BPB59" s="294"/>
      <c r="BPH59" s="292"/>
      <c r="BPI59" s="293"/>
      <c r="BPJ59" s="294"/>
      <c r="BPP59" s="292"/>
      <c r="BPQ59" s="293"/>
      <c r="BPR59" s="294"/>
      <c r="BPX59" s="292"/>
      <c r="BPY59" s="293"/>
      <c r="BPZ59" s="294"/>
      <c r="BQF59" s="292"/>
      <c r="BQG59" s="293"/>
      <c r="BQH59" s="294"/>
      <c r="BQN59" s="292"/>
      <c r="BQO59" s="293"/>
      <c r="BQP59" s="294"/>
      <c r="BQV59" s="292"/>
      <c r="BQW59" s="293"/>
      <c r="BQX59" s="294"/>
      <c r="BRD59" s="292"/>
      <c r="BRE59" s="293"/>
      <c r="BRF59" s="294"/>
      <c r="BRL59" s="292"/>
      <c r="BRM59" s="293"/>
      <c r="BRN59" s="294"/>
      <c r="BRT59" s="292"/>
      <c r="BRU59" s="293"/>
      <c r="BRV59" s="294"/>
      <c r="BSB59" s="292"/>
      <c r="BSC59" s="293"/>
      <c r="BSD59" s="294"/>
      <c r="BSJ59" s="292"/>
      <c r="BSK59" s="293"/>
      <c r="BSL59" s="294"/>
      <c r="BSR59" s="292"/>
      <c r="BSS59" s="293"/>
      <c r="BST59" s="294"/>
      <c r="BSZ59" s="292"/>
      <c r="BTA59" s="293"/>
      <c r="BTB59" s="294"/>
      <c r="BTH59" s="292"/>
      <c r="BTI59" s="293"/>
      <c r="BTJ59" s="294"/>
      <c r="BTP59" s="292"/>
      <c r="BTQ59" s="293"/>
      <c r="BTR59" s="294"/>
      <c r="BTX59" s="292"/>
      <c r="BTY59" s="293"/>
      <c r="BTZ59" s="294"/>
      <c r="BUF59" s="292"/>
      <c r="BUG59" s="293"/>
      <c r="BUH59" s="294"/>
      <c r="BUN59" s="292"/>
      <c r="BUO59" s="293"/>
      <c r="BUP59" s="294"/>
      <c r="BUV59" s="292"/>
      <c r="BUW59" s="293"/>
      <c r="BUX59" s="294"/>
      <c r="BVD59" s="292"/>
      <c r="BVE59" s="293"/>
      <c r="BVF59" s="294"/>
      <c r="BVL59" s="292"/>
      <c r="BVM59" s="293"/>
      <c r="BVN59" s="294"/>
      <c r="BVT59" s="292"/>
      <c r="BVU59" s="293"/>
      <c r="BVV59" s="294"/>
      <c r="BWB59" s="292"/>
      <c r="BWC59" s="293"/>
      <c r="BWD59" s="294"/>
      <c r="BWJ59" s="292"/>
      <c r="BWK59" s="293"/>
      <c r="BWL59" s="294"/>
      <c r="BWR59" s="292"/>
      <c r="BWS59" s="293"/>
      <c r="BWT59" s="294"/>
      <c r="BWZ59" s="292"/>
      <c r="BXA59" s="293"/>
      <c r="BXB59" s="294"/>
      <c r="BXH59" s="292"/>
      <c r="BXI59" s="293"/>
      <c r="BXJ59" s="294"/>
      <c r="BXP59" s="292"/>
      <c r="BXQ59" s="293"/>
      <c r="BXR59" s="294"/>
      <c r="BXX59" s="292"/>
      <c r="BXY59" s="293"/>
      <c r="BXZ59" s="294"/>
      <c r="BYF59" s="292"/>
      <c r="BYG59" s="293"/>
      <c r="BYH59" s="294"/>
      <c r="BYN59" s="292"/>
      <c r="BYO59" s="293"/>
      <c r="BYP59" s="294"/>
      <c r="BYV59" s="292"/>
      <c r="BYW59" s="293"/>
      <c r="BYX59" s="294"/>
      <c r="BZD59" s="292"/>
      <c r="BZE59" s="293"/>
      <c r="BZF59" s="294"/>
      <c r="BZL59" s="292"/>
      <c r="BZM59" s="293"/>
      <c r="BZN59" s="294"/>
      <c r="BZT59" s="292"/>
      <c r="BZU59" s="293"/>
      <c r="BZV59" s="294"/>
      <c r="CAB59" s="292"/>
      <c r="CAC59" s="293"/>
      <c r="CAD59" s="294"/>
      <c r="CAJ59" s="292"/>
      <c r="CAK59" s="293"/>
      <c r="CAL59" s="294"/>
      <c r="CAR59" s="292"/>
      <c r="CAS59" s="293"/>
      <c r="CAT59" s="294"/>
      <c r="CAZ59" s="292"/>
      <c r="CBA59" s="293"/>
      <c r="CBB59" s="294"/>
      <c r="CBH59" s="292"/>
      <c r="CBI59" s="293"/>
      <c r="CBJ59" s="294"/>
      <c r="CBP59" s="292"/>
      <c r="CBQ59" s="293"/>
      <c r="CBR59" s="294"/>
      <c r="CBX59" s="292"/>
      <c r="CBY59" s="293"/>
      <c r="CBZ59" s="294"/>
      <c r="CCF59" s="292"/>
      <c r="CCG59" s="293"/>
      <c r="CCH59" s="294"/>
      <c r="CCN59" s="292"/>
      <c r="CCO59" s="293"/>
      <c r="CCP59" s="294"/>
      <c r="CCV59" s="292"/>
      <c r="CCW59" s="293"/>
      <c r="CCX59" s="294"/>
      <c r="CDD59" s="292"/>
      <c r="CDE59" s="293"/>
      <c r="CDF59" s="294"/>
      <c r="CDL59" s="292"/>
      <c r="CDM59" s="293"/>
      <c r="CDN59" s="294"/>
      <c r="CDT59" s="292"/>
      <c r="CDU59" s="293"/>
      <c r="CDV59" s="294"/>
      <c r="CEB59" s="292"/>
      <c r="CEC59" s="293"/>
      <c r="CED59" s="294"/>
      <c r="CEJ59" s="292"/>
      <c r="CEK59" s="293"/>
      <c r="CEL59" s="294"/>
      <c r="CER59" s="292"/>
      <c r="CES59" s="293"/>
      <c r="CET59" s="294"/>
      <c r="CEZ59" s="292"/>
      <c r="CFA59" s="293"/>
      <c r="CFB59" s="294"/>
      <c r="CFH59" s="292"/>
      <c r="CFI59" s="293"/>
      <c r="CFJ59" s="294"/>
      <c r="CFP59" s="292"/>
      <c r="CFQ59" s="293"/>
      <c r="CFR59" s="294"/>
      <c r="CFX59" s="292"/>
      <c r="CFY59" s="293"/>
      <c r="CFZ59" s="294"/>
      <c r="CGF59" s="292"/>
      <c r="CGG59" s="293"/>
      <c r="CGH59" s="294"/>
      <c r="CGN59" s="292"/>
      <c r="CGO59" s="293"/>
      <c r="CGP59" s="294"/>
      <c r="CGV59" s="292"/>
      <c r="CGW59" s="293"/>
      <c r="CGX59" s="294"/>
      <c r="CHD59" s="292"/>
      <c r="CHE59" s="293"/>
      <c r="CHF59" s="294"/>
      <c r="CHL59" s="292"/>
      <c r="CHM59" s="293"/>
      <c r="CHN59" s="294"/>
      <c r="CHT59" s="292"/>
      <c r="CHU59" s="293"/>
      <c r="CHV59" s="294"/>
      <c r="CIB59" s="292"/>
      <c r="CIC59" s="293"/>
      <c r="CID59" s="294"/>
      <c r="CIJ59" s="292"/>
      <c r="CIK59" s="293"/>
      <c r="CIL59" s="294"/>
      <c r="CIR59" s="292"/>
      <c r="CIS59" s="293"/>
      <c r="CIT59" s="294"/>
      <c r="CIZ59" s="292"/>
      <c r="CJA59" s="293"/>
      <c r="CJB59" s="294"/>
      <c r="CJH59" s="292"/>
      <c r="CJI59" s="293"/>
      <c r="CJJ59" s="294"/>
      <c r="CJP59" s="292"/>
      <c r="CJQ59" s="293"/>
      <c r="CJR59" s="294"/>
      <c r="CJX59" s="292"/>
      <c r="CJY59" s="293"/>
      <c r="CJZ59" s="294"/>
      <c r="CKF59" s="292"/>
      <c r="CKG59" s="293"/>
      <c r="CKH59" s="294"/>
      <c r="CKN59" s="292"/>
      <c r="CKO59" s="293"/>
      <c r="CKP59" s="294"/>
      <c r="CKV59" s="292"/>
      <c r="CKW59" s="293"/>
      <c r="CKX59" s="294"/>
      <c r="CLD59" s="292"/>
      <c r="CLE59" s="293"/>
      <c r="CLF59" s="294"/>
      <c r="CLL59" s="292"/>
      <c r="CLM59" s="293"/>
      <c r="CLN59" s="294"/>
      <c r="CLT59" s="292"/>
      <c r="CLU59" s="293"/>
      <c r="CLV59" s="294"/>
      <c r="CMB59" s="292"/>
      <c r="CMC59" s="293"/>
      <c r="CMD59" s="294"/>
      <c r="CMJ59" s="292"/>
      <c r="CMK59" s="293"/>
      <c r="CML59" s="294"/>
      <c r="CMR59" s="292"/>
      <c r="CMS59" s="293"/>
      <c r="CMT59" s="294"/>
      <c r="CMZ59" s="292"/>
      <c r="CNA59" s="293"/>
      <c r="CNB59" s="294"/>
      <c r="CNH59" s="292"/>
      <c r="CNI59" s="293"/>
      <c r="CNJ59" s="294"/>
      <c r="CNP59" s="292"/>
      <c r="CNQ59" s="293"/>
      <c r="CNR59" s="294"/>
      <c r="CNX59" s="292"/>
      <c r="CNY59" s="293"/>
      <c r="CNZ59" s="294"/>
      <c r="COF59" s="292"/>
      <c r="COG59" s="293"/>
      <c r="COH59" s="294"/>
      <c r="CON59" s="292"/>
      <c r="COO59" s="293"/>
      <c r="COP59" s="294"/>
      <c r="COV59" s="292"/>
      <c r="COW59" s="293"/>
      <c r="COX59" s="294"/>
      <c r="CPD59" s="292"/>
      <c r="CPE59" s="293"/>
      <c r="CPF59" s="294"/>
      <c r="CPL59" s="292"/>
      <c r="CPM59" s="293"/>
      <c r="CPN59" s="294"/>
      <c r="CPT59" s="292"/>
      <c r="CPU59" s="293"/>
      <c r="CPV59" s="294"/>
      <c r="CQB59" s="292"/>
      <c r="CQC59" s="293"/>
      <c r="CQD59" s="294"/>
      <c r="CQJ59" s="292"/>
      <c r="CQK59" s="293"/>
      <c r="CQL59" s="294"/>
      <c r="CQR59" s="292"/>
      <c r="CQS59" s="293"/>
      <c r="CQT59" s="294"/>
      <c r="CQZ59" s="292"/>
      <c r="CRA59" s="293"/>
      <c r="CRB59" s="294"/>
      <c r="CRH59" s="292"/>
      <c r="CRI59" s="293"/>
      <c r="CRJ59" s="294"/>
      <c r="CRP59" s="292"/>
      <c r="CRQ59" s="293"/>
      <c r="CRR59" s="294"/>
      <c r="CRX59" s="292"/>
      <c r="CRY59" s="293"/>
      <c r="CRZ59" s="294"/>
      <c r="CSF59" s="292"/>
      <c r="CSG59" s="293"/>
      <c r="CSH59" s="294"/>
      <c r="CSN59" s="292"/>
      <c r="CSO59" s="293"/>
      <c r="CSP59" s="294"/>
      <c r="CSV59" s="292"/>
      <c r="CSW59" s="293"/>
      <c r="CSX59" s="294"/>
      <c r="CTD59" s="292"/>
      <c r="CTE59" s="293"/>
      <c r="CTF59" s="294"/>
      <c r="CTL59" s="292"/>
      <c r="CTM59" s="293"/>
      <c r="CTN59" s="294"/>
      <c r="CTT59" s="292"/>
      <c r="CTU59" s="293"/>
      <c r="CTV59" s="294"/>
      <c r="CUB59" s="292"/>
      <c r="CUC59" s="293"/>
      <c r="CUD59" s="294"/>
      <c r="CUJ59" s="292"/>
      <c r="CUK59" s="293"/>
      <c r="CUL59" s="294"/>
      <c r="CUR59" s="292"/>
      <c r="CUS59" s="293"/>
      <c r="CUT59" s="294"/>
      <c r="CUZ59" s="292"/>
      <c r="CVA59" s="293"/>
      <c r="CVB59" s="294"/>
      <c r="CVH59" s="292"/>
      <c r="CVI59" s="293"/>
      <c r="CVJ59" s="294"/>
      <c r="CVP59" s="292"/>
      <c r="CVQ59" s="293"/>
      <c r="CVR59" s="294"/>
      <c r="CVX59" s="292"/>
      <c r="CVY59" s="293"/>
      <c r="CVZ59" s="294"/>
      <c r="CWF59" s="292"/>
      <c r="CWG59" s="293"/>
      <c r="CWH59" s="294"/>
      <c r="CWN59" s="292"/>
      <c r="CWO59" s="293"/>
      <c r="CWP59" s="294"/>
      <c r="CWV59" s="292"/>
      <c r="CWW59" s="293"/>
      <c r="CWX59" s="294"/>
      <c r="CXD59" s="292"/>
      <c r="CXE59" s="293"/>
      <c r="CXF59" s="294"/>
      <c r="CXL59" s="292"/>
      <c r="CXM59" s="293"/>
      <c r="CXN59" s="294"/>
      <c r="CXT59" s="292"/>
      <c r="CXU59" s="293"/>
      <c r="CXV59" s="294"/>
      <c r="CYB59" s="292"/>
      <c r="CYC59" s="293"/>
      <c r="CYD59" s="294"/>
      <c r="CYJ59" s="292"/>
      <c r="CYK59" s="293"/>
      <c r="CYL59" s="294"/>
      <c r="CYR59" s="292"/>
      <c r="CYS59" s="293"/>
      <c r="CYT59" s="294"/>
      <c r="CYZ59" s="292"/>
      <c r="CZA59" s="293"/>
      <c r="CZB59" s="294"/>
      <c r="CZH59" s="292"/>
      <c r="CZI59" s="293"/>
      <c r="CZJ59" s="294"/>
      <c r="CZP59" s="292"/>
      <c r="CZQ59" s="293"/>
      <c r="CZR59" s="294"/>
      <c r="CZX59" s="292"/>
      <c r="CZY59" s="293"/>
      <c r="CZZ59" s="294"/>
      <c r="DAF59" s="292"/>
      <c r="DAG59" s="293"/>
      <c r="DAH59" s="294"/>
      <c r="DAN59" s="292"/>
      <c r="DAO59" s="293"/>
      <c r="DAP59" s="294"/>
      <c r="DAV59" s="292"/>
      <c r="DAW59" s="293"/>
      <c r="DAX59" s="294"/>
      <c r="DBD59" s="292"/>
      <c r="DBE59" s="293"/>
      <c r="DBF59" s="294"/>
      <c r="DBL59" s="292"/>
      <c r="DBM59" s="293"/>
      <c r="DBN59" s="294"/>
      <c r="DBT59" s="292"/>
      <c r="DBU59" s="293"/>
      <c r="DBV59" s="294"/>
      <c r="DCB59" s="292"/>
      <c r="DCC59" s="293"/>
      <c r="DCD59" s="294"/>
      <c r="DCJ59" s="292"/>
      <c r="DCK59" s="293"/>
      <c r="DCL59" s="294"/>
      <c r="DCR59" s="292"/>
      <c r="DCS59" s="293"/>
      <c r="DCT59" s="294"/>
      <c r="DCZ59" s="292"/>
      <c r="DDA59" s="293"/>
      <c r="DDB59" s="294"/>
      <c r="DDH59" s="292"/>
      <c r="DDI59" s="293"/>
      <c r="DDJ59" s="294"/>
      <c r="DDP59" s="292"/>
      <c r="DDQ59" s="293"/>
      <c r="DDR59" s="294"/>
      <c r="DDX59" s="292"/>
      <c r="DDY59" s="293"/>
      <c r="DDZ59" s="294"/>
      <c r="DEF59" s="292"/>
      <c r="DEG59" s="293"/>
      <c r="DEH59" s="294"/>
      <c r="DEN59" s="292"/>
      <c r="DEO59" s="293"/>
      <c r="DEP59" s="294"/>
      <c r="DEV59" s="292"/>
      <c r="DEW59" s="293"/>
      <c r="DEX59" s="294"/>
      <c r="DFD59" s="292"/>
      <c r="DFE59" s="293"/>
      <c r="DFF59" s="294"/>
      <c r="DFL59" s="292"/>
      <c r="DFM59" s="293"/>
      <c r="DFN59" s="294"/>
      <c r="DFT59" s="292"/>
      <c r="DFU59" s="293"/>
      <c r="DFV59" s="294"/>
      <c r="DGB59" s="292"/>
      <c r="DGC59" s="293"/>
      <c r="DGD59" s="294"/>
      <c r="DGJ59" s="292"/>
      <c r="DGK59" s="293"/>
      <c r="DGL59" s="294"/>
      <c r="DGR59" s="292"/>
      <c r="DGS59" s="293"/>
      <c r="DGT59" s="294"/>
      <c r="DGZ59" s="292"/>
      <c r="DHA59" s="293"/>
      <c r="DHB59" s="294"/>
      <c r="DHH59" s="292"/>
      <c r="DHI59" s="293"/>
      <c r="DHJ59" s="294"/>
      <c r="DHP59" s="292"/>
      <c r="DHQ59" s="293"/>
      <c r="DHR59" s="294"/>
      <c r="DHX59" s="292"/>
      <c r="DHY59" s="293"/>
      <c r="DHZ59" s="294"/>
      <c r="DIF59" s="292"/>
      <c r="DIG59" s="293"/>
      <c r="DIH59" s="294"/>
      <c r="DIN59" s="292"/>
      <c r="DIO59" s="293"/>
      <c r="DIP59" s="294"/>
      <c r="DIV59" s="292"/>
      <c r="DIW59" s="293"/>
      <c r="DIX59" s="294"/>
      <c r="DJD59" s="292"/>
      <c r="DJE59" s="293"/>
      <c r="DJF59" s="294"/>
      <c r="DJL59" s="292"/>
      <c r="DJM59" s="293"/>
      <c r="DJN59" s="294"/>
      <c r="DJT59" s="292"/>
      <c r="DJU59" s="293"/>
      <c r="DJV59" s="294"/>
      <c r="DKB59" s="292"/>
      <c r="DKC59" s="293"/>
      <c r="DKD59" s="294"/>
      <c r="DKJ59" s="292"/>
      <c r="DKK59" s="293"/>
      <c r="DKL59" s="294"/>
      <c r="DKR59" s="292"/>
      <c r="DKS59" s="293"/>
      <c r="DKT59" s="294"/>
      <c r="DKZ59" s="292"/>
      <c r="DLA59" s="293"/>
      <c r="DLB59" s="294"/>
      <c r="DLH59" s="292"/>
      <c r="DLI59" s="293"/>
      <c r="DLJ59" s="294"/>
      <c r="DLP59" s="292"/>
      <c r="DLQ59" s="293"/>
      <c r="DLR59" s="294"/>
      <c r="DLX59" s="292"/>
      <c r="DLY59" s="293"/>
      <c r="DLZ59" s="294"/>
      <c r="DMF59" s="292"/>
      <c r="DMG59" s="293"/>
      <c r="DMH59" s="294"/>
      <c r="DMN59" s="292"/>
      <c r="DMO59" s="293"/>
      <c r="DMP59" s="294"/>
      <c r="DMV59" s="292"/>
      <c r="DMW59" s="293"/>
      <c r="DMX59" s="294"/>
      <c r="DND59" s="292"/>
      <c r="DNE59" s="293"/>
      <c r="DNF59" s="294"/>
      <c r="DNL59" s="292"/>
      <c r="DNM59" s="293"/>
      <c r="DNN59" s="294"/>
      <c r="DNT59" s="292"/>
      <c r="DNU59" s="293"/>
      <c r="DNV59" s="294"/>
      <c r="DOB59" s="292"/>
      <c r="DOC59" s="293"/>
      <c r="DOD59" s="294"/>
      <c r="DOJ59" s="292"/>
      <c r="DOK59" s="293"/>
      <c r="DOL59" s="294"/>
      <c r="DOR59" s="292"/>
      <c r="DOS59" s="293"/>
      <c r="DOT59" s="294"/>
      <c r="DOZ59" s="292"/>
      <c r="DPA59" s="293"/>
      <c r="DPB59" s="294"/>
      <c r="DPH59" s="292"/>
      <c r="DPI59" s="293"/>
      <c r="DPJ59" s="294"/>
      <c r="DPP59" s="292"/>
      <c r="DPQ59" s="293"/>
      <c r="DPR59" s="294"/>
      <c r="DPX59" s="292"/>
      <c r="DPY59" s="293"/>
      <c r="DPZ59" s="294"/>
      <c r="DQF59" s="292"/>
      <c r="DQG59" s="293"/>
      <c r="DQH59" s="294"/>
      <c r="DQN59" s="292"/>
      <c r="DQO59" s="293"/>
      <c r="DQP59" s="294"/>
      <c r="DQV59" s="292"/>
      <c r="DQW59" s="293"/>
      <c r="DQX59" s="294"/>
      <c r="DRD59" s="292"/>
      <c r="DRE59" s="293"/>
      <c r="DRF59" s="294"/>
      <c r="DRL59" s="292"/>
      <c r="DRM59" s="293"/>
      <c r="DRN59" s="294"/>
      <c r="DRT59" s="292"/>
      <c r="DRU59" s="293"/>
      <c r="DRV59" s="294"/>
      <c r="DSB59" s="292"/>
      <c r="DSC59" s="293"/>
      <c r="DSD59" s="294"/>
      <c r="DSJ59" s="292"/>
      <c r="DSK59" s="293"/>
      <c r="DSL59" s="294"/>
      <c r="DSR59" s="292"/>
      <c r="DSS59" s="293"/>
      <c r="DST59" s="294"/>
      <c r="DSZ59" s="292"/>
      <c r="DTA59" s="293"/>
      <c r="DTB59" s="294"/>
      <c r="DTH59" s="292"/>
      <c r="DTI59" s="293"/>
      <c r="DTJ59" s="294"/>
      <c r="DTP59" s="292"/>
      <c r="DTQ59" s="293"/>
      <c r="DTR59" s="294"/>
      <c r="DTX59" s="292"/>
      <c r="DTY59" s="293"/>
      <c r="DTZ59" s="294"/>
      <c r="DUF59" s="292"/>
      <c r="DUG59" s="293"/>
      <c r="DUH59" s="294"/>
      <c r="DUN59" s="292"/>
      <c r="DUO59" s="293"/>
      <c r="DUP59" s="294"/>
      <c r="DUV59" s="292"/>
      <c r="DUW59" s="293"/>
      <c r="DUX59" s="294"/>
      <c r="DVD59" s="292"/>
      <c r="DVE59" s="293"/>
      <c r="DVF59" s="294"/>
      <c r="DVL59" s="292"/>
      <c r="DVM59" s="293"/>
      <c r="DVN59" s="294"/>
      <c r="DVT59" s="292"/>
      <c r="DVU59" s="293"/>
      <c r="DVV59" s="294"/>
      <c r="DWB59" s="292"/>
      <c r="DWC59" s="293"/>
      <c r="DWD59" s="294"/>
      <c r="DWJ59" s="292"/>
      <c r="DWK59" s="293"/>
      <c r="DWL59" s="294"/>
      <c r="DWR59" s="292"/>
      <c r="DWS59" s="293"/>
      <c r="DWT59" s="294"/>
      <c r="DWZ59" s="292"/>
      <c r="DXA59" s="293"/>
      <c r="DXB59" s="294"/>
      <c r="DXH59" s="292"/>
      <c r="DXI59" s="293"/>
      <c r="DXJ59" s="294"/>
      <c r="DXP59" s="292"/>
      <c r="DXQ59" s="293"/>
      <c r="DXR59" s="294"/>
      <c r="DXX59" s="292"/>
      <c r="DXY59" s="293"/>
      <c r="DXZ59" s="294"/>
      <c r="DYF59" s="292"/>
      <c r="DYG59" s="293"/>
      <c r="DYH59" s="294"/>
      <c r="DYN59" s="292"/>
      <c r="DYO59" s="293"/>
      <c r="DYP59" s="294"/>
      <c r="DYV59" s="292"/>
      <c r="DYW59" s="293"/>
      <c r="DYX59" s="294"/>
      <c r="DZD59" s="292"/>
      <c r="DZE59" s="293"/>
      <c r="DZF59" s="294"/>
      <c r="DZL59" s="292"/>
      <c r="DZM59" s="293"/>
      <c r="DZN59" s="294"/>
      <c r="DZT59" s="292"/>
      <c r="DZU59" s="293"/>
      <c r="DZV59" s="294"/>
      <c r="EAB59" s="292"/>
      <c r="EAC59" s="293"/>
      <c r="EAD59" s="294"/>
      <c r="EAJ59" s="292"/>
      <c r="EAK59" s="293"/>
      <c r="EAL59" s="294"/>
      <c r="EAR59" s="292"/>
      <c r="EAS59" s="293"/>
      <c r="EAT59" s="294"/>
      <c r="EAZ59" s="292"/>
      <c r="EBA59" s="293"/>
      <c r="EBB59" s="294"/>
      <c r="EBH59" s="292"/>
      <c r="EBI59" s="293"/>
      <c r="EBJ59" s="294"/>
      <c r="EBP59" s="292"/>
      <c r="EBQ59" s="293"/>
      <c r="EBR59" s="294"/>
      <c r="EBX59" s="292"/>
      <c r="EBY59" s="293"/>
      <c r="EBZ59" s="294"/>
      <c r="ECF59" s="292"/>
      <c r="ECG59" s="293"/>
      <c r="ECH59" s="294"/>
      <c r="ECN59" s="292"/>
      <c r="ECO59" s="293"/>
      <c r="ECP59" s="294"/>
      <c r="ECV59" s="292"/>
      <c r="ECW59" s="293"/>
      <c r="ECX59" s="294"/>
      <c r="EDD59" s="292"/>
      <c r="EDE59" s="293"/>
      <c r="EDF59" s="294"/>
      <c r="EDL59" s="292"/>
      <c r="EDM59" s="293"/>
      <c r="EDN59" s="294"/>
      <c r="EDT59" s="292"/>
      <c r="EDU59" s="293"/>
      <c r="EDV59" s="294"/>
      <c r="EEB59" s="292"/>
      <c r="EEC59" s="293"/>
      <c r="EED59" s="294"/>
      <c r="EEJ59" s="292"/>
      <c r="EEK59" s="293"/>
      <c r="EEL59" s="294"/>
      <c r="EER59" s="292"/>
      <c r="EES59" s="293"/>
      <c r="EET59" s="294"/>
      <c r="EEZ59" s="292"/>
      <c r="EFA59" s="293"/>
      <c r="EFB59" s="294"/>
      <c r="EFH59" s="292"/>
      <c r="EFI59" s="293"/>
      <c r="EFJ59" s="294"/>
      <c r="EFP59" s="292"/>
      <c r="EFQ59" s="293"/>
      <c r="EFR59" s="294"/>
      <c r="EFX59" s="292"/>
      <c r="EFY59" s="293"/>
      <c r="EFZ59" s="294"/>
      <c r="EGF59" s="292"/>
      <c r="EGG59" s="293"/>
      <c r="EGH59" s="294"/>
      <c r="EGN59" s="292"/>
      <c r="EGO59" s="293"/>
      <c r="EGP59" s="294"/>
      <c r="EGV59" s="292"/>
      <c r="EGW59" s="293"/>
      <c r="EGX59" s="294"/>
      <c r="EHD59" s="292"/>
      <c r="EHE59" s="293"/>
      <c r="EHF59" s="294"/>
      <c r="EHL59" s="292"/>
      <c r="EHM59" s="293"/>
      <c r="EHN59" s="294"/>
      <c r="EHT59" s="292"/>
      <c r="EHU59" s="293"/>
      <c r="EHV59" s="294"/>
      <c r="EIB59" s="292"/>
      <c r="EIC59" s="293"/>
      <c r="EID59" s="294"/>
      <c r="EIJ59" s="292"/>
      <c r="EIK59" s="293"/>
      <c r="EIL59" s="294"/>
      <c r="EIR59" s="292"/>
      <c r="EIS59" s="293"/>
      <c r="EIT59" s="294"/>
      <c r="EIZ59" s="292"/>
      <c r="EJA59" s="293"/>
      <c r="EJB59" s="294"/>
      <c r="EJH59" s="292"/>
      <c r="EJI59" s="293"/>
      <c r="EJJ59" s="294"/>
      <c r="EJP59" s="292"/>
      <c r="EJQ59" s="293"/>
      <c r="EJR59" s="294"/>
      <c r="EJX59" s="292"/>
      <c r="EJY59" s="293"/>
      <c r="EJZ59" s="294"/>
      <c r="EKF59" s="292"/>
      <c r="EKG59" s="293"/>
      <c r="EKH59" s="294"/>
      <c r="EKN59" s="292"/>
      <c r="EKO59" s="293"/>
      <c r="EKP59" s="294"/>
      <c r="EKV59" s="292"/>
      <c r="EKW59" s="293"/>
      <c r="EKX59" s="294"/>
      <c r="ELD59" s="292"/>
      <c r="ELE59" s="293"/>
      <c r="ELF59" s="294"/>
      <c r="ELL59" s="292"/>
      <c r="ELM59" s="293"/>
      <c r="ELN59" s="294"/>
      <c r="ELT59" s="292"/>
      <c r="ELU59" s="293"/>
      <c r="ELV59" s="294"/>
      <c r="EMB59" s="292"/>
      <c r="EMC59" s="293"/>
      <c r="EMD59" s="294"/>
      <c r="EMJ59" s="292"/>
      <c r="EMK59" s="293"/>
      <c r="EML59" s="294"/>
      <c r="EMR59" s="292"/>
      <c r="EMS59" s="293"/>
      <c r="EMT59" s="294"/>
      <c r="EMZ59" s="292"/>
      <c r="ENA59" s="293"/>
      <c r="ENB59" s="294"/>
      <c r="ENH59" s="292"/>
      <c r="ENI59" s="293"/>
      <c r="ENJ59" s="294"/>
      <c r="ENP59" s="292"/>
      <c r="ENQ59" s="293"/>
      <c r="ENR59" s="294"/>
      <c r="ENX59" s="292"/>
      <c r="ENY59" s="293"/>
      <c r="ENZ59" s="294"/>
      <c r="EOF59" s="292"/>
      <c r="EOG59" s="293"/>
      <c r="EOH59" s="294"/>
      <c r="EON59" s="292"/>
      <c r="EOO59" s="293"/>
      <c r="EOP59" s="294"/>
      <c r="EOV59" s="292"/>
      <c r="EOW59" s="293"/>
      <c r="EOX59" s="294"/>
      <c r="EPD59" s="292"/>
      <c r="EPE59" s="293"/>
      <c r="EPF59" s="294"/>
      <c r="EPL59" s="292"/>
      <c r="EPM59" s="293"/>
      <c r="EPN59" s="294"/>
      <c r="EPT59" s="292"/>
      <c r="EPU59" s="293"/>
      <c r="EPV59" s="294"/>
      <c r="EQB59" s="292"/>
      <c r="EQC59" s="293"/>
      <c r="EQD59" s="294"/>
      <c r="EQJ59" s="292"/>
      <c r="EQK59" s="293"/>
      <c r="EQL59" s="294"/>
      <c r="EQR59" s="292"/>
      <c r="EQS59" s="293"/>
      <c r="EQT59" s="294"/>
      <c r="EQZ59" s="292"/>
      <c r="ERA59" s="293"/>
      <c r="ERB59" s="294"/>
      <c r="ERH59" s="292"/>
      <c r="ERI59" s="293"/>
      <c r="ERJ59" s="294"/>
      <c r="ERP59" s="292"/>
      <c r="ERQ59" s="293"/>
      <c r="ERR59" s="294"/>
      <c r="ERX59" s="292"/>
      <c r="ERY59" s="293"/>
      <c r="ERZ59" s="294"/>
      <c r="ESF59" s="292"/>
      <c r="ESG59" s="293"/>
      <c r="ESH59" s="294"/>
      <c r="ESN59" s="292"/>
      <c r="ESO59" s="293"/>
      <c r="ESP59" s="294"/>
      <c r="ESV59" s="292"/>
      <c r="ESW59" s="293"/>
      <c r="ESX59" s="294"/>
      <c r="ETD59" s="292"/>
      <c r="ETE59" s="293"/>
      <c r="ETF59" s="294"/>
      <c r="ETL59" s="292"/>
      <c r="ETM59" s="293"/>
      <c r="ETN59" s="294"/>
      <c r="ETT59" s="292"/>
      <c r="ETU59" s="293"/>
      <c r="ETV59" s="294"/>
      <c r="EUB59" s="292"/>
      <c r="EUC59" s="293"/>
      <c r="EUD59" s="294"/>
      <c r="EUJ59" s="292"/>
      <c r="EUK59" s="293"/>
      <c r="EUL59" s="294"/>
      <c r="EUR59" s="292"/>
      <c r="EUS59" s="293"/>
      <c r="EUT59" s="294"/>
      <c r="EUZ59" s="292"/>
      <c r="EVA59" s="293"/>
      <c r="EVB59" s="294"/>
      <c r="EVH59" s="292"/>
      <c r="EVI59" s="293"/>
      <c r="EVJ59" s="294"/>
      <c r="EVP59" s="292"/>
      <c r="EVQ59" s="293"/>
      <c r="EVR59" s="294"/>
      <c r="EVX59" s="292"/>
      <c r="EVY59" s="293"/>
      <c r="EVZ59" s="294"/>
      <c r="EWF59" s="292"/>
      <c r="EWG59" s="293"/>
      <c r="EWH59" s="294"/>
      <c r="EWN59" s="292"/>
      <c r="EWO59" s="293"/>
      <c r="EWP59" s="294"/>
      <c r="EWV59" s="292"/>
      <c r="EWW59" s="293"/>
      <c r="EWX59" s="294"/>
      <c r="EXD59" s="292"/>
      <c r="EXE59" s="293"/>
      <c r="EXF59" s="294"/>
      <c r="EXL59" s="292"/>
      <c r="EXM59" s="293"/>
      <c r="EXN59" s="294"/>
      <c r="EXT59" s="292"/>
      <c r="EXU59" s="293"/>
      <c r="EXV59" s="294"/>
      <c r="EYB59" s="292"/>
      <c r="EYC59" s="293"/>
      <c r="EYD59" s="294"/>
      <c r="EYJ59" s="292"/>
      <c r="EYK59" s="293"/>
      <c r="EYL59" s="294"/>
      <c r="EYR59" s="292"/>
      <c r="EYS59" s="293"/>
      <c r="EYT59" s="294"/>
      <c r="EYZ59" s="292"/>
      <c r="EZA59" s="293"/>
      <c r="EZB59" s="294"/>
      <c r="EZH59" s="292"/>
      <c r="EZI59" s="293"/>
      <c r="EZJ59" s="294"/>
      <c r="EZP59" s="292"/>
      <c r="EZQ59" s="293"/>
      <c r="EZR59" s="294"/>
      <c r="EZX59" s="292"/>
      <c r="EZY59" s="293"/>
      <c r="EZZ59" s="294"/>
      <c r="FAF59" s="292"/>
      <c r="FAG59" s="293"/>
      <c r="FAH59" s="294"/>
      <c r="FAN59" s="292"/>
      <c r="FAO59" s="293"/>
      <c r="FAP59" s="294"/>
      <c r="FAV59" s="292"/>
      <c r="FAW59" s="293"/>
      <c r="FAX59" s="294"/>
      <c r="FBD59" s="292"/>
      <c r="FBE59" s="293"/>
      <c r="FBF59" s="294"/>
      <c r="FBL59" s="292"/>
      <c r="FBM59" s="293"/>
      <c r="FBN59" s="294"/>
      <c r="FBT59" s="292"/>
      <c r="FBU59" s="293"/>
      <c r="FBV59" s="294"/>
      <c r="FCB59" s="292"/>
      <c r="FCC59" s="293"/>
      <c r="FCD59" s="294"/>
      <c r="FCJ59" s="292"/>
      <c r="FCK59" s="293"/>
      <c r="FCL59" s="294"/>
      <c r="FCR59" s="292"/>
      <c r="FCS59" s="293"/>
      <c r="FCT59" s="294"/>
      <c r="FCZ59" s="292"/>
      <c r="FDA59" s="293"/>
      <c r="FDB59" s="294"/>
      <c r="FDH59" s="292"/>
      <c r="FDI59" s="293"/>
      <c r="FDJ59" s="294"/>
      <c r="FDP59" s="292"/>
      <c r="FDQ59" s="293"/>
      <c r="FDR59" s="294"/>
      <c r="FDX59" s="292"/>
      <c r="FDY59" s="293"/>
      <c r="FDZ59" s="294"/>
      <c r="FEF59" s="292"/>
      <c r="FEG59" s="293"/>
      <c r="FEH59" s="294"/>
      <c r="FEN59" s="292"/>
      <c r="FEO59" s="293"/>
      <c r="FEP59" s="294"/>
      <c r="FEV59" s="292"/>
      <c r="FEW59" s="293"/>
      <c r="FEX59" s="294"/>
      <c r="FFD59" s="292"/>
      <c r="FFE59" s="293"/>
      <c r="FFF59" s="294"/>
      <c r="FFL59" s="292"/>
      <c r="FFM59" s="293"/>
      <c r="FFN59" s="294"/>
      <c r="FFT59" s="292"/>
      <c r="FFU59" s="293"/>
      <c r="FFV59" s="294"/>
      <c r="FGB59" s="292"/>
      <c r="FGC59" s="293"/>
      <c r="FGD59" s="294"/>
      <c r="FGJ59" s="292"/>
      <c r="FGK59" s="293"/>
      <c r="FGL59" s="294"/>
      <c r="FGR59" s="292"/>
      <c r="FGS59" s="293"/>
      <c r="FGT59" s="294"/>
      <c r="FGZ59" s="292"/>
      <c r="FHA59" s="293"/>
      <c r="FHB59" s="294"/>
      <c r="FHH59" s="292"/>
      <c r="FHI59" s="293"/>
      <c r="FHJ59" s="294"/>
      <c r="FHP59" s="292"/>
      <c r="FHQ59" s="293"/>
      <c r="FHR59" s="294"/>
      <c r="FHX59" s="292"/>
      <c r="FHY59" s="293"/>
      <c r="FHZ59" s="294"/>
      <c r="FIF59" s="292"/>
      <c r="FIG59" s="293"/>
      <c r="FIH59" s="294"/>
      <c r="FIN59" s="292"/>
      <c r="FIO59" s="293"/>
      <c r="FIP59" s="294"/>
      <c r="FIV59" s="292"/>
      <c r="FIW59" s="293"/>
      <c r="FIX59" s="294"/>
      <c r="FJD59" s="292"/>
      <c r="FJE59" s="293"/>
      <c r="FJF59" s="294"/>
      <c r="FJL59" s="292"/>
      <c r="FJM59" s="293"/>
      <c r="FJN59" s="294"/>
      <c r="FJT59" s="292"/>
      <c r="FJU59" s="293"/>
      <c r="FJV59" s="294"/>
      <c r="FKB59" s="292"/>
      <c r="FKC59" s="293"/>
      <c r="FKD59" s="294"/>
      <c r="FKJ59" s="292"/>
      <c r="FKK59" s="293"/>
      <c r="FKL59" s="294"/>
      <c r="FKR59" s="292"/>
      <c r="FKS59" s="293"/>
      <c r="FKT59" s="294"/>
      <c r="FKZ59" s="292"/>
      <c r="FLA59" s="293"/>
      <c r="FLB59" s="294"/>
      <c r="FLH59" s="292"/>
      <c r="FLI59" s="293"/>
      <c r="FLJ59" s="294"/>
      <c r="FLP59" s="292"/>
      <c r="FLQ59" s="293"/>
      <c r="FLR59" s="294"/>
      <c r="FLX59" s="292"/>
      <c r="FLY59" s="293"/>
      <c r="FLZ59" s="294"/>
      <c r="FMF59" s="292"/>
      <c r="FMG59" s="293"/>
      <c r="FMH59" s="294"/>
      <c r="FMN59" s="292"/>
      <c r="FMO59" s="293"/>
      <c r="FMP59" s="294"/>
      <c r="FMV59" s="292"/>
      <c r="FMW59" s="293"/>
      <c r="FMX59" s="294"/>
      <c r="FND59" s="292"/>
      <c r="FNE59" s="293"/>
      <c r="FNF59" s="294"/>
      <c r="FNL59" s="292"/>
      <c r="FNM59" s="293"/>
      <c r="FNN59" s="294"/>
      <c r="FNT59" s="292"/>
      <c r="FNU59" s="293"/>
      <c r="FNV59" s="294"/>
      <c r="FOB59" s="292"/>
      <c r="FOC59" s="293"/>
      <c r="FOD59" s="294"/>
      <c r="FOJ59" s="292"/>
      <c r="FOK59" s="293"/>
      <c r="FOL59" s="294"/>
      <c r="FOR59" s="292"/>
      <c r="FOS59" s="293"/>
      <c r="FOT59" s="294"/>
      <c r="FOZ59" s="292"/>
      <c r="FPA59" s="293"/>
      <c r="FPB59" s="294"/>
      <c r="FPH59" s="292"/>
      <c r="FPI59" s="293"/>
      <c r="FPJ59" s="294"/>
      <c r="FPP59" s="292"/>
      <c r="FPQ59" s="293"/>
      <c r="FPR59" s="294"/>
      <c r="FPX59" s="292"/>
      <c r="FPY59" s="293"/>
      <c r="FPZ59" s="294"/>
      <c r="FQF59" s="292"/>
      <c r="FQG59" s="293"/>
      <c r="FQH59" s="294"/>
      <c r="FQN59" s="292"/>
      <c r="FQO59" s="293"/>
      <c r="FQP59" s="294"/>
      <c r="FQV59" s="292"/>
      <c r="FQW59" s="293"/>
      <c r="FQX59" s="294"/>
      <c r="FRD59" s="292"/>
      <c r="FRE59" s="293"/>
      <c r="FRF59" s="294"/>
      <c r="FRL59" s="292"/>
      <c r="FRM59" s="293"/>
      <c r="FRN59" s="294"/>
      <c r="FRT59" s="292"/>
      <c r="FRU59" s="293"/>
      <c r="FRV59" s="294"/>
      <c r="FSB59" s="292"/>
      <c r="FSC59" s="293"/>
      <c r="FSD59" s="294"/>
      <c r="FSJ59" s="292"/>
      <c r="FSK59" s="293"/>
      <c r="FSL59" s="294"/>
      <c r="FSR59" s="292"/>
      <c r="FSS59" s="293"/>
      <c r="FST59" s="294"/>
      <c r="FSZ59" s="292"/>
      <c r="FTA59" s="293"/>
      <c r="FTB59" s="294"/>
      <c r="FTH59" s="292"/>
      <c r="FTI59" s="293"/>
      <c r="FTJ59" s="294"/>
      <c r="FTP59" s="292"/>
      <c r="FTQ59" s="293"/>
      <c r="FTR59" s="294"/>
      <c r="FTX59" s="292"/>
      <c r="FTY59" s="293"/>
      <c r="FTZ59" s="294"/>
      <c r="FUF59" s="292"/>
      <c r="FUG59" s="293"/>
      <c r="FUH59" s="294"/>
      <c r="FUN59" s="292"/>
      <c r="FUO59" s="293"/>
      <c r="FUP59" s="294"/>
      <c r="FUV59" s="292"/>
      <c r="FUW59" s="293"/>
      <c r="FUX59" s="294"/>
      <c r="FVD59" s="292"/>
      <c r="FVE59" s="293"/>
      <c r="FVF59" s="294"/>
      <c r="FVL59" s="292"/>
      <c r="FVM59" s="293"/>
      <c r="FVN59" s="294"/>
      <c r="FVT59" s="292"/>
      <c r="FVU59" s="293"/>
      <c r="FVV59" s="294"/>
      <c r="FWB59" s="292"/>
      <c r="FWC59" s="293"/>
      <c r="FWD59" s="294"/>
      <c r="FWJ59" s="292"/>
      <c r="FWK59" s="293"/>
      <c r="FWL59" s="294"/>
      <c r="FWR59" s="292"/>
      <c r="FWS59" s="293"/>
      <c r="FWT59" s="294"/>
      <c r="FWZ59" s="292"/>
      <c r="FXA59" s="293"/>
      <c r="FXB59" s="294"/>
      <c r="FXH59" s="292"/>
      <c r="FXI59" s="293"/>
      <c r="FXJ59" s="294"/>
      <c r="FXP59" s="292"/>
      <c r="FXQ59" s="293"/>
      <c r="FXR59" s="294"/>
      <c r="FXX59" s="292"/>
      <c r="FXY59" s="293"/>
      <c r="FXZ59" s="294"/>
      <c r="FYF59" s="292"/>
      <c r="FYG59" s="293"/>
      <c r="FYH59" s="294"/>
      <c r="FYN59" s="292"/>
      <c r="FYO59" s="293"/>
      <c r="FYP59" s="294"/>
      <c r="FYV59" s="292"/>
      <c r="FYW59" s="293"/>
      <c r="FYX59" s="294"/>
      <c r="FZD59" s="292"/>
      <c r="FZE59" s="293"/>
      <c r="FZF59" s="294"/>
      <c r="FZL59" s="292"/>
      <c r="FZM59" s="293"/>
      <c r="FZN59" s="294"/>
      <c r="FZT59" s="292"/>
      <c r="FZU59" s="293"/>
      <c r="FZV59" s="294"/>
      <c r="GAB59" s="292"/>
      <c r="GAC59" s="293"/>
      <c r="GAD59" s="294"/>
      <c r="GAJ59" s="292"/>
      <c r="GAK59" s="293"/>
      <c r="GAL59" s="294"/>
      <c r="GAR59" s="292"/>
      <c r="GAS59" s="293"/>
      <c r="GAT59" s="294"/>
      <c r="GAZ59" s="292"/>
      <c r="GBA59" s="293"/>
      <c r="GBB59" s="294"/>
      <c r="GBH59" s="292"/>
      <c r="GBI59" s="293"/>
      <c r="GBJ59" s="294"/>
      <c r="GBP59" s="292"/>
      <c r="GBQ59" s="293"/>
      <c r="GBR59" s="294"/>
      <c r="GBX59" s="292"/>
      <c r="GBY59" s="293"/>
      <c r="GBZ59" s="294"/>
      <c r="GCF59" s="292"/>
      <c r="GCG59" s="293"/>
      <c r="GCH59" s="294"/>
      <c r="GCN59" s="292"/>
      <c r="GCO59" s="293"/>
      <c r="GCP59" s="294"/>
      <c r="GCV59" s="292"/>
      <c r="GCW59" s="293"/>
      <c r="GCX59" s="294"/>
      <c r="GDD59" s="292"/>
      <c r="GDE59" s="293"/>
      <c r="GDF59" s="294"/>
      <c r="GDL59" s="292"/>
      <c r="GDM59" s="293"/>
      <c r="GDN59" s="294"/>
      <c r="GDT59" s="292"/>
      <c r="GDU59" s="293"/>
      <c r="GDV59" s="294"/>
      <c r="GEB59" s="292"/>
      <c r="GEC59" s="293"/>
      <c r="GED59" s="294"/>
      <c r="GEJ59" s="292"/>
      <c r="GEK59" s="293"/>
      <c r="GEL59" s="294"/>
      <c r="GER59" s="292"/>
      <c r="GES59" s="293"/>
      <c r="GET59" s="294"/>
      <c r="GEZ59" s="292"/>
      <c r="GFA59" s="293"/>
      <c r="GFB59" s="294"/>
      <c r="GFH59" s="292"/>
      <c r="GFI59" s="293"/>
      <c r="GFJ59" s="294"/>
      <c r="GFP59" s="292"/>
      <c r="GFQ59" s="293"/>
      <c r="GFR59" s="294"/>
      <c r="GFX59" s="292"/>
      <c r="GFY59" s="293"/>
      <c r="GFZ59" s="294"/>
      <c r="GGF59" s="292"/>
      <c r="GGG59" s="293"/>
      <c r="GGH59" s="294"/>
      <c r="GGN59" s="292"/>
      <c r="GGO59" s="293"/>
      <c r="GGP59" s="294"/>
      <c r="GGV59" s="292"/>
      <c r="GGW59" s="293"/>
      <c r="GGX59" s="294"/>
      <c r="GHD59" s="292"/>
      <c r="GHE59" s="293"/>
      <c r="GHF59" s="294"/>
      <c r="GHL59" s="292"/>
      <c r="GHM59" s="293"/>
      <c r="GHN59" s="294"/>
      <c r="GHT59" s="292"/>
      <c r="GHU59" s="293"/>
      <c r="GHV59" s="294"/>
      <c r="GIB59" s="292"/>
      <c r="GIC59" s="293"/>
      <c r="GID59" s="294"/>
      <c r="GIJ59" s="292"/>
      <c r="GIK59" s="293"/>
      <c r="GIL59" s="294"/>
      <c r="GIR59" s="292"/>
      <c r="GIS59" s="293"/>
      <c r="GIT59" s="294"/>
      <c r="GIZ59" s="292"/>
      <c r="GJA59" s="293"/>
      <c r="GJB59" s="294"/>
      <c r="GJH59" s="292"/>
      <c r="GJI59" s="293"/>
      <c r="GJJ59" s="294"/>
      <c r="GJP59" s="292"/>
      <c r="GJQ59" s="293"/>
      <c r="GJR59" s="294"/>
      <c r="GJX59" s="292"/>
      <c r="GJY59" s="293"/>
      <c r="GJZ59" s="294"/>
      <c r="GKF59" s="292"/>
      <c r="GKG59" s="293"/>
      <c r="GKH59" s="294"/>
      <c r="GKN59" s="292"/>
      <c r="GKO59" s="293"/>
      <c r="GKP59" s="294"/>
      <c r="GKV59" s="292"/>
      <c r="GKW59" s="293"/>
      <c r="GKX59" s="294"/>
      <c r="GLD59" s="292"/>
      <c r="GLE59" s="293"/>
      <c r="GLF59" s="294"/>
      <c r="GLL59" s="292"/>
      <c r="GLM59" s="293"/>
      <c r="GLN59" s="294"/>
      <c r="GLT59" s="292"/>
      <c r="GLU59" s="293"/>
      <c r="GLV59" s="294"/>
      <c r="GMB59" s="292"/>
      <c r="GMC59" s="293"/>
      <c r="GMD59" s="294"/>
      <c r="GMJ59" s="292"/>
      <c r="GMK59" s="293"/>
      <c r="GML59" s="294"/>
      <c r="GMR59" s="292"/>
      <c r="GMS59" s="293"/>
      <c r="GMT59" s="294"/>
      <c r="GMZ59" s="292"/>
      <c r="GNA59" s="293"/>
      <c r="GNB59" s="294"/>
      <c r="GNH59" s="292"/>
      <c r="GNI59" s="293"/>
      <c r="GNJ59" s="294"/>
      <c r="GNP59" s="292"/>
      <c r="GNQ59" s="293"/>
      <c r="GNR59" s="294"/>
      <c r="GNX59" s="292"/>
      <c r="GNY59" s="293"/>
      <c r="GNZ59" s="294"/>
      <c r="GOF59" s="292"/>
      <c r="GOG59" s="293"/>
      <c r="GOH59" s="294"/>
      <c r="GON59" s="292"/>
      <c r="GOO59" s="293"/>
      <c r="GOP59" s="294"/>
      <c r="GOV59" s="292"/>
      <c r="GOW59" s="293"/>
      <c r="GOX59" s="294"/>
      <c r="GPD59" s="292"/>
      <c r="GPE59" s="293"/>
      <c r="GPF59" s="294"/>
      <c r="GPL59" s="292"/>
      <c r="GPM59" s="293"/>
      <c r="GPN59" s="294"/>
      <c r="GPT59" s="292"/>
      <c r="GPU59" s="293"/>
      <c r="GPV59" s="294"/>
      <c r="GQB59" s="292"/>
      <c r="GQC59" s="293"/>
      <c r="GQD59" s="294"/>
      <c r="GQJ59" s="292"/>
      <c r="GQK59" s="293"/>
      <c r="GQL59" s="294"/>
      <c r="GQR59" s="292"/>
      <c r="GQS59" s="293"/>
      <c r="GQT59" s="294"/>
      <c r="GQZ59" s="292"/>
      <c r="GRA59" s="293"/>
      <c r="GRB59" s="294"/>
      <c r="GRH59" s="292"/>
      <c r="GRI59" s="293"/>
      <c r="GRJ59" s="294"/>
      <c r="GRP59" s="292"/>
      <c r="GRQ59" s="293"/>
      <c r="GRR59" s="294"/>
      <c r="GRX59" s="292"/>
      <c r="GRY59" s="293"/>
      <c r="GRZ59" s="294"/>
      <c r="GSF59" s="292"/>
      <c r="GSG59" s="293"/>
      <c r="GSH59" s="294"/>
      <c r="GSN59" s="292"/>
      <c r="GSO59" s="293"/>
      <c r="GSP59" s="294"/>
      <c r="GSV59" s="292"/>
      <c r="GSW59" s="293"/>
      <c r="GSX59" s="294"/>
      <c r="GTD59" s="292"/>
      <c r="GTE59" s="293"/>
      <c r="GTF59" s="294"/>
      <c r="GTL59" s="292"/>
      <c r="GTM59" s="293"/>
      <c r="GTN59" s="294"/>
      <c r="GTT59" s="292"/>
      <c r="GTU59" s="293"/>
      <c r="GTV59" s="294"/>
      <c r="GUB59" s="292"/>
      <c r="GUC59" s="293"/>
      <c r="GUD59" s="294"/>
      <c r="GUJ59" s="292"/>
      <c r="GUK59" s="293"/>
      <c r="GUL59" s="294"/>
      <c r="GUR59" s="292"/>
      <c r="GUS59" s="293"/>
      <c r="GUT59" s="294"/>
      <c r="GUZ59" s="292"/>
      <c r="GVA59" s="293"/>
      <c r="GVB59" s="294"/>
      <c r="GVH59" s="292"/>
      <c r="GVI59" s="293"/>
      <c r="GVJ59" s="294"/>
      <c r="GVP59" s="292"/>
      <c r="GVQ59" s="293"/>
      <c r="GVR59" s="294"/>
      <c r="GVX59" s="292"/>
      <c r="GVY59" s="293"/>
      <c r="GVZ59" s="294"/>
      <c r="GWF59" s="292"/>
      <c r="GWG59" s="293"/>
      <c r="GWH59" s="294"/>
      <c r="GWN59" s="292"/>
      <c r="GWO59" s="293"/>
      <c r="GWP59" s="294"/>
      <c r="GWV59" s="292"/>
      <c r="GWW59" s="293"/>
      <c r="GWX59" s="294"/>
      <c r="GXD59" s="292"/>
      <c r="GXE59" s="293"/>
      <c r="GXF59" s="294"/>
      <c r="GXL59" s="292"/>
      <c r="GXM59" s="293"/>
      <c r="GXN59" s="294"/>
      <c r="GXT59" s="292"/>
      <c r="GXU59" s="293"/>
      <c r="GXV59" s="294"/>
      <c r="GYB59" s="292"/>
      <c r="GYC59" s="293"/>
      <c r="GYD59" s="294"/>
      <c r="GYJ59" s="292"/>
      <c r="GYK59" s="293"/>
      <c r="GYL59" s="294"/>
      <c r="GYR59" s="292"/>
      <c r="GYS59" s="293"/>
      <c r="GYT59" s="294"/>
      <c r="GYZ59" s="292"/>
      <c r="GZA59" s="293"/>
      <c r="GZB59" s="294"/>
      <c r="GZH59" s="292"/>
      <c r="GZI59" s="293"/>
      <c r="GZJ59" s="294"/>
      <c r="GZP59" s="292"/>
      <c r="GZQ59" s="293"/>
      <c r="GZR59" s="294"/>
      <c r="GZX59" s="292"/>
      <c r="GZY59" s="293"/>
      <c r="GZZ59" s="294"/>
      <c r="HAF59" s="292"/>
      <c r="HAG59" s="293"/>
      <c r="HAH59" s="294"/>
      <c r="HAN59" s="292"/>
      <c r="HAO59" s="293"/>
      <c r="HAP59" s="294"/>
      <c r="HAV59" s="292"/>
      <c r="HAW59" s="293"/>
      <c r="HAX59" s="294"/>
      <c r="HBD59" s="292"/>
      <c r="HBE59" s="293"/>
      <c r="HBF59" s="294"/>
      <c r="HBL59" s="292"/>
      <c r="HBM59" s="293"/>
      <c r="HBN59" s="294"/>
      <c r="HBT59" s="292"/>
      <c r="HBU59" s="293"/>
      <c r="HBV59" s="294"/>
      <c r="HCB59" s="292"/>
      <c r="HCC59" s="293"/>
      <c r="HCD59" s="294"/>
      <c r="HCJ59" s="292"/>
      <c r="HCK59" s="293"/>
      <c r="HCL59" s="294"/>
      <c r="HCR59" s="292"/>
      <c r="HCS59" s="293"/>
      <c r="HCT59" s="294"/>
      <c r="HCZ59" s="292"/>
      <c r="HDA59" s="293"/>
      <c r="HDB59" s="294"/>
      <c r="HDH59" s="292"/>
      <c r="HDI59" s="293"/>
      <c r="HDJ59" s="294"/>
      <c r="HDP59" s="292"/>
      <c r="HDQ59" s="293"/>
      <c r="HDR59" s="294"/>
      <c r="HDX59" s="292"/>
      <c r="HDY59" s="293"/>
      <c r="HDZ59" s="294"/>
      <c r="HEF59" s="292"/>
      <c r="HEG59" s="293"/>
      <c r="HEH59" s="294"/>
      <c r="HEN59" s="292"/>
      <c r="HEO59" s="293"/>
      <c r="HEP59" s="294"/>
      <c r="HEV59" s="292"/>
      <c r="HEW59" s="293"/>
      <c r="HEX59" s="294"/>
      <c r="HFD59" s="292"/>
      <c r="HFE59" s="293"/>
      <c r="HFF59" s="294"/>
      <c r="HFL59" s="292"/>
      <c r="HFM59" s="293"/>
      <c r="HFN59" s="294"/>
      <c r="HFT59" s="292"/>
      <c r="HFU59" s="293"/>
      <c r="HFV59" s="294"/>
      <c r="HGB59" s="292"/>
      <c r="HGC59" s="293"/>
      <c r="HGD59" s="294"/>
      <c r="HGJ59" s="292"/>
      <c r="HGK59" s="293"/>
      <c r="HGL59" s="294"/>
      <c r="HGR59" s="292"/>
      <c r="HGS59" s="293"/>
      <c r="HGT59" s="294"/>
      <c r="HGZ59" s="292"/>
      <c r="HHA59" s="293"/>
      <c r="HHB59" s="294"/>
      <c r="HHH59" s="292"/>
      <c r="HHI59" s="293"/>
      <c r="HHJ59" s="294"/>
      <c r="HHP59" s="292"/>
      <c r="HHQ59" s="293"/>
      <c r="HHR59" s="294"/>
      <c r="HHX59" s="292"/>
      <c r="HHY59" s="293"/>
      <c r="HHZ59" s="294"/>
      <c r="HIF59" s="292"/>
      <c r="HIG59" s="293"/>
      <c r="HIH59" s="294"/>
      <c r="HIN59" s="292"/>
      <c r="HIO59" s="293"/>
      <c r="HIP59" s="294"/>
      <c r="HIV59" s="292"/>
      <c r="HIW59" s="293"/>
      <c r="HIX59" s="294"/>
      <c r="HJD59" s="292"/>
      <c r="HJE59" s="293"/>
      <c r="HJF59" s="294"/>
      <c r="HJL59" s="292"/>
      <c r="HJM59" s="293"/>
      <c r="HJN59" s="294"/>
      <c r="HJT59" s="292"/>
      <c r="HJU59" s="293"/>
      <c r="HJV59" s="294"/>
      <c r="HKB59" s="292"/>
      <c r="HKC59" s="293"/>
      <c r="HKD59" s="294"/>
      <c r="HKJ59" s="292"/>
      <c r="HKK59" s="293"/>
      <c r="HKL59" s="294"/>
      <c r="HKR59" s="292"/>
      <c r="HKS59" s="293"/>
      <c r="HKT59" s="294"/>
      <c r="HKZ59" s="292"/>
      <c r="HLA59" s="293"/>
      <c r="HLB59" s="294"/>
      <c r="HLH59" s="292"/>
      <c r="HLI59" s="293"/>
      <c r="HLJ59" s="294"/>
      <c r="HLP59" s="292"/>
      <c r="HLQ59" s="293"/>
      <c r="HLR59" s="294"/>
      <c r="HLX59" s="292"/>
      <c r="HLY59" s="293"/>
      <c r="HLZ59" s="294"/>
      <c r="HMF59" s="292"/>
      <c r="HMG59" s="293"/>
      <c r="HMH59" s="294"/>
      <c r="HMN59" s="292"/>
      <c r="HMO59" s="293"/>
      <c r="HMP59" s="294"/>
      <c r="HMV59" s="292"/>
      <c r="HMW59" s="293"/>
      <c r="HMX59" s="294"/>
      <c r="HND59" s="292"/>
      <c r="HNE59" s="293"/>
      <c r="HNF59" s="294"/>
      <c r="HNL59" s="292"/>
      <c r="HNM59" s="293"/>
      <c r="HNN59" s="294"/>
      <c r="HNT59" s="292"/>
      <c r="HNU59" s="293"/>
      <c r="HNV59" s="294"/>
      <c r="HOB59" s="292"/>
      <c r="HOC59" s="293"/>
      <c r="HOD59" s="294"/>
      <c r="HOJ59" s="292"/>
      <c r="HOK59" s="293"/>
      <c r="HOL59" s="294"/>
      <c r="HOR59" s="292"/>
      <c r="HOS59" s="293"/>
      <c r="HOT59" s="294"/>
      <c r="HOZ59" s="292"/>
      <c r="HPA59" s="293"/>
      <c r="HPB59" s="294"/>
      <c r="HPH59" s="292"/>
      <c r="HPI59" s="293"/>
      <c r="HPJ59" s="294"/>
      <c r="HPP59" s="292"/>
      <c r="HPQ59" s="293"/>
      <c r="HPR59" s="294"/>
      <c r="HPX59" s="292"/>
      <c r="HPY59" s="293"/>
      <c r="HPZ59" s="294"/>
      <c r="HQF59" s="292"/>
      <c r="HQG59" s="293"/>
      <c r="HQH59" s="294"/>
      <c r="HQN59" s="292"/>
      <c r="HQO59" s="293"/>
      <c r="HQP59" s="294"/>
      <c r="HQV59" s="292"/>
      <c r="HQW59" s="293"/>
      <c r="HQX59" s="294"/>
      <c r="HRD59" s="292"/>
      <c r="HRE59" s="293"/>
      <c r="HRF59" s="294"/>
      <c r="HRL59" s="292"/>
      <c r="HRM59" s="293"/>
      <c r="HRN59" s="294"/>
      <c r="HRT59" s="292"/>
      <c r="HRU59" s="293"/>
      <c r="HRV59" s="294"/>
      <c r="HSB59" s="292"/>
      <c r="HSC59" s="293"/>
      <c r="HSD59" s="294"/>
      <c r="HSJ59" s="292"/>
      <c r="HSK59" s="293"/>
      <c r="HSL59" s="294"/>
      <c r="HSR59" s="292"/>
      <c r="HSS59" s="293"/>
      <c r="HST59" s="294"/>
      <c r="HSZ59" s="292"/>
      <c r="HTA59" s="293"/>
      <c r="HTB59" s="294"/>
      <c r="HTH59" s="292"/>
      <c r="HTI59" s="293"/>
      <c r="HTJ59" s="294"/>
      <c r="HTP59" s="292"/>
      <c r="HTQ59" s="293"/>
      <c r="HTR59" s="294"/>
      <c r="HTX59" s="292"/>
      <c r="HTY59" s="293"/>
      <c r="HTZ59" s="294"/>
      <c r="HUF59" s="292"/>
      <c r="HUG59" s="293"/>
      <c r="HUH59" s="294"/>
      <c r="HUN59" s="292"/>
      <c r="HUO59" s="293"/>
      <c r="HUP59" s="294"/>
      <c r="HUV59" s="292"/>
      <c r="HUW59" s="293"/>
      <c r="HUX59" s="294"/>
      <c r="HVD59" s="292"/>
      <c r="HVE59" s="293"/>
      <c r="HVF59" s="294"/>
      <c r="HVL59" s="292"/>
      <c r="HVM59" s="293"/>
      <c r="HVN59" s="294"/>
      <c r="HVT59" s="292"/>
      <c r="HVU59" s="293"/>
      <c r="HVV59" s="294"/>
      <c r="HWB59" s="292"/>
      <c r="HWC59" s="293"/>
      <c r="HWD59" s="294"/>
      <c r="HWJ59" s="292"/>
      <c r="HWK59" s="293"/>
      <c r="HWL59" s="294"/>
      <c r="HWR59" s="292"/>
      <c r="HWS59" s="293"/>
      <c r="HWT59" s="294"/>
      <c r="HWZ59" s="292"/>
      <c r="HXA59" s="293"/>
      <c r="HXB59" s="294"/>
      <c r="HXH59" s="292"/>
      <c r="HXI59" s="293"/>
      <c r="HXJ59" s="294"/>
      <c r="HXP59" s="292"/>
      <c r="HXQ59" s="293"/>
      <c r="HXR59" s="294"/>
      <c r="HXX59" s="292"/>
      <c r="HXY59" s="293"/>
      <c r="HXZ59" s="294"/>
      <c r="HYF59" s="292"/>
      <c r="HYG59" s="293"/>
      <c r="HYH59" s="294"/>
      <c r="HYN59" s="292"/>
      <c r="HYO59" s="293"/>
      <c r="HYP59" s="294"/>
      <c r="HYV59" s="292"/>
      <c r="HYW59" s="293"/>
      <c r="HYX59" s="294"/>
      <c r="HZD59" s="292"/>
      <c r="HZE59" s="293"/>
      <c r="HZF59" s="294"/>
      <c r="HZL59" s="292"/>
      <c r="HZM59" s="293"/>
      <c r="HZN59" s="294"/>
      <c r="HZT59" s="292"/>
      <c r="HZU59" s="293"/>
      <c r="HZV59" s="294"/>
      <c r="IAB59" s="292"/>
      <c r="IAC59" s="293"/>
      <c r="IAD59" s="294"/>
      <c r="IAJ59" s="292"/>
      <c r="IAK59" s="293"/>
      <c r="IAL59" s="294"/>
      <c r="IAR59" s="292"/>
      <c r="IAS59" s="293"/>
      <c r="IAT59" s="294"/>
      <c r="IAZ59" s="292"/>
      <c r="IBA59" s="293"/>
      <c r="IBB59" s="294"/>
      <c r="IBH59" s="292"/>
      <c r="IBI59" s="293"/>
      <c r="IBJ59" s="294"/>
      <c r="IBP59" s="292"/>
      <c r="IBQ59" s="293"/>
      <c r="IBR59" s="294"/>
      <c r="IBX59" s="292"/>
      <c r="IBY59" s="293"/>
      <c r="IBZ59" s="294"/>
      <c r="ICF59" s="292"/>
      <c r="ICG59" s="293"/>
      <c r="ICH59" s="294"/>
      <c r="ICN59" s="292"/>
      <c r="ICO59" s="293"/>
      <c r="ICP59" s="294"/>
      <c r="ICV59" s="292"/>
      <c r="ICW59" s="293"/>
      <c r="ICX59" s="294"/>
      <c r="IDD59" s="292"/>
      <c r="IDE59" s="293"/>
      <c r="IDF59" s="294"/>
      <c r="IDL59" s="292"/>
      <c r="IDM59" s="293"/>
      <c r="IDN59" s="294"/>
      <c r="IDT59" s="292"/>
      <c r="IDU59" s="293"/>
      <c r="IDV59" s="294"/>
      <c r="IEB59" s="292"/>
      <c r="IEC59" s="293"/>
      <c r="IED59" s="294"/>
      <c r="IEJ59" s="292"/>
      <c r="IEK59" s="293"/>
      <c r="IEL59" s="294"/>
      <c r="IER59" s="292"/>
      <c r="IES59" s="293"/>
      <c r="IET59" s="294"/>
      <c r="IEZ59" s="292"/>
      <c r="IFA59" s="293"/>
      <c r="IFB59" s="294"/>
      <c r="IFH59" s="292"/>
      <c r="IFI59" s="293"/>
      <c r="IFJ59" s="294"/>
      <c r="IFP59" s="292"/>
      <c r="IFQ59" s="293"/>
      <c r="IFR59" s="294"/>
      <c r="IFX59" s="292"/>
      <c r="IFY59" s="293"/>
      <c r="IFZ59" s="294"/>
      <c r="IGF59" s="292"/>
      <c r="IGG59" s="293"/>
      <c r="IGH59" s="294"/>
      <c r="IGN59" s="292"/>
      <c r="IGO59" s="293"/>
      <c r="IGP59" s="294"/>
      <c r="IGV59" s="292"/>
      <c r="IGW59" s="293"/>
      <c r="IGX59" s="294"/>
      <c r="IHD59" s="292"/>
      <c r="IHE59" s="293"/>
      <c r="IHF59" s="294"/>
      <c r="IHL59" s="292"/>
      <c r="IHM59" s="293"/>
      <c r="IHN59" s="294"/>
      <c r="IHT59" s="292"/>
      <c r="IHU59" s="293"/>
      <c r="IHV59" s="294"/>
      <c r="IIB59" s="292"/>
      <c r="IIC59" s="293"/>
      <c r="IID59" s="294"/>
      <c r="IIJ59" s="292"/>
      <c r="IIK59" s="293"/>
      <c r="IIL59" s="294"/>
      <c r="IIR59" s="292"/>
      <c r="IIS59" s="293"/>
      <c r="IIT59" s="294"/>
      <c r="IIZ59" s="292"/>
      <c r="IJA59" s="293"/>
      <c r="IJB59" s="294"/>
      <c r="IJH59" s="292"/>
      <c r="IJI59" s="293"/>
      <c r="IJJ59" s="294"/>
      <c r="IJP59" s="292"/>
      <c r="IJQ59" s="293"/>
      <c r="IJR59" s="294"/>
      <c r="IJX59" s="292"/>
      <c r="IJY59" s="293"/>
      <c r="IJZ59" s="294"/>
      <c r="IKF59" s="292"/>
      <c r="IKG59" s="293"/>
      <c r="IKH59" s="294"/>
      <c r="IKN59" s="292"/>
      <c r="IKO59" s="293"/>
      <c r="IKP59" s="294"/>
      <c r="IKV59" s="292"/>
      <c r="IKW59" s="293"/>
      <c r="IKX59" s="294"/>
      <c r="ILD59" s="292"/>
      <c r="ILE59" s="293"/>
      <c r="ILF59" s="294"/>
      <c r="ILL59" s="292"/>
      <c r="ILM59" s="293"/>
      <c r="ILN59" s="294"/>
      <c r="ILT59" s="292"/>
      <c r="ILU59" s="293"/>
      <c r="ILV59" s="294"/>
      <c r="IMB59" s="292"/>
      <c r="IMC59" s="293"/>
      <c r="IMD59" s="294"/>
      <c r="IMJ59" s="292"/>
      <c r="IMK59" s="293"/>
      <c r="IML59" s="294"/>
      <c r="IMR59" s="292"/>
      <c r="IMS59" s="293"/>
      <c r="IMT59" s="294"/>
      <c r="IMZ59" s="292"/>
      <c r="INA59" s="293"/>
      <c r="INB59" s="294"/>
      <c r="INH59" s="292"/>
      <c r="INI59" s="293"/>
      <c r="INJ59" s="294"/>
      <c r="INP59" s="292"/>
      <c r="INQ59" s="293"/>
      <c r="INR59" s="294"/>
      <c r="INX59" s="292"/>
      <c r="INY59" s="293"/>
      <c r="INZ59" s="294"/>
      <c r="IOF59" s="292"/>
      <c r="IOG59" s="293"/>
      <c r="IOH59" s="294"/>
      <c r="ION59" s="292"/>
      <c r="IOO59" s="293"/>
      <c r="IOP59" s="294"/>
      <c r="IOV59" s="292"/>
      <c r="IOW59" s="293"/>
      <c r="IOX59" s="294"/>
      <c r="IPD59" s="292"/>
      <c r="IPE59" s="293"/>
      <c r="IPF59" s="294"/>
      <c r="IPL59" s="292"/>
      <c r="IPM59" s="293"/>
      <c r="IPN59" s="294"/>
      <c r="IPT59" s="292"/>
      <c r="IPU59" s="293"/>
      <c r="IPV59" s="294"/>
      <c r="IQB59" s="292"/>
      <c r="IQC59" s="293"/>
      <c r="IQD59" s="294"/>
      <c r="IQJ59" s="292"/>
      <c r="IQK59" s="293"/>
      <c r="IQL59" s="294"/>
      <c r="IQR59" s="292"/>
      <c r="IQS59" s="293"/>
      <c r="IQT59" s="294"/>
      <c r="IQZ59" s="292"/>
      <c r="IRA59" s="293"/>
      <c r="IRB59" s="294"/>
      <c r="IRH59" s="292"/>
      <c r="IRI59" s="293"/>
      <c r="IRJ59" s="294"/>
      <c r="IRP59" s="292"/>
      <c r="IRQ59" s="293"/>
      <c r="IRR59" s="294"/>
      <c r="IRX59" s="292"/>
      <c r="IRY59" s="293"/>
      <c r="IRZ59" s="294"/>
      <c r="ISF59" s="292"/>
      <c r="ISG59" s="293"/>
      <c r="ISH59" s="294"/>
      <c r="ISN59" s="292"/>
      <c r="ISO59" s="293"/>
      <c r="ISP59" s="294"/>
      <c r="ISV59" s="292"/>
      <c r="ISW59" s="293"/>
      <c r="ISX59" s="294"/>
      <c r="ITD59" s="292"/>
      <c r="ITE59" s="293"/>
      <c r="ITF59" s="294"/>
      <c r="ITL59" s="292"/>
      <c r="ITM59" s="293"/>
      <c r="ITN59" s="294"/>
      <c r="ITT59" s="292"/>
      <c r="ITU59" s="293"/>
      <c r="ITV59" s="294"/>
      <c r="IUB59" s="292"/>
      <c r="IUC59" s="293"/>
      <c r="IUD59" s="294"/>
      <c r="IUJ59" s="292"/>
      <c r="IUK59" s="293"/>
      <c r="IUL59" s="294"/>
      <c r="IUR59" s="292"/>
      <c r="IUS59" s="293"/>
      <c r="IUT59" s="294"/>
      <c r="IUZ59" s="292"/>
      <c r="IVA59" s="293"/>
      <c r="IVB59" s="294"/>
      <c r="IVH59" s="292"/>
      <c r="IVI59" s="293"/>
      <c r="IVJ59" s="294"/>
      <c r="IVP59" s="292"/>
      <c r="IVQ59" s="293"/>
      <c r="IVR59" s="294"/>
      <c r="IVX59" s="292"/>
      <c r="IVY59" s="293"/>
      <c r="IVZ59" s="294"/>
      <c r="IWF59" s="292"/>
      <c r="IWG59" s="293"/>
      <c r="IWH59" s="294"/>
      <c r="IWN59" s="292"/>
      <c r="IWO59" s="293"/>
      <c r="IWP59" s="294"/>
      <c r="IWV59" s="292"/>
      <c r="IWW59" s="293"/>
      <c r="IWX59" s="294"/>
      <c r="IXD59" s="292"/>
      <c r="IXE59" s="293"/>
      <c r="IXF59" s="294"/>
      <c r="IXL59" s="292"/>
      <c r="IXM59" s="293"/>
      <c r="IXN59" s="294"/>
      <c r="IXT59" s="292"/>
      <c r="IXU59" s="293"/>
      <c r="IXV59" s="294"/>
      <c r="IYB59" s="292"/>
      <c r="IYC59" s="293"/>
      <c r="IYD59" s="294"/>
      <c r="IYJ59" s="292"/>
      <c r="IYK59" s="293"/>
      <c r="IYL59" s="294"/>
      <c r="IYR59" s="292"/>
      <c r="IYS59" s="293"/>
      <c r="IYT59" s="294"/>
      <c r="IYZ59" s="292"/>
      <c r="IZA59" s="293"/>
      <c r="IZB59" s="294"/>
      <c r="IZH59" s="292"/>
      <c r="IZI59" s="293"/>
      <c r="IZJ59" s="294"/>
      <c r="IZP59" s="292"/>
      <c r="IZQ59" s="293"/>
      <c r="IZR59" s="294"/>
      <c r="IZX59" s="292"/>
      <c r="IZY59" s="293"/>
      <c r="IZZ59" s="294"/>
      <c r="JAF59" s="292"/>
      <c r="JAG59" s="293"/>
      <c r="JAH59" s="294"/>
      <c r="JAN59" s="292"/>
      <c r="JAO59" s="293"/>
      <c r="JAP59" s="294"/>
      <c r="JAV59" s="292"/>
      <c r="JAW59" s="293"/>
      <c r="JAX59" s="294"/>
      <c r="JBD59" s="292"/>
      <c r="JBE59" s="293"/>
      <c r="JBF59" s="294"/>
      <c r="JBL59" s="292"/>
      <c r="JBM59" s="293"/>
      <c r="JBN59" s="294"/>
      <c r="JBT59" s="292"/>
      <c r="JBU59" s="293"/>
      <c r="JBV59" s="294"/>
      <c r="JCB59" s="292"/>
      <c r="JCC59" s="293"/>
      <c r="JCD59" s="294"/>
      <c r="JCJ59" s="292"/>
      <c r="JCK59" s="293"/>
      <c r="JCL59" s="294"/>
      <c r="JCR59" s="292"/>
      <c r="JCS59" s="293"/>
      <c r="JCT59" s="294"/>
      <c r="JCZ59" s="292"/>
      <c r="JDA59" s="293"/>
      <c r="JDB59" s="294"/>
      <c r="JDH59" s="292"/>
      <c r="JDI59" s="293"/>
      <c r="JDJ59" s="294"/>
      <c r="JDP59" s="292"/>
      <c r="JDQ59" s="293"/>
      <c r="JDR59" s="294"/>
      <c r="JDX59" s="292"/>
      <c r="JDY59" s="293"/>
      <c r="JDZ59" s="294"/>
      <c r="JEF59" s="292"/>
      <c r="JEG59" s="293"/>
      <c r="JEH59" s="294"/>
      <c r="JEN59" s="292"/>
      <c r="JEO59" s="293"/>
      <c r="JEP59" s="294"/>
      <c r="JEV59" s="292"/>
      <c r="JEW59" s="293"/>
      <c r="JEX59" s="294"/>
      <c r="JFD59" s="292"/>
      <c r="JFE59" s="293"/>
      <c r="JFF59" s="294"/>
      <c r="JFL59" s="292"/>
      <c r="JFM59" s="293"/>
      <c r="JFN59" s="294"/>
      <c r="JFT59" s="292"/>
      <c r="JFU59" s="293"/>
      <c r="JFV59" s="294"/>
      <c r="JGB59" s="292"/>
      <c r="JGC59" s="293"/>
      <c r="JGD59" s="294"/>
      <c r="JGJ59" s="292"/>
      <c r="JGK59" s="293"/>
      <c r="JGL59" s="294"/>
      <c r="JGR59" s="292"/>
      <c r="JGS59" s="293"/>
      <c r="JGT59" s="294"/>
      <c r="JGZ59" s="292"/>
      <c r="JHA59" s="293"/>
      <c r="JHB59" s="294"/>
      <c r="JHH59" s="292"/>
      <c r="JHI59" s="293"/>
      <c r="JHJ59" s="294"/>
      <c r="JHP59" s="292"/>
      <c r="JHQ59" s="293"/>
      <c r="JHR59" s="294"/>
      <c r="JHX59" s="292"/>
      <c r="JHY59" s="293"/>
      <c r="JHZ59" s="294"/>
      <c r="JIF59" s="292"/>
      <c r="JIG59" s="293"/>
      <c r="JIH59" s="294"/>
      <c r="JIN59" s="292"/>
      <c r="JIO59" s="293"/>
      <c r="JIP59" s="294"/>
      <c r="JIV59" s="292"/>
      <c r="JIW59" s="293"/>
      <c r="JIX59" s="294"/>
      <c r="JJD59" s="292"/>
      <c r="JJE59" s="293"/>
      <c r="JJF59" s="294"/>
      <c r="JJL59" s="292"/>
      <c r="JJM59" s="293"/>
      <c r="JJN59" s="294"/>
      <c r="JJT59" s="292"/>
      <c r="JJU59" s="293"/>
      <c r="JJV59" s="294"/>
      <c r="JKB59" s="292"/>
      <c r="JKC59" s="293"/>
      <c r="JKD59" s="294"/>
      <c r="JKJ59" s="292"/>
      <c r="JKK59" s="293"/>
      <c r="JKL59" s="294"/>
      <c r="JKR59" s="292"/>
      <c r="JKS59" s="293"/>
      <c r="JKT59" s="294"/>
      <c r="JKZ59" s="292"/>
      <c r="JLA59" s="293"/>
      <c r="JLB59" s="294"/>
      <c r="JLH59" s="292"/>
      <c r="JLI59" s="293"/>
      <c r="JLJ59" s="294"/>
      <c r="JLP59" s="292"/>
      <c r="JLQ59" s="293"/>
      <c r="JLR59" s="294"/>
      <c r="JLX59" s="292"/>
      <c r="JLY59" s="293"/>
      <c r="JLZ59" s="294"/>
      <c r="JMF59" s="292"/>
      <c r="JMG59" s="293"/>
      <c r="JMH59" s="294"/>
      <c r="JMN59" s="292"/>
      <c r="JMO59" s="293"/>
      <c r="JMP59" s="294"/>
      <c r="JMV59" s="292"/>
      <c r="JMW59" s="293"/>
      <c r="JMX59" s="294"/>
      <c r="JND59" s="292"/>
      <c r="JNE59" s="293"/>
      <c r="JNF59" s="294"/>
      <c r="JNL59" s="292"/>
      <c r="JNM59" s="293"/>
      <c r="JNN59" s="294"/>
      <c r="JNT59" s="292"/>
      <c r="JNU59" s="293"/>
      <c r="JNV59" s="294"/>
      <c r="JOB59" s="292"/>
      <c r="JOC59" s="293"/>
      <c r="JOD59" s="294"/>
      <c r="JOJ59" s="292"/>
      <c r="JOK59" s="293"/>
      <c r="JOL59" s="294"/>
      <c r="JOR59" s="292"/>
      <c r="JOS59" s="293"/>
      <c r="JOT59" s="294"/>
      <c r="JOZ59" s="292"/>
      <c r="JPA59" s="293"/>
      <c r="JPB59" s="294"/>
      <c r="JPH59" s="292"/>
      <c r="JPI59" s="293"/>
      <c r="JPJ59" s="294"/>
      <c r="JPP59" s="292"/>
      <c r="JPQ59" s="293"/>
      <c r="JPR59" s="294"/>
      <c r="JPX59" s="292"/>
      <c r="JPY59" s="293"/>
      <c r="JPZ59" s="294"/>
      <c r="JQF59" s="292"/>
      <c r="JQG59" s="293"/>
      <c r="JQH59" s="294"/>
      <c r="JQN59" s="292"/>
      <c r="JQO59" s="293"/>
      <c r="JQP59" s="294"/>
      <c r="JQV59" s="292"/>
      <c r="JQW59" s="293"/>
      <c r="JQX59" s="294"/>
      <c r="JRD59" s="292"/>
      <c r="JRE59" s="293"/>
      <c r="JRF59" s="294"/>
      <c r="JRL59" s="292"/>
      <c r="JRM59" s="293"/>
      <c r="JRN59" s="294"/>
      <c r="JRT59" s="292"/>
      <c r="JRU59" s="293"/>
      <c r="JRV59" s="294"/>
      <c r="JSB59" s="292"/>
      <c r="JSC59" s="293"/>
      <c r="JSD59" s="294"/>
      <c r="JSJ59" s="292"/>
      <c r="JSK59" s="293"/>
      <c r="JSL59" s="294"/>
      <c r="JSR59" s="292"/>
      <c r="JSS59" s="293"/>
      <c r="JST59" s="294"/>
      <c r="JSZ59" s="292"/>
      <c r="JTA59" s="293"/>
      <c r="JTB59" s="294"/>
      <c r="JTH59" s="292"/>
      <c r="JTI59" s="293"/>
      <c r="JTJ59" s="294"/>
      <c r="JTP59" s="292"/>
      <c r="JTQ59" s="293"/>
      <c r="JTR59" s="294"/>
      <c r="JTX59" s="292"/>
      <c r="JTY59" s="293"/>
      <c r="JTZ59" s="294"/>
      <c r="JUF59" s="292"/>
      <c r="JUG59" s="293"/>
      <c r="JUH59" s="294"/>
      <c r="JUN59" s="292"/>
      <c r="JUO59" s="293"/>
      <c r="JUP59" s="294"/>
      <c r="JUV59" s="292"/>
      <c r="JUW59" s="293"/>
      <c r="JUX59" s="294"/>
      <c r="JVD59" s="292"/>
      <c r="JVE59" s="293"/>
      <c r="JVF59" s="294"/>
      <c r="JVL59" s="292"/>
      <c r="JVM59" s="293"/>
      <c r="JVN59" s="294"/>
      <c r="JVT59" s="292"/>
      <c r="JVU59" s="293"/>
      <c r="JVV59" s="294"/>
      <c r="JWB59" s="292"/>
      <c r="JWC59" s="293"/>
      <c r="JWD59" s="294"/>
      <c r="JWJ59" s="292"/>
      <c r="JWK59" s="293"/>
      <c r="JWL59" s="294"/>
      <c r="JWR59" s="292"/>
      <c r="JWS59" s="293"/>
      <c r="JWT59" s="294"/>
      <c r="JWZ59" s="292"/>
      <c r="JXA59" s="293"/>
      <c r="JXB59" s="294"/>
      <c r="JXH59" s="292"/>
      <c r="JXI59" s="293"/>
      <c r="JXJ59" s="294"/>
      <c r="JXP59" s="292"/>
      <c r="JXQ59" s="293"/>
      <c r="JXR59" s="294"/>
      <c r="JXX59" s="292"/>
      <c r="JXY59" s="293"/>
      <c r="JXZ59" s="294"/>
      <c r="JYF59" s="292"/>
      <c r="JYG59" s="293"/>
      <c r="JYH59" s="294"/>
      <c r="JYN59" s="292"/>
      <c r="JYO59" s="293"/>
      <c r="JYP59" s="294"/>
      <c r="JYV59" s="292"/>
      <c r="JYW59" s="293"/>
      <c r="JYX59" s="294"/>
      <c r="JZD59" s="292"/>
      <c r="JZE59" s="293"/>
      <c r="JZF59" s="294"/>
      <c r="JZL59" s="292"/>
      <c r="JZM59" s="293"/>
      <c r="JZN59" s="294"/>
      <c r="JZT59" s="292"/>
      <c r="JZU59" s="293"/>
      <c r="JZV59" s="294"/>
      <c r="KAB59" s="292"/>
      <c r="KAC59" s="293"/>
      <c r="KAD59" s="294"/>
      <c r="KAJ59" s="292"/>
      <c r="KAK59" s="293"/>
      <c r="KAL59" s="294"/>
      <c r="KAR59" s="292"/>
      <c r="KAS59" s="293"/>
      <c r="KAT59" s="294"/>
      <c r="KAZ59" s="292"/>
      <c r="KBA59" s="293"/>
      <c r="KBB59" s="294"/>
      <c r="KBH59" s="292"/>
      <c r="KBI59" s="293"/>
      <c r="KBJ59" s="294"/>
      <c r="KBP59" s="292"/>
      <c r="KBQ59" s="293"/>
      <c r="KBR59" s="294"/>
      <c r="KBX59" s="292"/>
      <c r="KBY59" s="293"/>
      <c r="KBZ59" s="294"/>
      <c r="KCF59" s="292"/>
      <c r="KCG59" s="293"/>
      <c r="KCH59" s="294"/>
      <c r="KCN59" s="292"/>
      <c r="KCO59" s="293"/>
      <c r="KCP59" s="294"/>
      <c r="KCV59" s="292"/>
      <c r="KCW59" s="293"/>
      <c r="KCX59" s="294"/>
      <c r="KDD59" s="292"/>
      <c r="KDE59" s="293"/>
      <c r="KDF59" s="294"/>
      <c r="KDL59" s="292"/>
      <c r="KDM59" s="293"/>
      <c r="KDN59" s="294"/>
      <c r="KDT59" s="292"/>
      <c r="KDU59" s="293"/>
      <c r="KDV59" s="294"/>
      <c r="KEB59" s="292"/>
      <c r="KEC59" s="293"/>
      <c r="KED59" s="294"/>
      <c r="KEJ59" s="292"/>
      <c r="KEK59" s="293"/>
      <c r="KEL59" s="294"/>
      <c r="KER59" s="292"/>
      <c r="KES59" s="293"/>
      <c r="KET59" s="294"/>
      <c r="KEZ59" s="292"/>
      <c r="KFA59" s="293"/>
      <c r="KFB59" s="294"/>
      <c r="KFH59" s="292"/>
      <c r="KFI59" s="293"/>
      <c r="KFJ59" s="294"/>
      <c r="KFP59" s="292"/>
      <c r="KFQ59" s="293"/>
      <c r="KFR59" s="294"/>
      <c r="KFX59" s="292"/>
      <c r="KFY59" s="293"/>
      <c r="KFZ59" s="294"/>
      <c r="KGF59" s="292"/>
      <c r="KGG59" s="293"/>
      <c r="KGH59" s="294"/>
      <c r="KGN59" s="292"/>
      <c r="KGO59" s="293"/>
      <c r="KGP59" s="294"/>
      <c r="KGV59" s="292"/>
      <c r="KGW59" s="293"/>
      <c r="KGX59" s="294"/>
      <c r="KHD59" s="292"/>
      <c r="KHE59" s="293"/>
      <c r="KHF59" s="294"/>
      <c r="KHL59" s="292"/>
      <c r="KHM59" s="293"/>
      <c r="KHN59" s="294"/>
      <c r="KHT59" s="292"/>
      <c r="KHU59" s="293"/>
      <c r="KHV59" s="294"/>
      <c r="KIB59" s="292"/>
      <c r="KIC59" s="293"/>
      <c r="KID59" s="294"/>
      <c r="KIJ59" s="292"/>
      <c r="KIK59" s="293"/>
      <c r="KIL59" s="294"/>
      <c r="KIR59" s="292"/>
      <c r="KIS59" s="293"/>
      <c r="KIT59" s="294"/>
      <c r="KIZ59" s="292"/>
      <c r="KJA59" s="293"/>
      <c r="KJB59" s="294"/>
      <c r="KJH59" s="292"/>
      <c r="KJI59" s="293"/>
      <c r="KJJ59" s="294"/>
      <c r="KJP59" s="292"/>
      <c r="KJQ59" s="293"/>
      <c r="KJR59" s="294"/>
      <c r="KJX59" s="292"/>
      <c r="KJY59" s="293"/>
      <c r="KJZ59" s="294"/>
      <c r="KKF59" s="292"/>
      <c r="KKG59" s="293"/>
      <c r="KKH59" s="294"/>
      <c r="KKN59" s="292"/>
      <c r="KKO59" s="293"/>
      <c r="KKP59" s="294"/>
      <c r="KKV59" s="292"/>
      <c r="KKW59" s="293"/>
      <c r="KKX59" s="294"/>
      <c r="KLD59" s="292"/>
      <c r="KLE59" s="293"/>
      <c r="KLF59" s="294"/>
      <c r="KLL59" s="292"/>
      <c r="KLM59" s="293"/>
      <c r="KLN59" s="294"/>
      <c r="KLT59" s="292"/>
      <c r="KLU59" s="293"/>
      <c r="KLV59" s="294"/>
      <c r="KMB59" s="292"/>
      <c r="KMC59" s="293"/>
      <c r="KMD59" s="294"/>
      <c r="KMJ59" s="292"/>
      <c r="KMK59" s="293"/>
      <c r="KML59" s="294"/>
      <c r="KMR59" s="292"/>
      <c r="KMS59" s="293"/>
      <c r="KMT59" s="294"/>
      <c r="KMZ59" s="292"/>
      <c r="KNA59" s="293"/>
      <c r="KNB59" s="294"/>
      <c r="KNH59" s="292"/>
      <c r="KNI59" s="293"/>
      <c r="KNJ59" s="294"/>
      <c r="KNP59" s="292"/>
      <c r="KNQ59" s="293"/>
      <c r="KNR59" s="294"/>
      <c r="KNX59" s="292"/>
      <c r="KNY59" s="293"/>
      <c r="KNZ59" s="294"/>
      <c r="KOF59" s="292"/>
      <c r="KOG59" s="293"/>
      <c r="KOH59" s="294"/>
      <c r="KON59" s="292"/>
      <c r="KOO59" s="293"/>
      <c r="KOP59" s="294"/>
      <c r="KOV59" s="292"/>
      <c r="KOW59" s="293"/>
      <c r="KOX59" s="294"/>
      <c r="KPD59" s="292"/>
      <c r="KPE59" s="293"/>
      <c r="KPF59" s="294"/>
      <c r="KPL59" s="292"/>
      <c r="KPM59" s="293"/>
      <c r="KPN59" s="294"/>
      <c r="KPT59" s="292"/>
      <c r="KPU59" s="293"/>
      <c r="KPV59" s="294"/>
      <c r="KQB59" s="292"/>
      <c r="KQC59" s="293"/>
      <c r="KQD59" s="294"/>
      <c r="KQJ59" s="292"/>
      <c r="KQK59" s="293"/>
      <c r="KQL59" s="294"/>
      <c r="KQR59" s="292"/>
      <c r="KQS59" s="293"/>
      <c r="KQT59" s="294"/>
      <c r="KQZ59" s="292"/>
      <c r="KRA59" s="293"/>
      <c r="KRB59" s="294"/>
      <c r="KRH59" s="292"/>
      <c r="KRI59" s="293"/>
      <c r="KRJ59" s="294"/>
      <c r="KRP59" s="292"/>
      <c r="KRQ59" s="293"/>
      <c r="KRR59" s="294"/>
      <c r="KRX59" s="292"/>
      <c r="KRY59" s="293"/>
      <c r="KRZ59" s="294"/>
      <c r="KSF59" s="292"/>
      <c r="KSG59" s="293"/>
      <c r="KSH59" s="294"/>
      <c r="KSN59" s="292"/>
      <c r="KSO59" s="293"/>
      <c r="KSP59" s="294"/>
      <c r="KSV59" s="292"/>
      <c r="KSW59" s="293"/>
      <c r="KSX59" s="294"/>
      <c r="KTD59" s="292"/>
      <c r="KTE59" s="293"/>
      <c r="KTF59" s="294"/>
      <c r="KTL59" s="292"/>
      <c r="KTM59" s="293"/>
      <c r="KTN59" s="294"/>
      <c r="KTT59" s="292"/>
      <c r="KTU59" s="293"/>
      <c r="KTV59" s="294"/>
      <c r="KUB59" s="292"/>
      <c r="KUC59" s="293"/>
      <c r="KUD59" s="294"/>
      <c r="KUJ59" s="292"/>
      <c r="KUK59" s="293"/>
      <c r="KUL59" s="294"/>
      <c r="KUR59" s="292"/>
      <c r="KUS59" s="293"/>
      <c r="KUT59" s="294"/>
      <c r="KUZ59" s="292"/>
      <c r="KVA59" s="293"/>
      <c r="KVB59" s="294"/>
      <c r="KVH59" s="292"/>
      <c r="KVI59" s="293"/>
      <c r="KVJ59" s="294"/>
      <c r="KVP59" s="292"/>
      <c r="KVQ59" s="293"/>
      <c r="KVR59" s="294"/>
      <c r="KVX59" s="292"/>
      <c r="KVY59" s="293"/>
      <c r="KVZ59" s="294"/>
      <c r="KWF59" s="292"/>
      <c r="KWG59" s="293"/>
      <c r="KWH59" s="294"/>
      <c r="KWN59" s="292"/>
      <c r="KWO59" s="293"/>
      <c r="KWP59" s="294"/>
      <c r="KWV59" s="292"/>
      <c r="KWW59" s="293"/>
      <c r="KWX59" s="294"/>
      <c r="KXD59" s="292"/>
      <c r="KXE59" s="293"/>
      <c r="KXF59" s="294"/>
      <c r="KXL59" s="292"/>
      <c r="KXM59" s="293"/>
      <c r="KXN59" s="294"/>
      <c r="KXT59" s="292"/>
      <c r="KXU59" s="293"/>
      <c r="KXV59" s="294"/>
      <c r="KYB59" s="292"/>
      <c r="KYC59" s="293"/>
      <c r="KYD59" s="294"/>
      <c r="KYJ59" s="292"/>
      <c r="KYK59" s="293"/>
      <c r="KYL59" s="294"/>
      <c r="KYR59" s="292"/>
      <c r="KYS59" s="293"/>
      <c r="KYT59" s="294"/>
      <c r="KYZ59" s="292"/>
      <c r="KZA59" s="293"/>
      <c r="KZB59" s="294"/>
      <c r="KZH59" s="292"/>
      <c r="KZI59" s="293"/>
      <c r="KZJ59" s="294"/>
      <c r="KZP59" s="292"/>
      <c r="KZQ59" s="293"/>
      <c r="KZR59" s="294"/>
      <c r="KZX59" s="292"/>
      <c r="KZY59" s="293"/>
      <c r="KZZ59" s="294"/>
      <c r="LAF59" s="292"/>
      <c r="LAG59" s="293"/>
      <c r="LAH59" s="294"/>
      <c r="LAN59" s="292"/>
      <c r="LAO59" s="293"/>
      <c r="LAP59" s="294"/>
      <c r="LAV59" s="292"/>
      <c r="LAW59" s="293"/>
      <c r="LAX59" s="294"/>
      <c r="LBD59" s="292"/>
      <c r="LBE59" s="293"/>
      <c r="LBF59" s="294"/>
      <c r="LBL59" s="292"/>
      <c r="LBM59" s="293"/>
      <c r="LBN59" s="294"/>
      <c r="LBT59" s="292"/>
      <c r="LBU59" s="293"/>
      <c r="LBV59" s="294"/>
      <c r="LCB59" s="292"/>
      <c r="LCC59" s="293"/>
      <c r="LCD59" s="294"/>
      <c r="LCJ59" s="292"/>
      <c r="LCK59" s="293"/>
      <c r="LCL59" s="294"/>
      <c r="LCR59" s="292"/>
      <c r="LCS59" s="293"/>
      <c r="LCT59" s="294"/>
      <c r="LCZ59" s="292"/>
      <c r="LDA59" s="293"/>
      <c r="LDB59" s="294"/>
      <c r="LDH59" s="292"/>
      <c r="LDI59" s="293"/>
      <c r="LDJ59" s="294"/>
      <c r="LDP59" s="292"/>
      <c r="LDQ59" s="293"/>
      <c r="LDR59" s="294"/>
      <c r="LDX59" s="292"/>
      <c r="LDY59" s="293"/>
      <c r="LDZ59" s="294"/>
      <c r="LEF59" s="292"/>
      <c r="LEG59" s="293"/>
      <c r="LEH59" s="294"/>
      <c r="LEN59" s="292"/>
      <c r="LEO59" s="293"/>
      <c r="LEP59" s="294"/>
      <c r="LEV59" s="292"/>
      <c r="LEW59" s="293"/>
      <c r="LEX59" s="294"/>
      <c r="LFD59" s="292"/>
      <c r="LFE59" s="293"/>
      <c r="LFF59" s="294"/>
      <c r="LFL59" s="292"/>
      <c r="LFM59" s="293"/>
      <c r="LFN59" s="294"/>
      <c r="LFT59" s="292"/>
      <c r="LFU59" s="293"/>
      <c r="LFV59" s="294"/>
      <c r="LGB59" s="292"/>
      <c r="LGC59" s="293"/>
      <c r="LGD59" s="294"/>
      <c r="LGJ59" s="292"/>
      <c r="LGK59" s="293"/>
      <c r="LGL59" s="294"/>
      <c r="LGR59" s="292"/>
      <c r="LGS59" s="293"/>
      <c r="LGT59" s="294"/>
      <c r="LGZ59" s="292"/>
      <c r="LHA59" s="293"/>
      <c r="LHB59" s="294"/>
      <c r="LHH59" s="292"/>
      <c r="LHI59" s="293"/>
      <c r="LHJ59" s="294"/>
      <c r="LHP59" s="292"/>
      <c r="LHQ59" s="293"/>
      <c r="LHR59" s="294"/>
      <c r="LHX59" s="292"/>
      <c r="LHY59" s="293"/>
      <c r="LHZ59" s="294"/>
      <c r="LIF59" s="292"/>
      <c r="LIG59" s="293"/>
      <c r="LIH59" s="294"/>
      <c r="LIN59" s="292"/>
      <c r="LIO59" s="293"/>
      <c r="LIP59" s="294"/>
      <c r="LIV59" s="292"/>
      <c r="LIW59" s="293"/>
      <c r="LIX59" s="294"/>
      <c r="LJD59" s="292"/>
      <c r="LJE59" s="293"/>
      <c r="LJF59" s="294"/>
      <c r="LJL59" s="292"/>
      <c r="LJM59" s="293"/>
      <c r="LJN59" s="294"/>
      <c r="LJT59" s="292"/>
      <c r="LJU59" s="293"/>
      <c r="LJV59" s="294"/>
      <c r="LKB59" s="292"/>
      <c r="LKC59" s="293"/>
      <c r="LKD59" s="294"/>
      <c r="LKJ59" s="292"/>
      <c r="LKK59" s="293"/>
      <c r="LKL59" s="294"/>
      <c r="LKR59" s="292"/>
      <c r="LKS59" s="293"/>
      <c r="LKT59" s="294"/>
      <c r="LKZ59" s="292"/>
      <c r="LLA59" s="293"/>
      <c r="LLB59" s="294"/>
      <c r="LLH59" s="292"/>
      <c r="LLI59" s="293"/>
      <c r="LLJ59" s="294"/>
      <c r="LLP59" s="292"/>
      <c r="LLQ59" s="293"/>
      <c r="LLR59" s="294"/>
      <c r="LLX59" s="292"/>
      <c r="LLY59" s="293"/>
      <c r="LLZ59" s="294"/>
      <c r="LMF59" s="292"/>
      <c r="LMG59" s="293"/>
      <c r="LMH59" s="294"/>
      <c r="LMN59" s="292"/>
      <c r="LMO59" s="293"/>
      <c r="LMP59" s="294"/>
      <c r="LMV59" s="292"/>
      <c r="LMW59" s="293"/>
      <c r="LMX59" s="294"/>
      <c r="LND59" s="292"/>
      <c r="LNE59" s="293"/>
      <c r="LNF59" s="294"/>
      <c r="LNL59" s="292"/>
      <c r="LNM59" s="293"/>
      <c r="LNN59" s="294"/>
      <c r="LNT59" s="292"/>
      <c r="LNU59" s="293"/>
      <c r="LNV59" s="294"/>
      <c r="LOB59" s="292"/>
      <c r="LOC59" s="293"/>
      <c r="LOD59" s="294"/>
      <c r="LOJ59" s="292"/>
      <c r="LOK59" s="293"/>
      <c r="LOL59" s="294"/>
      <c r="LOR59" s="292"/>
      <c r="LOS59" s="293"/>
      <c r="LOT59" s="294"/>
      <c r="LOZ59" s="292"/>
      <c r="LPA59" s="293"/>
      <c r="LPB59" s="294"/>
      <c r="LPH59" s="292"/>
      <c r="LPI59" s="293"/>
      <c r="LPJ59" s="294"/>
      <c r="LPP59" s="292"/>
      <c r="LPQ59" s="293"/>
      <c r="LPR59" s="294"/>
      <c r="LPX59" s="292"/>
      <c r="LPY59" s="293"/>
      <c r="LPZ59" s="294"/>
      <c r="LQF59" s="292"/>
      <c r="LQG59" s="293"/>
      <c r="LQH59" s="294"/>
      <c r="LQN59" s="292"/>
      <c r="LQO59" s="293"/>
      <c r="LQP59" s="294"/>
      <c r="LQV59" s="292"/>
      <c r="LQW59" s="293"/>
      <c r="LQX59" s="294"/>
      <c r="LRD59" s="292"/>
      <c r="LRE59" s="293"/>
      <c r="LRF59" s="294"/>
      <c r="LRL59" s="292"/>
      <c r="LRM59" s="293"/>
      <c r="LRN59" s="294"/>
      <c r="LRT59" s="292"/>
      <c r="LRU59" s="293"/>
      <c r="LRV59" s="294"/>
      <c r="LSB59" s="292"/>
      <c r="LSC59" s="293"/>
      <c r="LSD59" s="294"/>
      <c r="LSJ59" s="292"/>
      <c r="LSK59" s="293"/>
      <c r="LSL59" s="294"/>
      <c r="LSR59" s="292"/>
      <c r="LSS59" s="293"/>
      <c r="LST59" s="294"/>
      <c r="LSZ59" s="292"/>
      <c r="LTA59" s="293"/>
      <c r="LTB59" s="294"/>
      <c r="LTH59" s="292"/>
      <c r="LTI59" s="293"/>
      <c r="LTJ59" s="294"/>
      <c r="LTP59" s="292"/>
      <c r="LTQ59" s="293"/>
      <c r="LTR59" s="294"/>
      <c r="LTX59" s="292"/>
      <c r="LTY59" s="293"/>
      <c r="LTZ59" s="294"/>
      <c r="LUF59" s="292"/>
      <c r="LUG59" s="293"/>
      <c r="LUH59" s="294"/>
      <c r="LUN59" s="292"/>
      <c r="LUO59" s="293"/>
      <c r="LUP59" s="294"/>
      <c r="LUV59" s="292"/>
      <c r="LUW59" s="293"/>
      <c r="LUX59" s="294"/>
      <c r="LVD59" s="292"/>
      <c r="LVE59" s="293"/>
      <c r="LVF59" s="294"/>
      <c r="LVL59" s="292"/>
      <c r="LVM59" s="293"/>
      <c r="LVN59" s="294"/>
      <c r="LVT59" s="292"/>
      <c r="LVU59" s="293"/>
      <c r="LVV59" s="294"/>
      <c r="LWB59" s="292"/>
      <c r="LWC59" s="293"/>
      <c r="LWD59" s="294"/>
      <c r="LWJ59" s="292"/>
      <c r="LWK59" s="293"/>
      <c r="LWL59" s="294"/>
      <c r="LWR59" s="292"/>
      <c r="LWS59" s="293"/>
      <c r="LWT59" s="294"/>
      <c r="LWZ59" s="292"/>
      <c r="LXA59" s="293"/>
      <c r="LXB59" s="294"/>
      <c r="LXH59" s="292"/>
      <c r="LXI59" s="293"/>
      <c r="LXJ59" s="294"/>
      <c r="LXP59" s="292"/>
      <c r="LXQ59" s="293"/>
      <c r="LXR59" s="294"/>
      <c r="LXX59" s="292"/>
      <c r="LXY59" s="293"/>
      <c r="LXZ59" s="294"/>
      <c r="LYF59" s="292"/>
      <c r="LYG59" s="293"/>
      <c r="LYH59" s="294"/>
      <c r="LYN59" s="292"/>
      <c r="LYO59" s="293"/>
      <c r="LYP59" s="294"/>
      <c r="LYV59" s="292"/>
      <c r="LYW59" s="293"/>
      <c r="LYX59" s="294"/>
      <c r="LZD59" s="292"/>
      <c r="LZE59" s="293"/>
      <c r="LZF59" s="294"/>
      <c r="LZL59" s="292"/>
      <c r="LZM59" s="293"/>
      <c r="LZN59" s="294"/>
      <c r="LZT59" s="292"/>
      <c r="LZU59" s="293"/>
      <c r="LZV59" s="294"/>
      <c r="MAB59" s="292"/>
      <c r="MAC59" s="293"/>
      <c r="MAD59" s="294"/>
      <c r="MAJ59" s="292"/>
      <c r="MAK59" s="293"/>
      <c r="MAL59" s="294"/>
      <c r="MAR59" s="292"/>
      <c r="MAS59" s="293"/>
      <c r="MAT59" s="294"/>
      <c r="MAZ59" s="292"/>
      <c r="MBA59" s="293"/>
      <c r="MBB59" s="294"/>
      <c r="MBH59" s="292"/>
      <c r="MBI59" s="293"/>
      <c r="MBJ59" s="294"/>
      <c r="MBP59" s="292"/>
      <c r="MBQ59" s="293"/>
      <c r="MBR59" s="294"/>
      <c r="MBX59" s="292"/>
      <c r="MBY59" s="293"/>
      <c r="MBZ59" s="294"/>
      <c r="MCF59" s="292"/>
      <c r="MCG59" s="293"/>
      <c r="MCH59" s="294"/>
      <c r="MCN59" s="292"/>
      <c r="MCO59" s="293"/>
      <c r="MCP59" s="294"/>
      <c r="MCV59" s="292"/>
      <c r="MCW59" s="293"/>
      <c r="MCX59" s="294"/>
      <c r="MDD59" s="292"/>
      <c r="MDE59" s="293"/>
      <c r="MDF59" s="294"/>
      <c r="MDL59" s="292"/>
      <c r="MDM59" s="293"/>
      <c r="MDN59" s="294"/>
      <c r="MDT59" s="292"/>
      <c r="MDU59" s="293"/>
      <c r="MDV59" s="294"/>
      <c r="MEB59" s="292"/>
      <c r="MEC59" s="293"/>
      <c r="MED59" s="294"/>
      <c r="MEJ59" s="292"/>
      <c r="MEK59" s="293"/>
      <c r="MEL59" s="294"/>
      <c r="MER59" s="292"/>
      <c r="MES59" s="293"/>
      <c r="MET59" s="294"/>
      <c r="MEZ59" s="292"/>
      <c r="MFA59" s="293"/>
      <c r="MFB59" s="294"/>
      <c r="MFH59" s="292"/>
      <c r="MFI59" s="293"/>
      <c r="MFJ59" s="294"/>
      <c r="MFP59" s="292"/>
      <c r="MFQ59" s="293"/>
      <c r="MFR59" s="294"/>
      <c r="MFX59" s="292"/>
      <c r="MFY59" s="293"/>
      <c r="MFZ59" s="294"/>
      <c r="MGF59" s="292"/>
      <c r="MGG59" s="293"/>
      <c r="MGH59" s="294"/>
      <c r="MGN59" s="292"/>
      <c r="MGO59" s="293"/>
      <c r="MGP59" s="294"/>
      <c r="MGV59" s="292"/>
      <c r="MGW59" s="293"/>
      <c r="MGX59" s="294"/>
      <c r="MHD59" s="292"/>
      <c r="MHE59" s="293"/>
      <c r="MHF59" s="294"/>
      <c r="MHL59" s="292"/>
      <c r="MHM59" s="293"/>
      <c r="MHN59" s="294"/>
      <c r="MHT59" s="292"/>
      <c r="MHU59" s="293"/>
      <c r="MHV59" s="294"/>
      <c r="MIB59" s="292"/>
      <c r="MIC59" s="293"/>
      <c r="MID59" s="294"/>
      <c r="MIJ59" s="292"/>
      <c r="MIK59" s="293"/>
      <c r="MIL59" s="294"/>
      <c r="MIR59" s="292"/>
      <c r="MIS59" s="293"/>
      <c r="MIT59" s="294"/>
      <c r="MIZ59" s="292"/>
      <c r="MJA59" s="293"/>
      <c r="MJB59" s="294"/>
      <c r="MJH59" s="292"/>
      <c r="MJI59" s="293"/>
      <c r="MJJ59" s="294"/>
      <c r="MJP59" s="292"/>
      <c r="MJQ59" s="293"/>
      <c r="MJR59" s="294"/>
      <c r="MJX59" s="292"/>
      <c r="MJY59" s="293"/>
      <c r="MJZ59" s="294"/>
      <c r="MKF59" s="292"/>
      <c r="MKG59" s="293"/>
      <c r="MKH59" s="294"/>
      <c r="MKN59" s="292"/>
      <c r="MKO59" s="293"/>
      <c r="MKP59" s="294"/>
      <c r="MKV59" s="292"/>
      <c r="MKW59" s="293"/>
      <c r="MKX59" s="294"/>
      <c r="MLD59" s="292"/>
      <c r="MLE59" s="293"/>
      <c r="MLF59" s="294"/>
      <c r="MLL59" s="292"/>
      <c r="MLM59" s="293"/>
      <c r="MLN59" s="294"/>
      <c r="MLT59" s="292"/>
      <c r="MLU59" s="293"/>
      <c r="MLV59" s="294"/>
      <c r="MMB59" s="292"/>
      <c r="MMC59" s="293"/>
      <c r="MMD59" s="294"/>
      <c r="MMJ59" s="292"/>
      <c r="MMK59" s="293"/>
      <c r="MML59" s="294"/>
      <c r="MMR59" s="292"/>
      <c r="MMS59" s="293"/>
      <c r="MMT59" s="294"/>
      <c r="MMZ59" s="292"/>
      <c r="MNA59" s="293"/>
      <c r="MNB59" s="294"/>
      <c r="MNH59" s="292"/>
      <c r="MNI59" s="293"/>
      <c r="MNJ59" s="294"/>
      <c r="MNP59" s="292"/>
      <c r="MNQ59" s="293"/>
      <c r="MNR59" s="294"/>
      <c r="MNX59" s="292"/>
      <c r="MNY59" s="293"/>
      <c r="MNZ59" s="294"/>
      <c r="MOF59" s="292"/>
      <c r="MOG59" s="293"/>
      <c r="MOH59" s="294"/>
      <c r="MON59" s="292"/>
      <c r="MOO59" s="293"/>
      <c r="MOP59" s="294"/>
      <c r="MOV59" s="292"/>
      <c r="MOW59" s="293"/>
      <c r="MOX59" s="294"/>
      <c r="MPD59" s="292"/>
      <c r="MPE59" s="293"/>
      <c r="MPF59" s="294"/>
      <c r="MPL59" s="292"/>
      <c r="MPM59" s="293"/>
      <c r="MPN59" s="294"/>
      <c r="MPT59" s="292"/>
      <c r="MPU59" s="293"/>
      <c r="MPV59" s="294"/>
      <c r="MQB59" s="292"/>
      <c r="MQC59" s="293"/>
      <c r="MQD59" s="294"/>
      <c r="MQJ59" s="292"/>
      <c r="MQK59" s="293"/>
      <c r="MQL59" s="294"/>
      <c r="MQR59" s="292"/>
      <c r="MQS59" s="293"/>
      <c r="MQT59" s="294"/>
      <c r="MQZ59" s="292"/>
      <c r="MRA59" s="293"/>
      <c r="MRB59" s="294"/>
      <c r="MRH59" s="292"/>
      <c r="MRI59" s="293"/>
      <c r="MRJ59" s="294"/>
      <c r="MRP59" s="292"/>
      <c r="MRQ59" s="293"/>
      <c r="MRR59" s="294"/>
      <c r="MRX59" s="292"/>
      <c r="MRY59" s="293"/>
      <c r="MRZ59" s="294"/>
      <c r="MSF59" s="292"/>
      <c r="MSG59" s="293"/>
      <c r="MSH59" s="294"/>
      <c r="MSN59" s="292"/>
      <c r="MSO59" s="293"/>
      <c r="MSP59" s="294"/>
      <c r="MSV59" s="292"/>
      <c r="MSW59" s="293"/>
      <c r="MSX59" s="294"/>
      <c r="MTD59" s="292"/>
      <c r="MTE59" s="293"/>
      <c r="MTF59" s="294"/>
      <c r="MTL59" s="292"/>
      <c r="MTM59" s="293"/>
      <c r="MTN59" s="294"/>
      <c r="MTT59" s="292"/>
      <c r="MTU59" s="293"/>
      <c r="MTV59" s="294"/>
      <c r="MUB59" s="292"/>
      <c r="MUC59" s="293"/>
      <c r="MUD59" s="294"/>
      <c r="MUJ59" s="292"/>
      <c r="MUK59" s="293"/>
      <c r="MUL59" s="294"/>
      <c r="MUR59" s="292"/>
      <c r="MUS59" s="293"/>
      <c r="MUT59" s="294"/>
      <c r="MUZ59" s="292"/>
      <c r="MVA59" s="293"/>
      <c r="MVB59" s="294"/>
      <c r="MVH59" s="292"/>
      <c r="MVI59" s="293"/>
      <c r="MVJ59" s="294"/>
      <c r="MVP59" s="292"/>
      <c r="MVQ59" s="293"/>
      <c r="MVR59" s="294"/>
      <c r="MVX59" s="292"/>
      <c r="MVY59" s="293"/>
      <c r="MVZ59" s="294"/>
      <c r="MWF59" s="292"/>
      <c r="MWG59" s="293"/>
      <c r="MWH59" s="294"/>
      <c r="MWN59" s="292"/>
      <c r="MWO59" s="293"/>
      <c r="MWP59" s="294"/>
      <c r="MWV59" s="292"/>
      <c r="MWW59" s="293"/>
      <c r="MWX59" s="294"/>
      <c r="MXD59" s="292"/>
      <c r="MXE59" s="293"/>
      <c r="MXF59" s="294"/>
      <c r="MXL59" s="292"/>
      <c r="MXM59" s="293"/>
      <c r="MXN59" s="294"/>
      <c r="MXT59" s="292"/>
      <c r="MXU59" s="293"/>
      <c r="MXV59" s="294"/>
      <c r="MYB59" s="292"/>
      <c r="MYC59" s="293"/>
      <c r="MYD59" s="294"/>
      <c r="MYJ59" s="292"/>
      <c r="MYK59" s="293"/>
      <c r="MYL59" s="294"/>
      <c r="MYR59" s="292"/>
      <c r="MYS59" s="293"/>
      <c r="MYT59" s="294"/>
      <c r="MYZ59" s="292"/>
      <c r="MZA59" s="293"/>
      <c r="MZB59" s="294"/>
      <c r="MZH59" s="292"/>
      <c r="MZI59" s="293"/>
      <c r="MZJ59" s="294"/>
      <c r="MZP59" s="292"/>
      <c r="MZQ59" s="293"/>
      <c r="MZR59" s="294"/>
      <c r="MZX59" s="292"/>
      <c r="MZY59" s="293"/>
      <c r="MZZ59" s="294"/>
      <c r="NAF59" s="292"/>
      <c r="NAG59" s="293"/>
      <c r="NAH59" s="294"/>
      <c r="NAN59" s="292"/>
      <c r="NAO59" s="293"/>
      <c r="NAP59" s="294"/>
      <c r="NAV59" s="292"/>
      <c r="NAW59" s="293"/>
      <c r="NAX59" s="294"/>
      <c r="NBD59" s="292"/>
      <c r="NBE59" s="293"/>
      <c r="NBF59" s="294"/>
      <c r="NBL59" s="292"/>
      <c r="NBM59" s="293"/>
      <c r="NBN59" s="294"/>
      <c r="NBT59" s="292"/>
      <c r="NBU59" s="293"/>
      <c r="NBV59" s="294"/>
      <c r="NCB59" s="292"/>
      <c r="NCC59" s="293"/>
      <c r="NCD59" s="294"/>
      <c r="NCJ59" s="292"/>
      <c r="NCK59" s="293"/>
      <c r="NCL59" s="294"/>
      <c r="NCR59" s="292"/>
      <c r="NCS59" s="293"/>
      <c r="NCT59" s="294"/>
      <c r="NCZ59" s="292"/>
      <c r="NDA59" s="293"/>
      <c r="NDB59" s="294"/>
      <c r="NDH59" s="292"/>
      <c r="NDI59" s="293"/>
      <c r="NDJ59" s="294"/>
      <c r="NDP59" s="292"/>
      <c r="NDQ59" s="293"/>
      <c r="NDR59" s="294"/>
      <c r="NDX59" s="292"/>
      <c r="NDY59" s="293"/>
      <c r="NDZ59" s="294"/>
      <c r="NEF59" s="292"/>
      <c r="NEG59" s="293"/>
      <c r="NEH59" s="294"/>
      <c r="NEN59" s="292"/>
      <c r="NEO59" s="293"/>
      <c r="NEP59" s="294"/>
      <c r="NEV59" s="292"/>
      <c r="NEW59" s="293"/>
      <c r="NEX59" s="294"/>
      <c r="NFD59" s="292"/>
      <c r="NFE59" s="293"/>
      <c r="NFF59" s="294"/>
      <c r="NFL59" s="292"/>
      <c r="NFM59" s="293"/>
      <c r="NFN59" s="294"/>
      <c r="NFT59" s="292"/>
      <c r="NFU59" s="293"/>
      <c r="NFV59" s="294"/>
      <c r="NGB59" s="292"/>
      <c r="NGC59" s="293"/>
      <c r="NGD59" s="294"/>
      <c r="NGJ59" s="292"/>
      <c r="NGK59" s="293"/>
      <c r="NGL59" s="294"/>
      <c r="NGR59" s="292"/>
      <c r="NGS59" s="293"/>
      <c r="NGT59" s="294"/>
      <c r="NGZ59" s="292"/>
      <c r="NHA59" s="293"/>
      <c r="NHB59" s="294"/>
      <c r="NHH59" s="292"/>
      <c r="NHI59" s="293"/>
      <c r="NHJ59" s="294"/>
      <c r="NHP59" s="292"/>
      <c r="NHQ59" s="293"/>
      <c r="NHR59" s="294"/>
      <c r="NHX59" s="292"/>
      <c r="NHY59" s="293"/>
      <c r="NHZ59" s="294"/>
      <c r="NIF59" s="292"/>
      <c r="NIG59" s="293"/>
      <c r="NIH59" s="294"/>
      <c r="NIN59" s="292"/>
      <c r="NIO59" s="293"/>
      <c r="NIP59" s="294"/>
      <c r="NIV59" s="292"/>
      <c r="NIW59" s="293"/>
      <c r="NIX59" s="294"/>
      <c r="NJD59" s="292"/>
      <c r="NJE59" s="293"/>
      <c r="NJF59" s="294"/>
      <c r="NJL59" s="292"/>
      <c r="NJM59" s="293"/>
      <c r="NJN59" s="294"/>
      <c r="NJT59" s="292"/>
      <c r="NJU59" s="293"/>
      <c r="NJV59" s="294"/>
      <c r="NKB59" s="292"/>
      <c r="NKC59" s="293"/>
      <c r="NKD59" s="294"/>
      <c r="NKJ59" s="292"/>
      <c r="NKK59" s="293"/>
      <c r="NKL59" s="294"/>
      <c r="NKR59" s="292"/>
      <c r="NKS59" s="293"/>
      <c r="NKT59" s="294"/>
      <c r="NKZ59" s="292"/>
      <c r="NLA59" s="293"/>
      <c r="NLB59" s="294"/>
      <c r="NLH59" s="292"/>
      <c r="NLI59" s="293"/>
      <c r="NLJ59" s="294"/>
      <c r="NLP59" s="292"/>
      <c r="NLQ59" s="293"/>
      <c r="NLR59" s="294"/>
      <c r="NLX59" s="292"/>
      <c r="NLY59" s="293"/>
      <c r="NLZ59" s="294"/>
      <c r="NMF59" s="292"/>
      <c r="NMG59" s="293"/>
      <c r="NMH59" s="294"/>
      <c r="NMN59" s="292"/>
      <c r="NMO59" s="293"/>
      <c r="NMP59" s="294"/>
      <c r="NMV59" s="292"/>
      <c r="NMW59" s="293"/>
      <c r="NMX59" s="294"/>
      <c r="NND59" s="292"/>
      <c r="NNE59" s="293"/>
      <c r="NNF59" s="294"/>
      <c r="NNL59" s="292"/>
      <c r="NNM59" s="293"/>
      <c r="NNN59" s="294"/>
      <c r="NNT59" s="292"/>
      <c r="NNU59" s="293"/>
      <c r="NNV59" s="294"/>
      <c r="NOB59" s="292"/>
      <c r="NOC59" s="293"/>
      <c r="NOD59" s="294"/>
      <c r="NOJ59" s="292"/>
      <c r="NOK59" s="293"/>
      <c r="NOL59" s="294"/>
      <c r="NOR59" s="292"/>
      <c r="NOS59" s="293"/>
      <c r="NOT59" s="294"/>
      <c r="NOZ59" s="292"/>
      <c r="NPA59" s="293"/>
      <c r="NPB59" s="294"/>
      <c r="NPH59" s="292"/>
      <c r="NPI59" s="293"/>
      <c r="NPJ59" s="294"/>
      <c r="NPP59" s="292"/>
      <c r="NPQ59" s="293"/>
      <c r="NPR59" s="294"/>
      <c r="NPX59" s="292"/>
      <c r="NPY59" s="293"/>
      <c r="NPZ59" s="294"/>
      <c r="NQF59" s="292"/>
      <c r="NQG59" s="293"/>
      <c r="NQH59" s="294"/>
      <c r="NQN59" s="292"/>
      <c r="NQO59" s="293"/>
      <c r="NQP59" s="294"/>
      <c r="NQV59" s="292"/>
      <c r="NQW59" s="293"/>
      <c r="NQX59" s="294"/>
      <c r="NRD59" s="292"/>
      <c r="NRE59" s="293"/>
      <c r="NRF59" s="294"/>
      <c r="NRL59" s="292"/>
      <c r="NRM59" s="293"/>
      <c r="NRN59" s="294"/>
      <c r="NRT59" s="292"/>
      <c r="NRU59" s="293"/>
      <c r="NRV59" s="294"/>
      <c r="NSB59" s="292"/>
      <c r="NSC59" s="293"/>
      <c r="NSD59" s="294"/>
      <c r="NSJ59" s="292"/>
      <c r="NSK59" s="293"/>
      <c r="NSL59" s="294"/>
      <c r="NSR59" s="292"/>
      <c r="NSS59" s="293"/>
      <c r="NST59" s="294"/>
      <c r="NSZ59" s="292"/>
      <c r="NTA59" s="293"/>
      <c r="NTB59" s="294"/>
      <c r="NTH59" s="292"/>
      <c r="NTI59" s="293"/>
      <c r="NTJ59" s="294"/>
      <c r="NTP59" s="292"/>
      <c r="NTQ59" s="293"/>
      <c r="NTR59" s="294"/>
      <c r="NTX59" s="292"/>
      <c r="NTY59" s="293"/>
      <c r="NTZ59" s="294"/>
      <c r="NUF59" s="292"/>
      <c r="NUG59" s="293"/>
      <c r="NUH59" s="294"/>
      <c r="NUN59" s="292"/>
      <c r="NUO59" s="293"/>
      <c r="NUP59" s="294"/>
      <c r="NUV59" s="292"/>
      <c r="NUW59" s="293"/>
      <c r="NUX59" s="294"/>
      <c r="NVD59" s="292"/>
      <c r="NVE59" s="293"/>
      <c r="NVF59" s="294"/>
      <c r="NVL59" s="292"/>
      <c r="NVM59" s="293"/>
      <c r="NVN59" s="294"/>
      <c r="NVT59" s="292"/>
      <c r="NVU59" s="293"/>
      <c r="NVV59" s="294"/>
      <c r="NWB59" s="292"/>
      <c r="NWC59" s="293"/>
      <c r="NWD59" s="294"/>
      <c r="NWJ59" s="292"/>
      <c r="NWK59" s="293"/>
      <c r="NWL59" s="294"/>
      <c r="NWR59" s="292"/>
      <c r="NWS59" s="293"/>
      <c r="NWT59" s="294"/>
      <c r="NWZ59" s="292"/>
      <c r="NXA59" s="293"/>
      <c r="NXB59" s="294"/>
      <c r="NXH59" s="292"/>
      <c r="NXI59" s="293"/>
      <c r="NXJ59" s="294"/>
      <c r="NXP59" s="292"/>
      <c r="NXQ59" s="293"/>
      <c r="NXR59" s="294"/>
      <c r="NXX59" s="292"/>
      <c r="NXY59" s="293"/>
      <c r="NXZ59" s="294"/>
      <c r="NYF59" s="292"/>
      <c r="NYG59" s="293"/>
      <c r="NYH59" s="294"/>
      <c r="NYN59" s="292"/>
      <c r="NYO59" s="293"/>
      <c r="NYP59" s="294"/>
      <c r="NYV59" s="292"/>
      <c r="NYW59" s="293"/>
      <c r="NYX59" s="294"/>
      <c r="NZD59" s="292"/>
      <c r="NZE59" s="293"/>
      <c r="NZF59" s="294"/>
      <c r="NZL59" s="292"/>
      <c r="NZM59" s="293"/>
      <c r="NZN59" s="294"/>
      <c r="NZT59" s="292"/>
      <c r="NZU59" s="293"/>
      <c r="NZV59" s="294"/>
      <c r="OAB59" s="292"/>
      <c r="OAC59" s="293"/>
      <c r="OAD59" s="294"/>
      <c r="OAJ59" s="292"/>
      <c r="OAK59" s="293"/>
      <c r="OAL59" s="294"/>
      <c r="OAR59" s="292"/>
      <c r="OAS59" s="293"/>
      <c r="OAT59" s="294"/>
      <c r="OAZ59" s="292"/>
      <c r="OBA59" s="293"/>
      <c r="OBB59" s="294"/>
      <c r="OBH59" s="292"/>
      <c r="OBI59" s="293"/>
      <c r="OBJ59" s="294"/>
      <c r="OBP59" s="292"/>
      <c r="OBQ59" s="293"/>
      <c r="OBR59" s="294"/>
      <c r="OBX59" s="292"/>
      <c r="OBY59" s="293"/>
      <c r="OBZ59" s="294"/>
      <c r="OCF59" s="292"/>
      <c r="OCG59" s="293"/>
      <c r="OCH59" s="294"/>
      <c r="OCN59" s="292"/>
      <c r="OCO59" s="293"/>
      <c r="OCP59" s="294"/>
      <c r="OCV59" s="292"/>
      <c r="OCW59" s="293"/>
      <c r="OCX59" s="294"/>
      <c r="ODD59" s="292"/>
      <c r="ODE59" s="293"/>
      <c r="ODF59" s="294"/>
      <c r="ODL59" s="292"/>
      <c r="ODM59" s="293"/>
      <c r="ODN59" s="294"/>
      <c r="ODT59" s="292"/>
      <c r="ODU59" s="293"/>
      <c r="ODV59" s="294"/>
      <c r="OEB59" s="292"/>
      <c r="OEC59" s="293"/>
      <c r="OED59" s="294"/>
      <c r="OEJ59" s="292"/>
      <c r="OEK59" s="293"/>
      <c r="OEL59" s="294"/>
      <c r="OER59" s="292"/>
      <c r="OES59" s="293"/>
      <c r="OET59" s="294"/>
      <c r="OEZ59" s="292"/>
      <c r="OFA59" s="293"/>
      <c r="OFB59" s="294"/>
      <c r="OFH59" s="292"/>
      <c r="OFI59" s="293"/>
      <c r="OFJ59" s="294"/>
      <c r="OFP59" s="292"/>
      <c r="OFQ59" s="293"/>
      <c r="OFR59" s="294"/>
      <c r="OFX59" s="292"/>
      <c r="OFY59" s="293"/>
      <c r="OFZ59" s="294"/>
      <c r="OGF59" s="292"/>
      <c r="OGG59" s="293"/>
      <c r="OGH59" s="294"/>
      <c r="OGN59" s="292"/>
      <c r="OGO59" s="293"/>
      <c r="OGP59" s="294"/>
      <c r="OGV59" s="292"/>
      <c r="OGW59" s="293"/>
      <c r="OGX59" s="294"/>
      <c r="OHD59" s="292"/>
      <c r="OHE59" s="293"/>
      <c r="OHF59" s="294"/>
      <c r="OHL59" s="292"/>
      <c r="OHM59" s="293"/>
      <c r="OHN59" s="294"/>
      <c r="OHT59" s="292"/>
      <c r="OHU59" s="293"/>
      <c r="OHV59" s="294"/>
      <c r="OIB59" s="292"/>
      <c r="OIC59" s="293"/>
      <c r="OID59" s="294"/>
      <c r="OIJ59" s="292"/>
      <c r="OIK59" s="293"/>
      <c r="OIL59" s="294"/>
      <c r="OIR59" s="292"/>
      <c r="OIS59" s="293"/>
      <c r="OIT59" s="294"/>
      <c r="OIZ59" s="292"/>
      <c r="OJA59" s="293"/>
      <c r="OJB59" s="294"/>
      <c r="OJH59" s="292"/>
      <c r="OJI59" s="293"/>
      <c r="OJJ59" s="294"/>
      <c r="OJP59" s="292"/>
      <c r="OJQ59" s="293"/>
      <c r="OJR59" s="294"/>
      <c r="OJX59" s="292"/>
      <c r="OJY59" s="293"/>
      <c r="OJZ59" s="294"/>
      <c r="OKF59" s="292"/>
      <c r="OKG59" s="293"/>
      <c r="OKH59" s="294"/>
      <c r="OKN59" s="292"/>
      <c r="OKO59" s="293"/>
      <c r="OKP59" s="294"/>
      <c r="OKV59" s="292"/>
      <c r="OKW59" s="293"/>
      <c r="OKX59" s="294"/>
      <c r="OLD59" s="292"/>
      <c r="OLE59" s="293"/>
      <c r="OLF59" s="294"/>
      <c r="OLL59" s="292"/>
      <c r="OLM59" s="293"/>
      <c r="OLN59" s="294"/>
      <c r="OLT59" s="292"/>
      <c r="OLU59" s="293"/>
      <c r="OLV59" s="294"/>
      <c r="OMB59" s="292"/>
      <c r="OMC59" s="293"/>
      <c r="OMD59" s="294"/>
      <c r="OMJ59" s="292"/>
      <c r="OMK59" s="293"/>
      <c r="OML59" s="294"/>
      <c r="OMR59" s="292"/>
      <c r="OMS59" s="293"/>
      <c r="OMT59" s="294"/>
      <c r="OMZ59" s="292"/>
      <c r="ONA59" s="293"/>
      <c r="ONB59" s="294"/>
      <c r="ONH59" s="292"/>
      <c r="ONI59" s="293"/>
      <c r="ONJ59" s="294"/>
      <c r="ONP59" s="292"/>
      <c r="ONQ59" s="293"/>
      <c r="ONR59" s="294"/>
      <c r="ONX59" s="292"/>
      <c r="ONY59" s="293"/>
      <c r="ONZ59" s="294"/>
      <c r="OOF59" s="292"/>
      <c r="OOG59" s="293"/>
      <c r="OOH59" s="294"/>
      <c r="OON59" s="292"/>
      <c r="OOO59" s="293"/>
      <c r="OOP59" s="294"/>
      <c r="OOV59" s="292"/>
      <c r="OOW59" s="293"/>
      <c r="OOX59" s="294"/>
      <c r="OPD59" s="292"/>
      <c r="OPE59" s="293"/>
      <c r="OPF59" s="294"/>
      <c r="OPL59" s="292"/>
      <c r="OPM59" s="293"/>
      <c r="OPN59" s="294"/>
      <c r="OPT59" s="292"/>
      <c r="OPU59" s="293"/>
      <c r="OPV59" s="294"/>
      <c r="OQB59" s="292"/>
      <c r="OQC59" s="293"/>
      <c r="OQD59" s="294"/>
      <c r="OQJ59" s="292"/>
      <c r="OQK59" s="293"/>
      <c r="OQL59" s="294"/>
      <c r="OQR59" s="292"/>
      <c r="OQS59" s="293"/>
      <c r="OQT59" s="294"/>
      <c r="OQZ59" s="292"/>
      <c r="ORA59" s="293"/>
      <c r="ORB59" s="294"/>
      <c r="ORH59" s="292"/>
      <c r="ORI59" s="293"/>
      <c r="ORJ59" s="294"/>
      <c r="ORP59" s="292"/>
      <c r="ORQ59" s="293"/>
      <c r="ORR59" s="294"/>
      <c r="ORX59" s="292"/>
      <c r="ORY59" s="293"/>
      <c r="ORZ59" s="294"/>
      <c r="OSF59" s="292"/>
      <c r="OSG59" s="293"/>
      <c r="OSH59" s="294"/>
      <c r="OSN59" s="292"/>
      <c r="OSO59" s="293"/>
      <c r="OSP59" s="294"/>
      <c r="OSV59" s="292"/>
      <c r="OSW59" s="293"/>
      <c r="OSX59" s="294"/>
      <c r="OTD59" s="292"/>
      <c r="OTE59" s="293"/>
      <c r="OTF59" s="294"/>
      <c r="OTL59" s="292"/>
      <c r="OTM59" s="293"/>
      <c r="OTN59" s="294"/>
      <c r="OTT59" s="292"/>
      <c r="OTU59" s="293"/>
      <c r="OTV59" s="294"/>
      <c r="OUB59" s="292"/>
      <c r="OUC59" s="293"/>
      <c r="OUD59" s="294"/>
      <c r="OUJ59" s="292"/>
      <c r="OUK59" s="293"/>
      <c r="OUL59" s="294"/>
      <c r="OUR59" s="292"/>
      <c r="OUS59" s="293"/>
      <c r="OUT59" s="294"/>
      <c r="OUZ59" s="292"/>
      <c r="OVA59" s="293"/>
      <c r="OVB59" s="294"/>
      <c r="OVH59" s="292"/>
      <c r="OVI59" s="293"/>
      <c r="OVJ59" s="294"/>
      <c r="OVP59" s="292"/>
      <c r="OVQ59" s="293"/>
      <c r="OVR59" s="294"/>
      <c r="OVX59" s="292"/>
      <c r="OVY59" s="293"/>
      <c r="OVZ59" s="294"/>
      <c r="OWF59" s="292"/>
      <c r="OWG59" s="293"/>
      <c r="OWH59" s="294"/>
      <c r="OWN59" s="292"/>
      <c r="OWO59" s="293"/>
      <c r="OWP59" s="294"/>
      <c r="OWV59" s="292"/>
      <c r="OWW59" s="293"/>
      <c r="OWX59" s="294"/>
      <c r="OXD59" s="292"/>
      <c r="OXE59" s="293"/>
      <c r="OXF59" s="294"/>
      <c r="OXL59" s="292"/>
      <c r="OXM59" s="293"/>
      <c r="OXN59" s="294"/>
      <c r="OXT59" s="292"/>
      <c r="OXU59" s="293"/>
      <c r="OXV59" s="294"/>
      <c r="OYB59" s="292"/>
      <c r="OYC59" s="293"/>
      <c r="OYD59" s="294"/>
      <c r="OYJ59" s="292"/>
      <c r="OYK59" s="293"/>
      <c r="OYL59" s="294"/>
      <c r="OYR59" s="292"/>
      <c r="OYS59" s="293"/>
      <c r="OYT59" s="294"/>
      <c r="OYZ59" s="292"/>
      <c r="OZA59" s="293"/>
      <c r="OZB59" s="294"/>
      <c r="OZH59" s="292"/>
      <c r="OZI59" s="293"/>
      <c r="OZJ59" s="294"/>
      <c r="OZP59" s="292"/>
      <c r="OZQ59" s="293"/>
      <c r="OZR59" s="294"/>
      <c r="OZX59" s="292"/>
      <c r="OZY59" s="293"/>
      <c r="OZZ59" s="294"/>
      <c r="PAF59" s="292"/>
      <c r="PAG59" s="293"/>
      <c r="PAH59" s="294"/>
      <c r="PAN59" s="292"/>
      <c r="PAO59" s="293"/>
      <c r="PAP59" s="294"/>
      <c r="PAV59" s="292"/>
      <c r="PAW59" s="293"/>
      <c r="PAX59" s="294"/>
      <c r="PBD59" s="292"/>
      <c r="PBE59" s="293"/>
      <c r="PBF59" s="294"/>
      <c r="PBL59" s="292"/>
      <c r="PBM59" s="293"/>
      <c r="PBN59" s="294"/>
      <c r="PBT59" s="292"/>
      <c r="PBU59" s="293"/>
      <c r="PBV59" s="294"/>
      <c r="PCB59" s="292"/>
      <c r="PCC59" s="293"/>
      <c r="PCD59" s="294"/>
      <c r="PCJ59" s="292"/>
      <c r="PCK59" s="293"/>
      <c r="PCL59" s="294"/>
      <c r="PCR59" s="292"/>
      <c r="PCS59" s="293"/>
      <c r="PCT59" s="294"/>
      <c r="PCZ59" s="292"/>
      <c r="PDA59" s="293"/>
      <c r="PDB59" s="294"/>
      <c r="PDH59" s="292"/>
      <c r="PDI59" s="293"/>
      <c r="PDJ59" s="294"/>
      <c r="PDP59" s="292"/>
      <c r="PDQ59" s="293"/>
      <c r="PDR59" s="294"/>
      <c r="PDX59" s="292"/>
      <c r="PDY59" s="293"/>
      <c r="PDZ59" s="294"/>
      <c r="PEF59" s="292"/>
      <c r="PEG59" s="293"/>
      <c r="PEH59" s="294"/>
      <c r="PEN59" s="292"/>
      <c r="PEO59" s="293"/>
      <c r="PEP59" s="294"/>
      <c r="PEV59" s="292"/>
      <c r="PEW59" s="293"/>
      <c r="PEX59" s="294"/>
      <c r="PFD59" s="292"/>
      <c r="PFE59" s="293"/>
      <c r="PFF59" s="294"/>
      <c r="PFL59" s="292"/>
      <c r="PFM59" s="293"/>
      <c r="PFN59" s="294"/>
      <c r="PFT59" s="292"/>
      <c r="PFU59" s="293"/>
      <c r="PFV59" s="294"/>
      <c r="PGB59" s="292"/>
      <c r="PGC59" s="293"/>
      <c r="PGD59" s="294"/>
      <c r="PGJ59" s="292"/>
      <c r="PGK59" s="293"/>
      <c r="PGL59" s="294"/>
      <c r="PGR59" s="292"/>
      <c r="PGS59" s="293"/>
      <c r="PGT59" s="294"/>
      <c r="PGZ59" s="292"/>
      <c r="PHA59" s="293"/>
      <c r="PHB59" s="294"/>
      <c r="PHH59" s="292"/>
      <c r="PHI59" s="293"/>
      <c r="PHJ59" s="294"/>
      <c r="PHP59" s="292"/>
      <c r="PHQ59" s="293"/>
      <c r="PHR59" s="294"/>
      <c r="PHX59" s="292"/>
      <c r="PHY59" s="293"/>
      <c r="PHZ59" s="294"/>
      <c r="PIF59" s="292"/>
      <c r="PIG59" s="293"/>
      <c r="PIH59" s="294"/>
      <c r="PIN59" s="292"/>
      <c r="PIO59" s="293"/>
      <c r="PIP59" s="294"/>
      <c r="PIV59" s="292"/>
      <c r="PIW59" s="293"/>
      <c r="PIX59" s="294"/>
      <c r="PJD59" s="292"/>
      <c r="PJE59" s="293"/>
      <c r="PJF59" s="294"/>
      <c r="PJL59" s="292"/>
      <c r="PJM59" s="293"/>
      <c r="PJN59" s="294"/>
      <c r="PJT59" s="292"/>
      <c r="PJU59" s="293"/>
      <c r="PJV59" s="294"/>
      <c r="PKB59" s="292"/>
      <c r="PKC59" s="293"/>
      <c r="PKD59" s="294"/>
      <c r="PKJ59" s="292"/>
      <c r="PKK59" s="293"/>
      <c r="PKL59" s="294"/>
      <c r="PKR59" s="292"/>
      <c r="PKS59" s="293"/>
      <c r="PKT59" s="294"/>
      <c r="PKZ59" s="292"/>
      <c r="PLA59" s="293"/>
      <c r="PLB59" s="294"/>
      <c r="PLH59" s="292"/>
      <c r="PLI59" s="293"/>
      <c r="PLJ59" s="294"/>
      <c r="PLP59" s="292"/>
      <c r="PLQ59" s="293"/>
      <c r="PLR59" s="294"/>
      <c r="PLX59" s="292"/>
      <c r="PLY59" s="293"/>
      <c r="PLZ59" s="294"/>
      <c r="PMF59" s="292"/>
      <c r="PMG59" s="293"/>
      <c r="PMH59" s="294"/>
      <c r="PMN59" s="292"/>
      <c r="PMO59" s="293"/>
      <c r="PMP59" s="294"/>
      <c r="PMV59" s="292"/>
      <c r="PMW59" s="293"/>
      <c r="PMX59" s="294"/>
      <c r="PND59" s="292"/>
      <c r="PNE59" s="293"/>
      <c r="PNF59" s="294"/>
      <c r="PNL59" s="292"/>
      <c r="PNM59" s="293"/>
      <c r="PNN59" s="294"/>
      <c r="PNT59" s="292"/>
      <c r="PNU59" s="293"/>
      <c r="PNV59" s="294"/>
      <c r="POB59" s="292"/>
      <c r="POC59" s="293"/>
      <c r="POD59" s="294"/>
      <c r="POJ59" s="292"/>
      <c r="POK59" s="293"/>
      <c r="POL59" s="294"/>
      <c r="POR59" s="292"/>
      <c r="POS59" s="293"/>
      <c r="POT59" s="294"/>
      <c r="POZ59" s="292"/>
      <c r="PPA59" s="293"/>
      <c r="PPB59" s="294"/>
      <c r="PPH59" s="292"/>
      <c r="PPI59" s="293"/>
      <c r="PPJ59" s="294"/>
      <c r="PPP59" s="292"/>
      <c r="PPQ59" s="293"/>
      <c r="PPR59" s="294"/>
      <c r="PPX59" s="292"/>
      <c r="PPY59" s="293"/>
      <c r="PPZ59" s="294"/>
      <c r="PQF59" s="292"/>
      <c r="PQG59" s="293"/>
      <c r="PQH59" s="294"/>
      <c r="PQN59" s="292"/>
      <c r="PQO59" s="293"/>
      <c r="PQP59" s="294"/>
      <c r="PQV59" s="292"/>
      <c r="PQW59" s="293"/>
      <c r="PQX59" s="294"/>
      <c r="PRD59" s="292"/>
      <c r="PRE59" s="293"/>
      <c r="PRF59" s="294"/>
      <c r="PRL59" s="292"/>
      <c r="PRM59" s="293"/>
      <c r="PRN59" s="294"/>
      <c r="PRT59" s="292"/>
      <c r="PRU59" s="293"/>
      <c r="PRV59" s="294"/>
      <c r="PSB59" s="292"/>
      <c r="PSC59" s="293"/>
      <c r="PSD59" s="294"/>
      <c r="PSJ59" s="292"/>
      <c r="PSK59" s="293"/>
      <c r="PSL59" s="294"/>
      <c r="PSR59" s="292"/>
      <c r="PSS59" s="293"/>
      <c r="PST59" s="294"/>
      <c r="PSZ59" s="292"/>
      <c r="PTA59" s="293"/>
      <c r="PTB59" s="294"/>
      <c r="PTH59" s="292"/>
      <c r="PTI59" s="293"/>
      <c r="PTJ59" s="294"/>
      <c r="PTP59" s="292"/>
      <c r="PTQ59" s="293"/>
      <c r="PTR59" s="294"/>
      <c r="PTX59" s="292"/>
      <c r="PTY59" s="293"/>
      <c r="PTZ59" s="294"/>
      <c r="PUF59" s="292"/>
      <c r="PUG59" s="293"/>
      <c r="PUH59" s="294"/>
      <c r="PUN59" s="292"/>
      <c r="PUO59" s="293"/>
      <c r="PUP59" s="294"/>
      <c r="PUV59" s="292"/>
      <c r="PUW59" s="293"/>
      <c r="PUX59" s="294"/>
      <c r="PVD59" s="292"/>
      <c r="PVE59" s="293"/>
      <c r="PVF59" s="294"/>
      <c r="PVL59" s="292"/>
      <c r="PVM59" s="293"/>
      <c r="PVN59" s="294"/>
      <c r="PVT59" s="292"/>
      <c r="PVU59" s="293"/>
      <c r="PVV59" s="294"/>
      <c r="PWB59" s="292"/>
      <c r="PWC59" s="293"/>
      <c r="PWD59" s="294"/>
      <c r="PWJ59" s="292"/>
      <c r="PWK59" s="293"/>
      <c r="PWL59" s="294"/>
      <c r="PWR59" s="292"/>
      <c r="PWS59" s="293"/>
      <c r="PWT59" s="294"/>
      <c r="PWZ59" s="292"/>
      <c r="PXA59" s="293"/>
      <c r="PXB59" s="294"/>
      <c r="PXH59" s="292"/>
      <c r="PXI59" s="293"/>
      <c r="PXJ59" s="294"/>
      <c r="PXP59" s="292"/>
      <c r="PXQ59" s="293"/>
      <c r="PXR59" s="294"/>
      <c r="PXX59" s="292"/>
      <c r="PXY59" s="293"/>
      <c r="PXZ59" s="294"/>
      <c r="PYF59" s="292"/>
      <c r="PYG59" s="293"/>
      <c r="PYH59" s="294"/>
      <c r="PYN59" s="292"/>
      <c r="PYO59" s="293"/>
      <c r="PYP59" s="294"/>
      <c r="PYV59" s="292"/>
      <c r="PYW59" s="293"/>
      <c r="PYX59" s="294"/>
      <c r="PZD59" s="292"/>
      <c r="PZE59" s="293"/>
      <c r="PZF59" s="294"/>
      <c r="PZL59" s="292"/>
      <c r="PZM59" s="293"/>
      <c r="PZN59" s="294"/>
      <c r="PZT59" s="292"/>
      <c r="PZU59" s="293"/>
      <c r="PZV59" s="294"/>
      <c r="QAB59" s="292"/>
      <c r="QAC59" s="293"/>
      <c r="QAD59" s="294"/>
      <c r="QAJ59" s="292"/>
      <c r="QAK59" s="293"/>
      <c r="QAL59" s="294"/>
      <c r="QAR59" s="292"/>
      <c r="QAS59" s="293"/>
      <c r="QAT59" s="294"/>
      <c r="QAZ59" s="292"/>
      <c r="QBA59" s="293"/>
      <c r="QBB59" s="294"/>
      <c r="QBH59" s="292"/>
      <c r="QBI59" s="293"/>
      <c r="QBJ59" s="294"/>
      <c r="QBP59" s="292"/>
      <c r="QBQ59" s="293"/>
      <c r="QBR59" s="294"/>
      <c r="QBX59" s="292"/>
      <c r="QBY59" s="293"/>
      <c r="QBZ59" s="294"/>
      <c r="QCF59" s="292"/>
      <c r="QCG59" s="293"/>
      <c r="QCH59" s="294"/>
      <c r="QCN59" s="292"/>
      <c r="QCO59" s="293"/>
      <c r="QCP59" s="294"/>
      <c r="QCV59" s="292"/>
      <c r="QCW59" s="293"/>
      <c r="QCX59" s="294"/>
      <c r="QDD59" s="292"/>
      <c r="QDE59" s="293"/>
      <c r="QDF59" s="294"/>
      <c r="QDL59" s="292"/>
      <c r="QDM59" s="293"/>
      <c r="QDN59" s="294"/>
      <c r="QDT59" s="292"/>
      <c r="QDU59" s="293"/>
      <c r="QDV59" s="294"/>
      <c r="QEB59" s="292"/>
      <c r="QEC59" s="293"/>
      <c r="QED59" s="294"/>
      <c r="QEJ59" s="292"/>
      <c r="QEK59" s="293"/>
      <c r="QEL59" s="294"/>
      <c r="QER59" s="292"/>
      <c r="QES59" s="293"/>
      <c r="QET59" s="294"/>
      <c r="QEZ59" s="292"/>
      <c r="QFA59" s="293"/>
      <c r="QFB59" s="294"/>
      <c r="QFH59" s="292"/>
      <c r="QFI59" s="293"/>
      <c r="QFJ59" s="294"/>
      <c r="QFP59" s="292"/>
      <c r="QFQ59" s="293"/>
      <c r="QFR59" s="294"/>
      <c r="QFX59" s="292"/>
      <c r="QFY59" s="293"/>
      <c r="QFZ59" s="294"/>
      <c r="QGF59" s="292"/>
      <c r="QGG59" s="293"/>
      <c r="QGH59" s="294"/>
      <c r="QGN59" s="292"/>
      <c r="QGO59" s="293"/>
      <c r="QGP59" s="294"/>
      <c r="QGV59" s="292"/>
      <c r="QGW59" s="293"/>
      <c r="QGX59" s="294"/>
      <c r="QHD59" s="292"/>
      <c r="QHE59" s="293"/>
      <c r="QHF59" s="294"/>
      <c r="QHL59" s="292"/>
      <c r="QHM59" s="293"/>
      <c r="QHN59" s="294"/>
      <c r="QHT59" s="292"/>
      <c r="QHU59" s="293"/>
      <c r="QHV59" s="294"/>
      <c r="QIB59" s="292"/>
      <c r="QIC59" s="293"/>
      <c r="QID59" s="294"/>
      <c r="QIJ59" s="292"/>
      <c r="QIK59" s="293"/>
      <c r="QIL59" s="294"/>
      <c r="QIR59" s="292"/>
      <c r="QIS59" s="293"/>
      <c r="QIT59" s="294"/>
      <c r="QIZ59" s="292"/>
      <c r="QJA59" s="293"/>
      <c r="QJB59" s="294"/>
      <c r="QJH59" s="292"/>
      <c r="QJI59" s="293"/>
      <c r="QJJ59" s="294"/>
      <c r="QJP59" s="292"/>
      <c r="QJQ59" s="293"/>
      <c r="QJR59" s="294"/>
      <c r="QJX59" s="292"/>
      <c r="QJY59" s="293"/>
      <c r="QJZ59" s="294"/>
      <c r="QKF59" s="292"/>
      <c r="QKG59" s="293"/>
      <c r="QKH59" s="294"/>
      <c r="QKN59" s="292"/>
      <c r="QKO59" s="293"/>
      <c r="QKP59" s="294"/>
      <c r="QKV59" s="292"/>
      <c r="QKW59" s="293"/>
      <c r="QKX59" s="294"/>
      <c r="QLD59" s="292"/>
      <c r="QLE59" s="293"/>
      <c r="QLF59" s="294"/>
      <c r="QLL59" s="292"/>
      <c r="QLM59" s="293"/>
      <c r="QLN59" s="294"/>
      <c r="QLT59" s="292"/>
      <c r="QLU59" s="293"/>
      <c r="QLV59" s="294"/>
      <c r="QMB59" s="292"/>
      <c r="QMC59" s="293"/>
      <c r="QMD59" s="294"/>
      <c r="QMJ59" s="292"/>
      <c r="QMK59" s="293"/>
      <c r="QML59" s="294"/>
      <c r="QMR59" s="292"/>
      <c r="QMS59" s="293"/>
      <c r="QMT59" s="294"/>
      <c r="QMZ59" s="292"/>
      <c r="QNA59" s="293"/>
      <c r="QNB59" s="294"/>
      <c r="QNH59" s="292"/>
      <c r="QNI59" s="293"/>
      <c r="QNJ59" s="294"/>
      <c r="QNP59" s="292"/>
      <c r="QNQ59" s="293"/>
      <c r="QNR59" s="294"/>
      <c r="QNX59" s="292"/>
      <c r="QNY59" s="293"/>
      <c r="QNZ59" s="294"/>
      <c r="QOF59" s="292"/>
      <c r="QOG59" s="293"/>
      <c r="QOH59" s="294"/>
      <c r="QON59" s="292"/>
      <c r="QOO59" s="293"/>
      <c r="QOP59" s="294"/>
      <c r="QOV59" s="292"/>
      <c r="QOW59" s="293"/>
      <c r="QOX59" s="294"/>
      <c r="QPD59" s="292"/>
      <c r="QPE59" s="293"/>
      <c r="QPF59" s="294"/>
      <c r="QPL59" s="292"/>
      <c r="QPM59" s="293"/>
      <c r="QPN59" s="294"/>
      <c r="QPT59" s="292"/>
      <c r="QPU59" s="293"/>
      <c r="QPV59" s="294"/>
      <c r="QQB59" s="292"/>
      <c r="QQC59" s="293"/>
      <c r="QQD59" s="294"/>
      <c r="QQJ59" s="292"/>
      <c r="QQK59" s="293"/>
      <c r="QQL59" s="294"/>
      <c r="QQR59" s="292"/>
      <c r="QQS59" s="293"/>
      <c r="QQT59" s="294"/>
      <c r="QQZ59" s="292"/>
      <c r="QRA59" s="293"/>
      <c r="QRB59" s="294"/>
      <c r="QRH59" s="292"/>
      <c r="QRI59" s="293"/>
      <c r="QRJ59" s="294"/>
      <c r="QRP59" s="292"/>
      <c r="QRQ59" s="293"/>
      <c r="QRR59" s="294"/>
      <c r="QRX59" s="292"/>
      <c r="QRY59" s="293"/>
      <c r="QRZ59" s="294"/>
      <c r="QSF59" s="292"/>
      <c r="QSG59" s="293"/>
      <c r="QSH59" s="294"/>
      <c r="QSN59" s="292"/>
      <c r="QSO59" s="293"/>
      <c r="QSP59" s="294"/>
      <c r="QSV59" s="292"/>
      <c r="QSW59" s="293"/>
      <c r="QSX59" s="294"/>
      <c r="QTD59" s="292"/>
      <c r="QTE59" s="293"/>
      <c r="QTF59" s="294"/>
      <c r="QTL59" s="292"/>
      <c r="QTM59" s="293"/>
      <c r="QTN59" s="294"/>
      <c r="QTT59" s="292"/>
      <c r="QTU59" s="293"/>
      <c r="QTV59" s="294"/>
      <c r="QUB59" s="292"/>
      <c r="QUC59" s="293"/>
      <c r="QUD59" s="294"/>
      <c r="QUJ59" s="292"/>
      <c r="QUK59" s="293"/>
      <c r="QUL59" s="294"/>
      <c r="QUR59" s="292"/>
      <c r="QUS59" s="293"/>
      <c r="QUT59" s="294"/>
      <c r="QUZ59" s="292"/>
      <c r="QVA59" s="293"/>
      <c r="QVB59" s="294"/>
      <c r="QVH59" s="292"/>
      <c r="QVI59" s="293"/>
      <c r="QVJ59" s="294"/>
      <c r="QVP59" s="292"/>
      <c r="QVQ59" s="293"/>
      <c r="QVR59" s="294"/>
      <c r="QVX59" s="292"/>
      <c r="QVY59" s="293"/>
      <c r="QVZ59" s="294"/>
      <c r="QWF59" s="292"/>
      <c r="QWG59" s="293"/>
      <c r="QWH59" s="294"/>
      <c r="QWN59" s="292"/>
      <c r="QWO59" s="293"/>
      <c r="QWP59" s="294"/>
      <c r="QWV59" s="292"/>
      <c r="QWW59" s="293"/>
      <c r="QWX59" s="294"/>
      <c r="QXD59" s="292"/>
      <c r="QXE59" s="293"/>
      <c r="QXF59" s="294"/>
      <c r="QXL59" s="292"/>
      <c r="QXM59" s="293"/>
      <c r="QXN59" s="294"/>
      <c r="QXT59" s="292"/>
      <c r="QXU59" s="293"/>
      <c r="QXV59" s="294"/>
      <c r="QYB59" s="292"/>
      <c r="QYC59" s="293"/>
      <c r="QYD59" s="294"/>
      <c r="QYJ59" s="292"/>
      <c r="QYK59" s="293"/>
      <c r="QYL59" s="294"/>
      <c r="QYR59" s="292"/>
      <c r="QYS59" s="293"/>
      <c r="QYT59" s="294"/>
      <c r="QYZ59" s="292"/>
      <c r="QZA59" s="293"/>
      <c r="QZB59" s="294"/>
      <c r="QZH59" s="292"/>
      <c r="QZI59" s="293"/>
      <c r="QZJ59" s="294"/>
      <c r="QZP59" s="292"/>
      <c r="QZQ59" s="293"/>
      <c r="QZR59" s="294"/>
      <c r="QZX59" s="292"/>
      <c r="QZY59" s="293"/>
      <c r="QZZ59" s="294"/>
      <c r="RAF59" s="292"/>
      <c r="RAG59" s="293"/>
      <c r="RAH59" s="294"/>
      <c r="RAN59" s="292"/>
      <c r="RAO59" s="293"/>
      <c r="RAP59" s="294"/>
      <c r="RAV59" s="292"/>
      <c r="RAW59" s="293"/>
      <c r="RAX59" s="294"/>
      <c r="RBD59" s="292"/>
      <c r="RBE59" s="293"/>
      <c r="RBF59" s="294"/>
      <c r="RBL59" s="292"/>
      <c r="RBM59" s="293"/>
      <c r="RBN59" s="294"/>
      <c r="RBT59" s="292"/>
      <c r="RBU59" s="293"/>
      <c r="RBV59" s="294"/>
      <c r="RCB59" s="292"/>
      <c r="RCC59" s="293"/>
      <c r="RCD59" s="294"/>
      <c r="RCJ59" s="292"/>
      <c r="RCK59" s="293"/>
      <c r="RCL59" s="294"/>
      <c r="RCR59" s="292"/>
      <c r="RCS59" s="293"/>
      <c r="RCT59" s="294"/>
      <c r="RCZ59" s="292"/>
      <c r="RDA59" s="293"/>
      <c r="RDB59" s="294"/>
      <c r="RDH59" s="292"/>
      <c r="RDI59" s="293"/>
      <c r="RDJ59" s="294"/>
      <c r="RDP59" s="292"/>
      <c r="RDQ59" s="293"/>
      <c r="RDR59" s="294"/>
      <c r="RDX59" s="292"/>
      <c r="RDY59" s="293"/>
      <c r="RDZ59" s="294"/>
      <c r="REF59" s="292"/>
      <c r="REG59" s="293"/>
      <c r="REH59" s="294"/>
      <c r="REN59" s="292"/>
      <c r="REO59" s="293"/>
      <c r="REP59" s="294"/>
      <c r="REV59" s="292"/>
      <c r="REW59" s="293"/>
      <c r="REX59" s="294"/>
      <c r="RFD59" s="292"/>
      <c r="RFE59" s="293"/>
      <c r="RFF59" s="294"/>
      <c r="RFL59" s="292"/>
      <c r="RFM59" s="293"/>
      <c r="RFN59" s="294"/>
      <c r="RFT59" s="292"/>
      <c r="RFU59" s="293"/>
      <c r="RFV59" s="294"/>
      <c r="RGB59" s="292"/>
      <c r="RGC59" s="293"/>
      <c r="RGD59" s="294"/>
      <c r="RGJ59" s="292"/>
      <c r="RGK59" s="293"/>
      <c r="RGL59" s="294"/>
      <c r="RGR59" s="292"/>
      <c r="RGS59" s="293"/>
      <c r="RGT59" s="294"/>
      <c r="RGZ59" s="292"/>
      <c r="RHA59" s="293"/>
      <c r="RHB59" s="294"/>
      <c r="RHH59" s="292"/>
      <c r="RHI59" s="293"/>
      <c r="RHJ59" s="294"/>
      <c r="RHP59" s="292"/>
      <c r="RHQ59" s="293"/>
      <c r="RHR59" s="294"/>
      <c r="RHX59" s="292"/>
      <c r="RHY59" s="293"/>
      <c r="RHZ59" s="294"/>
      <c r="RIF59" s="292"/>
      <c r="RIG59" s="293"/>
      <c r="RIH59" s="294"/>
      <c r="RIN59" s="292"/>
      <c r="RIO59" s="293"/>
      <c r="RIP59" s="294"/>
      <c r="RIV59" s="292"/>
      <c r="RIW59" s="293"/>
      <c r="RIX59" s="294"/>
      <c r="RJD59" s="292"/>
      <c r="RJE59" s="293"/>
      <c r="RJF59" s="294"/>
      <c r="RJL59" s="292"/>
      <c r="RJM59" s="293"/>
      <c r="RJN59" s="294"/>
      <c r="RJT59" s="292"/>
      <c r="RJU59" s="293"/>
      <c r="RJV59" s="294"/>
      <c r="RKB59" s="292"/>
      <c r="RKC59" s="293"/>
      <c r="RKD59" s="294"/>
      <c r="RKJ59" s="292"/>
      <c r="RKK59" s="293"/>
      <c r="RKL59" s="294"/>
      <c r="RKR59" s="292"/>
      <c r="RKS59" s="293"/>
      <c r="RKT59" s="294"/>
      <c r="RKZ59" s="292"/>
      <c r="RLA59" s="293"/>
      <c r="RLB59" s="294"/>
      <c r="RLH59" s="292"/>
      <c r="RLI59" s="293"/>
      <c r="RLJ59" s="294"/>
      <c r="RLP59" s="292"/>
      <c r="RLQ59" s="293"/>
      <c r="RLR59" s="294"/>
      <c r="RLX59" s="292"/>
      <c r="RLY59" s="293"/>
      <c r="RLZ59" s="294"/>
      <c r="RMF59" s="292"/>
      <c r="RMG59" s="293"/>
      <c r="RMH59" s="294"/>
      <c r="RMN59" s="292"/>
      <c r="RMO59" s="293"/>
      <c r="RMP59" s="294"/>
      <c r="RMV59" s="292"/>
      <c r="RMW59" s="293"/>
      <c r="RMX59" s="294"/>
      <c r="RND59" s="292"/>
      <c r="RNE59" s="293"/>
      <c r="RNF59" s="294"/>
      <c r="RNL59" s="292"/>
      <c r="RNM59" s="293"/>
      <c r="RNN59" s="294"/>
      <c r="RNT59" s="292"/>
      <c r="RNU59" s="293"/>
      <c r="RNV59" s="294"/>
      <c r="ROB59" s="292"/>
      <c r="ROC59" s="293"/>
      <c r="ROD59" s="294"/>
      <c r="ROJ59" s="292"/>
      <c r="ROK59" s="293"/>
      <c r="ROL59" s="294"/>
      <c r="ROR59" s="292"/>
      <c r="ROS59" s="293"/>
      <c r="ROT59" s="294"/>
      <c r="ROZ59" s="292"/>
      <c r="RPA59" s="293"/>
      <c r="RPB59" s="294"/>
      <c r="RPH59" s="292"/>
      <c r="RPI59" s="293"/>
      <c r="RPJ59" s="294"/>
      <c r="RPP59" s="292"/>
      <c r="RPQ59" s="293"/>
      <c r="RPR59" s="294"/>
      <c r="RPX59" s="292"/>
      <c r="RPY59" s="293"/>
      <c r="RPZ59" s="294"/>
      <c r="RQF59" s="292"/>
      <c r="RQG59" s="293"/>
      <c r="RQH59" s="294"/>
      <c r="RQN59" s="292"/>
      <c r="RQO59" s="293"/>
      <c r="RQP59" s="294"/>
      <c r="RQV59" s="292"/>
      <c r="RQW59" s="293"/>
      <c r="RQX59" s="294"/>
      <c r="RRD59" s="292"/>
      <c r="RRE59" s="293"/>
      <c r="RRF59" s="294"/>
      <c r="RRL59" s="292"/>
      <c r="RRM59" s="293"/>
      <c r="RRN59" s="294"/>
      <c r="RRT59" s="292"/>
      <c r="RRU59" s="293"/>
      <c r="RRV59" s="294"/>
      <c r="RSB59" s="292"/>
      <c r="RSC59" s="293"/>
      <c r="RSD59" s="294"/>
      <c r="RSJ59" s="292"/>
      <c r="RSK59" s="293"/>
      <c r="RSL59" s="294"/>
      <c r="RSR59" s="292"/>
      <c r="RSS59" s="293"/>
      <c r="RST59" s="294"/>
      <c r="RSZ59" s="292"/>
      <c r="RTA59" s="293"/>
      <c r="RTB59" s="294"/>
      <c r="RTH59" s="292"/>
      <c r="RTI59" s="293"/>
      <c r="RTJ59" s="294"/>
      <c r="RTP59" s="292"/>
      <c r="RTQ59" s="293"/>
      <c r="RTR59" s="294"/>
      <c r="RTX59" s="292"/>
      <c r="RTY59" s="293"/>
      <c r="RTZ59" s="294"/>
      <c r="RUF59" s="292"/>
      <c r="RUG59" s="293"/>
      <c r="RUH59" s="294"/>
      <c r="RUN59" s="292"/>
      <c r="RUO59" s="293"/>
      <c r="RUP59" s="294"/>
      <c r="RUV59" s="292"/>
      <c r="RUW59" s="293"/>
      <c r="RUX59" s="294"/>
      <c r="RVD59" s="292"/>
      <c r="RVE59" s="293"/>
      <c r="RVF59" s="294"/>
      <c r="RVL59" s="292"/>
      <c r="RVM59" s="293"/>
      <c r="RVN59" s="294"/>
      <c r="RVT59" s="292"/>
      <c r="RVU59" s="293"/>
      <c r="RVV59" s="294"/>
      <c r="RWB59" s="292"/>
      <c r="RWC59" s="293"/>
      <c r="RWD59" s="294"/>
      <c r="RWJ59" s="292"/>
      <c r="RWK59" s="293"/>
      <c r="RWL59" s="294"/>
      <c r="RWR59" s="292"/>
      <c r="RWS59" s="293"/>
      <c r="RWT59" s="294"/>
      <c r="RWZ59" s="292"/>
      <c r="RXA59" s="293"/>
      <c r="RXB59" s="294"/>
      <c r="RXH59" s="292"/>
      <c r="RXI59" s="293"/>
      <c r="RXJ59" s="294"/>
      <c r="RXP59" s="292"/>
      <c r="RXQ59" s="293"/>
      <c r="RXR59" s="294"/>
      <c r="RXX59" s="292"/>
      <c r="RXY59" s="293"/>
      <c r="RXZ59" s="294"/>
      <c r="RYF59" s="292"/>
      <c r="RYG59" s="293"/>
      <c r="RYH59" s="294"/>
      <c r="RYN59" s="292"/>
      <c r="RYO59" s="293"/>
      <c r="RYP59" s="294"/>
      <c r="RYV59" s="292"/>
      <c r="RYW59" s="293"/>
      <c r="RYX59" s="294"/>
      <c r="RZD59" s="292"/>
      <c r="RZE59" s="293"/>
      <c r="RZF59" s="294"/>
      <c r="RZL59" s="292"/>
      <c r="RZM59" s="293"/>
      <c r="RZN59" s="294"/>
      <c r="RZT59" s="292"/>
      <c r="RZU59" s="293"/>
      <c r="RZV59" s="294"/>
      <c r="SAB59" s="292"/>
      <c r="SAC59" s="293"/>
      <c r="SAD59" s="294"/>
      <c r="SAJ59" s="292"/>
      <c r="SAK59" s="293"/>
      <c r="SAL59" s="294"/>
      <c r="SAR59" s="292"/>
      <c r="SAS59" s="293"/>
      <c r="SAT59" s="294"/>
      <c r="SAZ59" s="292"/>
      <c r="SBA59" s="293"/>
      <c r="SBB59" s="294"/>
      <c r="SBH59" s="292"/>
      <c r="SBI59" s="293"/>
      <c r="SBJ59" s="294"/>
      <c r="SBP59" s="292"/>
      <c r="SBQ59" s="293"/>
      <c r="SBR59" s="294"/>
      <c r="SBX59" s="292"/>
      <c r="SBY59" s="293"/>
      <c r="SBZ59" s="294"/>
      <c r="SCF59" s="292"/>
      <c r="SCG59" s="293"/>
      <c r="SCH59" s="294"/>
      <c r="SCN59" s="292"/>
      <c r="SCO59" s="293"/>
      <c r="SCP59" s="294"/>
      <c r="SCV59" s="292"/>
      <c r="SCW59" s="293"/>
      <c r="SCX59" s="294"/>
      <c r="SDD59" s="292"/>
      <c r="SDE59" s="293"/>
      <c r="SDF59" s="294"/>
      <c r="SDL59" s="292"/>
      <c r="SDM59" s="293"/>
      <c r="SDN59" s="294"/>
      <c r="SDT59" s="292"/>
      <c r="SDU59" s="293"/>
      <c r="SDV59" s="294"/>
      <c r="SEB59" s="292"/>
      <c r="SEC59" s="293"/>
      <c r="SED59" s="294"/>
      <c r="SEJ59" s="292"/>
      <c r="SEK59" s="293"/>
      <c r="SEL59" s="294"/>
      <c r="SER59" s="292"/>
      <c r="SES59" s="293"/>
      <c r="SET59" s="294"/>
      <c r="SEZ59" s="292"/>
      <c r="SFA59" s="293"/>
      <c r="SFB59" s="294"/>
      <c r="SFH59" s="292"/>
      <c r="SFI59" s="293"/>
      <c r="SFJ59" s="294"/>
      <c r="SFP59" s="292"/>
      <c r="SFQ59" s="293"/>
      <c r="SFR59" s="294"/>
      <c r="SFX59" s="292"/>
      <c r="SFY59" s="293"/>
      <c r="SFZ59" s="294"/>
      <c r="SGF59" s="292"/>
      <c r="SGG59" s="293"/>
      <c r="SGH59" s="294"/>
      <c r="SGN59" s="292"/>
      <c r="SGO59" s="293"/>
      <c r="SGP59" s="294"/>
      <c r="SGV59" s="292"/>
      <c r="SGW59" s="293"/>
      <c r="SGX59" s="294"/>
      <c r="SHD59" s="292"/>
      <c r="SHE59" s="293"/>
      <c r="SHF59" s="294"/>
      <c r="SHL59" s="292"/>
      <c r="SHM59" s="293"/>
      <c r="SHN59" s="294"/>
      <c r="SHT59" s="292"/>
      <c r="SHU59" s="293"/>
      <c r="SHV59" s="294"/>
      <c r="SIB59" s="292"/>
      <c r="SIC59" s="293"/>
      <c r="SID59" s="294"/>
      <c r="SIJ59" s="292"/>
      <c r="SIK59" s="293"/>
      <c r="SIL59" s="294"/>
      <c r="SIR59" s="292"/>
      <c r="SIS59" s="293"/>
      <c r="SIT59" s="294"/>
      <c r="SIZ59" s="292"/>
      <c r="SJA59" s="293"/>
      <c r="SJB59" s="294"/>
      <c r="SJH59" s="292"/>
      <c r="SJI59" s="293"/>
      <c r="SJJ59" s="294"/>
      <c r="SJP59" s="292"/>
      <c r="SJQ59" s="293"/>
      <c r="SJR59" s="294"/>
      <c r="SJX59" s="292"/>
      <c r="SJY59" s="293"/>
      <c r="SJZ59" s="294"/>
      <c r="SKF59" s="292"/>
      <c r="SKG59" s="293"/>
      <c r="SKH59" s="294"/>
      <c r="SKN59" s="292"/>
      <c r="SKO59" s="293"/>
      <c r="SKP59" s="294"/>
      <c r="SKV59" s="292"/>
      <c r="SKW59" s="293"/>
      <c r="SKX59" s="294"/>
      <c r="SLD59" s="292"/>
      <c r="SLE59" s="293"/>
      <c r="SLF59" s="294"/>
      <c r="SLL59" s="292"/>
      <c r="SLM59" s="293"/>
      <c r="SLN59" s="294"/>
      <c r="SLT59" s="292"/>
      <c r="SLU59" s="293"/>
      <c r="SLV59" s="294"/>
      <c r="SMB59" s="292"/>
      <c r="SMC59" s="293"/>
      <c r="SMD59" s="294"/>
      <c r="SMJ59" s="292"/>
      <c r="SMK59" s="293"/>
      <c r="SML59" s="294"/>
      <c r="SMR59" s="292"/>
      <c r="SMS59" s="293"/>
      <c r="SMT59" s="294"/>
      <c r="SMZ59" s="292"/>
      <c r="SNA59" s="293"/>
      <c r="SNB59" s="294"/>
      <c r="SNH59" s="292"/>
      <c r="SNI59" s="293"/>
      <c r="SNJ59" s="294"/>
      <c r="SNP59" s="292"/>
      <c r="SNQ59" s="293"/>
      <c r="SNR59" s="294"/>
      <c r="SNX59" s="292"/>
      <c r="SNY59" s="293"/>
      <c r="SNZ59" s="294"/>
      <c r="SOF59" s="292"/>
      <c r="SOG59" s="293"/>
      <c r="SOH59" s="294"/>
      <c r="SON59" s="292"/>
      <c r="SOO59" s="293"/>
      <c r="SOP59" s="294"/>
      <c r="SOV59" s="292"/>
      <c r="SOW59" s="293"/>
      <c r="SOX59" s="294"/>
      <c r="SPD59" s="292"/>
      <c r="SPE59" s="293"/>
      <c r="SPF59" s="294"/>
      <c r="SPL59" s="292"/>
      <c r="SPM59" s="293"/>
      <c r="SPN59" s="294"/>
      <c r="SPT59" s="292"/>
      <c r="SPU59" s="293"/>
      <c r="SPV59" s="294"/>
      <c r="SQB59" s="292"/>
      <c r="SQC59" s="293"/>
      <c r="SQD59" s="294"/>
      <c r="SQJ59" s="292"/>
      <c r="SQK59" s="293"/>
      <c r="SQL59" s="294"/>
      <c r="SQR59" s="292"/>
      <c r="SQS59" s="293"/>
      <c r="SQT59" s="294"/>
      <c r="SQZ59" s="292"/>
      <c r="SRA59" s="293"/>
      <c r="SRB59" s="294"/>
      <c r="SRH59" s="292"/>
      <c r="SRI59" s="293"/>
      <c r="SRJ59" s="294"/>
      <c r="SRP59" s="292"/>
      <c r="SRQ59" s="293"/>
      <c r="SRR59" s="294"/>
      <c r="SRX59" s="292"/>
      <c r="SRY59" s="293"/>
      <c r="SRZ59" s="294"/>
      <c r="SSF59" s="292"/>
      <c r="SSG59" s="293"/>
      <c r="SSH59" s="294"/>
      <c r="SSN59" s="292"/>
      <c r="SSO59" s="293"/>
      <c r="SSP59" s="294"/>
      <c r="SSV59" s="292"/>
      <c r="SSW59" s="293"/>
      <c r="SSX59" s="294"/>
      <c r="STD59" s="292"/>
      <c r="STE59" s="293"/>
      <c r="STF59" s="294"/>
      <c r="STL59" s="292"/>
      <c r="STM59" s="293"/>
      <c r="STN59" s="294"/>
      <c r="STT59" s="292"/>
      <c r="STU59" s="293"/>
      <c r="STV59" s="294"/>
      <c r="SUB59" s="292"/>
      <c r="SUC59" s="293"/>
      <c r="SUD59" s="294"/>
      <c r="SUJ59" s="292"/>
      <c r="SUK59" s="293"/>
      <c r="SUL59" s="294"/>
      <c r="SUR59" s="292"/>
      <c r="SUS59" s="293"/>
      <c r="SUT59" s="294"/>
      <c r="SUZ59" s="292"/>
      <c r="SVA59" s="293"/>
      <c r="SVB59" s="294"/>
      <c r="SVH59" s="292"/>
      <c r="SVI59" s="293"/>
      <c r="SVJ59" s="294"/>
      <c r="SVP59" s="292"/>
      <c r="SVQ59" s="293"/>
      <c r="SVR59" s="294"/>
      <c r="SVX59" s="292"/>
      <c r="SVY59" s="293"/>
      <c r="SVZ59" s="294"/>
      <c r="SWF59" s="292"/>
      <c r="SWG59" s="293"/>
      <c r="SWH59" s="294"/>
      <c r="SWN59" s="292"/>
      <c r="SWO59" s="293"/>
      <c r="SWP59" s="294"/>
      <c r="SWV59" s="292"/>
      <c r="SWW59" s="293"/>
      <c r="SWX59" s="294"/>
      <c r="SXD59" s="292"/>
      <c r="SXE59" s="293"/>
      <c r="SXF59" s="294"/>
      <c r="SXL59" s="292"/>
      <c r="SXM59" s="293"/>
      <c r="SXN59" s="294"/>
      <c r="SXT59" s="292"/>
      <c r="SXU59" s="293"/>
      <c r="SXV59" s="294"/>
      <c r="SYB59" s="292"/>
      <c r="SYC59" s="293"/>
      <c r="SYD59" s="294"/>
      <c r="SYJ59" s="292"/>
      <c r="SYK59" s="293"/>
      <c r="SYL59" s="294"/>
      <c r="SYR59" s="292"/>
      <c r="SYS59" s="293"/>
      <c r="SYT59" s="294"/>
      <c r="SYZ59" s="292"/>
      <c r="SZA59" s="293"/>
      <c r="SZB59" s="294"/>
      <c r="SZH59" s="292"/>
      <c r="SZI59" s="293"/>
      <c r="SZJ59" s="294"/>
      <c r="SZP59" s="292"/>
      <c r="SZQ59" s="293"/>
      <c r="SZR59" s="294"/>
      <c r="SZX59" s="292"/>
      <c r="SZY59" s="293"/>
      <c r="SZZ59" s="294"/>
      <c r="TAF59" s="292"/>
      <c r="TAG59" s="293"/>
      <c r="TAH59" s="294"/>
      <c r="TAN59" s="292"/>
      <c r="TAO59" s="293"/>
      <c r="TAP59" s="294"/>
      <c r="TAV59" s="292"/>
      <c r="TAW59" s="293"/>
      <c r="TAX59" s="294"/>
      <c r="TBD59" s="292"/>
      <c r="TBE59" s="293"/>
      <c r="TBF59" s="294"/>
      <c r="TBL59" s="292"/>
      <c r="TBM59" s="293"/>
      <c r="TBN59" s="294"/>
      <c r="TBT59" s="292"/>
      <c r="TBU59" s="293"/>
      <c r="TBV59" s="294"/>
      <c r="TCB59" s="292"/>
      <c r="TCC59" s="293"/>
      <c r="TCD59" s="294"/>
      <c r="TCJ59" s="292"/>
      <c r="TCK59" s="293"/>
      <c r="TCL59" s="294"/>
      <c r="TCR59" s="292"/>
      <c r="TCS59" s="293"/>
      <c r="TCT59" s="294"/>
      <c r="TCZ59" s="292"/>
      <c r="TDA59" s="293"/>
      <c r="TDB59" s="294"/>
      <c r="TDH59" s="292"/>
      <c r="TDI59" s="293"/>
      <c r="TDJ59" s="294"/>
      <c r="TDP59" s="292"/>
      <c r="TDQ59" s="293"/>
      <c r="TDR59" s="294"/>
      <c r="TDX59" s="292"/>
      <c r="TDY59" s="293"/>
      <c r="TDZ59" s="294"/>
      <c r="TEF59" s="292"/>
      <c r="TEG59" s="293"/>
      <c r="TEH59" s="294"/>
      <c r="TEN59" s="292"/>
      <c r="TEO59" s="293"/>
      <c r="TEP59" s="294"/>
      <c r="TEV59" s="292"/>
      <c r="TEW59" s="293"/>
      <c r="TEX59" s="294"/>
      <c r="TFD59" s="292"/>
      <c r="TFE59" s="293"/>
      <c r="TFF59" s="294"/>
      <c r="TFL59" s="292"/>
      <c r="TFM59" s="293"/>
      <c r="TFN59" s="294"/>
      <c r="TFT59" s="292"/>
      <c r="TFU59" s="293"/>
      <c r="TFV59" s="294"/>
      <c r="TGB59" s="292"/>
      <c r="TGC59" s="293"/>
      <c r="TGD59" s="294"/>
      <c r="TGJ59" s="292"/>
      <c r="TGK59" s="293"/>
      <c r="TGL59" s="294"/>
      <c r="TGR59" s="292"/>
      <c r="TGS59" s="293"/>
      <c r="TGT59" s="294"/>
      <c r="TGZ59" s="292"/>
      <c r="THA59" s="293"/>
      <c r="THB59" s="294"/>
      <c r="THH59" s="292"/>
      <c r="THI59" s="293"/>
      <c r="THJ59" s="294"/>
      <c r="THP59" s="292"/>
      <c r="THQ59" s="293"/>
      <c r="THR59" s="294"/>
      <c r="THX59" s="292"/>
      <c r="THY59" s="293"/>
      <c r="THZ59" s="294"/>
      <c r="TIF59" s="292"/>
      <c r="TIG59" s="293"/>
      <c r="TIH59" s="294"/>
      <c r="TIN59" s="292"/>
      <c r="TIO59" s="293"/>
      <c r="TIP59" s="294"/>
      <c r="TIV59" s="292"/>
      <c r="TIW59" s="293"/>
      <c r="TIX59" s="294"/>
      <c r="TJD59" s="292"/>
      <c r="TJE59" s="293"/>
      <c r="TJF59" s="294"/>
      <c r="TJL59" s="292"/>
      <c r="TJM59" s="293"/>
      <c r="TJN59" s="294"/>
      <c r="TJT59" s="292"/>
      <c r="TJU59" s="293"/>
      <c r="TJV59" s="294"/>
      <c r="TKB59" s="292"/>
      <c r="TKC59" s="293"/>
      <c r="TKD59" s="294"/>
      <c r="TKJ59" s="292"/>
      <c r="TKK59" s="293"/>
      <c r="TKL59" s="294"/>
      <c r="TKR59" s="292"/>
      <c r="TKS59" s="293"/>
      <c r="TKT59" s="294"/>
      <c r="TKZ59" s="292"/>
      <c r="TLA59" s="293"/>
      <c r="TLB59" s="294"/>
      <c r="TLH59" s="292"/>
      <c r="TLI59" s="293"/>
      <c r="TLJ59" s="294"/>
      <c r="TLP59" s="292"/>
      <c r="TLQ59" s="293"/>
      <c r="TLR59" s="294"/>
      <c r="TLX59" s="292"/>
      <c r="TLY59" s="293"/>
      <c r="TLZ59" s="294"/>
      <c r="TMF59" s="292"/>
      <c r="TMG59" s="293"/>
      <c r="TMH59" s="294"/>
      <c r="TMN59" s="292"/>
      <c r="TMO59" s="293"/>
      <c r="TMP59" s="294"/>
      <c r="TMV59" s="292"/>
      <c r="TMW59" s="293"/>
      <c r="TMX59" s="294"/>
      <c r="TND59" s="292"/>
      <c r="TNE59" s="293"/>
      <c r="TNF59" s="294"/>
      <c r="TNL59" s="292"/>
      <c r="TNM59" s="293"/>
      <c r="TNN59" s="294"/>
      <c r="TNT59" s="292"/>
      <c r="TNU59" s="293"/>
      <c r="TNV59" s="294"/>
      <c r="TOB59" s="292"/>
      <c r="TOC59" s="293"/>
      <c r="TOD59" s="294"/>
      <c r="TOJ59" s="292"/>
      <c r="TOK59" s="293"/>
      <c r="TOL59" s="294"/>
      <c r="TOR59" s="292"/>
      <c r="TOS59" s="293"/>
      <c r="TOT59" s="294"/>
      <c r="TOZ59" s="292"/>
      <c r="TPA59" s="293"/>
      <c r="TPB59" s="294"/>
      <c r="TPH59" s="292"/>
      <c r="TPI59" s="293"/>
      <c r="TPJ59" s="294"/>
      <c r="TPP59" s="292"/>
      <c r="TPQ59" s="293"/>
      <c r="TPR59" s="294"/>
      <c r="TPX59" s="292"/>
      <c r="TPY59" s="293"/>
      <c r="TPZ59" s="294"/>
      <c r="TQF59" s="292"/>
      <c r="TQG59" s="293"/>
      <c r="TQH59" s="294"/>
      <c r="TQN59" s="292"/>
      <c r="TQO59" s="293"/>
      <c r="TQP59" s="294"/>
      <c r="TQV59" s="292"/>
      <c r="TQW59" s="293"/>
      <c r="TQX59" s="294"/>
      <c r="TRD59" s="292"/>
      <c r="TRE59" s="293"/>
      <c r="TRF59" s="294"/>
      <c r="TRL59" s="292"/>
      <c r="TRM59" s="293"/>
      <c r="TRN59" s="294"/>
      <c r="TRT59" s="292"/>
      <c r="TRU59" s="293"/>
      <c r="TRV59" s="294"/>
      <c r="TSB59" s="292"/>
      <c r="TSC59" s="293"/>
      <c r="TSD59" s="294"/>
      <c r="TSJ59" s="292"/>
      <c r="TSK59" s="293"/>
      <c r="TSL59" s="294"/>
      <c r="TSR59" s="292"/>
      <c r="TSS59" s="293"/>
      <c r="TST59" s="294"/>
      <c r="TSZ59" s="292"/>
      <c r="TTA59" s="293"/>
      <c r="TTB59" s="294"/>
      <c r="TTH59" s="292"/>
      <c r="TTI59" s="293"/>
      <c r="TTJ59" s="294"/>
      <c r="TTP59" s="292"/>
      <c r="TTQ59" s="293"/>
      <c r="TTR59" s="294"/>
      <c r="TTX59" s="292"/>
      <c r="TTY59" s="293"/>
      <c r="TTZ59" s="294"/>
      <c r="TUF59" s="292"/>
      <c r="TUG59" s="293"/>
      <c r="TUH59" s="294"/>
      <c r="TUN59" s="292"/>
      <c r="TUO59" s="293"/>
      <c r="TUP59" s="294"/>
      <c r="TUV59" s="292"/>
      <c r="TUW59" s="293"/>
      <c r="TUX59" s="294"/>
      <c r="TVD59" s="292"/>
      <c r="TVE59" s="293"/>
      <c r="TVF59" s="294"/>
      <c r="TVL59" s="292"/>
      <c r="TVM59" s="293"/>
      <c r="TVN59" s="294"/>
      <c r="TVT59" s="292"/>
      <c r="TVU59" s="293"/>
      <c r="TVV59" s="294"/>
      <c r="TWB59" s="292"/>
      <c r="TWC59" s="293"/>
      <c r="TWD59" s="294"/>
      <c r="TWJ59" s="292"/>
      <c r="TWK59" s="293"/>
      <c r="TWL59" s="294"/>
      <c r="TWR59" s="292"/>
      <c r="TWS59" s="293"/>
      <c r="TWT59" s="294"/>
      <c r="TWZ59" s="292"/>
      <c r="TXA59" s="293"/>
      <c r="TXB59" s="294"/>
      <c r="TXH59" s="292"/>
      <c r="TXI59" s="293"/>
      <c r="TXJ59" s="294"/>
      <c r="TXP59" s="292"/>
      <c r="TXQ59" s="293"/>
      <c r="TXR59" s="294"/>
      <c r="TXX59" s="292"/>
      <c r="TXY59" s="293"/>
      <c r="TXZ59" s="294"/>
      <c r="TYF59" s="292"/>
      <c r="TYG59" s="293"/>
      <c r="TYH59" s="294"/>
      <c r="TYN59" s="292"/>
      <c r="TYO59" s="293"/>
      <c r="TYP59" s="294"/>
      <c r="TYV59" s="292"/>
      <c r="TYW59" s="293"/>
      <c r="TYX59" s="294"/>
      <c r="TZD59" s="292"/>
      <c r="TZE59" s="293"/>
      <c r="TZF59" s="294"/>
      <c r="TZL59" s="292"/>
      <c r="TZM59" s="293"/>
      <c r="TZN59" s="294"/>
      <c r="TZT59" s="292"/>
      <c r="TZU59" s="293"/>
      <c r="TZV59" s="294"/>
      <c r="UAB59" s="292"/>
      <c r="UAC59" s="293"/>
      <c r="UAD59" s="294"/>
      <c r="UAJ59" s="292"/>
      <c r="UAK59" s="293"/>
      <c r="UAL59" s="294"/>
      <c r="UAR59" s="292"/>
      <c r="UAS59" s="293"/>
      <c r="UAT59" s="294"/>
      <c r="UAZ59" s="292"/>
      <c r="UBA59" s="293"/>
      <c r="UBB59" s="294"/>
      <c r="UBH59" s="292"/>
      <c r="UBI59" s="293"/>
      <c r="UBJ59" s="294"/>
      <c r="UBP59" s="292"/>
      <c r="UBQ59" s="293"/>
      <c r="UBR59" s="294"/>
      <c r="UBX59" s="292"/>
      <c r="UBY59" s="293"/>
      <c r="UBZ59" s="294"/>
      <c r="UCF59" s="292"/>
      <c r="UCG59" s="293"/>
      <c r="UCH59" s="294"/>
      <c r="UCN59" s="292"/>
      <c r="UCO59" s="293"/>
      <c r="UCP59" s="294"/>
      <c r="UCV59" s="292"/>
      <c r="UCW59" s="293"/>
      <c r="UCX59" s="294"/>
      <c r="UDD59" s="292"/>
      <c r="UDE59" s="293"/>
      <c r="UDF59" s="294"/>
      <c r="UDL59" s="292"/>
      <c r="UDM59" s="293"/>
      <c r="UDN59" s="294"/>
      <c r="UDT59" s="292"/>
      <c r="UDU59" s="293"/>
      <c r="UDV59" s="294"/>
      <c r="UEB59" s="292"/>
      <c r="UEC59" s="293"/>
      <c r="UED59" s="294"/>
      <c r="UEJ59" s="292"/>
      <c r="UEK59" s="293"/>
      <c r="UEL59" s="294"/>
      <c r="UER59" s="292"/>
      <c r="UES59" s="293"/>
      <c r="UET59" s="294"/>
      <c r="UEZ59" s="292"/>
      <c r="UFA59" s="293"/>
      <c r="UFB59" s="294"/>
      <c r="UFH59" s="292"/>
      <c r="UFI59" s="293"/>
      <c r="UFJ59" s="294"/>
      <c r="UFP59" s="292"/>
      <c r="UFQ59" s="293"/>
      <c r="UFR59" s="294"/>
      <c r="UFX59" s="292"/>
      <c r="UFY59" s="293"/>
      <c r="UFZ59" s="294"/>
      <c r="UGF59" s="292"/>
      <c r="UGG59" s="293"/>
      <c r="UGH59" s="294"/>
      <c r="UGN59" s="292"/>
      <c r="UGO59" s="293"/>
      <c r="UGP59" s="294"/>
      <c r="UGV59" s="292"/>
      <c r="UGW59" s="293"/>
      <c r="UGX59" s="294"/>
      <c r="UHD59" s="292"/>
      <c r="UHE59" s="293"/>
      <c r="UHF59" s="294"/>
      <c r="UHL59" s="292"/>
      <c r="UHM59" s="293"/>
      <c r="UHN59" s="294"/>
      <c r="UHT59" s="292"/>
      <c r="UHU59" s="293"/>
      <c r="UHV59" s="294"/>
      <c r="UIB59" s="292"/>
      <c r="UIC59" s="293"/>
      <c r="UID59" s="294"/>
      <c r="UIJ59" s="292"/>
      <c r="UIK59" s="293"/>
      <c r="UIL59" s="294"/>
      <c r="UIR59" s="292"/>
      <c r="UIS59" s="293"/>
      <c r="UIT59" s="294"/>
      <c r="UIZ59" s="292"/>
      <c r="UJA59" s="293"/>
      <c r="UJB59" s="294"/>
      <c r="UJH59" s="292"/>
      <c r="UJI59" s="293"/>
      <c r="UJJ59" s="294"/>
      <c r="UJP59" s="292"/>
      <c r="UJQ59" s="293"/>
      <c r="UJR59" s="294"/>
      <c r="UJX59" s="292"/>
      <c r="UJY59" s="293"/>
      <c r="UJZ59" s="294"/>
      <c r="UKF59" s="292"/>
      <c r="UKG59" s="293"/>
      <c r="UKH59" s="294"/>
      <c r="UKN59" s="292"/>
      <c r="UKO59" s="293"/>
      <c r="UKP59" s="294"/>
      <c r="UKV59" s="292"/>
      <c r="UKW59" s="293"/>
      <c r="UKX59" s="294"/>
      <c r="ULD59" s="292"/>
      <c r="ULE59" s="293"/>
      <c r="ULF59" s="294"/>
      <c r="ULL59" s="292"/>
      <c r="ULM59" s="293"/>
      <c r="ULN59" s="294"/>
      <c r="ULT59" s="292"/>
      <c r="ULU59" s="293"/>
      <c r="ULV59" s="294"/>
      <c r="UMB59" s="292"/>
      <c r="UMC59" s="293"/>
      <c r="UMD59" s="294"/>
      <c r="UMJ59" s="292"/>
      <c r="UMK59" s="293"/>
      <c r="UML59" s="294"/>
      <c r="UMR59" s="292"/>
      <c r="UMS59" s="293"/>
      <c r="UMT59" s="294"/>
      <c r="UMZ59" s="292"/>
      <c r="UNA59" s="293"/>
      <c r="UNB59" s="294"/>
      <c r="UNH59" s="292"/>
      <c r="UNI59" s="293"/>
      <c r="UNJ59" s="294"/>
      <c r="UNP59" s="292"/>
      <c r="UNQ59" s="293"/>
      <c r="UNR59" s="294"/>
      <c r="UNX59" s="292"/>
      <c r="UNY59" s="293"/>
      <c r="UNZ59" s="294"/>
      <c r="UOF59" s="292"/>
      <c r="UOG59" s="293"/>
      <c r="UOH59" s="294"/>
      <c r="UON59" s="292"/>
      <c r="UOO59" s="293"/>
      <c r="UOP59" s="294"/>
      <c r="UOV59" s="292"/>
      <c r="UOW59" s="293"/>
      <c r="UOX59" s="294"/>
      <c r="UPD59" s="292"/>
      <c r="UPE59" s="293"/>
      <c r="UPF59" s="294"/>
      <c r="UPL59" s="292"/>
      <c r="UPM59" s="293"/>
      <c r="UPN59" s="294"/>
      <c r="UPT59" s="292"/>
      <c r="UPU59" s="293"/>
      <c r="UPV59" s="294"/>
      <c r="UQB59" s="292"/>
      <c r="UQC59" s="293"/>
      <c r="UQD59" s="294"/>
      <c r="UQJ59" s="292"/>
      <c r="UQK59" s="293"/>
      <c r="UQL59" s="294"/>
      <c r="UQR59" s="292"/>
      <c r="UQS59" s="293"/>
      <c r="UQT59" s="294"/>
      <c r="UQZ59" s="292"/>
      <c r="URA59" s="293"/>
      <c r="URB59" s="294"/>
      <c r="URH59" s="292"/>
      <c r="URI59" s="293"/>
      <c r="URJ59" s="294"/>
      <c r="URP59" s="292"/>
      <c r="URQ59" s="293"/>
      <c r="URR59" s="294"/>
      <c r="URX59" s="292"/>
      <c r="URY59" s="293"/>
      <c r="URZ59" s="294"/>
      <c r="USF59" s="292"/>
      <c r="USG59" s="293"/>
      <c r="USH59" s="294"/>
      <c r="USN59" s="292"/>
      <c r="USO59" s="293"/>
      <c r="USP59" s="294"/>
      <c r="USV59" s="292"/>
      <c r="USW59" s="293"/>
      <c r="USX59" s="294"/>
      <c r="UTD59" s="292"/>
      <c r="UTE59" s="293"/>
      <c r="UTF59" s="294"/>
      <c r="UTL59" s="292"/>
      <c r="UTM59" s="293"/>
      <c r="UTN59" s="294"/>
      <c r="UTT59" s="292"/>
      <c r="UTU59" s="293"/>
      <c r="UTV59" s="294"/>
      <c r="UUB59" s="292"/>
      <c r="UUC59" s="293"/>
      <c r="UUD59" s="294"/>
      <c r="UUJ59" s="292"/>
      <c r="UUK59" s="293"/>
      <c r="UUL59" s="294"/>
      <c r="UUR59" s="292"/>
      <c r="UUS59" s="293"/>
      <c r="UUT59" s="294"/>
      <c r="UUZ59" s="292"/>
      <c r="UVA59" s="293"/>
      <c r="UVB59" s="294"/>
      <c r="UVH59" s="292"/>
      <c r="UVI59" s="293"/>
      <c r="UVJ59" s="294"/>
      <c r="UVP59" s="292"/>
      <c r="UVQ59" s="293"/>
      <c r="UVR59" s="294"/>
      <c r="UVX59" s="292"/>
      <c r="UVY59" s="293"/>
      <c r="UVZ59" s="294"/>
      <c r="UWF59" s="292"/>
      <c r="UWG59" s="293"/>
      <c r="UWH59" s="294"/>
      <c r="UWN59" s="292"/>
      <c r="UWO59" s="293"/>
      <c r="UWP59" s="294"/>
      <c r="UWV59" s="292"/>
      <c r="UWW59" s="293"/>
      <c r="UWX59" s="294"/>
      <c r="UXD59" s="292"/>
      <c r="UXE59" s="293"/>
      <c r="UXF59" s="294"/>
      <c r="UXL59" s="292"/>
      <c r="UXM59" s="293"/>
      <c r="UXN59" s="294"/>
      <c r="UXT59" s="292"/>
      <c r="UXU59" s="293"/>
      <c r="UXV59" s="294"/>
      <c r="UYB59" s="292"/>
      <c r="UYC59" s="293"/>
      <c r="UYD59" s="294"/>
      <c r="UYJ59" s="292"/>
      <c r="UYK59" s="293"/>
      <c r="UYL59" s="294"/>
      <c r="UYR59" s="292"/>
      <c r="UYS59" s="293"/>
      <c r="UYT59" s="294"/>
      <c r="UYZ59" s="292"/>
      <c r="UZA59" s="293"/>
      <c r="UZB59" s="294"/>
      <c r="UZH59" s="292"/>
      <c r="UZI59" s="293"/>
      <c r="UZJ59" s="294"/>
      <c r="UZP59" s="292"/>
      <c r="UZQ59" s="293"/>
      <c r="UZR59" s="294"/>
      <c r="UZX59" s="292"/>
      <c r="UZY59" s="293"/>
      <c r="UZZ59" s="294"/>
      <c r="VAF59" s="292"/>
      <c r="VAG59" s="293"/>
      <c r="VAH59" s="294"/>
      <c r="VAN59" s="292"/>
      <c r="VAO59" s="293"/>
      <c r="VAP59" s="294"/>
      <c r="VAV59" s="292"/>
      <c r="VAW59" s="293"/>
      <c r="VAX59" s="294"/>
      <c r="VBD59" s="292"/>
      <c r="VBE59" s="293"/>
      <c r="VBF59" s="294"/>
      <c r="VBL59" s="292"/>
      <c r="VBM59" s="293"/>
      <c r="VBN59" s="294"/>
      <c r="VBT59" s="292"/>
      <c r="VBU59" s="293"/>
      <c r="VBV59" s="294"/>
      <c r="VCB59" s="292"/>
      <c r="VCC59" s="293"/>
      <c r="VCD59" s="294"/>
      <c r="VCJ59" s="292"/>
      <c r="VCK59" s="293"/>
      <c r="VCL59" s="294"/>
      <c r="VCR59" s="292"/>
      <c r="VCS59" s="293"/>
      <c r="VCT59" s="294"/>
      <c r="VCZ59" s="292"/>
      <c r="VDA59" s="293"/>
      <c r="VDB59" s="294"/>
      <c r="VDH59" s="292"/>
      <c r="VDI59" s="293"/>
      <c r="VDJ59" s="294"/>
      <c r="VDP59" s="292"/>
      <c r="VDQ59" s="293"/>
      <c r="VDR59" s="294"/>
      <c r="VDX59" s="292"/>
      <c r="VDY59" s="293"/>
      <c r="VDZ59" s="294"/>
      <c r="VEF59" s="292"/>
      <c r="VEG59" s="293"/>
      <c r="VEH59" s="294"/>
      <c r="VEN59" s="292"/>
      <c r="VEO59" s="293"/>
      <c r="VEP59" s="294"/>
      <c r="VEV59" s="292"/>
      <c r="VEW59" s="293"/>
      <c r="VEX59" s="294"/>
      <c r="VFD59" s="292"/>
      <c r="VFE59" s="293"/>
      <c r="VFF59" s="294"/>
      <c r="VFL59" s="292"/>
      <c r="VFM59" s="293"/>
      <c r="VFN59" s="294"/>
      <c r="VFT59" s="292"/>
      <c r="VFU59" s="293"/>
      <c r="VFV59" s="294"/>
      <c r="VGB59" s="292"/>
      <c r="VGC59" s="293"/>
      <c r="VGD59" s="294"/>
      <c r="VGJ59" s="292"/>
      <c r="VGK59" s="293"/>
      <c r="VGL59" s="294"/>
      <c r="VGR59" s="292"/>
      <c r="VGS59" s="293"/>
      <c r="VGT59" s="294"/>
      <c r="VGZ59" s="292"/>
      <c r="VHA59" s="293"/>
      <c r="VHB59" s="294"/>
      <c r="VHH59" s="292"/>
      <c r="VHI59" s="293"/>
      <c r="VHJ59" s="294"/>
      <c r="VHP59" s="292"/>
      <c r="VHQ59" s="293"/>
      <c r="VHR59" s="294"/>
      <c r="VHX59" s="292"/>
      <c r="VHY59" s="293"/>
      <c r="VHZ59" s="294"/>
      <c r="VIF59" s="292"/>
      <c r="VIG59" s="293"/>
      <c r="VIH59" s="294"/>
      <c r="VIN59" s="292"/>
      <c r="VIO59" s="293"/>
      <c r="VIP59" s="294"/>
      <c r="VIV59" s="292"/>
      <c r="VIW59" s="293"/>
      <c r="VIX59" s="294"/>
      <c r="VJD59" s="292"/>
      <c r="VJE59" s="293"/>
      <c r="VJF59" s="294"/>
      <c r="VJL59" s="292"/>
      <c r="VJM59" s="293"/>
      <c r="VJN59" s="294"/>
      <c r="VJT59" s="292"/>
      <c r="VJU59" s="293"/>
      <c r="VJV59" s="294"/>
      <c r="VKB59" s="292"/>
      <c r="VKC59" s="293"/>
      <c r="VKD59" s="294"/>
      <c r="VKJ59" s="292"/>
      <c r="VKK59" s="293"/>
      <c r="VKL59" s="294"/>
      <c r="VKR59" s="292"/>
      <c r="VKS59" s="293"/>
      <c r="VKT59" s="294"/>
      <c r="VKZ59" s="292"/>
      <c r="VLA59" s="293"/>
      <c r="VLB59" s="294"/>
      <c r="VLH59" s="292"/>
      <c r="VLI59" s="293"/>
      <c r="VLJ59" s="294"/>
      <c r="VLP59" s="292"/>
      <c r="VLQ59" s="293"/>
      <c r="VLR59" s="294"/>
      <c r="VLX59" s="292"/>
      <c r="VLY59" s="293"/>
      <c r="VLZ59" s="294"/>
      <c r="VMF59" s="292"/>
      <c r="VMG59" s="293"/>
      <c r="VMH59" s="294"/>
      <c r="VMN59" s="292"/>
      <c r="VMO59" s="293"/>
      <c r="VMP59" s="294"/>
      <c r="VMV59" s="292"/>
      <c r="VMW59" s="293"/>
      <c r="VMX59" s="294"/>
      <c r="VND59" s="292"/>
      <c r="VNE59" s="293"/>
      <c r="VNF59" s="294"/>
      <c r="VNL59" s="292"/>
      <c r="VNM59" s="293"/>
      <c r="VNN59" s="294"/>
      <c r="VNT59" s="292"/>
      <c r="VNU59" s="293"/>
      <c r="VNV59" s="294"/>
      <c r="VOB59" s="292"/>
      <c r="VOC59" s="293"/>
      <c r="VOD59" s="294"/>
      <c r="VOJ59" s="292"/>
      <c r="VOK59" s="293"/>
      <c r="VOL59" s="294"/>
      <c r="VOR59" s="292"/>
      <c r="VOS59" s="293"/>
      <c r="VOT59" s="294"/>
      <c r="VOZ59" s="292"/>
      <c r="VPA59" s="293"/>
      <c r="VPB59" s="294"/>
      <c r="VPH59" s="292"/>
      <c r="VPI59" s="293"/>
      <c r="VPJ59" s="294"/>
      <c r="VPP59" s="292"/>
      <c r="VPQ59" s="293"/>
      <c r="VPR59" s="294"/>
      <c r="VPX59" s="292"/>
      <c r="VPY59" s="293"/>
      <c r="VPZ59" s="294"/>
      <c r="VQF59" s="292"/>
      <c r="VQG59" s="293"/>
      <c r="VQH59" s="294"/>
      <c r="VQN59" s="292"/>
      <c r="VQO59" s="293"/>
      <c r="VQP59" s="294"/>
      <c r="VQV59" s="292"/>
      <c r="VQW59" s="293"/>
      <c r="VQX59" s="294"/>
      <c r="VRD59" s="292"/>
      <c r="VRE59" s="293"/>
      <c r="VRF59" s="294"/>
      <c r="VRL59" s="292"/>
      <c r="VRM59" s="293"/>
      <c r="VRN59" s="294"/>
      <c r="VRT59" s="292"/>
      <c r="VRU59" s="293"/>
      <c r="VRV59" s="294"/>
      <c r="VSB59" s="292"/>
      <c r="VSC59" s="293"/>
      <c r="VSD59" s="294"/>
      <c r="VSJ59" s="292"/>
      <c r="VSK59" s="293"/>
      <c r="VSL59" s="294"/>
      <c r="VSR59" s="292"/>
      <c r="VSS59" s="293"/>
      <c r="VST59" s="294"/>
      <c r="VSZ59" s="292"/>
      <c r="VTA59" s="293"/>
      <c r="VTB59" s="294"/>
      <c r="VTH59" s="292"/>
      <c r="VTI59" s="293"/>
      <c r="VTJ59" s="294"/>
      <c r="VTP59" s="292"/>
      <c r="VTQ59" s="293"/>
      <c r="VTR59" s="294"/>
      <c r="VTX59" s="292"/>
      <c r="VTY59" s="293"/>
      <c r="VTZ59" s="294"/>
      <c r="VUF59" s="292"/>
      <c r="VUG59" s="293"/>
      <c r="VUH59" s="294"/>
      <c r="VUN59" s="292"/>
      <c r="VUO59" s="293"/>
      <c r="VUP59" s="294"/>
      <c r="VUV59" s="292"/>
      <c r="VUW59" s="293"/>
      <c r="VUX59" s="294"/>
      <c r="VVD59" s="292"/>
      <c r="VVE59" s="293"/>
      <c r="VVF59" s="294"/>
      <c r="VVL59" s="292"/>
      <c r="VVM59" s="293"/>
      <c r="VVN59" s="294"/>
      <c r="VVT59" s="292"/>
      <c r="VVU59" s="293"/>
      <c r="VVV59" s="294"/>
      <c r="VWB59" s="292"/>
      <c r="VWC59" s="293"/>
      <c r="VWD59" s="294"/>
      <c r="VWJ59" s="292"/>
      <c r="VWK59" s="293"/>
      <c r="VWL59" s="294"/>
      <c r="VWR59" s="292"/>
      <c r="VWS59" s="293"/>
      <c r="VWT59" s="294"/>
      <c r="VWZ59" s="292"/>
      <c r="VXA59" s="293"/>
      <c r="VXB59" s="294"/>
      <c r="VXH59" s="292"/>
      <c r="VXI59" s="293"/>
      <c r="VXJ59" s="294"/>
      <c r="VXP59" s="292"/>
      <c r="VXQ59" s="293"/>
      <c r="VXR59" s="294"/>
      <c r="VXX59" s="292"/>
      <c r="VXY59" s="293"/>
      <c r="VXZ59" s="294"/>
      <c r="VYF59" s="292"/>
      <c r="VYG59" s="293"/>
      <c r="VYH59" s="294"/>
      <c r="VYN59" s="292"/>
      <c r="VYO59" s="293"/>
      <c r="VYP59" s="294"/>
      <c r="VYV59" s="292"/>
      <c r="VYW59" s="293"/>
      <c r="VYX59" s="294"/>
      <c r="VZD59" s="292"/>
      <c r="VZE59" s="293"/>
      <c r="VZF59" s="294"/>
      <c r="VZL59" s="292"/>
      <c r="VZM59" s="293"/>
      <c r="VZN59" s="294"/>
      <c r="VZT59" s="292"/>
      <c r="VZU59" s="293"/>
      <c r="VZV59" s="294"/>
      <c r="WAB59" s="292"/>
      <c r="WAC59" s="293"/>
      <c r="WAD59" s="294"/>
      <c r="WAJ59" s="292"/>
      <c r="WAK59" s="293"/>
      <c r="WAL59" s="294"/>
      <c r="WAR59" s="292"/>
      <c r="WAS59" s="293"/>
      <c r="WAT59" s="294"/>
      <c r="WAZ59" s="292"/>
      <c r="WBA59" s="293"/>
      <c r="WBB59" s="294"/>
      <c r="WBH59" s="292"/>
      <c r="WBI59" s="293"/>
      <c r="WBJ59" s="294"/>
      <c r="WBP59" s="292"/>
      <c r="WBQ59" s="293"/>
      <c r="WBR59" s="294"/>
      <c r="WBX59" s="292"/>
      <c r="WBY59" s="293"/>
      <c r="WBZ59" s="294"/>
      <c r="WCF59" s="292"/>
      <c r="WCG59" s="293"/>
      <c r="WCH59" s="294"/>
      <c r="WCN59" s="292"/>
      <c r="WCO59" s="293"/>
      <c r="WCP59" s="294"/>
      <c r="WCV59" s="292"/>
      <c r="WCW59" s="293"/>
      <c r="WCX59" s="294"/>
      <c r="WDD59" s="292"/>
      <c r="WDE59" s="293"/>
      <c r="WDF59" s="294"/>
      <c r="WDL59" s="292"/>
      <c r="WDM59" s="293"/>
      <c r="WDN59" s="294"/>
      <c r="WDT59" s="292"/>
      <c r="WDU59" s="293"/>
      <c r="WDV59" s="294"/>
      <c r="WEB59" s="292"/>
      <c r="WEC59" s="293"/>
      <c r="WED59" s="294"/>
      <c r="WEJ59" s="292"/>
      <c r="WEK59" s="293"/>
      <c r="WEL59" s="294"/>
      <c r="WER59" s="292"/>
      <c r="WES59" s="293"/>
      <c r="WET59" s="294"/>
      <c r="WEZ59" s="292"/>
      <c r="WFA59" s="293"/>
      <c r="WFB59" s="294"/>
      <c r="WFH59" s="292"/>
      <c r="WFI59" s="293"/>
      <c r="WFJ59" s="294"/>
      <c r="WFP59" s="292"/>
      <c r="WFQ59" s="293"/>
      <c r="WFR59" s="294"/>
      <c r="WFX59" s="292"/>
      <c r="WFY59" s="293"/>
      <c r="WFZ59" s="294"/>
      <c r="WGF59" s="292"/>
      <c r="WGG59" s="293"/>
      <c r="WGH59" s="294"/>
      <c r="WGN59" s="292"/>
      <c r="WGO59" s="293"/>
      <c r="WGP59" s="294"/>
      <c r="WGV59" s="292"/>
      <c r="WGW59" s="293"/>
      <c r="WGX59" s="294"/>
      <c r="WHD59" s="292"/>
      <c r="WHE59" s="293"/>
      <c r="WHF59" s="294"/>
      <c r="WHL59" s="292"/>
      <c r="WHM59" s="293"/>
      <c r="WHN59" s="294"/>
      <c r="WHT59" s="292"/>
      <c r="WHU59" s="293"/>
      <c r="WHV59" s="294"/>
      <c r="WIB59" s="292"/>
      <c r="WIC59" s="293"/>
      <c r="WID59" s="294"/>
      <c r="WIJ59" s="292"/>
      <c r="WIK59" s="293"/>
      <c r="WIL59" s="294"/>
      <c r="WIR59" s="292"/>
      <c r="WIS59" s="293"/>
      <c r="WIT59" s="294"/>
      <c r="WIZ59" s="292"/>
      <c r="WJA59" s="293"/>
      <c r="WJB59" s="294"/>
      <c r="WJH59" s="292"/>
      <c r="WJI59" s="293"/>
      <c r="WJJ59" s="294"/>
      <c r="WJP59" s="292"/>
      <c r="WJQ59" s="293"/>
      <c r="WJR59" s="294"/>
      <c r="WJX59" s="292"/>
      <c r="WJY59" s="293"/>
      <c r="WJZ59" s="294"/>
      <c r="WKF59" s="292"/>
      <c r="WKG59" s="293"/>
      <c r="WKH59" s="294"/>
      <c r="WKN59" s="292"/>
      <c r="WKO59" s="293"/>
      <c r="WKP59" s="294"/>
      <c r="WKV59" s="292"/>
      <c r="WKW59" s="293"/>
      <c r="WKX59" s="294"/>
      <c r="WLD59" s="292"/>
      <c r="WLE59" s="293"/>
      <c r="WLF59" s="294"/>
      <c r="WLL59" s="292"/>
      <c r="WLM59" s="293"/>
      <c r="WLN59" s="294"/>
      <c r="WLT59" s="292"/>
      <c r="WLU59" s="293"/>
      <c r="WLV59" s="294"/>
      <c r="WMB59" s="292"/>
      <c r="WMC59" s="293"/>
      <c r="WMD59" s="294"/>
      <c r="WMJ59" s="292"/>
      <c r="WMK59" s="293"/>
      <c r="WML59" s="294"/>
      <c r="WMR59" s="292"/>
      <c r="WMS59" s="293"/>
      <c r="WMT59" s="294"/>
      <c r="WMZ59" s="292"/>
      <c r="WNA59" s="293"/>
      <c r="WNB59" s="294"/>
      <c r="WNH59" s="292"/>
      <c r="WNI59" s="293"/>
      <c r="WNJ59" s="294"/>
      <c r="WNP59" s="292"/>
      <c r="WNQ59" s="293"/>
      <c r="WNR59" s="294"/>
      <c r="WNX59" s="292"/>
      <c r="WNY59" s="293"/>
      <c r="WNZ59" s="294"/>
      <c r="WOF59" s="292"/>
      <c r="WOG59" s="293"/>
      <c r="WOH59" s="294"/>
      <c r="WON59" s="292"/>
      <c r="WOO59" s="293"/>
      <c r="WOP59" s="294"/>
      <c r="WOV59" s="292"/>
      <c r="WOW59" s="293"/>
      <c r="WOX59" s="294"/>
      <c r="WPD59" s="292"/>
      <c r="WPE59" s="293"/>
      <c r="WPF59" s="294"/>
      <c r="WPL59" s="292"/>
      <c r="WPM59" s="293"/>
      <c r="WPN59" s="294"/>
      <c r="WPT59" s="292"/>
      <c r="WPU59" s="293"/>
      <c r="WPV59" s="294"/>
      <c r="WQB59" s="292"/>
      <c r="WQC59" s="293"/>
      <c r="WQD59" s="294"/>
      <c r="WQJ59" s="292"/>
      <c r="WQK59" s="293"/>
      <c r="WQL59" s="294"/>
      <c r="WQR59" s="292"/>
      <c r="WQS59" s="293"/>
      <c r="WQT59" s="294"/>
      <c r="WQZ59" s="292"/>
      <c r="WRA59" s="293"/>
      <c r="WRB59" s="294"/>
      <c r="WRH59" s="292"/>
      <c r="WRI59" s="293"/>
      <c r="WRJ59" s="294"/>
      <c r="WRP59" s="292"/>
      <c r="WRQ59" s="293"/>
      <c r="WRR59" s="294"/>
      <c r="WRX59" s="292"/>
      <c r="WRY59" s="293"/>
      <c r="WRZ59" s="294"/>
      <c r="WSF59" s="292"/>
      <c r="WSG59" s="293"/>
      <c r="WSH59" s="294"/>
      <c r="WSN59" s="292"/>
      <c r="WSO59" s="293"/>
      <c r="WSP59" s="294"/>
      <c r="WSV59" s="292"/>
      <c r="WSW59" s="293"/>
      <c r="WSX59" s="294"/>
      <c r="WTD59" s="292"/>
      <c r="WTE59" s="293"/>
      <c r="WTF59" s="294"/>
      <c r="WTL59" s="292"/>
      <c r="WTM59" s="293"/>
      <c r="WTN59" s="294"/>
      <c r="WTT59" s="292"/>
      <c r="WTU59" s="293"/>
      <c r="WTV59" s="294"/>
      <c r="WUB59" s="292"/>
      <c r="WUC59" s="293"/>
      <c r="WUD59" s="294"/>
      <c r="WUJ59" s="292"/>
      <c r="WUK59" s="293"/>
      <c r="WUL59" s="294"/>
      <c r="WUR59" s="292"/>
      <c r="WUS59" s="293"/>
      <c r="WUT59" s="294"/>
      <c r="WUZ59" s="292"/>
      <c r="WVA59" s="293"/>
      <c r="WVB59" s="294"/>
      <c r="WVH59" s="292"/>
      <c r="WVI59" s="293"/>
      <c r="WVJ59" s="294"/>
      <c r="WVP59" s="292"/>
      <c r="WVQ59" s="293"/>
      <c r="WVR59" s="294"/>
      <c r="WVX59" s="292"/>
      <c r="WVY59" s="293"/>
      <c r="WVZ59" s="294"/>
      <c r="WWF59" s="292"/>
      <c r="WWG59" s="293"/>
      <c r="WWH59" s="294"/>
      <c r="WWN59" s="292"/>
      <c r="WWO59" s="293"/>
      <c r="WWP59" s="294"/>
      <c r="WWV59" s="292"/>
      <c r="WWW59" s="293"/>
      <c r="WWX59" s="294"/>
      <c r="WXD59" s="292"/>
      <c r="WXE59" s="293"/>
      <c r="WXF59" s="294"/>
      <c r="WXL59" s="292"/>
      <c r="WXM59" s="293"/>
      <c r="WXN59" s="294"/>
      <c r="WXT59" s="292"/>
      <c r="WXU59" s="293"/>
      <c r="WXV59" s="294"/>
      <c r="WYB59" s="292"/>
      <c r="WYC59" s="293"/>
      <c r="WYD59" s="294"/>
      <c r="WYJ59" s="292"/>
      <c r="WYK59" s="293"/>
      <c r="WYL59" s="294"/>
      <c r="WYR59" s="292"/>
      <c r="WYS59" s="293"/>
      <c r="WYT59" s="294"/>
      <c r="WYZ59" s="292"/>
      <c r="WZA59" s="293"/>
      <c r="WZB59" s="294"/>
      <c r="WZH59" s="292"/>
      <c r="WZI59" s="293"/>
      <c r="WZJ59" s="294"/>
      <c r="WZP59" s="292"/>
      <c r="WZQ59" s="293"/>
      <c r="WZR59" s="294"/>
      <c r="WZX59" s="292"/>
      <c r="WZY59" s="293"/>
      <c r="WZZ59" s="294"/>
      <c r="XAF59" s="292"/>
      <c r="XAG59" s="293"/>
      <c r="XAH59" s="294"/>
      <c r="XAN59" s="292"/>
      <c r="XAO59" s="293"/>
      <c r="XAP59" s="294"/>
      <c r="XAV59" s="292"/>
      <c r="XAW59" s="293"/>
      <c r="XAX59" s="294"/>
      <c r="XBD59" s="292"/>
      <c r="XBE59" s="293"/>
      <c r="XBF59" s="294"/>
      <c r="XBL59" s="292"/>
      <c r="XBM59" s="293"/>
      <c r="XBN59" s="294"/>
      <c r="XBT59" s="292"/>
      <c r="XBU59" s="293"/>
      <c r="XBV59" s="294"/>
      <c r="XCB59" s="292"/>
      <c r="XCC59" s="293"/>
      <c r="XCD59" s="294"/>
      <c r="XCJ59" s="292"/>
      <c r="XCK59" s="293"/>
      <c r="XCL59" s="294"/>
      <c r="XCR59" s="292"/>
      <c r="XCS59" s="293"/>
      <c r="XCT59" s="294"/>
      <c r="XCZ59" s="292"/>
      <c r="XDA59" s="293"/>
      <c r="XDB59" s="294"/>
      <c r="XDH59" s="292"/>
      <c r="XDI59" s="293"/>
      <c r="XDJ59" s="294"/>
      <c r="XDP59" s="292"/>
      <c r="XDQ59" s="293"/>
      <c r="XDR59" s="294"/>
      <c r="XDX59" s="292"/>
      <c r="XDY59" s="293"/>
      <c r="XDZ59" s="294"/>
      <c r="XEF59" s="292"/>
      <c r="XEG59" s="293"/>
      <c r="XEH59" s="294"/>
      <c r="XEN59" s="292"/>
      <c r="XEO59" s="293"/>
      <c r="XEP59" s="294"/>
      <c r="XEV59" s="292"/>
      <c r="XEW59" s="293"/>
      <c r="XEX59" s="294"/>
    </row>
    <row r="60" spans="1:16378" x14ac:dyDescent="0.3">
      <c r="A60" s="295"/>
      <c r="B60" s="298"/>
      <c r="C60" s="294"/>
      <c r="D60" s="287"/>
      <c r="E60" s="287"/>
      <c r="F60" s="287"/>
      <c r="G60" s="287"/>
    </row>
    <row r="61" spans="1:16378" s="270" customFormat="1" ht="34.5" customHeight="1" x14ac:dyDescent="0.3">
      <c r="A61" s="428" t="s">
        <v>1367</v>
      </c>
      <c r="B61" s="428"/>
      <c r="C61" s="428"/>
      <c r="D61" s="428"/>
      <c r="E61" s="428"/>
      <c r="F61" s="428"/>
      <c r="G61" s="428"/>
      <c r="H61" s="271"/>
    </row>
    <row r="62" spans="1:16378" ht="12.75" customHeight="1" x14ac:dyDescent="0.3">
      <c r="A62" s="431" t="s">
        <v>1337</v>
      </c>
      <c r="B62" s="431"/>
      <c r="C62" s="431"/>
      <c r="D62" s="431"/>
      <c r="E62" s="431"/>
      <c r="F62" s="431"/>
      <c r="G62" s="431"/>
    </row>
    <row r="63" spans="1:16378" x14ac:dyDescent="0.3">
      <c r="A63" s="272"/>
      <c r="B63" s="352"/>
      <c r="C63" s="272"/>
      <c r="D63" s="272"/>
      <c r="E63" s="272"/>
      <c r="F63" s="272"/>
      <c r="G63" s="272"/>
    </row>
    <row r="64" spans="1:16378" ht="15" customHeight="1" x14ac:dyDescent="0.3">
      <c r="A64" s="432" t="s">
        <v>1038</v>
      </c>
      <c r="B64" s="432" t="s">
        <v>1037</v>
      </c>
      <c r="C64" s="433" t="s">
        <v>91</v>
      </c>
      <c r="D64" s="433" t="s">
        <v>90</v>
      </c>
      <c r="E64" s="433" t="s">
        <v>89</v>
      </c>
      <c r="F64" s="433" t="s">
        <v>1186</v>
      </c>
      <c r="G64" s="433"/>
    </row>
    <row r="65" spans="1:8" ht="50.15" customHeight="1" x14ac:dyDescent="0.3">
      <c r="A65" s="432"/>
      <c r="B65" s="432"/>
      <c r="C65" s="433"/>
      <c r="D65" s="433"/>
      <c r="E65" s="433"/>
      <c r="F65" s="273" t="s">
        <v>88</v>
      </c>
      <c r="G65" s="273" t="s">
        <v>87</v>
      </c>
    </row>
    <row r="66" spans="1:8" x14ac:dyDescent="0.3">
      <c r="A66" s="299"/>
      <c r="B66" s="300"/>
      <c r="C66" s="300"/>
      <c r="D66" s="301"/>
      <c r="E66" s="301"/>
      <c r="F66" s="301"/>
      <c r="G66" s="324"/>
    </row>
    <row r="67" spans="1:8" s="279" customFormat="1" x14ac:dyDescent="0.3">
      <c r="A67" s="445" t="s">
        <v>654</v>
      </c>
      <c r="B67" s="354" t="s">
        <v>1045</v>
      </c>
      <c r="C67" s="326"/>
      <c r="D67" s="326"/>
      <c r="E67" s="327"/>
      <c r="F67" s="326"/>
      <c r="G67" s="328"/>
      <c r="H67" s="278"/>
    </row>
    <row r="68" spans="1:8" s="279" customFormat="1" x14ac:dyDescent="0.3">
      <c r="A68" s="446"/>
      <c r="B68" s="330"/>
      <c r="C68" s="330"/>
      <c r="D68" s="355"/>
      <c r="E68" s="355"/>
      <c r="F68" s="355"/>
      <c r="G68" s="356"/>
    </row>
    <row r="69" spans="1:8" s="279" customFormat="1" ht="25.5" customHeight="1" x14ac:dyDescent="0.3">
      <c r="A69" s="445" t="s">
        <v>1042</v>
      </c>
      <c r="B69" s="335" t="s">
        <v>1111</v>
      </c>
      <c r="C69" s="326">
        <v>16446.509999999998</v>
      </c>
      <c r="D69" s="326">
        <v>144.87710000000001</v>
      </c>
      <c r="E69" s="327">
        <f>IF(C69&lt;&gt;"",D69/C69*100,"")</f>
        <v>0.8808987438672401</v>
      </c>
      <c r="F69" s="326">
        <v>16208.19</v>
      </c>
      <c r="G69" s="328">
        <v>16684.830000000002</v>
      </c>
      <c r="H69" s="278"/>
    </row>
    <row r="70" spans="1:8" ht="28" x14ac:dyDescent="0.3">
      <c r="A70" s="377" t="s">
        <v>592</v>
      </c>
      <c r="B70" s="298" t="s">
        <v>1327</v>
      </c>
      <c r="C70" s="332">
        <v>15268.5</v>
      </c>
      <c r="D70" s="332">
        <v>148.68600000000001</v>
      </c>
      <c r="E70" s="333">
        <f>IF(C70&lt;&gt;"",D70/C70*100,"")</f>
        <v>0.97380882208468411</v>
      </c>
      <c r="F70" s="332">
        <v>15023.91</v>
      </c>
      <c r="G70" s="334">
        <v>15513.08</v>
      </c>
      <c r="H70" s="278"/>
    </row>
    <row r="71" spans="1:8" ht="13.5" customHeight="1" x14ac:dyDescent="0.3">
      <c r="A71" s="377" t="s">
        <v>428</v>
      </c>
      <c r="B71" s="298" t="s">
        <v>1041</v>
      </c>
      <c r="C71" s="332">
        <v>20425.89</v>
      </c>
      <c r="D71" s="332">
        <v>473.52929999999998</v>
      </c>
      <c r="E71" s="333">
        <f>IF(C71&lt;&gt;"",D71/C71*100,"")</f>
        <v>2.3182798889056975</v>
      </c>
      <c r="F71" s="332">
        <v>19646.939999999999</v>
      </c>
      <c r="G71" s="334">
        <v>21204.83</v>
      </c>
      <c r="H71" s="278"/>
    </row>
    <row r="72" spans="1:8" ht="15.75" customHeight="1" x14ac:dyDescent="0.3">
      <c r="A72" s="377" t="s">
        <v>311</v>
      </c>
      <c r="B72" s="298" t="s">
        <v>563</v>
      </c>
      <c r="C72" s="332">
        <v>15088.26</v>
      </c>
      <c r="D72" s="332">
        <v>114.4999</v>
      </c>
      <c r="E72" s="333">
        <f>IF(C72&lt;&gt;"",D72/C72*100,"")</f>
        <v>0.75886749035342704</v>
      </c>
      <c r="F72" s="332">
        <v>14899.91</v>
      </c>
      <c r="G72" s="334">
        <v>15276.61</v>
      </c>
      <c r="H72" s="278"/>
    </row>
    <row r="73" spans="1:8" x14ac:dyDescent="0.3">
      <c r="A73" s="447"/>
      <c r="B73" s="358"/>
      <c r="C73" s="358"/>
      <c r="D73" s="319"/>
      <c r="E73" s="319"/>
      <c r="F73" s="319"/>
      <c r="G73" s="331"/>
    </row>
    <row r="74" spans="1:8" s="279" customFormat="1" x14ac:dyDescent="0.3">
      <c r="A74" s="445" t="s">
        <v>1039</v>
      </c>
      <c r="B74" s="354" t="s">
        <v>1040</v>
      </c>
      <c r="C74" s="326">
        <v>23257.87</v>
      </c>
      <c r="D74" s="326">
        <v>1575.2460000000001</v>
      </c>
      <c r="E74" s="327">
        <f t="shared" ref="E74:E80" si="2">IF(C74&lt;&gt;"",D74/C74*100,"")</f>
        <v>6.7729590026945727</v>
      </c>
      <c r="F74" s="326">
        <v>20666.62</v>
      </c>
      <c r="G74" s="328">
        <v>25849.119999999999</v>
      </c>
      <c r="H74" s="278"/>
    </row>
    <row r="75" spans="1:8" s="279" customFormat="1" ht="28" x14ac:dyDescent="0.3">
      <c r="A75" s="377" t="s">
        <v>536</v>
      </c>
      <c r="B75" s="295" t="s">
        <v>1113</v>
      </c>
      <c r="C75" s="332">
        <v>21651.23</v>
      </c>
      <c r="D75" s="332">
        <v>3890.4520000000002</v>
      </c>
      <c r="E75" s="333">
        <f t="shared" si="2"/>
        <v>17.96873433980425</v>
      </c>
      <c r="F75" s="332">
        <v>15251.5</v>
      </c>
      <c r="G75" s="334">
        <v>28050.95</v>
      </c>
      <c r="H75" s="278"/>
    </row>
    <row r="76" spans="1:8" s="279" customFormat="1" x14ac:dyDescent="0.3">
      <c r="A76" s="377" t="s">
        <v>496</v>
      </c>
      <c r="B76" s="298" t="s">
        <v>525</v>
      </c>
      <c r="C76" s="332">
        <v>15535.68</v>
      </c>
      <c r="D76" s="332">
        <v>355.6121</v>
      </c>
      <c r="E76" s="333">
        <f t="shared" si="2"/>
        <v>2.2890024768790296</v>
      </c>
      <c r="F76" s="332">
        <v>14950.71</v>
      </c>
      <c r="G76" s="334">
        <v>16120.66</v>
      </c>
      <c r="H76" s="278"/>
    </row>
    <row r="77" spans="1:8" x14ac:dyDescent="0.3">
      <c r="A77" s="377" t="s">
        <v>471</v>
      </c>
      <c r="B77" s="298" t="s">
        <v>493</v>
      </c>
      <c r="C77" s="332">
        <v>19761.53</v>
      </c>
      <c r="D77" s="332">
        <v>1589.817</v>
      </c>
      <c r="E77" s="333">
        <f t="shared" si="2"/>
        <v>8.0450096728340377</v>
      </c>
      <c r="F77" s="332">
        <v>17146.3</v>
      </c>
      <c r="G77" s="334">
        <v>22376.75</v>
      </c>
      <c r="H77" s="278"/>
    </row>
    <row r="78" spans="1:8" x14ac:dyDescent="0.3">
      <c r="A78" s="377" t="s">
        <v>438</v>
      </c>
      <c r="B78" s="298" t="s">
        <v>469</v>
      </c>
      <c r="C78" s="332">
        <v>37627.15</v>
      </c>
      <c r="D78" s="332">
        <v>1692.1690000000001</v>
      </c>
      <c r="E78" s="333">
        <f t="shared" si="2"/>
        <v>4.4972021532324398</v>
      </c>
      <c r="F78" s="332">
        <v>34843.56</v>
      </c>
      <c r="G78" s="334">
        <v>40410.74</v>
      </c>
      <c r="H78" s="278"/>
    </row>
    <row r="79" spans="1:8" ht="14.25" customHeight="1" x14ac:dyDescent="0.3">
      <c r="A79" s="377" t="s">
        <v>423</v>
      </c>
      <c r="B79" s="298" t="s">
        <v>1114</v>
      </c>
      <c r="C79" s="332">
        <v>22305.25</v>
      </c>
      <c r="D79" s="332">
        <v>1666.636</v>
      </c>
      <c r="E79" s="333">
        <f t="shared" si="2"/>
        <v>7.4719449456966398</v>
      </c>
      <c r="F79" s="332">
        <v>19563.66</v>
      </c>
      <c r="G79" s="334">
        <v>25046.84</v>
      </c>
      <c r="H79" s="278"/>
    </row>
    <row r="80" spans="1:8" x14ac:dyDescent="0.3">
      <c r="A80" s="377" t="s">
        <v>325</v>
      </c>
      <c r="B80" s="298" t="s">
        <v>1115</v>
      </c>
      <c r="C80" s="332">
        <v>21047.95</v>
      </c>
      <c r="D80" s="332">
        <v>5302.5519999999997</v>
      </c>
      <c r="E80" s="333">
        <f t="shared" si="2"/>
        <v>25.192724232051098</v>
      </c>
      <c r="F80" s="332">
        <v>12325.34</v>
      </c>
      <c r="G80" s="334">
        <v>29770.560000000001</v>
      </c>
      <c r="H80" s="278"/>
    </row>
    <row r="81" spans="1:16378" ht="12.75" customHeight="1" x14ac:dyDescent="0.3">
      <c r="A81" s="277"/>
      <c r="B81" s="360"/>
      <c r="C81" s="360"/>
      <c r="D81" s="323"/>
      <c r="E81" s="323"/>
      <c r="F81" s="323"/>
      <c r="G81" s="361"/>
    </row>
    <row r="82" spans="1:16378" s="279" customFormat="1" ht="14.25" customHeight="1" x14ac:dyDescent="0.3">
      <c r="A82" s="445" t="s">
        <v>400</v>
      </c>
      <c r="B82" s="354" t="s">
        <v>1036</v>
      </c>
      <c r="C82" s="326">
        <v>14685.24</v>
      </c>
      <c r="D82" s="326">
        <v>203.57140000000001</v>
      </c>
      <c r="E82" s="327">
        <f>IF(C82&lt;&gt;"",D82/C82*100,"")</f>
        <v>1.3862313452146511</v>
      </c>
      <c r="F82" s="326">
        <v>14350.37</v>
      </c>
      <c r="G82" s="328">
        <v>15020.11</v>
      </c>
      <c r="H82" s="278"/>
    </row>
    <row r="83" spans="1:16378" s="279" customFormat="1" ht="14.25" customHeight="1" x14ac:dyDescent="0.3">
      <c r="A83" s="445"/>
      <c r="B83" s="354"/>
      <c r="C83" s="362"/>
      <c r="D83" s="363"/>
      <c r="E83" s="363"/>
      <c r="F83" s="363"/>
      <c r="G83" s="364"/>
      <c r="H83" s="278"/>
    </row>
    <row r="84" spans="1:16378" s="279" customFormat="1" ht="13.5" customHeight="1" x14ac:dyDescent="0.3">
      <c r="A84" s="445" t="s">
        <v>1033</v>
      </c>
      <c r="B84" s="354" t="s">
        <v>1034</v>
      </c>
      <c r="C84" s="326">
        <v>41743.730000000003</v>
      </c>
      <c r="D84" s="326">
        <v>2705.36</v>
      </c>
      <c r="E84" s="327">
        <f t="shared" ref="E84:E90" si="3">IF(C84&lt;&gt;"",D84/C84*100,"")</f>
        <v>6.4808774874693764</v>
      </c>
      <c r="F84" s="326">
        <v>37293.46</v>
      </c>
      <c r="G84" s="328">
        <v>46194</v>
      </c>
      <c r="H84" s="278"/>
    </row>
    <row r="85" spans="1:16378" ht="15.75" customHeight="1" x14ac:dyDescent="0.3">
      <c r="A85" s="377" t="s">
        <v>301</v>
      </c>
      <c r="B85" s="298" t="s">
        <v>370</v>
      </c>
      <c r="C85" s="332">
        <v>33028.53</v>
      </c>
      <c r="D85" s="332">
        <v>4782.5309999999999</v>
      </c>
      <c r="E85" s="333">
        <f t="shared" si="3"/>
        <v>14.479999564013294</v>
      </c>
      <c r="F85" s="332">
        <v>25161.35</v>
      </c>
      <c r="G85" s="334">
        <v>40895.72</v>
      </c>
      <c r="H85" s="278"/>
    </row>
    <row r="86" spans="1:16378" ht="62.5" customHeight="1" x14ac:dyDescent="0.3">
      <c r="A86" s="377" t="s">
        <v>1032</v>
      </c>
      <c r="B86" s="298" t="s">
        <v>1380</v>
      </c>
      <c r="C86" s="332">
        <v>29287.21</v>
      </c>
      <c r="D86" s="332">
        <v>2714.4</v>
      </c>
      <c r="E86" s="333">
        <f t="shared" si="3"/>
        <v>9.2682095699795237</v>
      </c>
      <c r="F86" s="332">
        <v>24822.07</v>
      </c>
      <c r="G86" s="334">
        <v>33752.35</v>
      </c>
      <c r="H86" s="278"/>
    </row>
    <row r="87" spans="1:16378" ht="16.5" x14ac:dyDescent="0.3">
      <c r="A87" s="377" t="s">
        <v>1358</v>
      </c>
      <c r="B87" s="298" t="s">
        <v>342</v>
      </c>
      <c r="C87" s="332">
        <v>21173.86</v>
      </c>
      <c r="D87" s="332">
        <v>1730.9090000000001</v>
      </c>
      <c r="E87" s="333">
        <f t="shared" si="3"/>
        <v>8.1747447088060472</v>
      </c>
      <c r="F87" s="332">
        <v>18326.54</v>
      </c>
      <c r="G87" s="334">
        <v>24021.18</v>
      </c>
      <c r="H87" s="278"/>
    </row>
    <row r="88" spans="1:16378" x14ac:dyDescent="0.3">
      <c r="A88" s="377" t="s">
        <v>295</v>
      </c>
      <c r="B88" s="298" t="s">
        <v>323</v>
      </c>
      <c r="C88" s="332">
        <v>46618.55</v>
      </c>
      <c r="D88" s="332">
        <v>6506.18</v>
      </c>
      <c r="E88" s="333">
        <f t="shared" si="3"/>
        <v>13.956204129043051</v>
      </c>
      <c r="F88" s="332">
        <v>35915.99</v>
      </c>
      <c r="G88" s="334">
        <v>57321.1</v>
      </c>
      <c r="H88" s="278"/>
    </row>
    <row r="89" spans="1:16378" ht="28" x14ac:dyDescent="0.3">
      <c r="A89" s="377" t="s">
        <v>279</v>
      </c>
      <c r="B89" s="298" t="s">
        <v>1381</v>
      </c>
      <c r="C89" s="332">
        <v>45862.06</v>
      </c>
      <c r="D89" s="332">
        <v>3334.5030000000002</v>
      </c>
      <c r="E89" s="333">
        <f t="shared" si="3"/>
        <v>7.270722248411869</v>
      </c>
      <c r="F89" s="332">
        <v>40376.86</v>
      </c>
      <c r="G89" s="334">
        <v>51347.26</v>
      </c>
      <c r="H89" s="278"/>
    </row>
    <row r="90" spans="1:16378" x14ac:dyDescent="0.3">
      <c r="A90" s="377" t="s">
        <v>252</v>
      </c>
      <c r="B90" s="298" t="s">
        <v>277</v>
      </c>
      <c r="C90" s="332">
        <v>28026.44</v>
      </c>
      <c r="D90" s="332">
        <v>2967.125</v>
      </c>
      <c r="E90" s="333">
        <f t="shared" si="3"/>
        <v>10.586877962381237</v>
      </c>
      <c r="F90" s="332">
        <v>23145.57</v>
      </c>
      <c r="G90" s="334">
        <v>32907.31</v>
      </c>
      <c r="H90" s="278"/>
    </row>
    <row r="91" spans="1:16378" s="287" customFormat="1" ht="5.5" customHeight="1" x14ac:dyDescent="0.3">
      <c r="A91" s="448"/>
      <c r="B91" s="449"/>
      <c r="C91" s="316"/>
      <c r="D91" s="317"/>
      <c r="E91" s="317"/>
      <c r="F91" s="317"/>
      <c r="G91" s="450"/>
      <c r="H91" s="292"/>
      <c r="I91" s="293"/>
      <c r="J91" s="294"/>
      <c r="P91" s="292"/>
      <c r="Q91" s="293"/>
      <c r="R91" s="294"/>
      <c r="X91" s="292"/>
      <c r="Y91" s="293"/>
      <c r="Z91" s="294"/>
      <c r="AF91" s="292"/>
      <c r="AG91" s="293"/>
      <c r="AH91" s="294"/>
      <c r="AN91" s="292"/>
      <c r="AO91" s="293"/>
      <c r="AP91" s="294"/>
      <c r="AV91" s="292"/>
      <c r="AW91" s="293"/>
      <c r="AX91" s="294"/>
      <c r="BD91" s="292"/>
      <c r="BE91" s="293"/>
      <c r="BF91" s="294"/>
      <c r="BL91" s="292"/>
      <c r="BM91" s="293"/>
      <c r="BN91" s="294"/>
      <c r="BT91" s="292"/>
      <c r="BU91" s="293"/>
      <c r="BV91" s="294"/>
      <c r="CB91" s="292"/>
      <c r="CC91" s="293"/>
      <c r="CD91" s="294"/>
      <c r="CJ91" s="292"/>
      <c r="CK91" s="293"/>
      <c r="CL91" s="294"/>
      <c r="CR91" s="292"/>
      <c r="CS91" s="293"/>
      <c r="CT91" s="294"/>
      <c r="CZ91" s="292"/>
      <c r="DA91" s="293"/>
      <c r="DB91" s="294"/>
      <c r="DH91" s="292"/>
      <c r="DI91" s="293"/>
      <c r="DJ91" s="294"/>
      <c r="DP91" s="292"/>
      <c r="DQ91" s="293"/>
      <c r="DR91" s="294"/>
      <c r="DX91" s="292"/>
      <c r="DY91" s="293"/>
      <c r="DZ91" s="294"/>
      <c r="EF91" s="292"/>
      <c r="EG91" s="293"/>
      <c r="EH91" s="294"/>
      <c r="EN91" s="292"/>
      <c r="EO91" s="293"/>
      <c r="EP91" s="294"/>
      <c r="EV91" s="292"/>
      <c r="EW91" s="293"/>
      <c r="EX91" s="294"/>
      <c r="FD91" s="292"/>
      <c r="FE91" s="293"/>
      <c r="FF91" s="294"/>
      <c r="FL91" s="292"/>
      <c r="FM91" s="293"/>
      <c r="FN91" s="294"/>
      <c r="FT91" s="292"/>
      <c r="FU91" s="293"/>
      <c r="FV91" s="294"/>
      <c r="GB91" s="292"/>
      <c r="GC91" s="293"/>
      <c r="GD91" s="294"/>
      <c r="GJ91" s="292"/>
      <c r="GK91" s="293"/>
      <c r="GL91" s="294"/>
      <c r="GR91" s="292"/>
      <c r="GS91" s="293"/>
      <c r="GT91" s="294"/>
      <c r="GZ91" s="292"/>
      <c r="HA91" s="293"/>
      <c r="HB91" s="294"/>
      <c r="HH91" s="292"/>
      <c r="HI91" s="293"/>
      <c r="HJ91" s="294"/>
      <c r="HP91" s="292"/>
      <c r="HQ91" s="293"/>
      <c r="HR91" s="294"/>
      <c r="HX91" s="292"/>
      <c r="HY91" s="293"/>
      <c r="HZ91" s="294"/>
      <c r="IF91" s="292"/>
      <c r="IG91" s="293"/>
      <c r="IH91" s="294"/>
      <c r="IN91" s="292"/>
      <c r="IO91" s="293"/>
      <c r="IP91" s="294"/>
      <c r="IV91" s="292"/>
      <c r="IW91" s="293"/>
      <c r="IX91" s="294"/>
      <c r="JD91" s="292"/>
      <c r="JE91" s="293"/>
      <c r="JF91" s="294"/>
      <c r="JL91" s="292"/>
      <c r="JM91" s="293"/>
      <c r="JN91" s="294"/>
      <c r="JT91" s="292"/>
      <c r="JU91" s="293"/>
      <c r="JV91" s="294"/>
      <c r="KB91" s="292"/>
      <c r="KC91" s="293"/>
      <c r="KD91" s="294"/>
      <c r="KJ91" s="292"/>
      <c r="KK91" s="293"/>
      <c r="KL91" s="294"/>
      <c r="KR91" s="292"/>
      <c r="KS91" s="293"/>
      <c r="KT91" s="294"/>
      <c r="KZ91" s="292"/>
      <c r="LA91" s="293"/>
      <c r="LB91" s="294"/>
      <c r="LH91" s="292"/>
      <c r="LI91" s="293"/>
      <c r="LJ91" s="294"/>
      <c r="LP91" s="292"/>
      <c r="LQ91" s="293"/>
      <c r="LR91" s="294"/>
      <c r="LX91" s="292"/>
      <c r="LY91" s="293"/>
      <c r="LZ91" s="294"/>
      <c r="MF91" s="292"/>
      <c r="MG91" s="293"/>
      <c r="MH91" s="294"/>
      <c r="MN91" s="292"/>
      <c r="MO91" s="293"/>
      <c r="MP91" s="294"/>
      <c r="MV91" s="292"/>
      <c r="MW91" s="293"/>
      <c r="MX91" s="294"/>
      <c r="ND91" s="292"/>
      <c r="NE91" s="293"/>
      <c r="NF91" s="294"/>
      <c r="NL91" s="292"/>
      <c r="NM91" s="293"/>
      <c r="NN91" s="294"/>
      <c r="NT91" s="292"/>
      <c r="NU91" s="293"/>
      <c r="NV91" s="294"/>
      <c r="OB91" s="292"/>
      <c r="OC91" s="293"/>
      <c r="OD91" s="294"/>
      <c r="OJ91" s="292"/>
      <c r="OK91" s="293"/>
      <c r="OL91" s="294"/>
      <c r="OR91" s="292"/>
      <c r="OS91" s="293"/>
      <c r="OT91" s="294"/>
      <c r="OZ91" s="292"/>
      <c r="PA91" s="293"/>
      <c r="PB91" s="294"/>
      <c r="PH91" s="292"/>
      <c r="PI91" s="293"/>
      <c r="PJ91" s="294"/>
      <c r="PP91" s="292"/>
      <c r="PQ91" s="293"/>
      <c r="PR91" s="294"/>
      <c r="PX91" s="292"/>
      <c r="PY91" s="293"/>
      <c r="PZ91" s="294"/>
      <c r="QF91" s="292"/>
      <c r="QG91" s="293"/>
      <c r="QH91" s="294"/>
      <c r="QN91" s="292"/>
      <c r="QO91" s="293"/>
      <c r="QP91" s="294"/>
      <c r="QV91" s="292"/>
      <c r="QW91" s="293"/>
      <c r="QX91" s="294"/>
      <c r="RD91" s="292"/>
      <c r="RE91" s="293"/>
      <c r="RF91" s="294"/>
      <c r="RL91" s="292"/>
      <c r="RM91" s="293"/>
      <c r="RN91" s="294"/>
      <c r="RT91" s="292"/>
      <c r="RU91" s="293"/>
      <c r="RV91" s="294"/>
      <c r="SB91" s="292"/>
      <c r="SC91" s="293"/>
      <c r="SD91" s="294"/>
      <c r="SJ91" s="292"/>
      <c r="SK91" s="293"/>
      <c r="SL91" s="294"/>
      <c r="SR91" s="292"/>
      <c r="SS91" s="293"/>
      <c r="ST91" s="294"/>
      <c r="SZ91" s="292"/>
      <c r="TA91" s="293"/>
      <c r="TB91" s="294"/>
      <c r="TH91" s="292"/>
      <c r="TI91" s="293"/>
      <c r="TJ91" s="294"/>
      <c r="TP91" s="292"/>
      <c r="TQ91" s="293"/>
      <c r="TR91" s="294"/>
      <c r="TX91" s="292"/>
      <c r="TY91" s="293"/>
      <c r="TZ91" s="294"/>
      <c r="UF91" s="292"/>
      <c r="UG91" s="293"/>
      <c r="UH91" s="294"/>
      <c r="UN91" s="292"/>
      <c r="UO91" s="293"/>
      <c r="UP91" s="294"/>
      <c r="UV91" s="292"/>
      <c r="UW91" s="293"/>
      <c r="UX91" s="294"/>
      <c r="VD91" s="292"/>
      <c r="VE91" s="293"/>
      <c r="VF91" s="294"/>
      <c r="VL91" s="292"/>
      <c r="VM91" s="293"/>
      <c r="VN91" s="294"/>
      <c r="VT91" s="292"/>
      <c r="VU91" s="293"/>
      <c r="VV91" s="294"/>
      <c r="WB91" s="292"/>
      <c r="WC91" s="293"/>
      <c r="WD91" s="294"/>
      <c r="WJ91" s="292"/>
      <c r="WK91" s="293"/>
      <c r="WL91" s="294"/>
      <c r="WR91" s="292"/>
      <c r="WS91" s="293"/>
      <c r="WT91" s="294"/>
      <c r="WZ91" s="292"/>
      <c r="XA91" s="293"/>
      <c r="XB91" s="294"/>
      <c r="XH91" s="292"/>
      <c r="XI91" s="293"/>
      <c r="XJ91" s="294"/>
      <c r="XP91" s="292"/>
      <c r="XQ91" s="293"/>
      <c r="XR91" s="294"/>
      <c r="XX91" s="292"/>
      <c r="XY91" s="293"/>
      <c r="XZ91" s="294"/>
      <c r="YF91" s="292"/>
      <c r="YG91" s="293"/>
      <c r="YH91" s="294"/>
      <c r="YN91" s="292"/>
      <c r="YO91" s="293"/>
      <c r="YP91" s="294"/>
      <c r="YV91" s="292"/>
      <c r="YW91" s="293"/>
      <c r="YX91" s="294"/>
      <c r="ZD91" s="292"/>
      <c r="ZE91" s="293"/>
      <c r="ZF91" s="294"/>
      <c r="ZL91" s="292"/>
      <c r="ZM91" s="293"/>
      <c r="ZN91" s="294"/>
      <c r="ZT91" s="292"/>
      <c r="ZU91" s="293"/>
      <c r="ZV91" s="294"/>
      <c r="AAB91" s="292"/>
      <c r="AAC91" s="293"/>
      <c r="AAD91" s="294"/>
      <c r="AAJ91" s="292"/>
      <c r="AAK91" s="293"/>
      <c r="AAL91" s="294"/>
      <c r="AAR91" s="292"/>
      <c r="AAS91" s="293"/>
      <c r="AAT91" s="294"/>
      <c r="AAZ91" s="292"/>
      <c r="ABA91" s="293"/>
      <c r="ABB91" s="294"/>
      <c r="ABH91" s="292"/>
      <c r="ABI91" s="293"/>
      <c r="ABJ91" s="294"/>
      <c r="ABP91" s="292"/>
      <c r="ABQ91" s="293"/>
      <c r="ABR91" s="294"/>
      <c r="ABX91" s="292"/>
      <c r="ABY91" s="293"/>
      <c r="ABZ91" s="294"/>
      <c r="ACF91" s="292"/>
      <c r="ACG91" s="293"/>
      <c r="ACH91" s="294"/>
      <c r="ACN91" s="292"/>
      <c r="ACO91" s="293"/>
      <c r="ACP91" s="294"/>
      <c r="ACV91" s="292"/>
      <c r="ACW91" s="293"/>
      <c r="ACX91" s="294"/>
      <c r="ADD91" s="292"/>
      <c r="ADE91" s="293"/>
      <c r="ADF91" s="294"/>
      <c r="ADL91" s="292"/>
      <c r="ADM91" s="293"/>
      <c r="ADN91" s="294"/>
      <c r="ADT91" s="292"/>
      <c r="ADU91" s="293"/>
      <c r="ADV91" s="294"/>
      <c r="AEB91" s="292"/>
      <c r="AEC91" s="293"/>
      <c r="AED91" s="294"/>
      <c r="AEJ91" s="292"/>
      <c r="AEK91" s="293"/>
      <c r="AEL91" s="294"/>
      <c r="AER91" s="292"/>
      <c r="AES91" s="293"/>
      <c r="AET91" s="294"/>
      <c r="AEZ91" s="292"/>
      <c r="AFA91" s="293"/>
      <c r="AFB91" s="294"/>
      <c r="AFH91" s="292"/>
      <c r="AFI91" s="293"/>
      <c r="AFJ91" s="294"/>
      <c r="AFP91" s="292"/>
      <c r="AFQ91" s="293"/>
      <c r="AFR91" s="294"/>
      <c r="AFX91" s="292"/>
      <c r="AFY91" s="293"/>
      <c r="AFZ91" s="294"/>
      <c r="AGF91" s="292"/>
      <c r="AGG91" s="293"/>
      <c r="AGH91" s="294"/>
      <c r="AGN91" s="292"/>
      <c r="AGO91" s="293"/>
      <c r="AGP91" s="294"/>
      <c r="AGV91" s="292"/>
      <c r="AGW91" s="293"/>
      <c r="AGX91" s="294"/>
      <c r="AHD91" s="292"/>
      <c r="AHE91" s="293"/>
      <c r="AHF91" s="294"/>
      <c r="AHL91" s="292"/>
      <c r="AHM91" s="293"/>
      <c r="AHN91" s="294"/>
      <c r="AHT91" s="292"/>
      <c r="AHU91" s="293"/>
      <c r="AHV91" s="294"/>
      <c r="AIB91" s="292"/>
      <c r="AIC91" s="293"/>
      <c r="AID91" s="294"/>
      <c r="AIJ91" s="292"/>
      <c r="AIK91" s="293"/>
      <c r="AIL91" s="294"/>
      <c r="AIR91" s="292"/>
      <c r="AIS91" s="293"/>
      <c r="AIT91" s="294"/>
      <c r="AIZ91" s="292"/>
      <c r="AJA91" s="293"/>
      <c r="AJB91" s="294"/>
      <c r="AJH91" s="292"/>
      <c r="AJI91" s="293"/>
      <c r="AJJ91" s="294"/>
      <c r="AJP91" s="292"/>
      <c r="AJQ91" s="293"/>
      <c r="AJR91" s="294"/>
      <c r="AJX91" s="292"/>
      <c r="AJY91" s="293"/>
      <c r="AJZ91" s="294"/>
      <c r="AKF91" s="292"/>
      <c r="AKG91" s="293"/>
      <c r="AKH91" s="294"/>
      <c r="AKN91" s="292"/>
      <c r="AKO91" s="293"/>
      <c r="AKP91" s="294"/>
      <c r="AKV91" s="292"/>
      <c r="AKW91" s="293"/>
      <c r="AKX91" s="294"/>
      <c r="ALD91" s="292"/>
      <c r="ALE91" s="293"/>
      <c r="ALF91" s="294"/>
      <c r="ALL91" s="292"/>
      <c r="ALM91" s="293"/>
      <c r="ALN91" s="294"/>
      <c r="ALT91" s="292"/>
      <c r="ALU91" s="293"/>
      <c r="ALV91" s="294"/>
      <c r="AMB91" s="292"/>
      <c r="AMC91" s="293"/>
      <c r="AMD91" s="294"/>
      <c r="AMJ91" s="292"/>
      <c r="AMK91" s="293"/>
      <c r="AML91" s="294"/>
      <c r="AMR91" s="292"/>
      <c r="AMS91" s="293"/>
      <c r="AMT91" s="294"/>
      <c r="AMZ91" s="292"/>
      <c r="ANA91" s="293"/>
      <c r="ANB91" s="294"/>
      <c r="ANH91" s="292"/>
      <c r="ANI91" s="293"/>
      <c r="ANJ91" s="294"/>
      <c r="ANP91" s="292"/>
      <c r="ANQ91" s="293"/>
      <c r="ANR91" s="294"/>
      <c r="ANX91" s="292"/>
      <c r="ANY91" s="293"/>
      <c r="ANZ91" s="294"/>
      <c r="AOF91" s="292"/>
      <c r="AOG91" s="293"/>
      <c r="AOH91" s="294"/>
      <c r="AON91" s="292"/>
      <c r="AOO91" s="293"/>
      <c r="AOP91" s="294"/>
      <c r="AOV91" s="292"/>
      <c r="AOW91" s="293"/>
      <c r="AOX91" s="294"/>
      <c r="APD91" s="292"/>
      <c r="APE91" s="293"/>
      <c r="APF91" s="294"/>
      <c r="APL91" s="292"/>
      <c r="APM91" s="293"/>
      <c r="APN91" s="294"/>
      <c r="APT91" s="292"/>
      <c r="APU91" s="293"/>
      <c r="APV91" s="294"/>
      <c r="AQB91" s="292"/>
      <c r="AQC91" s="293"/>
      <c r="AQD91" s="294"/>
      <c r="AQJ91" s="292"/>
      <c r="AQK91" s="293"/>
      <c r="AQL91" s="294"/>
      <c r="AQR91" s="292"/>
      <c r="AQS91" s="293"/>
      <c r="AQT91" s="294"/>
      <c r="AQZ91" s="292"/>
      <c r="ARA91" s="293"/>
      <c r="ARB91" s="294"/>
      <c r="ARH91" s="292"/>
      <c r="ARI91" s="293"/>
      <c r="ARJ91" s="294"/>
      <c r="ARP91" s="292"/>
      <c r="ARQ91" s="293"/>
      <c r="ARR91" s="294"/>
      <c r="ARX91" s="292"/>
      <c r="ARY91" s="293"/>
      <c r="ARZ91" s="294"/>
      <c r="ASF91" s="292"/>
      <c r="ASG91" s="293"/>
      <c r="ASH91" s="294"/>
      <c r="ASN91" s="292"/>
      <c r="ASO91" s="293"/>
      <c r="ASP91" s="294"/>
      <c r="ASV91" s="292"/>
      <c r="ASW91" s="293"/>
      <c r="ASX91" s="294"/>
      <c r="ATD91" s="292"/>
      <c r="ATE91" s="293"/>
      <c r="ATF91" s="294"/>
      <c r="ATL91" s="292"/>
      <c r="ATM91" s="293"/>
      <c r="ATN91" s="294"/>
      <c r="ATT91" s="292"/>
      <c r="ATU91" s="293"/>
      <c r="ATV91" s="294"/>
      <c r="AUB91" s="292"/>
      <c r="AUC91" s="293"/>
      <c r="AUD91" s="294"/>
      <c r="AUJ91" s="292"/>
      <c r="AUK91" s="293"/>
      <c r="AUL91" s="294"/>
      <c r="AUR91" s="292"/>
      <c r="AUS91" s="293"/>
      <c r="AUT91" s="294"/>
      <c r="AUZ91" s="292"/>
      <c r="AVA91" s="293"/>
      <c r="AVB91" s="294"/>
      <c r="AVH91" s="292"/>
      <c r="AVI91" s="293"/>
      <c r="AVJ91" s="294"/>
      <c r="AVP91" s="292"/>
      <c r="AVQ91" s="293"/>
      <c r="AVR91" s="294"/>
      <c r="AVX91" s="292"/>
      <c r="AVY91" s="293"/>
      <c r="AVZ91" s="294"/>
      <c r="AWF91" s="292"/>
      <c r="AWG91" s="293"/>
      <c r="AWH91" s="294"/>
      <c r="AWN91" s="292"/>
      <c r="AWO91" s="293"/>
      <c r="AWP91" s="294"/>
      <c r="AWV91" s="292"/>
      <c r="AWW91" s="293"/>
      <c r="AWX91" s="294"/>
      <c r="AXD91" s="292"/>
      <c r="AXE91" s="293"/>
      <c r="AXF91" s="294"/>
      <c r="AXL91" s="292"/>
      <c r="AXM91" s="293"/>
      <c r="AXN91" s="294"/>
      <c r="AXT91" s="292"/>
      <c r="AXU91" s="293"/>
      <c r="AXV91" s="294"/>
      <c r="AYB91" s="292"/>
      <c r="AYC91" s="293"/>
      <c r="AYD91" s="294"/>
      <c r="AYJ91" s="292"/>
      <c r="AYK91" s="293"/>
      <c r="AYL91" s="294"/>
      <c r="AYR91" s="292"/>
      <c r="AYS91" s="293"/>
      <c r="AYT91" s="294"/>
      <c r="AYZ91" s="292"/>
      <c r="AZA91" s="293"/>
      <c r="AZB91" s="294"/>
      <c r="AZH91" s="292"/>
      <c r="AZI91" s="293"/>
      <c r="AZJ91" s="294"/>
      <c r="AZP91" s="292"/>
      <c r="AZQ91" s="293"/>
      <c r="AZR91" s="294"/>
      <c r="AZX91" s="292"/>
      <c r="AZY91" s="293"/>
      <c r="AZZ91" s="294"/>
      <c r="BAF91" s="292"/>
      <c r="BAG91" s="293"/>
      <c r="BAH91" s="294"/>
      <c r="BAN91" s="292"/>
      <c r="BAO91" s="293"/>
      <c r="BAP91" s="294"/>
      <c r="BAV91" s="292"/>
      <c r="BAW91" s="293"/>
      <c r="BAX91" s="294"/>
      <c r="BBD91" s="292"/>
      <c r="BBE91" s="293"/>
      <c r="BBF91" s="294"/>
      <c r="BBL91" s="292"/>
      <c r="BBM91" s="293"/>
      <c r="BBN91" s="294"/>
      <c r="BBT91" s="292"/>
      <c r="BBU91" s="293"/>
      <c r="BBV91" s="294"/>
      <c r="BCB91" s="292"/>
      <c r="BCC91" s="293"/>
      <c r="BCD91" s="294"/>
      <c r="BCJ91" s="292"/>
      <c r="BCK91" s="293"/>
      <c r="BCL91" s="294"/>
      <c r="BCR91" s="292"/>
      <c r="BCS91" s="293"/>
      <c r="BCT91" s="294"/>
      <c r="BCZ91" s="292"/>
      <c r="BDA91" s="293"/>
      <c r="BDB91" s="294"/>
      <c r="BDH91" s="292"/>
      <c r="BDI91" s="293"/>
      <c r="BDJ91" s="294"/>
      <c r="BDP91" s="292"/>
      <c r="BDQ91" s="293"/>
      <c r="BDR91" s="294"/>
      <c r="BDX91" s="292"/>
      <c r="BDY91" s="293"/>
      <c r="BDZ91" s="294"/>
      <c r="BEF91" s="292"/>
      <c r="BEG91" s="293"/>
      <c r="BEH91" s="294"/>
      <c r="BEN91" s="292"/>
      <c r="BEO91" s="293"/>
      <c r="BEP91" s="294"/>
      <c r="BEV91" s="292"/>
      <c r="BEW91" s="293"/>
      <c r="BEX91" s="294"/>
      <c r="BFD91" s="292"/>
      <c r="BFE91" s="293"/>
      <c r="BFF91" s="294"/>
      <c r="BFL91" s="292"/>
      <c r="BFM91" s="293"/>
      <c r="BFN91" s="294"/>
      <c r="BFT91" s="292"/>
      <c r="BFU91" s="293"/>
      <c r="BFV91" s="294"/>
      <c r="BGB91" s="292"/>
      <c r="BGC91" s="293"/>
      <c r="BGD91" s="294"/>
      <c r="BGJ91" s="292"/>
      <c r="BGK91" s="293"/>
      <c r="BGL91" s="294"/>
      <c r="BGR91" s="292"/>
      <c r="BGS91" s="293"/>
      <c r="BGT91" s="294"/>
      <c r="BGZ91" s="292"/>
      <c r="BHA91" s="293"/>
      <c r="BHB91" s="294"/>
      <c r="BHH91" s="292"/>
      <c r="BHI91" s="293"/>
      <c r="BHJ91" s="294"/>
      <c r="BHP91" s="292"/>
      <c r="BHQ91" s="293"/>
      <c r="BHR91" s="294"/>
      <c r="BHX91" s="292"/>
      <c r="BHY91" s="293"/>
      <c r="BHZ91" s="294"/>
      <c r="BIF91" s="292"/>
      <c r="BIG91" s="293"/>
      <c r="BIH91" s="294"/>
      <c r="BIN91" s="292"/>
      <c r="BIO91" s="293"/>
      <c r="BIP91" s="294"/>
      <c r="BIV91" s="292"/>
      <c r="BIW91" s="293"/>
      <c r="BIX91" s="294"/>
      <c r="BJD91" s="292"/>
      <c r="BJE91" s="293"/>
      <c r="BJF91" s="294"/>
      <c r="BJL91" s="292"/>
      <c r="BJM91" s="293"/>
      <c r="BJN91" s="294"/>
      <c r="BJT91" s="292"/>
      <c r="BJU91" s="293"/>
      <c r="BJV91" s="294"/>
      <c r="BKB91" s="292"/>
      <c r="BKC91" s="293"/>
      <c r="BKD91" s="294"/>
      <c r="BKJ91" s="292"/>
      <c r="BKK91" s="293"/>
      <c r="BKL91" s="294"/>
      <c r="BKR91" s="292"/>
      <c r="BKS91" s="293"/>
      <c r="BKT91" s="294"/>
      <c r="BKZ91" s="292"/>
      <c r="BLA91" s="293"/>
      <c r="BLB91" s="294"/>
      <c r="BLH91" s="292"/>
      <c r="BLI91" s="293"/>
      <c r="BLJ91" s="294"/>
      <c r="BLP91" s="292"/>
      <c r="BLQ91" s="293"/>
      <c r="BLR91" s="294"/>
      <c r="BLX91" s="292"/>
      <c r="BLY91" s="293"/>
      <c r="BLZ91" s="294"/>
      <c r="BMF91" s="292"/>
      <c r="BMG91" s="293"/>
      <c r="BMH91" s="294"/>
      <c r="BMN91" s="292"/>
      <c r="BMO91" s="293"/>
      <c r="BMP91" s="294"/>
      <c r="BMV91" s="292"/>
      <c r="BMW91" s="293"/>
      <c r="BMX91" s="294"/>
      <c r="BND91" s="292"/>
      <c r="BNE91" s="293"/>
      <c r="BNF91" s="294"/>
      <c r="BNL91" s="292"/>
      <c r="BNM91" s="293"/>
      <c r="BNN91" s="294"/>
      <c r="BNT91" s="292"/>
      <c r="BNU91" s="293"/>
      <c r="BNV91" s="294"/>
      <c r="BOB91" s="292"/>
      <c r="BOC91" s="293"/>
      <c r="BOD91" s="294"/>
      <c r="BOJ91" s="292"/>
      <c r="BOK91" s="293"/>
      <c r="BOL91" s="294"/>
      <c r="BOR91" s="292"/>
      <c r="BOS91" s="293"/>
      <c r="BOT91" s="294"/>
      <c r="BOZ91" s="292"/>
      <c r="BPA91" s="293"/>
      <c r="BPB91" s="294"/>
      <c r="BPH91" s="292"/>
      <c r="BPI91" s="293"/>
      <c r="BPJ91" s="294"/>
      <c r="BPP91" s="292"/>
      <c r="BPQ91" s="293"/>
      <c r="BPR91" s="294"/>
      <c r="BPX91" s="292"/>
      <c r="BPY91" s="293"/>
      <c r="BPZ91" s="294"/>
      <c r="BQF91" s="292"/>
      <c r="BQG91" s="293"/>
      <c r="BQH91" s="294"/>
      <c r="BQN91" s="292"/>
      <c r="BQO91" s="293"/>
      <c r="BQP91" s="294"/>
      <c r="BQV91" s="292"/>
      <c r="BQW91" s="293"/>
      <c r="BQX91" s="294"/>
      <c r="BRD91" s="292"/>
      <c r="BRE91" s="293"/>
      <c r="BRF91" s="294"/>
      <c r="BRL91" s="292"/>
      <c r="BRM91" s="293"/>
      <c r="BRN91" s="294"/>
      <c r="BRT91" s="292"/>
      <c r="BRU91" s="293"/>
      <c r="BRV91" s="294"/>
      <c r="BSB91" s="292"/>
      <c r="BSC91" s="293"/>
      <c r="BSD91" s="294"/>
      <c r="BSJ91" s="292"/>
      <c r="BSK91" s="293"/>
      <c r="BSL91" s="294"/>
      <c r="BSR91" s="292"/>
      <c r="BSS91" s="293"/>
      <c r="BST91" s="294"/>
      <c r="BSZ91" s="292"/>
      <c r="BTA91" s="293"/>
      <c r="BTB91" s="294"/>
      <c r="BTH91" s="292"/>
      <c r="BTI91" s="293"/>
      <c r="BTJ91" s="294"/>
      <c r="BTP91" s="292"/>
      <c r="BTQ91" s="293"/>
      <c r="BTR91" s="294"/>
      <c r="BTX91" s="292"/>
      <c r="BTY91" s="293"/>
      <c r="BTZ91" s="294"/>
      <c r="BUF91" s="292"/>
      <c r="BUG91" s="293"/>
      <c r="BUH91" s="294"/>
      <c r="BUN91" s="292"/>
      <c r="BUO91" s="293"/>
      <c r="BUP91" s="294"/>
      <c r="BUV91" s="292"/>
      <c r="BUW91" s="293"/>
      <c r="BUX91" s="294"/>
      <c r="BVD91" s="292"/>
      <c r="BVE91" s="293"/>
      <c r="BVF91" s="294"/>
      <c r="BVL91" s="292"/>
      <c r="BVM91" s="293"/>
      <c r="BVN91" s="294"/>
      <c r="BVT91" s="292"/>
      <c r="BVU91" s="293"/>
      <c r="BVV91" s="294"/>
      <c r="BWB91" s="292"/>
      <c r="BWC91" s="293"/>
      <c r="BWD91" s="294"/>
      <c r="BWJ91" s="292"/>
      <c r="BWK91" s="293"/>
      <c r="BWL91" s="294"/>
      <c r="BWR91" s="292"/>
      <c r="BWS91" s="293"/>
      <c r="BWT91" s="294"/>
      <c r="BWZ91" s="292"/>
      <c r="BXA91" s="293"/>
      <c r="BXB91" s="294"/>
      <c r="BXH91" s="292"/>
      <c r="BXI91" s="293"/>
      <c r="BXJ91" s="294"/>
      <c r="BXP91" s="292"/>
      <c r="BXQ91" s="293"/>
      <c r="BXR91" s="294"/>
      <c r="BXX91" s="292"/>
      <c r="BXY91" s="293"/>
      <c r="BXZ91" s="294"/>
      <c r="BYF91" s="292"/>
      <c r="BYG91" s="293"/>
      <c r="BYH91" s="294"/>
      <c r="BYN91" s="292"/>
      <c r="BYO91" s="293"/>
      <c r="BYP91" s="294"/>
      <c r="BYV91" s="292"/>
      <c r="BYW91" s="293"/>
      <c r="BYX91" s="294"/>
      <c r="BZD91" s="292"/>
      <c r="BZE91" s="293"/>
      <c r="BZF91" s="294"/>
      <c r="BZL91" s="292"/>
      <c r="BZM91" s="293"/>
      <c r="BZN91" s="294"/>
      <c r="BZT91" s="292"/>
      <c r="BZU91" s="293"/>
      <c r="BZV91" s="294"/>
      <c r="CAB91" s="292"/>
      <c r="CAC91" s="293"/>
      <c r="CAD91" s="294"/>
      <c r="CAJ91" s="292"/>
      <c r="CAK91" s="293"/>
      <c r="CAL91" s="294"/>
      <c r="CAR91" s="292"/>
      <c r="CAS91" s="293"/>
      <c r="CAT91" s="294"/>
      <c r="CAZ91" s="292"/>
      <c r="CBA91" s="293"/>
      <c r="CBB91" s="294"/>
      <c r="CBH91" s="292"/>
      <c r="CBI91" s="293"/>
      <c r="CBJ91" s="294"/>
      <c r="CBP91" s="292"/>
      <c r="CBQ91" s="293"/>
      <c r="CBR91" s="294"/>
      <c r="CBX91" s="292"/>
      <c r="CBY91" s="293"/>
      <c r="CBZ91" s="294"/>
      <c r="CCF91" s="292"/>
      <c r="CCG91" s="293"/>
      <c r="CCH91" s="294"/>
      <c r="CCN91" s="292"/>
      <c r="CCO91" s="293"/>
      <c r="CCP91" s="294"/>
      <c r="CCV91" s="292"/>
      <c r="CCW91" s="293"/>
      <c r="CCX91" s="294"/>
      <c r="CDD91" s="292"/>
      <c r="CDE91" s="293"/>
      <c r="CDF91" s="294"/>
      <c r="CDL91" s="292"/>
      <c r="CDM91" s="293"/>
      <c r="CDN91" s="294"/>
      <c r="CDT91" s="292"/>
      <c r="CDU91" s="293"/>
      <c r="CDV91" s="294"/>
      <c r="CEB91" s="292"/>
      <c r="CEC91" s="293"/>
      <c r="CED91" s="294"/>
      <c r="CEJ91" s="292"/>
      <c r="CEK91" s="293"/>
      <c r="CEL91" s="294"/>
      <c r="CER91" s="292"/>
      <c r="CES91" s="293"/>
      <c r="CET91" s="294"/>
      <c r="CEZ91" s="292"/>
      <c r="CFA91" s="293"/>
      <c r="CFB91" s="294"/>
      <c r="CFH91" s="292"/>
      <c r="CFI91" s="293"/>
      <c r="CFJ91" s="294"/>
      <c r="CFP91" s="292"/>
      <c r="CFQ91" s="293"/>
      <c r="CFR91" s="294"/>
      <c r="CFX91" s="292"/>
      <c r="CFY91" s="293"/>
      <c r="CFZ91" s="294"/>
      <c r="CGF91" s="292"/>
      <c r="CGG91" s="293"/>
      <c r="CGH91" s="294"/>
      <c r="CGN91" s="292"/>
      <c r="CGO91" s="293"/>
      <c r="CGP91" s="294"/>
      <c r="CGV91" s="292"/>
      <c r="CGW91" s="293"/>
      <c r="CGX91" s="294"/>
      <c r="CHD91" s="292"/>
      <c r="CHE91" s="293"/>
      <c r="CHF91" s="294"/>
      <c r="CHL91" s="292"/>
      <c r="CHM91" s="293"/>
      <c r="CHN91" s="294"/>
      <c r="CHT91" s="292"/>
      <c r="CHU91" s="293"/>
      <c r="CHV91" s="294"/>
      <c r="CIB91" s="292"/>
      <c r="CIC91" s="293"/>
      <c r="CID91" s="294"/>
      <c r="CIJ91" s="292"/>
      <c r="CIK91" s="293"/>
      <c r="CIL91" s="294"/>
      <c r="CIR91" s="292"/>
      <c r="CIS91" s="293"/>
      <c r="CIT91" s="294"/>
      <c r="CIZ91" s="292"/>
      <c r="CJA91" s="293"/>
      <c r="CJB91" s="294"/>
      <c r="CJH91" s="292"/>
      <c r="CJI91" s="293"/>
      <c r="CJJ91" s="294"/>
      <c r="CJP91" s="292"/>
      <c r="CJQ91" s="293"/>
      <c r="CJR91" s="294"/>
      <c r="CJX91" s="292"/>
      <c r="CJY91" s="293"/>
      <c r="CJZ91" s="294"/>
      <c r="CKF91" s="292"/>
      <c r="CKG91" s="293"/>
      <c r="CKH91" s="294"/>
      <c r="CKN91" s="292"/>
      <c r="CKO91" s="293"/>
      <c r="CKP91" s="294"/>
      <c r="CKV91" s="292"/>
      <c r="CKW91" s="293"/>
      <c r="CKX91" s="294"/>
      <c r="CLD91" s="292"/>
      <c r="CLE91" s="293"/>
      <c r="CLF91" s="294"/>
      <c r="CLL91" s="292"/>
      <c r="CLM91" s="293"/>
      <c r="CLN91" s="294"/>
      <c r="CLT91" s="292"/>
      <c r="CLU91" s="293"/>
      <c r="CLV91" s="294"/>
      <c r="CMB91" s="292"/>
      <c r="CMC91" s="293"/>
      <c r="CMD91" s="294"/>
      <c r="CMJ91" s="292"/>
      <c r="CMK91" s="293"/>
      <c r="CML91" s="294"/>
      <c r="CMR91" s="292"/>
      <c r="CMS91" s="293"/>
      <c r="CMT91" s="294"/>
      <c r="CMZ91" s="292"/>
      <c r="CNA91" s="293"/>
      <c r="CNB91" s="294"/>
      <c r="CNH91" s="292"/>
      <c r="CNI91" s="293"/>
      <c r="CNJ91" s="294"/>
      <c r="CNP91" s="292"/>
      <c r="CNQ91" s="293"/>
      <c r="CNR91" s="294"/>
      <c r="CNX91" s="292"/>
      <c r="CNY91" s="293"/>
      <c r="CNZ91" s="294"/>
      <c r="COF91" s="292"/>
      <c r="COG91" s="293"/>
      <c r="COH91" s="294"/>
      <c r="CON91" s="292"/>
      <c r="COO91" s="293"/>
      <c r="COP91" s="294"/>
      <c r="COV91" s="292"/>
      <c r="COW91" s="293"/>
      <c r="COX91" s="294"/>
      <c r="CPD91" s="292"/>
      <c r="CPE91" s="293"/>
      <c r="CPF91" s="294"/>
      <c r="CPL91" s="292"/>
      <c r="CPM91" s="293"/>
      <c r="CPN91" s="294"/>
      <c r="CPT91" s="292"/>
      <c r="CPU91" s="293"/>
      <c r="CPV91" s="294"/>
      <c r="CQB91" s="292"/>
      <c r="CQC91" s="293"/>
      <c r="CQD91" s="294"/>
      <c r="CQJ91" s="292"/>
      <c r="CQK91" s="293"/>
      <c r="CQL91" s="294"/>
      <c r="CQR91" s="292"/>
      <c r="CQS91" s="293"/>
      <c r="CQT91" s="294"/>
      <c r="CQZ91" s="292"/>
      <c r="CRA91" s="293"/>
      <c r="CRB91" s="294"/>
      <c r="CRH91" s="292"/>
      <c r="CRI91" s="293"/>
      <c r="CRJ91" s="294"/>
      <c r="CRP91" s="292"/>
      <c r="CRQ91" s="293"/>
      <c r="CRR91" s="294"/>
      <c r="CRX91" s="292"/>
      <c r="CRY91" s="293"/>
      <c r="CRZ91" s="294"/>
      <c r="CSF91" s="292"/>
      <c r="CSG91" s="293"/>
      <c r="CSH91" s="294"/>
      <c r="CSN91" s="292"/>
      <c r="CSO91" s="293"/>
      <c r="CSP91" s="294"/>
      <c r="CSV91" s="292"/>
      <c r="CSW91" s="293"/>
      <c r="CSX91" s="294"/>
      <c r="CTD91" s="292"/>
      <c r="CTE91" s="293"/>
      <c r="CTF91" s="294"/>
      <c r="CTL91" s="292"/>
      <c r="CTM91" s="293"/>
      <c r="CTN91" s="294"/>
      <c r="CTT91" s="292"/>
      <c r="CTU91" s="293"/>
      <c r="CTV91" s="294"/>
      <c r="CUB91" s="292"/>
      <c r="CUC91" s="293"/>
      <c r="CUD91" s="294"/>
      <c r="CUJ91" s="292"/>
      <c r="CUK91" s="293"/>
      <c r="CUL91" s="294"/>
      <c r="CUR91" s="292"/>
      <c r="CUS91" s="293"/>
      <c r="CUT91" s="294"/>
      <c r="CUZ91" s="292"/>
      <c r="CVA91" s="293"/>
      <c r="CVB91" s="294"/>
      <c r="CVH91" s="292"/>
      <c r="CVI91" s="293"/>
      <c r="CVJ91" s="294"/>
      <c r="CVP91" s="292"/>
      <c r="CVQ91" s="293"/>
      <c r="CVR91" s="294"/>
      <c r="CVX91" s="292"/>
      <c r="CVY91" s="293"/>
      <c r="CVZ91" s="294"/>
      <c r="CWF91" s="292"/>
      <c r="CWG91" s="293"/>
      <c r="CWH91" s="294"/>
      <c r="CWN91" s="292"/>
      <c r="CWO91" s="293"/>
      <c r="CWP91" s="294"/>
      <c r="CWV91" s="292"/>
      <c r="CWW91" s="293"/>
      <c r="CWX91" s="294"/>
      <c r="CXD91" s="292"/>
      <c r="CXE91" s="293"/>
      <c r="CXF91" s="294"/>
      <c r="CXL91" s="292"/>
      <c r="CXM91" s="293"/>
      <c r="CXN91" s="294"/>
      <c r="CXT91" s="292"/>
      <c r="CXU91" s="293"/>
      <c r="CXV91" s="294"/>
      <c r="CYB91" s="292"/>
      <c r="CYC91" s="293"/>
      <c r="CYD91" s="294"/>
      <c r="CYJ91" s="292"/>
      <c r="CYK91" s="293"/>
      <c r="CYL91" s="294"/>
      <c r="CYR91" s="292"/>
      <c r="CYS91" s="293"/>
      <c r="CYT91" s="294"/>
      <c r="CYZ91" s="292"/>
      <c r="CZA91" s="293"/>
      <c r="CZB91" s="294"/>
      <c r="CZH91" s="292"/>
      <c r="CZI91" s="293"/>
      <c r="CZJ91" s="294"/>
      <c r="CZP91" s="292"/>
      <c r="CZQ91" s="293"/>
      <c r="CZR91" s="294"/>
      <c r="CZX91" s="292"/>
      <c r="CZY91" s="293"/>
      <c r="CZZ91" s="294"/>
      <c r="DAF91" s="292"/>
      <c r="DAG91" s="293"/>
      <c r="DAH91" s="294"/>
      <c r="DAN91" s="292"/>
      <c r="DAO91" s="293"/>
      <c r="DAP91" s="294"/>
      <c r="DAV91" s="292"/>
      <c r="DAW91" s="293"/>
      <c r="DAX91" s="294"/>
      <c r="DBD91" s="292"/>
      <c r="DBE91" s="293"/>
      <c r="DBF91" s="294"/>
      <c r="DBL91" s="292"/>
      <c r="DBM91" s="293"/>
      <c r="DBN91" s="294"/>
      <c r="DBT91" s="292"/>
      <c r="DBU91" s="293"/>
      <c r="DBV91" s="294"/>
      <c r="DCB91" s="292"/>
      <c r="DCC91" s="293"/>
      <c r="DCD91" s="294"/>
      <c r="DCJ91" s="292"/>
      <c r="DCK91" s="293"/>
      <c r="DCL91" s="294"/>
      <c r="DCR91" s="292"/>
      <c r="DCS91" s="293"/>
      <c r="DCT91" s="294"/>
      <c r="DCZ91" s="292"/>
      <c r="DDA91" s="293"/>
      <c r="DDB91" s="294"/>
      <c r="DDH91" s="292"/>
      <c r="DDI91" s="293"/>
      <c r="DDJ91" s="294"/>
      <c r="DDP91" s="292"/>
      <c r="DDQ91" s="293"/>
      <c r="DDR91" s="294"/>
      <c r="DDX91" s="292"/>
      <c r="DDY91" s="293"/>
      <c r="DDZ91" s="294"/>
      <c r="DEF91" s="292"/>
      <c r="DEG91" s="293"/>
      <c r="DEH91" s="294"/>
      <c r="DEN91" s="292"/>
      <c r="DEO91" s="293"/>
      <c r="DEP91" s="294"/>
      <c r="DEV91" s="292"/>
      <c r="DEW91" s="293"/>
      <c r="DEX91" s="294"/>
      <c r="DFD91" s="292"/>
      <c r="DFE91" s="293"/>
      <c r="DFF91" s="294"/>
      <c r="DFL91" s="292"/>
      <c r="DFM91" s="293"/>
      <c r="DFN91" s="294"/>
      <c r="DFT91" s="292"/>
      <c r="DFU91" s="293"/>
      <c r="DFV91" s="294"/>
      <c r="DGB91" s="292"/>
      <c r="DGC91" s="293"/>
      <c r="DGD91" s="294"/>
      <c r="DGJ91" s="292"/>
      <c r="DGK91" s="293"/>
      <c r="DGL91" s="294"/>
      <c r="DGR91" s="292"/>
      <c r="DGS91" s="293"/>
      <c r="DGT91" s="294"/>
      <c r="DGZ91" s="292"/>
      <c r="DHA91" s="293"/>
      <c r="DHB91" s="294"/>
      <c r="DHH91" s="292"/>
      <c r="DHI91" s="293"/>
      <c r="DHJ91" s="294"/>
      <c r="DHP91" s="292"/>
      <c r="DHQ91" s="293"/>
      <c r="DHR91" s="294"/>
      <c r="DHX91" s="292"/>
      <c r="DHY91" s="293"/>
      <c r="DHZ91" s="294"/>
      <c r="DIF91" s="292"/>
      <c r="DIG91" s="293"/>
      <c r="DIH91" s="294"/>
      <c r="DIN91" s="292"/>
      <c r="DIO91" s="293"/>
      <c r="DIP91" s="294"/>
      <c r="DIV91" s="292"/>
      <c r="DIW91" s="293"/>
      <c r="DIX91" s="294"/>
      <c r="DJD91" s="292"/>
      <c r="DJE91" s="293"/>
      <c r="DJF91" s="294"/>
      <c r="DJL91" s="292"/>
      <c r="DJM91" s="293"/>
      <c r="DJN91" s="294"/>
      <c r="DJT91" s="292"/>
      <c r="DJU91" s="293"/>
      <c r="DJV91" s="294"/>
      <c r="DKB91" s="292"/>
      <c r="DKC91" s="293"/>
      <c r="DKD91" s="294"/>
      <c r="DKJ91" s="292"/>
      <c r="DKK91" s="293"/>
      <c r="DKL91" s="294"/>
      <c r="DKR91" s="292"/>
      <c r="DKS91" s="293"/>
      <c r="DKT91" s="294"/>
      <c r="DKZ91" s="292"/>
      <c r="DLA91" s="293"/>
      <c r="DLB91" s="294"/>
      <c r="DLH91" s="292"/>
      <c r="DLI91" s="293"/>
      <c r="DLJ91" s="294"/>
      <c r="DLP91" s="292"/>
      <c r="DLQ91" s="293"/>
      <c r="DLR91" s="294"/>
      <c r="DLX91" s="292"/>
      <c r="DLY91" s="293"/>
      <c r="DLZ91" s="294"/>
      <c r="DMF91" s="292"/>
      <c r="DMG91" s="293"/>
      <c r="DMH91" s="294"/>
      <c r="DMN91" s="292"/>
      <c r="DMO91" s="293"/>
      <c r="DMP91" s="294"/>
      <c r="DMV91" s="292"/>
      <c r="DMW91" s="293"/>
      <c r="DMX91" s="294"/>
      <c r="DND91" s="292"/>
      <c r="DNE91" s="293"/>
      <c r="DNF91" s="294"/>
      <c r="DNL91" s="292"/>
      <c r="DNM91" s="293"/>
      <c r="DNN91" s="294"/>
      <c r="DNT91" s="292"/>
      <c r="DNU91" s="293"/>
      <c r="DNV91" s="294"/>
      <c r="DOB91" s="292"/>
      <c r="DOC91" s="293"/>
      <c r="DOD91" s="294"/>
      <c r="DOJ91" s="292"/>
      <c r="DOK91" s="293"/>
      <c r="DOL91" s="294"/>
      <c r="DOR91" s="292"/>
      <c r="DOS91" s="293"/>
      <c r="DOT91" s="294"/>
      <c r="DOZ91" s="292"/>
      <c r="DPA91" s="293"/>
      <c r="DPB91" s="294"/>
      <c r="DPH91" s="292"/>
      <c r="DPI91" s="293"/>
      <c r="DPJ91" s="294"/>
      <c r="DPP91" s="292"/>
      <c r="DPQ91" s="293"/>
      <c r="DPR91" s="294"/>
      <c r="DPX91" s="292"/>
      <c r="DPY91" s="293"/>
      <c r="DPZ91" s="294"/>
      <c r="DQF91" s="292"/>
      <c r="DQG91" s="293"/>
      <c r="DQH91" s="294"/>
      <c r="DQN91" s="292"/>
      <c r="DQO91" s="293"/>
      <c r="DQP91" s="294"/>
      <c r="DQV91" s="292"/>
      <c r="DQW91" s="293"/>
      <c r="DQX91" s="294"/>
      <c r="DRD91" s="292"/>
      <c r="DRE91" s="293"/>
      <c r="DRF91" s="294"/>
      <c r="DRL91" s="292"/>
      <c r="DRM91" s="293"/>
      <c r="DRN91" s="294"/>
      <c r="DRT91" s="292"/>
      <c r="DRU91" s="293"/>
      <c r="DRV91" s="294"/>
      <c r="DSB91" s="292"/>
      <c r="DSC91" s="293"/>
      <c r="DSD91" s="294"/>
      <c r="DSJ91" s="292"/>
      <c r="DSK91" s="293"/>
      <c r="DSL91" s="294"/>
      <c r="DSR91" s="292"/>
      <c r="DSS91" s="293"/>
      <c r="DST91" s="294"/>
      <c r="DSZ91" s="292"/>
      <c r="DTA91" s="293"/>
      <c r="DTB91" s="294"/>
      <c r="DTH91" s="292"/>
      <c r="DTI91" s="293"/>
      <c r="DTJ91" s="294"/>
      <c r="DTP91" s="292"/>
      <c r="DTQ91" s="293"/>
      <c r="DTR91" s="294"/>
      <c r="DTX91" s="292"/>
      <c r="DTY91" s="293"/>
      <c r="DTZ91" s="294"/>
      <c r="DUF91" s="292"/>
      <c r="DUG91" s="293"/>
      <c r="DUH91" s="294"/>
      <c r="DUN91" s="292"/>
      <c r="DUO91" s="293"/>
      <c r="DUP91" s="294"/>
      <c r="DUV91" s="292"/>
      <c r="DUW91" s="293"/>
      <c r="DUX91" s="294"/>
      <c r="DVD91" s="292"/>
      <c r="DVE91" s="293"/>
      <c r="DVF91" s="294"/>
      <c r="DVL91" s="292"/>
      <c r="DVM91" s="293"/>
      <c r="DVN91" s="294"/>
      <c r="DVT91" s="292"/>
      <c r="DVU91" s="293"/>
      <c r="DVV91" s="294"/>
      <c r="DWB91" s="292"/>
      <c r="DWC91" s="293"/>
      <c r="DWD91" s="294"/>
      <c r="DWJ91" s="292"/>
      <c r="DWK91" s="293"/>
      <c r="DWL91" s="294"/>
      <c r="DWR91" s="292"/>
      <c r="DWS91" s="293"/>
      <c r="DWT91" s="294"/>
      <c r="DWZ91" s="292"/>
      <c r="DXA91" s="293"/>
      <c r="DXB91" s="294"/>
      <c r="DXH91" s="292"/>
      <c r="DXI91" s="293"/>
      <c r="DXJ91" s="294"/>
      <c r="DXP91" s="292"/>
      <c r="DXQ91" s="293"/>
      <c r="DXR91" s="294"/>
      <c r="DXX91" s="292"/>
      <c r="DXY91" s="293"/>
      <c r="DXZ91" s="294"/>
      <c r="DYF91" s="292"/>
      <c r="DYG91" s="293"/>
      <c r="DYH91" s="294"/>
      <c r="DYN91" s="292"/>
      <c r="DYO91" s="293"/>
      <c r="DYP91" s="294"/>
      <c r="DYV91" s="292"/>
      <c r="DYW91" s="293"/>
      <c r="DYX91" s="294"/>
      <c r="DZD91" s="292"/>
      <c r="DZE91" s="293"/>
      <c r="DZF91" s="294"/>
      <c r="DZL91" s="292"/>
      <c r="DZM91" s="293"/>
      <c r="DZN91" s="294"/>
      <c r="DZT91" s="292"/>
      <c r="DZU91" s="293"/>
      <c r="DZV91" s="294"/>
      <c r="EAB91" s="292"/>
      <c r="EAC91" s="293"/>
      <c r="EAD91" s="294"/>
      <c r="EAJ91" s="292"/>
      <c r="EAK91" s="293"/>
      <c r="EAL91" s="294"/>
      <c r="EAR91" s="292"/>
      <c r="EAS91" s="293"/>
      <c r="EAT91" s="294"/>
      <c r="EAZ91" s="292"/>
      <c r="EBA91" s="293"/>
      <c r="EBB91" s="294"/>
      <c r="EBH91" s="292"/>
      <c r="EBI91" s="293"/>
      <c r="EBJ91" s="294"/>
      <c r="EBP91" s="292"/>
      <c r="EBQ91" s="293"/>
      <c r="EBR91" s="294"/>
      <c r="EBX91" s="292"/>
      <c r="EBY91" s="293"/>
      <c r="EBZ91" s="294"/>
      <c r="ECF91" s="292"/>
      <c r="ECG91" s="293"/>
      <c r="ECH91" s="294"/>
      <c r="ECN91" s="292"/>
      <c r="ECO91" s="293"/>
      <c r="ECP91" s="294"/>
      <c r="ECV91" s="292"/>
      <c r="ECW91" s="293"/>
      <c r="ECX91" s="294"/>
      <c r="EDD91" s="292"/>
      <c r="EDE91" s="293"/>
      <c r="EDF91" s="294"/>
      <c r="EDL91" s="292"/>
      <c r="EDM91" s="293"/>
      <c r="EDN91" s="294"/>
      <c r="EDT91" s="292"/>
      <c r="EDU91" s="293"/>
      <c r="EDV91" s="294"/>
      <c r="EEB91" s="292"/>
      <c r="EEC91" s="293"/>
      <c r="EED91" s="294"/>
      <c r="EEJ91" s="292"/>
      <c r="EEK91" s="293"/>
      <c r="EEL91" s="294"/>
      <c r="EER91" s="292"/>
      <c r="EES91" s="293"/>
      <c r="EET91" s="294"/>
      <c r="EEZ91" s="292"/>
      <c r="EFA91" s="293"/>
      <c r="EFB91" s="294"/>
      <c r="EFH91" s="292"/>
      <c r="EFI91" s="293"/>
      <c r="EFJ91" s="294"/>
      <c r="EFP91" s="292"/>
      <c r="EFQ91" s="293"/>
      <c r="EFR91" s="294"/>
      <c r="EFX91" s="292"/>
      <c r="EFY91" s="293"/>
      <c r="EFZ91" s="294"/>
      <c r="EGF91" s="292"/>
      <c r="EGG91" s="293"/>
      <c r="EGH91" s="294"/>
      <c r="EGN91" s="292"/>
      <c r="EGO91" s="293"/>
      <c r="EGP91" s="294"/>
      <c r="EGV91" s="292"/>
      <c r="EGW91" s="293"/>
      <c r="EGX91" s="294"/>
      <c r="EHD91" s="292"/>
      <c r="EHE91" s="293"/>
      <c r="EHF91" s="294"/>
      <c r="EHL91" s="292"/>
      <c r="EHM91" s="293"/>
      <c r="EHN91" s="294"/>
      <c r="EHT91" s="292"/>
      <c r="EHU91" s="293"/>
      <c r="EHV91" s="294"/>
      <c r="EIB91" s="292"/>
      <c r="EIC91" s="293"/>
      <c r="EID91" s="294"/>
      <c r="EIJ91" s="292"/>
      <c r="EIK91" s="293"/>
      <c r="EIL91" s="294"/>
      <c r="EIR91" s="292"/>
      <c r="EIS91" s="293"/>
      <c r="EIT91" s="294"/>
      <c r="EIZ91" s="292"/>
      <c r="EJA91" s="293"/>
      <c r="EJB91" s="294"/>
      <c r="EJH91" s="292"/>
      <c r="EJI91" s="293"/>
      <c r="EJJ91" s="294"/>
      <c r="EJP91" s="292"/>
      <c r="EJQ91" s="293"/>
      <c r="EJR91" s="294"/>
      <c r="EJX91" s="292"/>
      <c r="EJY91" s="293"/>
      <c r="EJZ91" s="294"/>
      <c r="EKF91" s="292"/>
      <c r="EKG91" s="293"/>
      <c r="EKH91" s="294"/>
      <c r="EKN91" s="292"/>
      <c r="EKO91" s="293"/>
      <c r="EKP91" s="294"/>
      <c r="EKV91" s="292"/>
      <c r="EKW91" s="293"/>
      <c r="EKX91" s="294"/>
      <c r="ELD91" s="292"/>
      <c r="ELE91" s="293"/>
      <c r="ELF91" s="294"/>
      <c r="ELL91" s="292"/>
      <c r="ELM91" s="293"/>
      <c r="ELN91" s="294"/>
      <c r="ELT91" s="292"/>
      <c r="ELU91" s="293"/>
      <c r="ELV91" s="294"/>
      <c r="EMB91" s="292"/>
      <c r="EMC91" s="293"/>
      <c r="EMD91" s="294"/>
      <c r="EMJ91" s="292"/>
      <c r="EMK91" s="293"/>
      <c r="EML91" s="294"/>
      <c r="EMR91" s="292"/>
      <c r="EMS91" s="293"/>
      <c r="EMT91" s="294"/>
      <c r="EMZ91" s="292"/>
      <c r="ENA91" s="293"/>
      <c r="ENB91" s="294"/>
      <c r="ENH91" s="292"/>
      <c r="ENI91" s="293"/>
      <c r="ENJ91" s="294"/>
      <c r="ENP91" s="292"/>
      <c r="ENQ91" s="293"/>
      <c r="ENR91" s="294"/>
      <c r="ENX91" s="292"/>
      <c r="ENY91" s="293"/>
      <c r="ENZ91" s="294"/>
      <c r="EOF91" s="292"/>
      <c r="EOG91" s="293"/>
      <c r="EOH91" s="294"/>
      <c r="EON91" s="292"/>
      <c r="EOO91" s="293"/>
      <c r="EOP91" s="294"/>
      <c r="EOV91" s="292"/>
      <c r="EOW91" s="293"/>
      <c r="EOX91" s="294"/>
      <c r="EPD91" s="292"/>
      <c r="EPE91" s="293"/>
      <c r="EPF91" s="294"/>
      <c r="EPL91" s="292"/>
      <c r="EPM91" s="293"/>
      <c r="EPN91" s="294"/>
      <c r="EPT91" s="292"/>
      <c r="EPU91" s="293"/>
      <c r="EPV91" s="294"/>
      <c r="EQB91" s="292"/>
      <c r="EQC91" s="293"/>
      <c r="EQD91" s="294"/>
      <c r="EQJ91" s="292"/>
      <c r="EQK91" s="293"/>
      <c r="EQL91" s="294"/>
      <c r="EQR91" s="292"/>
      <c r="EQS91" s="293"/>
      <c r="EQT91" s="294"/>
      <c r="EQZ91" s="292"/>
      <c r="ERA91" s="293"/>
      <c r="ERB91" s="294"/>
      <c r="ERH91" s="292"/>
      <c r="ERI91" s="293"/>
      <c r="ERJ91" s="294"/>
      <c r="ERP91" s="292"/>
      <c r="ERQ91" s="293"/>
      <c r="ERR91" s="294"/>
      <c r="ERX91" s="292"/>
      <c r="ERY91" s="293"/>
      <c r="ERZ91" s="294"/>
      <c r="ESF91" s="292"/>
      <c r="ESG91" s="293"/>
      <c r="ESH91" s="294"/>
      <c r="ESN91" s="292"/>
      <c r="ESO91" s="293"/>
      <c r="ESP91" s="294"/>
      <c r="ESV91" s="292"/>
      <c r="ESW91" s="293"/>
      <c r="ESX91" s="294"/>
      <c r="ETD91" s="292"/>
      <c r="ETE91" s="293"/>
      <c r="ETF91" s="294"/>
      <c r="ETL91" s="292"/>
      <c r="ETM91" s="293"/>
      <c r="ETN91" s="294"/>
      <c r="ETT91" s="292"/>
      <c r="ETU91" s="293"/>
      <c r="ETV91" s="294"/>
      <c r="EUB91" s="292"/>
      <c r="EUC91" s="293"/>
      <c r="EUD91" s="294"/>
      <c r="EUJ91" s="292"/>
      <c r="EUK91" s="293"/>
      <c r="EUL91" s="294"/>
      <c r="EUR91" s="292"/>
      <c r="EUS91" s="293"/>
      <c r="EUT91" s="294"/>
      <c r="EUZ91" s="292"/>
      <c r="EVA91" s="293"/>
      <c r="EVB91" s="294"/>
      <c r="EVH91" s="292"/>
      <c r="EVI91" s="293"/>
      <c r="EVJ91" s="294"/>
      <c r="EVP91" s="292"/>
      <c r="EVQ91" s="293"/>
      <c r="EVR91" s="294"/>
      <c r="EVX91" s="292"/>
      <c r="EVY91" s="293"/>
      <c r="EVZ91" s="294"/>
      <c r="EWF91" s="292"/>
      <c r="EWG91" s="293"/>
      <c r="EWH91" s="294"/>
      <c r="EWN91" s="292"/>
      <c r="EWO91" s="293"/>
      <c r="EWP91" s="294"/>
      <c r="EWV91" s="292"/>
      <c r="EWW91" s="293"/>
      <c r="EWX91" s="294"/>
      <c r="EXD91" s="292"/>
      <c r="EXE91" s="293"/>
      <c r="EXF91" s="294"/>
      <c r="EXL91" s="292"/>
      <c r="EXM91" s="293"/>
      <c r="EXN91" s="294"/>
      <c r="EXT91" s="292"/>
      <c r="EXU91" s="293"/>
      <c r="EXV91" s="294"/>
      <c r="EYB91" s="292"/>
      <c r="EYC91" s="293"/>
      <c r="EYD91" s="294"/>
      <c r="EYJ91" s="292"/>
      <c r="EYK91" s="293"/>
      <c r="EYL91" s="294"/>
      <c r="EYR91" s="292"/>
      <c r="EYS91" s="293"/>
      <c r="EYT91" s="294"/>
      <c r="EYZ91" s="292"/>
      <c r="EZA91" s="293"/>
      <c r="EZB91" s="294"/>
      <c r="EZH91" s="292"/>
      <c r="EZI91" s="293"/>
      <c r="EZJ91" s="294"/>
      <c r="EZP91" s="292"/>
      <c r="EZQ91" s="293"/>
      <c r="EZR91" s="294"/>
      <c r="EZX91" s="292"/>
      <c r="EZY91" s="293"/>
      <c r="EZZ91" s="294"/>
      <c r="FAF91" s="292"/>
      <c r="FAG91" s="293"/>
      <c r="FAH91" s="294"/>
      <c r="FAN91" s="292"/>
      <c r="FAO91" s="293"/>
      <c r="FAP91" s="294"/>
      <c r="FAV91" s="292"/>
      <c r="FAW91" s="293"/>
      <c r="FAX91" s="294"/>
      <c r="FBD91" s="292"/>
      <c r="FBE91" s="293"/>
      <c r="FBF91" s="294"/>
      <c r="FBL91" s="292"/>
      <c r="FBM91" s="293"/>
      <c r="FBN91" s="294"/>
      <c r="FBT91" s="292"/>
      <c r="FBU91" s="293"/>
      <c r="FBV91" s="294"/>
      <c r="FCB91" s="292"/>
      <c r="FCC91" s="293"/>
      <c r="FCD91" s="294"/>
      <c r="FCJ91" s="292"/>
      <c r="FCK91" s="293"/>
      <c r="FCL91" s="294"/>
      <c r="FCR91" s="292"/>
      <c r="FCS91" s="293"/>
      <c r="FCT91" s="294"/>
      <c r="FCZ91" s="292"/>
      <c r="FDA91" s="293"/>
      <c r="FDB91" s="294"/>
      <c r="FDH91" s="292"/>
      <c r="FDI91" s="293"/>
      <c r="FDJ91" s="294"/>
      <c r="FDP91" s="292"/>
      <c r="FDQ91" s="293"/>
      <c r="FDR91" s="294"/>
      <c r="FDX91" s="292"/>
      <c r="FDY91" s="293"/>
      <c r="FDZ91" s="294"/>
      <c r="FEF91" s="292"/>
      <c r="FEG91" s="293"/>
      <c r="FEH91" s="294"/>
      <c r="FEN91" s="292"/>
      <c r="FEO91" s="293"/>
      <c r="FEP91" s="294"/>
      <c r="FEV91" s="292"/>
      <c r="FEW91" s="293"/>
      <c r="FEX91" s="294"/>
      <c r="FFD91" s="292"/>
      <c r="FFE91" s="293"/>
      <c r="FFF91" s="294"/>
      <c r="FFL91" s="292"/>
      <c r="FFM91" s="293"/>
      <c r="FFN91" s="294"/>
      <c r="FFT91" s="292"/>
      <c r="FFU91" s="293"/>
      <c r="FFV91" s="294"/>
      <c r="FGB91" s="292"/>
      <c r="FGC91" s="293"/>
      <c r="FGD91" s="294"/>
      <c r="FGJ91" s="292"/>
      <c r="FGK91" s="293"/>
      <c r="FGL91" s="294"/>
      <c r="FGR91" s="292"/>
      <c r="FGS91" s="293"/>
      <c r="FGT91" s="294"/>
      <c r="FGZ91" s="292"/>
      <c r="FHA91" s="293"/>
      <c r="FHB91" s="294"/>
      <c r="FHH91" s="292"/>
      <c r="FHI91" s="293"/>
      <c r="FHJ91" s="294"/>
      <c r="FHP91" s="292"/>
      <c r="FHQ91" s="293"/>
      <c r="FHR91" s="294"/>
      <c r="FHX91" s="292"/>
      <c r="FHY91" s="293"/>
      <c r="FHZ91" s="294"/>
      <c r="FIF91" s="292"/>
      <c r="FIG91" s="293"/>
      <c r="FIH91" s="294"/>
      <c r="FIN91" s="292"/>
      <c r="FIO91" s="293"/>
      <c r="FIP91" s="294"/>
      <c r="FIV91" s="292"/>
      <c r="FIW91" s="293"/>
      <c r="FIX91" s="294"/>
      <c r="FJD91" s="292"/>
      <c r="FJE91" s="293"/>
      <c r="FJF91" s="294"/>
      <c r="FJL91" s="292"/>
      <c r="FJM91" s="293"/>
      <c r="FJN91" s="294"/>
      <c r="FJT91" s="292"/>
      <c r="FJU91" s="293"/>
      <c r="FJV91" s="294"/>
      <c r="FKB91" s="292"/>
      <c r="FKC91" s="293"/>
      <c r="FKD91" s="294"/>
      <c r="FKJ91" s="292"/>
      <c r="FKK91" s="293"/>
      <c r="FKL91" s="294"/>
      <c r="FKR91" s="292"/>
      <c r="FKS91" s="293"/>
      <c r="FKT91" s="294"/>
      <c r="FKZ91" s="292"/>
      <c r="FLA91" s="293"/>
      <c r="FLB91" s="294"/>
      <c r="FLH91" s="292"/>
      <c r="FLI91" s="293"/>
      <c r="FLJ91" s="294"/>
      <c r="FLP91" s="292"/>
      <c r="FLQ91" s="293"/>
      <c r="FLR91" s="294"/>
      <c r="FLX91" s="292"/>
      <c r="FLY91" s="293"/>
      <c r="FLZ91" s="294"/>
      <c r="FMF91" s="292"/>
      <c r="FMG91" s="293"/>
      <c r="FMH91" s="294"/>
      <c r="FMN91" s="292"/>
      <c r="FMO91" s="293"/>
      <c r="FMP91" s="294"/>
      <c r="FMV91" s="292"/>
      <c r="FMW91" s="293"/>
      <c r="FMX91" s="294"/>
      <c r="FND91" s="292"/>
      <c r="FNE91" s="293"/>
      <c r="FNF91" s="294"/>
      <c r="FNL91" s="292"/>
      <c r="FNM91" s="293"/>
      <c r="FNN91" s="294"/>
      <c r="FNT91" s="292"/>
      <c r="FNU91" s="293"/>
      <c r="FNV91" s="294"/>
      <c r="FOB91" s="292"/>
      <c r="FOC91" s="293"/>
      <c r="FOD91" s="294"/>
      <c r="FOJ91" s="292"/>
      <c r="FOK91" s="293"/>
      <c r="FOL91" s="294"/>
      <c r="FOR91" s="292"/>
      <c r="FOS91" s="293"/>
      <c r="FOT91" s="294"/>
      <c r="FOZ91" s="292"/>
      <c r="FPA91" s="293"/>
      <c r="FPB91" s="294"/>
      <c r="FPH91" s="292"/>
      <c r="FPI91" s="293"/>
      <c r="FPJ91" s="294"/>
      <c r="FPP91" s="292"/>
      <c r="FPQ91" s="293"/>
      <c r="FPR91" s="294"/>
      <c r="FPX91" s="292"/>
      <c r="FPY91" s="293"/>
      <c r="FPZ91" s="294"/>
      <c r="FQF91" s="292"/>
      <c r="FQG91" s="293"/>
      <c r="FQH91" s="294"/>
      <c r="FQN91" s="292"/>
      <c r="FQO91" s="293"/>
      <c r="FQP91" s="294"/>
      <c r="FQV91" s="292"/>
      <c r="FQW91" s="293"/>
      <c r="FQX91" s="294"/>
      <c r="FRD91" s="292"/>
      <c r="FRE91" s="293"/>
      <c r="FRF91" s="294"/>
      <c r="FRL91" s="292"/>
      <c r="FRM91" s="293"/>
      <c r="FRN91" s="294"/>
      <c r="FRT91" s="292"/>
      <c r="FRU91" s="293"/>
      <c r="FRV91" s="294"/>
      <c r="FSB91" s="292"/>
      <c r="FSC91" s="293"/>
      <c r="FSD91" s="294"/>
      <c r="FSJ91" s="292"/>
      <c r="FSK91" s="293"/>
      <c r="FSL91" s="294"/>
      <c r="FSR91" s="292"/>
      <c r="FSS91" s="293"/>
      <c r="FST91" s="294"/>
      <c r="FSZ91" s="292"/>
      <c r="FTA91" s="293"/>
      <c r="FTB91" s="294"/>
      <c r="FTH91" s="292"/>
      <c r="FTI91" s="293"/>
      <c r="FTJ91" s="294"/>
      <c r="FTP91" s="292"/>
      <c r="FTQ91" s="293"/>
      <c r="FTR91" s="294"/>
      <c r="FTX91" s="292"/>
      <c r="FTY91" s="293"/>
      <c r="FTZ91" s="294"/>
      <c r="FUF91" s="292"/>
      <c r="FUG91" s="293"/>
      <c r="FUH91" s="294"/>
      <c r="FUN91" s="292"/>
      <c r="FUO91" s="293"/>
      <c r="FUP91" s="294"/>
      <c r="FUV91" s="292"/>
      <c r="FUW91" s="293"/>
      <c r="FUX91" s="294"/>
      <c r="FVD91" s="292"/>
      <c r="FVE91" s="293"/>
      <c r="FVF91" s="294"/>
      <c r="FVL91" s="292"/>
      <c r="FVM91" s="293"/>
      <c r="FVN91" s="294"/>
      <c r="FVT91" s="292"/>
      <c r="FVU91" s="293"/>
      <c r="FVV91" s="294"/>
      <c r="FWB91" s="292"/>
      <c r="FWC91" s="293"/>
      <c r="FWD91" s="294"/>
      <c r="FWJ91" s="292"/>
      <c r="FWK91" s="293"/>
      <c r="FWL91" s="294"/>
      <c r="FWR91" s="292"/>
      <c r="FWS91" s="293"/>
      <c r="FWT91" s="294"/>
      <c r="FWZ91" s="292"/>
      <c r="FXA91" s="293"/>
      <c r="FXB91" s="294"/>
      <c r="FXH91" s="292"/>
      <c r="FXI91" s="293"/>
      <c r="FXJ91" s="294"/>
      <c r="FXP91" s="292"/>
      <c r="FXQ91" s="293"/>
      <c r="FXR91" s="294"/>
      <c r="FXX91" s="292"/>
      <c r="FXY91" s="293"/>
      <c r="FXZ91" s="294"/>
      <c r="FYF91" s="292"/>
      <c r="FYG91" s="293"/>
      <c r="FYH91" s="294"/>
      <c r="FYN91" s="292"/>
      <c r="FYO91" s="293"/>
      <c r="FYP91" s="294"/>
      <c r="FYV91" s="292"/>
      <c r="FYW91" s="293"/>
      <c r="FYX91" s="294"/>
      <c r="FZD91" s="292"/>
      <c r="FZE91" s="293"/>
      <c r="FZF91" s="294"/>
      <c r="FZL91" s="292"/>
      <c r="FZM91" s="293"/>
      <c r="FZN91" s="294"/>
      <c r="FZT91" s="292"/>
      <c r="FZU91" s="293"/>
      <c r="FZV91" s="294"/>
      <c r="GAB91" s="292"/>
      <c r="GAC91" s="293"/>
      <c r="GAD91" s="294"/>
      <c r="GAJ91" s="292"/>
      <c r="GAK91" s="293"/>
      <c r="GAL91" s="294"/>
      <c r="GAR91" s="292"/>
      <c r="GAS91" s="293"/>
      <c r="GAT91" s="294"/>
      <c r="GAZ91" s="292"/>
      <c r="GBA91" s="293"/>
      <c r="GBB91" s="294"/>
      <c r="GBH91" s="292"/>
      <c r="GBI91" s="293"/>
      <c r="GBJ91" s="294"/>
      <c r="GBP91" s="292"/>
      <c r="GBQ91" s="293"/>
      <c r="GBR91" s="294"/>
      <c r="GBX91" s="292"/>
      <c r="GBY91" s="293"/>
      <c r="GBZ91" s="294"/>
      <c r="GCF91" s="292"/>
      <c r="GCG91" s="293"/>
      <c r="GCH91" s="294"/>
      <c r="GCN91" s="292"/>
      <c r="GCO91" s="293"/>
      <c r="GCP91" s="294"/>
      <c r="GCV91" s="292"/>
      <c r="GCW91" s="293"/>
      <c r="GCX91" s="294"/>
      <c r="GDD91" s="292"/>
      <c r="GDE91" s="293"/>
      <c r="GDF91" s="294"/>
      <c r="GDL91" s="292"/>
      <c r="GDM91" s="293"/>
      <c r="GDN91" s="294"/>
      <c r="GDT91" s="292"/>
      <c r="GDU91" s="293"/>
      <c r="GDV91" s="294"/>
      <c r="GEB91" s="292"/>
      <c r="GEC91" s="293"/>
      <c r="GED91" s="294"/>
      <c r="GEJ91" s="292"/>
      <c r="GEK91" s="293"/>
      <c r="GEL91" s="294"/>
      <c r="GER91" s="292"/>
      <c r="GES91" s="293"/>
      <c r="GET91" s="294"/>
      <c r="GEZ91" s="292"/>
      <c r="GFA91" s="293"/>
      <c r="GFB91" s="294"/>
      <c r="GFH91" s="292"/>
      <c r="GFI91" s="293"/>
      <c r="GFJ91" s="294"/>
      <c r="GFP91" s="292"/>
      <c r="GFQ91" s="293"/>
      <c r="GFR91" s="294"/>
      <c r="GFX91" s="292"/>
      <c r="GFY91" s="293"/>
      <c r="GFZ91" s="294"/>
      <c r="GGF91" s="292"/>
      <c r="GGG91" s="293"/>
      <c r="GGH91" s="294"/>
      <c r="GGN91" s="292"/>
      <c r="GGO91" s="293"/>
      <c r="GGP91" s="294"/>
      <c r="GGV91" s="292"/>
      <c r="GGW91" s="293"/>
      <c r="GGX91" s="294"/>
      <c r="GHD91" s="292"/>
      <c r="GHE91" s="293"/>
      <c r="GHF91" s="294"/>
      <c r="GHL91" s="292"/>
      <c r="GHM91" s="293"/>
      <c r="GHN91" s="294"/>
      <c r="GHT91" s="292"/>
      <c r="GHU91" s="293"/>
      <c r="GHV91" s="294"/>
      <c r="GIB91" s="292"/>
      <c r="GIC91" s="293"/>
      <c r="GID91" s="294"/>
      <c r="GIJ91" s="292"/>
      <c r="GIK91" s="293"/>
      <c r="GIL91" s="294"/>
      <c r="GIR91" s="292"/>
      <c r="GIS91" s="293"/>
      <c r="GIT91" s="294"/>
      <c r="GIZ91" s="292"/>
      <c r="GJA91" s="293"/>
      <c r="GJB91" s="294"/>
      <c r="GJH91" s="292"/>
      <c r="GJI91" s="293"/>
      <c r="GJJ91" s="294"/>
      <c r="GJP91" s="292"/>
      <c r="GJQ91" s="293"/>
      <c r="GJR91" s="294"/>
      <c r="GJX91" s="292"/>
      <c r="GJY91" s="293"/>
      <c r="GJZ91" s="294"/>
      <c r="GKF91" s="292"/>
      <c r="GKG91" s="293"/>
      <c r="GKH91" s="294"/>
      <c r="GKN91" s="292"/>
      <c r="GKO91" s="293"/>
      <c r="GKP91" s="294"/>
      <c r="GKV91" s="292"/>
      <c r="GKW91" s="293"/>
      <c r="GKX91" s="294"/>
      <c r="GLD91" s="292"/>
      <c r="GLE91" s="293"/>
      <c r="GLF91" s="294"/>
      <c r="GLL91" s="292"/>
      <c r="GLM91" s="293"/>
      <c r="GLN91" s="294"/>
      <c r="GLT91" s="292"/>
      <c r="GLU91" s="293"/>
      <c r="GLV91" s="294"/>
      <c r="GMB91" s="292"/>
      <c r="GMC91" s="293"/>
      <c r="GMD91" s="294"/>
      <c r="GMJ91" s="292"/>
      <c r="GMK91" s="293"/>
      <c r="GML91" s="294"/>
      <c r="GMR91" s="292"/>
      <c r="GMS91" s="293"/>
      <c r="GMT91" s="294"/>
      <c r="GMZ91" s="292"/>
      <c r="GNA91" s="293"/>
      <c r="GNB91" s="294"/>
      <c r="GNH91" s="292"/>
      <c r="GNI91" s="293"/>
      <c r="GNJ91" s="294"/>
      <c r="GNP91" s="292"/>
      <c r="GNQ91" s="293"/>
      <c r="GNR91" s="294"/>
      <c r="GNX91" s="292"/>
      <c r="GNY91" s="293"/>
      <c r="GNZ91" s="294"/>
      <c r="GOF91" s="292"/>
      <c r="GOG91" s="293"/>
      <c r="GOH91" s="294"/>
      <c r="GON91" s="292"/>
      <c r="GOO91" s="293"/>
      <c r="GOP91" s="294"/>
      <c r="GOV91" s="292"/>
      <c r="GOW91" s="293"/>
      <c r="GOX91" s="294"/>
      <c r="GPD91" s="292"/>
      <c r="GPE91" s="293"/>
      <c r="GPF91" s="294"/>
      <c r="GPL91" s="292"/>
      <c r="GPM91" s="293"/>
      <c r="GPN91" s="294"/>
      <c r="GPT91" s="292"/>
      <c r="GPU91" s="293"/>
      <c r="GPV91" s="294"/>
      <c r="GQB91" s="292"/>
      <c r="GQC91" s="293"/>
      <c r="GQD91" s="294"/>
      <c r="GQJ91" s="292"/>
      <c r="GQK91" s="293"/>
      <c r="GQL91" s="294"/>
      <c r="GQR91" s="292"/>
      <c r="GQS91" s="293"/>
      <c r="GQT91" s="294"/>
      <c r="GQZ91" s="292"/>
      <c r="GRA91" s="293"/>
      <c r="GRB91" s="294"/>
      <c r="GRH91" s="292"/>
      <c r="GRI91" s="293"/>
      <c r="GRJ91" s="294"/>
      <c r="GRP91" s="292"/>
      <c r="GRQ91" s="293"/>
      <c r="GRR91" s="294"/>
      <c r="GRX91" s="292"/>
      <c r="GRY91" s="293"/>
      <c r="GRZ91" s="294"/>
      <c r="GSF91" s="292"/>
      <c r="GSG91" s="293"/>
      <c r="GSH91" s="294"/>
      <c r="GSN91" s="292"/>
      <c r="GSO91" s="293"/>
      <c r="GSP91" s="294"/>
      <c r="GSV91" s="292"/>
      <c r="GSW91" s="293"/>
      <c r="GSX91" s="294"/>
      <c r="GTD91" s="292"/>
      <c r="GTE91" s="293"/>
      <c r="GTF91" s="294"/>
      <c r="GTL91" s="292"/>
      <c r="GTM91" s="293"/>
      <c r="GTN91" s="294"/>
      <c r="GTT91" s="292"/>
      <c r="GTU91" s="293"/>
      <c r="GTV91" s="294"/>
      <c r="GUB91" s="292"/>
      <c r="GUC91" s="293"/>
      <c r="GUD91" s="294"/>
      <c r="GUJ91" s="292"/>
      <c r="GUK91" s="293"/>
      <c r="GUL91" s="294"/>
      <c r="GUR91" s="292"/>
      <c r="GUS91" s="293"/>
      <c r="GUT91" s="294"/>
      <c r="GUZ91" s="292"/>
      <c r="GVA91" s="293"/>
      <c r="GVB91" s="294"/>
      <c r="GVH91" s="292"/>
      <c r="GVI91" s="293"/>
      <c r="GVJ91" s="294"/>
      <c r="GVP91" s="292"/>
      <c r="GVQ91" s="293"/>
      <c r="GVR91" s="294"/>
      <c r="GVX91" s="292"/>
      <c r="GVY91" s="293"/>
      <c r="GVZ91" s="294"/>
      <c r="GWF91" s="292"/>
      <c r="GWG91" s="293"/>
      <c r="GWH91" s="294"/>
      <c r="GWN91" s="292"/>
      <c r="GWO91" s="293"/>
      <c r="GWP91" s="294"/>
      <c r="GWV91" s="292"/>
      <c r="GWW91" s="293"/>
      <c r="GWX91" s="294"/>
      <c r="GXD91" s="292"/>
      <c r="GXE91" s="293"/>
      <c r="GXF91" s="294"/>
      <c r="GXL91" s="292"/>
      <c r="GXM91" s="293"/>
      <c r="GXN91" s="294"/>
      <c r="GXT91" s="292"/>
      <c r="GXU91" s="293"/>
      <c r="GXV91" s="294"/>
      <c r="GYB91" s="292"/>
      <c r="GYC91" s="293"/>
      <c r="GYD91" s="294"/>
      <c r="GYJ91" s="292"/>
      <c r="GYK91" s="293"/>
      <c r="GYL91" s="294"/>
      <c r="GYR91" s="292"/>
      <c r="GYS91" s="293"/>
      <c r="GYT91" s="294"/>
      <c r="GYZ91" s="292"/>
      <c r="GZA91" s="293"/>
      <c r="GZB91" s="294"/>
      <c r="GZH91" s="292"/>
      <c r="GZI91" s="293"/>
      <c r="GZJ91" s="294"/>
      <c r="GZP91" s="292"/>
      <c r="GZQ91" s="293"/>
      <c r="GZR91" s="294"/>
      <c r="GZX91" s="292"/>
      <c r="GZY91" s="293"/>
      <c r="GZZ91" s="294"/>
      <c r="HAF91" s="292"/>
      <c r="HAG91" s="293"/>
      <c r="HAH91" s="294"/>
      <c r="HAN91" s="292"/>
      <c r="HAO91" s="293"/>
      <c r="HAP91" s="294"/>
      <c r="HAV91" s="292"/>
      <c r="HAW91" s="293"/>
      <c r="HAX91" s="294"/>
      <c r="HBD91" s="292"/>
      <c r="HBE91" s="293"/>
      <c r="HBF91" s="294"/>
      <c r="HBL91" s="292"/>
      <c r="HBM91" s="293"/>
      <c r="HBN91" s="294"/>
      <c r="HBT91" s="292"/>
      <c r="HBU91" s="293"/>
      <c r="HBV91" s="294"/>
      <c r="HCB91" s="292"/>
      <c r="HCC91" s="293"/>
      <c r="HCD91" s="294"/>
      <c r="HCJ91" s="292"/>
      <c r="HCK91" s="293"/>
      <c r="HCL91" s="294"/>
      <c r="HCR91" s="292"/>
      <c r="HCS91" s="293"/>
      <c r="HCT91" s="294"/>
      <c r="HCZ91" s="292"/>
      <c r="HDA91" s="293"/>
      <c r="HDB91" s="294"/>
      <c r="HDH91" s="292"/>
      <c r="HDI91" s="293"/>
      <c r="HDJ91" s="294"/>
      <c r="HDP91" s="292"/>
      <c r="HDQ91" s="293"/>
      <c r="HDR91" s="294"/>
      <c r="HDX91" s="292"/>
      <c r="HDY91" s="293"/>
      <c r="HDZ91" s="294"/>
      <c r="HEF91" s="292"/>
      <c r="HEG91" s="293"/>
      <c r="HEH91" s="294"/>
      <c r="HEN91" s="292"/>
      <c r="HEO91" s="293"/>
      <c r="HEP91" s="294"/>
      <c r="HEV91" s="292"/>
      <c r="HEW91" s="293"/>
      <c r="HEX91" s="294"/>
      <c r="HFD91" s="292"/>
      <c r="HFE91" s="293"/>
      <c r="HFF91" s="294"/>
      <c r="HFL91" s="292"/>
      <c r="HFM91" s="293"/>
      <c r="HFN91" s="294"/>
      <c r="HFT91" s="292"/>
      <c r="HFU91" s="293"/>
      <c r="HFV91" s="294"/>
      <c r="HGB91" s="292"/>
      <c r="HGC91" s="293"/>
      <c r="HGD91" s="294"/>
      <c r="HGJ91" s="292"/>
      <c r="HGK91" s="293"/>
      <c r="HGL91" s="294"/>
      <c r="HGR91" s="292"/>
      <c r="HGS91" s="293"/>
      <c r="HGT91" s="294"/>
      <c r="HGZ91" s="292"/>
      <c r="HHA91" s="293"/>
      <c r="HHB91" s="294"/>
      <c r="HHH91" s="292"/>
      <c r="HHI91" s="293"/>
      <c r="HHJ91" s="294"/>
      <c r="HHP91" s="292"/>
      <c r="HHQ91" s="293"/>
      <c r="HHR91" s="294"/>
      <c r="HHX91" s="292"/>
      <c r="HHY91" s="293"/>
      <c r="HHZ91" s="294"/>
      <c r="HIF91" s="292"/>
      <c r="HIG91" s="293"/>
      <c r="HIH91" s="294"/>
      <c r="HIN91" s="292"/>
      <c r="HIO91" s="293"/>
      <c r="HIP91" s="294"/>
      <c r="HIV91" s="292"/>
      <c r="HIW91" s="293"/>
      <c r="HIX91" s="294"/>
      <c r="HJD91" s="292"/>
      <c r="HJE91" s="293"/>
      <c r="HJF91" s="294"/>
      <c r="HJL91" s="292"/>
      <c r="HJM91" s="293"/>
      <c r="HJN91" s="294"/>
      <c r="HJT91" s="292"/>
      <c r="HJU91" s="293"/>
      <c r="HJV91" s="294"/>
      <c r="HKB91" s="292"/>
      <c r="HKC91" s="293"/>
      <c r="HKD91" s="294"/>
      <c r="HKJ91" s="292"/>
      <c r="HKK91" s="293"/>
      <c r="HKL91" s="294"/>
      <c r="HKR91" s="292"/>
      <c r="HKS91" s="293"/>
      <c r="HKT91" s="294"/>
      <c r="HKZ91" s="292"/>
      <c r="HLA91" s="293"/>
      <c r="HLB91" s="294"/>
      <c r="HLH91" s="292"/>
      <c r="HLI91" s="293"/>
      <c r="HLJ91" s="294"/>
      <c r="HLP91" s="292"/>
      <c r="HLQ91" s="293"/>
      <c r="HLR91" s="294"/>
      <c r="HLX91" s="292"/>
      <c r="HLY91" s="293"/>
      <c r="HLZ91" s="294"/>
      <c r="HMF91" s="292"/>
      <c r="HMG91" s="293"/>
      <c r="HMH91" s="294"/>
      <c r="HMN91" s="292"/>
      <c r="HMO91" s="293"/>
      <c r="HMP91" s="294"/>
      <c r="HMV91" s="292"/>
      <c r="HMW91" s="293"/>
      <c r="HMX91" s="294"/>
      <c r="HND91" s="292"/>
      <c r="HNE91" s="293"/>
      <c r="HNF91" s="294"/>
      <c r="HNL91" s="292"/>
      <c r="HNM91" s="293"/>
      <c r="HNN91" s="294"/>
      <c r="HNT91" s="292"/>
      <c r="HNU91" s="293"/>
      <c r="HNV91" s="294"/>
      <c r="HOB91" s="292"/>
      <c r="HOC91" s="293"/>
      <c r="HOD91" s="294"/>
      <c r="HOJ91" s="292"/>
      <c r="HOK91" s="293"/>
      <c r="HOL91" s="294"/>
      <c r="HOR91" s="292"/>
      <c r="HOS91" s="293"/>
      <c r="HOT91" s="294"/>
      <c r="HOZ91" s="292"/>
      <c r="HPA91" s="293"/>
      <c r="HPB91" s="294"/>
      <c r="HPH91" s="292"/>
      <c r="HPI91" s="293"/>
      <c r="HPJ91" s="294"/>
      <c r="HPP91" s="292"/>
      <c r="HPQ91" s="293"/>
      <c r="HPR91" s="294"/>
      <c r="HPX91" s="292"/>
      <c r="HPY91" s="293"/>
      <c r="HPZ91" s="294"/>
      <c r="HQF91" s="292"/>
      <c r="HQG91" s="293"/>
      <c r="HQH91" s="294"/>
      <c r="HQN91" s="292"/>
      <c r="HQO91" s="293"/>
      <c r="HQP91" s="294"/>
      <c r="HQV91" s="292"/>
      <c r="HQW91" s="293"/>
      <c r="HQX91" s="294"/>
      <c r="HRD91" s="292"/>
      <c r="HRE91" s="293"/>
      <c r="HRF91" s="294"/>
      <c r="HRL91" s="292"/>
      <c r="HRM91" s="293"/>
      <c r="HRN91" s="294"/>
      <c r="HRT91" s="292"/>
      <c r="HRU91" s="293"/>
      <c r="HRV91" s="294"/>
      <c r="HSB91" s="292"/>
      <c r="HSC91" s="293"/>
      <c r="HSD91" s="294"/>
      <c r="HSJ91" s="292"/>
      <c r="HSK91" s="293"/>
      <c r="HSL91" s="294"/>
      <c r="HSR91" s="292"/>
      <c r="HSS91" s="293"/>
      <c r="HST91" s="294"/>
      <c r="HSZ91" s="292"/>
      <c r="HTA91" s="293"/>
      <c r="HTB91" s="294"/>
      <c r="HTH91" s="292"/>
      <c r="HTI91" s="293"/>
      <c r="HTJ91" s="294"/>
      <c r="HTP91" s="292"/>
      <c r="HTQ91" s="293"/>
      <c r="HTR91" s="294"/>
      <c r="HTX91" s="292"/>
      <c r="HTY91" s="293"/>
      <c r="HTZ91" s="294"/>
      <c r="HUF91" s="292"/>
      <c r="HUG91" s="293"/>
      <c r="HUH91" s="294"/>
      <c r="HUN91" s="292"/>
      <c r="HUO91" s="293"/>
      <c r="HUP91" s="294"/>
      <c r="HUV91" s="292"/>
      <c r="HUW91" s="293"/>
      <c r="HUX91" s="294"/>
      <c r="HVD91" s="292"/>
      <c r="HVE91" s="293"/>
      <c r="HVF91" s="294"/>
      <c r="HVL91" s="292"/>
      <c r="HVM91" s="293"/>
      <c r="HVN91" s="294"/>
      <c r="HVT91" s="292"/>
      <c r="HVU91" s="293"/>
      <c r="HVV91" s="294"/>
      <c r="HWB91" s="292"/>
      <c r="HWC91" s="293"/>
      <c r="HWD91" s="294"/>
      <c r="HWJ91" s="292"/>
      <c r="HWK91" s="293"/>
      <c r="HWL91" s="294"/>
      <c r="HWR91" s="292"/>
      <c r="HWS91" s="293"/>
      <c r="HWT91" s="294"/>
      <c r="HWZ91" s="292"/>
      <c r="HXA91" s="293"/>
      <c r="HXB91" s="294"/>
      <c r="HXH91" s="292"/>
      <c r="HXI91" s="293"/>
      <c r="HXJ91" s="294"/>
      <c r="HXP91" s="292"/>
      <c r="HXQ91" s="293"/>
      <c r="HXR91" s="294"/>
      <c r="HXX91" s="292"/>
      <c r="HXY91" s="293"/>
      <c r="HXZ91" s="294"/>
      <c r="HYF91" s="292"/>
      <c r="HYG91" s="293"/>
      <c r="HYH91" s="294"/>
      <c r="HYN91" s="292"/>
      <c r="HYO91" s="293"/>
      <c r="HYP91" s="294"/>
      <c r="HYV91" s="292"/>
      <c r="HYW91" s="293"/>
      <c r="HYX91" s="294"/>
      <c r="HZD91" s="292"/>
      <c r="HZE91" s="293"/>
      <c r="HZF91" s="294"/>
      <c r="HZL91" s="292"/>
      <c r="HZM91" s="293"/>
      <c r="HZN91" s="294"/>
      <c r="HZT91" s="292"/>
      <c r="HZU91" s="293"/>
      <c r="HZV91" s="294"/>
      <c r="IAB91" s="292"/>
      <c r="IAC91" s="293"/>
      <c r="IAD91" s="294"/>
      <c r="IAJ91" s="292"/>
      <c r="IAK91" s="293"/>
      <c r="IAL91" s="294"/>
      <c r="IAR91" s="292"/>
      <c r="IAS91" s="293"/>
      <c r="IAT91" s="294"/>
      <c r="IAZ91" s="292"/>
      <c r="IBA91" s="293"/>
      <c r="IBB91" s="294"/>
      <c r="IBH91" s="292"/>
      <c r="IBI91" s="293"/>
      <c r="IBJ91" s="294"/>
      <c r="IBP91" s="292"/>
      <c r="IBQ91" s="293"/>
      <c r="IBR91" s="294"/>
      <c r="IBX91" s="292"/>
      <c r="IBY91" s="293"/>
      <c r="IBZ91" s="294"/>
      <c r="ICF91" s="292"/>
      <c r="ICG91" s="293"/>
      <c r="ICH91" s="294"/>
      <c r="ICN91" s="292"/>
      <c r="ICO91" s="293"/>
      <c r="ICP91" s="294"/>
      <c r="ICV91" s="292"/>
      <c r="ICW91" s="293"/>
      <c r="ICX91" s="294"/>
      <c r="IDD91" s="292"/>
      <c r="IDE91" s="293"/>
      <c r="IDF91" s="294"/>
      <c r="IDL91" s="292"/>
      <c r="IDM91" s="293"/>
      <c r="IDN91" s="294"/>
      <c r="IDT91" s="292"/>
      <c r="IDU91" s="293"/>
      <c r="IDV91" s="294"/>
      <c r="IEB91" s="292"/>
      <c r="IEC91" s="293"/>
      <c r="IED91" s="294"/>
      <c r="IEJ91" s="292"/>
      <c r="IEK91" s="293"/>
      <c r="IEL91" s="294"/>
      <c r="IER91" s="292"/>
      <c r="IES91" s="293"/>
      <c r="IET91" s="294"/>
      <c r="IEZ91" s="292"/>
      <c r="IFA91" s="293"/>
      <c r="IFB91" s="294"/>
      <c r="IFH91" s="292"/>
      <c r="IFI91" s="293"/>
      <c r="IFJ91" s="294"/>
      <c r="IFP91" s="292"/>
      <c r="IFQ91" s="293"/>
      <c r="IFR91" s="294"/>
      <c r="IFX91" s="292"/>
      <c r="IFY91" s="293"/>
      <c r="IFZ91" s="294"/>
      <c r="IGF91" s="292"/>
      <c r="IGG91" s="293"/>
      <c r="IGH91" s="294"/>
      <c r="IGN91" s="292"/>
      <c r="IGO91" s="293"/>
      <c r="IGP91" s="294"/>
      <c r="IGV91" s="292"/>
      <c r="IGW91" s="293"/>
      <c r="IGX91" s="294"/>
      <c r="IHD91" s="292"/>
      <c r="IHE91" s="293"/>
      <c r="IHF91" s="294"/>
      <c r="IHL91" s="292"/>
      <c r="IHM91" s="293"/>
      <c r="IHN91" s="294"/>
      <c r="IHT91" s="292"/>
      <c r="IHU91" s="293"/>
      <c r="IHV91" s="294"/>
      <c r="IIB91" s="292"/>
      <c r="IIC91" s="293"/>
      <c r="IID91" s="294"/>
      <c r="IIJ91" s="292"/>
      <c r="IIK91" s="293"/>
      <c r="IIL91" s="294"/>
      <c r="IIR91" s="292"/>
      <c r="IIS91" s="293"/>
      <c r="IIT91" s="294"/>
      <c r="IIZ91" s="292"/>
      <c r="IJA91" s="293"/>
      <c r="IJB91" s="294"/>
      <c r="IJH91" s="292"/>
      <c r="IJI91" s="293"/>
      <c r="IJJ91" s="294"/>
      <c r="IJP91" s="292"/>
      <c r="IJQ91" s="293"/>
      <c r="IJR91" s="294"/>
      <c r="IJX91" s="292"/>
      <c r="IJY91" s="293"/>
      <c r="IJZ91" s="294"/>
      <c r="IKF91" s="292"/>
      <c r="IKG91" s="293"/>
      <c r="IKH91" s="294"/>
      <c r="IKN91" s="292"/>
      <c r="IKO91" s="293"/>
      <c r="IKP91" s="294"/>
      <c r="IKV91" s="292"/>
      <c r="IKW91" s="293"/>
      <c r="IKX91" s="294"/>
      <c r="ILD91" s="292"/>
      <c r="ILE91" s="293"/>
      <c r="ILF91" s="294"/>
      <c r="ILL91" s="292"/>
      <c r="ILM91" s="293"/>
      <c r="ILN91" s="294"/>
      <c r="ILT91" s="292"/>
      <c r="ILU91" s="293"/>
      <c r="ILV91" s="294"/>
      <c r="IMB91" s="292"/>
      <c r="IMC91" s="293"/>
      <c r="IMD91" s="294"/>
      <c r="IMJ91" s="292"/>
      <c r="IMK91" s="293"/>
      <c r="IML91" s="294"/>
      <c r="IMR91" s="292"/>
      <c r="IMS91" s="293"/>
      <c r="IMT91" s="294"/>
      <c r="IMZ91" s="292"/>
      <c r="INA91" s="293"/>
      <c r="INB91" s="294"/>
      <c r="INH91" s="292"/>
      <c r="INI91" s="293"/>
      <c r="INJ91" s="294"/>
      <c r="INP91" s="292"/>
      <c r="INQ91" s="293"/>
      <c r="INR91" s="294"/>
      <c r="INX91" s="292"/>
      <c r="INY91" s="293"/>
      <c r="INZ91" s="294"/>
      <c r="IOF91" s="292"/>
      <c r="IOG91" s="293"/>
      <c r="IOH91" s="294"/>
      <c r="ION91" s="292"/>
      <c r="IOO91" s="293"/>
      <c r="IOP91" s="294"/>
      <c r="IOV91" s="292"/>
      <c r="IOW91" s="293"/>
      <c r="IOX91" s="294"/>
      <c r="IPD91" s="292"/>
      <c r="IPE91" s="293"/>
      <c r="IPF91" s="294"/>
      <c r="IPL91" s="292"/>
      <c r="IPM91" s="293"/>
      <c r="IPN91" s="294"/>
      <c r="IPT91" s="292"/>
      <c r="IPU91" s="293"/>
      <c r="IPV91" s="294"/>
      <c r="IQB91" s="292"/>
      <c r="IQC91" s="293"/>
      <c r="IQD91" s="294"/>
      <c r="IQJ91" s="292"/>
      <c r="IQK91" s="293"/>
      <c r="IQL91" s="294"/>
      <c r="IQR91" s="292"/>
      <c r="IQS91" s="293"/>
      <c r="IQT91" s="294"/>
      <c r="IQZ91" s="292"/>
      <c r="IRA91" s="293"/>
      <c r="IRB91" s="294"/>
      <c r="IRH91" s="292"/>
      <c r="IRI91" s="293"/>
      <c r="IRJ91" s="294"/>
      <c r="IRP91" s="292"/>
      <c r="IRQ91" s="293"/>
      <c r="IRR91" s="294"/>
      <c r="IRX91" s="292"/>
      <c r="IRY91" s="293"/>
      <c r="IRZ91" s="294"/>
      <c r="ISF91" s="292"/>
      <c r="ISG91" s="293"/>
      <c r="ISH91" s="294"/>
      <c r="ISN91" s="292"/>
      <c r="ISO91" s="293"/>
      <c r="ISP91" s="294"/>
      <c r="ISV91" s="292"/>
      <c r="ISW91" s="293"/>
      <c r="ISX91" s="294"/>
      <c r="ITD91" s="292"/>
      <c r="ITE91" s="293"/>
      <c r="ITF91" s="294"/>
      <c r="ITL91" s="292"/>
      <c r="ITM91" s="293"/>
      <c r="ITN91" s="294"/>
      <c r="ITT91" s="292"/>
      <c r="ITU91" s="293"/>
      <c r="ITV91" s="294"/>
      <c r="IUB91" s="292"/>
      <c r="IUC91" s="293"/>
      <c r="IUD91" s="294"/>
      <c r="IUJ91" s="292"/>
      <c r="IUK91" s="293"/>
      <c r="IUL91" s="294"/>
      <c r="IUR91" s="292"/>
      <c r="IUS91" s="293"/>
      <c r="IUT91" s="294"/>
      <c r="IUZ91" s="292"/>
      <c r="IVA91" s="293"/>
      <c r="IVB91" s="294"/>
      <c r="IVH91" s="292"/>
      <c r="IVI91" s="293"/>
      <c r="IVJ91" s="294"/>
      <c r="IVP91" s="292"/>
      <c r="IVQ91" s="293"/>
      <c r="IVR91" s="294"/>
      <c r="IVX91" s="292"/>
      <c r="IVY91" s="293"/>
      <c r="IVZ91" s="294"/>
      <c r="IWF91" s="292"/>
      <c r="IWG91" s="293"/>
      <c r="IWH91" s="294"/>
      <c r="IWN91" s="292"/>
      <c r="IWO91" s="293"/>
      <c r="IWP91" s="294"/>
      <c r="IWV91" s="292"/>
      <c r="IWW91" s="293"/>
      <c r="IWX91" s="294"/>
      <c r="IXD91" s="292"/>
      <c r="IXE91" s="293"/>
      <c r="IXF91" s="294"/>
      <c r="IXL91" s="292"/>
      <c r="IXM91" s="293"/>
      <c r="IXN91" s="294"/>
      <c r="IXT91" s="292"/>
      <c r="IXU91" s="293"/>
      <c r="IXV91" s="294"/>
      <c r="IYB91" s="292"/>
      <c r="IYC91" s="293"/>
      <c r="IYD91" s="294"/>
      <c r="IYJ91" s="292"/>
      <c r="IYK91" s="293"/>
      <c r="IYL91" s="294"/>
      <c r="IYR91" s="292"/>
      <c r="IYS91" s="293"/>
      <c r="IYT91" s="294"/>
      <c r="IYZ91" s="292"/>
      <c r="IZA91" s="293"/>
      <c r="IZB91" s="294"/>
      <c r="IZH91" s="292"/>
      <c r="IZI91" s="293"/>
      <c r="IZJ91" s="294"/>
      <c r="IZP91" s="292"/>
      <c r="IZQ91" s="293"/>
      <c r="IZR91" s="294"/>
      <c r="IZX91" s="292"/>
      <c r="IZY91" s="293"/>
      <c r="IZZ91" s="294"/>
      <c r="JAF91" s="292"/>
      <c r="JAG91" s="293"/>
      <c r="JAH91" s="294"/>
      <c r="JAN91" s="292"/>
      <c r="JAO91" s="293"/>
      <c r="JAP91" s="294"/>
      <c r="JAV91" s="292"/>
      <c r="JAW91" s="293"/>
      <c r="JAX91" s="294"/>
      <c r="JBD91" s="292"/>
      <c r="JBE91" s="293"/>
      <c r="JBF91" s="294"/>
      <c r="JBL91" s="292"/>
      <c r="JBM91" s="293"/>
      <c r="JBN91" s="294"/>
      <c r="JBT91" s="292"/>
      <c r="JBU91" s="293"/>
      <c r="JBV91" s="294"/>
      <c r="JCB91" s="292"/>
      <c r="JCC91" s="293"/>
      <c r="JCD91" s="294"/>
      <c r="JCJ91" s="292"/>
      <c r="JCK91" s="293"/>
      <c r="JCL91" s="294"/>
      <c r="JCR91" s="292"/>
      <c r="JCS91" s="293"/>
      <c r="JCT91" s="294"/>
      <c r="JCZ91" s="292"/>
      <c r="JDA91" s="293"/>
      <c r="JDB91" s="294"/>
      <c r="JDH91" s="292"/>
      <c r="JDI91" s="293"/>
      <c r="JDJ91" s="294"/>
      <c r="JDP91" s="292"/>
      <c r="JDQ91" s="293"/>
      <c r="JDR91" s="294"/>
      <c r="JDX91" s="292"/>
      <c r="JDY91" s="293"/>
      <c r="JDZ91" s="294"/>
      <c r="JEF91" s="292"/>
      <c r="JEG91" s="293"/>
      <c r="JEH91" s="294"/>
      <c r="JEN91" s="292"/>
      <c r="JEO91" s="293"/>
      <c r="JEP91" s="294"/>
      <c r="JEV91" s="292"/>
      <c r="JEW91" s="293"/>
      <c r="JEX91" s="294"/>
      <c r="JFD91" s="292"/>
      <c r="JFE91" s="293"/>
      <c r="JFF91" s="294"/>
      <c r="JFL91" s="292"/>
      <c r="JFM91" s="293"/>
      <c r="JFN91" s="294"/>
      <c r="JFT91" s="292"/>
      <c r="JFU91" s="293"/>
      <c r="JFV91" s="294"/>
      <c r="JGB91" s="292"/>
      <c r="JGC91" s="293"/>
      <c r="JGD91" s="294"/>
      <c r="JGJ91" s="292"/>
      <c r="JGK91" s="293"/>
      <c r="JGL91" s="294"/>
      <c r="JGR91" s="292"/>
      <c r="JGS91" s="293"/>
      <c r="JGT91" s="294"/>
      <c r="JGZ91" s="292"/>
      <c r="JHA91" s="293"/>
      <c r="JHB91" s="294"/>
      <c r="JHH91" s="292"/>
      <c r="JHI91" s="293"/>
      <c r="JHJ91" s="294"/>
      <c r="JHP91" s="292"/>
      <c r="JHQ91" s="293"/>
      <c r="JHR91" s="294"/>
      <c r="JHX91" s="292"/>
      <c r="JHY91" s="293"/>
      <c r="JHZ91" s="294"/>
      <c r="JIF91" s="292"/>
      <c r="JIG91" s="293"/>
      <c r="JIH91" s="294"/>
      <c r="JIN91" s="292"/>
      <c r="JIO91" s="293"/>
      <c r="JIP91" s="294"/>
      <c r="JIV91" s="292"/>
      <c r="JIW91" s="293"/>
      <c r="JIX91" s="294"/>
      <c r="JJD91" s="292"/>
      <c r="JJE91" s="293"/>
      <c r="JJF91" s="294"/>
      <c r="JJL91" s="292"/>
      <c r="JJM91" s="293"/>
      <c r="JJN91" s="294"/>
      <c r="JJT91" s="292"/>
      <c r="JJU91" s="293"/>
      <c r="JJV91" s="294"/>
      <c r="JKB91" s="292"/>
      <c r="JKC91" s="293"/>
      <c r="JKD91" s="294"/>
      <c r="JKJ91" s="292"/>
      <c r="JKK91" s="293"/>
      <c r="JKL91" s="294"/>
      <c r="JKR91" s="292"/>
      <c r="JKS91" s="293"/>
      <c r="JKT91" s="294"/>
      <c r="JKZ91" s="292"/>
      <c r="JLA91" s="293"/>
      <c r="JLB91" s="294"/>
      <c r="JLH91" s="292"/>
      <c r="JLI91" s="293"/>
      <c r="JLJ91" s="294"/>
      <c r="JLP91" s="292"/>
      <c r="JLQ91" s="293"/>
      <c r="JLR91" s="294"/>
      <c r="JLX91" s="292"/>
      <c r="JLY91" s="293"/>
      <c r="JLZ91" s="294"/>
      <c r="JMF91" s="292"/>
      <c r="JMG91" s="293"/>
      <c r="JMH91" s="294"/>
      <c r="JMN91" s="292"/>
      <c r="JMO91" s="293"/>
      <c r="JMP91" s="294"/>
      <c r="JMV91" s="292"/>
      <c r="JMW91" s="293"/>
      <c r="JMX91" s="294"/>
      <c r="JND91" s="292"/>
      <c r="JNE91" s="293"/>
      <c r="JNF91" s="294"/>
      <c r="JNL91" s="292"/>
      <c r="JNM91" s="293"/>
      <c r="JNN91" s="294"/>
      <c r="JNT91" s="292"/>
      <c r="JNU91" s="293"/>
      <c r="JNV91" s="294"/>
      <c r="JOB91" s="292"/>
      <c r="JOC91" s="293"/>
      <c r="JOD91" s="294"/>
      <c r="JOJ91" s="292"/>
      <c r="JOK91" s="293"/>
      <c r="JOL91" s="294"/>
      <c r="JOR91" s="292"/>
      <c r="JOS91" s="293"/>
      <c r="JOT91" s="294"/>
      <c r="JOZ91" s="292"/>
      <c r="JPA91" s="293"/>
      <c r="JPB91" s="294"/>
      <c r="JPH91" s="292"/>
      <c r="JPI91" s="293"/>
      <c r="JPJ91" s="294"/>
      <c r="JPP91" s="292"/>
      <c r="JPQ91" s="293"/>
      <c r="JPR91" s="294"/>
      <c r="JPX91" s="292"/>
      <c r="JPY91" s="293"/>
      <c r="JPZ91" s="294"/>
      <c r="JQF91" s="292"/>
      <c r="JQG91" s="293"/>
      <c r="JQH91" s="294"/>
      <c r="JQN91" s="292"/>
      <c r="JQO91" s="293"/>
      <c r="JQP91" s="294"/>
      <c r="JQV91" s="292"/>
      <c r="JQW91" s="293"/>
      <c r="JQX91" s="294"/>
      <c r="JRD91" s="292"/>
      <c r="JRE91" s="293"/>
      <c r="JRF91" s="294"/>
      <c r="JRL91" s="292"/>
      <c r="JRM91" s="293"/>
      <c r="JRN91" s="294"/>
      <c r="JRT91" s="292"/>
      <c r="JRU91" s="293"/>
      <c r="JRV91" s="294"/>
      <c r="JSB91" s="292"/>
      <c r="JSC91" s="293"/>
      <c r="JSD91" s="294"/>
      <c r="JSJ91" s="292"/>
      <c r="JSK91" s="293"/>
      <c r="JSL91" s="294"/>
      <c r="JSR91" s="292"/>
      <c r="JSS91" s="293"/>
      <c r="JST91" s="294"/>
      <c r="JSZ91" s="292"/>
      <c r="JTA91" s="293"/>
      <c r="JTB91" s="294"/>
      <c r="JTH91" s="292"/>
      <c r="JTI91" s="293"/>
      <c r="JTJ91" s="294"/>
      <c r="JTP91" s="292"/>
      <c r="JTQ91" s="293"/>
      <c r="JTR91" s="294"/>
      <c r="JTX91" s="292"/>
      <c r="JTY91" s="293"/>
      <c r="JTZ91" s="294"/>
      <c r="JUF91" s="292"/>
      <c r="JUG91" s="293"/>
      <c r="JUH91" s="294"/>
      <c r="JUN91" s="292"/>
      <c r="JUO91" s="293"/>
      <c r="JUP91" s="294"/>
      <c r="JUV91" s="292"/>
      <c r="JUW91" s="293"/>
      <c r="JUX91" s="294"/>
      <c r="JVD91" s="292"/>
      <c r="JVE91" s="293"/>
      <c r="JVF91" s="294"/>
      <c r="JVL91" s="292"/>
      <c r="JVM91" s="293"/>
      <c r="JVN91" s="294"/>
      <c r="JVT91" s="292"/>
      <c r="JVU91" s="293"/>
      <c r="JVV91" s="294"/>
      <c r="JWB91" s="292"/>
      <c r="JWC91" s="293"/>
      <c r="JWD91" s="294"/>
      <c r="JWJ91" s="292"/>
      <c r="JWK91" s="293"/>
      <c r="JWL91" s="294"/>
      <c r="JWR91" s="292"/>
      <c r="JWS91" s="293"/>
      <c r="JWT91" s="294"/>
      <c r="JWZ91" s="292"/>
      <c r="JXA91" s="293"/>
      <c r="JXB91" s="294"/>
      <c r="JXH91" s="292"/>
      <c r="JXI91" s="293"/>
      <c r="JXJ91" s="294"/>
      <c r="JXP91" s="292"/>
      <c r="JXQ91" s="293"/>
      <c r="JXR91" s="294"/>
      <c r="JXX91" s="292"/>
      <c r="JXY91" s="293"/>
      <c r="JXZ91" s="294"/>
      <c r="JYF91" s="292"/>
      <c r="JYG91" s="293"/>
      <c r="JYH91" s="294"/>
      <c r="JYN91" s="292"/>
      <c r="JYO91" s="293"/>
      <c r="JYP91" s="294"/>
      <c r="JYV91" s="292"/>
      <c r="JYW91" s="293"/>
      <c r="JYX91" s="294"/>
      <c r="JZD91" s="292"/>
      <c r="JZE91" s="293"/>
      <c r="JZF91" s="294"/>
      <c r="JZL91" s="292"/>
      <c r="JZM91" s="293"/>
      <c r="JZN91" s="294"/>
      <c r="JZT91" s="292"/>
      <c r="JZU91" s="293"/>
      <c r="JZV91" s="294"/>
      <c r="KAB91" s="292"/>
      <c r="KAC91" s="293"/>
      <c r="KAD91" s="294"/>
      <c r="KAJ91" s="292"/>
      <c r="KAK91" s="293"/>
      <c r="KAL91" s="294"/>
      <c r="KAR91" s="292"/>
      <c r="KAS91" s="293"/>
      <c r="KAT91" s="294"/>
      <c r="KAZ91" s="292"/>
      <c r="KBA91" s="293"/>
      <c r="KBB91" s="294"/>
      <c r="KBH91" s="292"/>
      <c r="KBI91" s="293"/>
      <c r="KBJ91" s="294"/>
      <c r="KBP91" s="292"/>
      <c r="KBQ91" s="293"/>
      <c r="KBR91" s="294"/>
      <c r="KBX91" s="292"/>
      <c r="KBY91" s="293"/>
      <c r="KBZ91" s="294"/>
      <c r="KCF91" s="292"/>
      <c r="KCG91" s="293"/>
      <c r="KCH91" s="294"/>
      <c r="KCN91" s="292"/>
      <c r="KCO91" s="293"/>
      <c r="KCP91" s="294"/>
      <c r="KCV91" s="292"/>
      <c r="KCW91" s="293"/>
      <c r="KCX91" s="294"/>
      <c r="KDD91" s="292"/>
      <c r="KDE91" s="293"/>
      <c r="KDF91" s="294"/>
      <c r="KDL91" s="292"/>
      <c r="KDM91" s="293"/>
      <c r="KDN91" s="294"/>
      <c r="KDT91" s="292"/>
      <c r="KDU91" s="293"/>
      <c r="KDV91" s="294"/>
      <c r="KEB91" s="292"/>
      <c r="KEC91" s="293"/>
      <c r="KED91" s="294"/>
      <c r="KEJ91" s="292"/>
      <c r="KEK91" s="293"/>
      <c r="KEL91" s="294"/>
      <c r="KER91" s="292"/>
      <c r="KES91" s="293"/>
      <c r="KET91" s="294"/>
      <c r="KEZ91" s="292"/>
      <c r="KFA91" s="293"/>
      <c r="KFB91" s="294"/>
      <c r="KFH91" s="292"/>
      <c r="KFI91" s="293"/>
      <c r="KFJ91" s="294"/>
      <c r="KFP91" s="292"/>
      <c r="KFQ91" s="293"/>
      <c r="KFR91" s="294"/>
      <c r="KFX91" s="292"/>
      <c r="KFY91" s="293"/>
      <c r="KFZ91" s="294"/>
      <c r="KGF91" s="292"/>
      <c r="KGG91" s="293"/>
      <c r="KGH91" s="294"/>
      <c r="KGN91" s="292"/>
      <c r="KGO91" s="293"/>
      <c r="KGP91" s="294"/>
      <c r="KGV91" s="292"/>
      <c r="KGW91" s="293"/>
      <c r="KGX91" s="294"/>
      <c r="KHD91" s="292"/>
      <c r="KHE91" s="293"/>
      <c r="KHF91" s="294"/>
      <c r="KHL91" s="292"/>
      <c r="KHM91" s="293"/>
      <c r="KHN91" s="294"/>
      <c r="KHT91" s="292"/>
      <c r="KHU91" s="293"/>
      <c r="KHV91" s="294"/>
      <c r="KIB91" s="292"/>
      <c r="KIC91" s="293"/>
      <c r="KID91" s="294"/>
      <c r="KIJ91" s="292"/>
      <c r="KIK91" s="293"/>
      <c r="KIL91" s="294"/>
      <c r="KIR91" s="292"/>
      <c r="KIS91" s="293"/>
      <c r="KIT91" s="294"/>
      <c r="KIZ91" s="292"/>
      <c r="KJA91" s="293"/>
      <c r="KJB91" s="294"/>
      <c r="KJH91" s="292"/>
      <c r="KJI91" s="293"/>
      <c r="KJJ91" s="294"/>
      <c r="KJP91" s="292"/>
      <c r="KJQ91" s="293"/>
      <c r="KJR91" s="294"/>
      <c r="KJX91" s="292"/>
      <c r="KJY91" s="293"/>
      <c r="KJZ91" s="294"/>
      <c r="KKF91" s="292"/>
      <c r="KKG91" s="293"/>
      <c r="KKH91" s="294"/>
      <c r="KKN91" s="292"/>
      <c r="KKO91" s="293"/>
      <c r="KKP91" s="294"/>
      <c r="KKV91" s="292"/>
      <c r="KKW91" s="293"/>
      <c r="KKX91" s="294"/>
      <c r="KLD91" s="292"/>
      <c r="KLE91" s="293"/>
      <c r="KLF91" s="294"/>
      <c r="KLL91" s="292"/>
      <c r="KLM91" s="293"/>
      <c r="KLN91" s="294"/>
      <c r="KLT91" s="292"/>
      <c r="KLU91" s="293"/>
      <c r="KLV91" s="294"/>
      <c r="KMB91" s="292"/>
      <c r="KMC91" s="293"/>
      <c r="KMD91" s="294"/>
      <c r="KMJ91" s="292"/>
      <c r="KMK91" s="293"/>
      <c r="KML91" s="294"/>
      <c r="KMR91" s="292"/>
      <c r="KMS91" s="293"/>
      <c r="KMT91" s="294"/>
      <c r="KMZ91" s="292"/>
      <c r="KNA91" s="293"/>
      <c r="KNB91" s="294"/>
      <c r="KNH91" s="292"/>
      <c r="KNI91" s="293"/>
      <c r="KNJ91" s="294"/>
      <c r="KNP91" s="292"/>
      <c r="KNQ91" s="293"/>
      <c r="KNR91" s="294"/>
      <c r="KNX91" s="292"/>
      <c r="KNY91" s="293"/>
      <c r="KNZ91" s="294"/>
      <c r="KOF91" s="292"/>
      <c r="KOG91" s="293"/>
      <c r="KOH91" s="294"/>
      <c r="KON91" s="292"/>
      <c r="KOO91" s="293"/>
      <c r="KOP91" s="294"/>
      <c r="KOV91" s="292"/>
      <c r="KOW91" s="293"/>
      <c r="KOX91" s="294"/>
      <c r="KPD91" s="292"/>
      <c r="KPE91" s="293"/>
      <c r="KPF91" s="294"/>
      <c r="KPL91" s="292"/>
      <c r="KPM91" s="293"/>
      <c r="KPN91" s="294"/>
      <c r="KPT91" s="292"/>
      <c r="KPU91" s="293"/>
      <c r="KPV91" s="294"/>
      <c r="KQB91" s="292"/>
      <c r="KQC91" s="293"/>
      <c r="KQD91" s="294"/>
      <c r="KQJ91" s="292"/>
      <c r="KQK91" s="293"/>
      <c r="KQL91" s="294"/>
      <c r="KQR91" s="292"/>
      <c r="KQS91" s="293"/>
      <c r="KQT91" s="294"/>
      <c r="KQZ91" s="292"/>
      <c r="KRA91" s="293"/>
      <c r="KRB91" s="294"/>
      <c r="KRH91" s="292"/>
      <c r="KRI91" s="293"/>
      <c r="KRJ91" s="294"/>
      <c r="KRP91" s="292"/>
      <c r="KRQ91" s="293"/>
      <c r="KRR91" s="294"/>
      <c r="KRX91" s="292"/>
      <c r="KRY91" s="293"/>
      <c r="KRZ91" s="294"/>
      <c r="KSF91" s="292"/>
      <c r="KSG91" s="293"/>
      <c r="KSH91" s="294"/>
      <c r="KSN91" s="292"/>
      <c r="KSO91" s="293"/>
      <c r="KSP91" s="294"/>
      <c r="KSV91" s="292"/>
      <c r="KSW91" s="293"/>
      <c r="KSX91" s="294"/>
      <c r="KTD91" s="292"/>
      <c r="KTE91" s="293"/>
      <c r="KTF91" s="294"/>
      <c r="KTL91" s="292"/>
      <c r="KTM91" s="293"/>
      <c r="KTN91" s="294"/>
      <c r="KTT91" s="292"/>
      <c r="KTU91" s="293"/>
      <c r="KTV91" s="294"/>
      <c r="KUB91" s="292"/>
      <c r="KUC91" s="293"/>
      <c r="KUD91" s="294"/>
      <c r="KUJ91" s="292"/>
      <c r="KUK91" s="293"/>
      <c r="KUL91" s="294"/>
      <c r="KUR91" s="292"/>
      <c r="KUS91" s="293"/>
      <c r="KUT91" s="294"/>
      <c r="KUZ91" s="292"/>
      <c r="KVA91" s="293"/>
      <c r="KVB91" s="294"/>
      <c r="KVH91" s="292"/>
      <c r="KVI91" s="293"/>
      <c r="KVJ91" s="294"/>
      <c r="KVP91" s="292"/>
      <c r="KVQ91" s="293"/>
      <c r="KVR91" s="294"/>
      <c r="KVX91" s="292"/>
      <c r="KVY91" s="293"/>
      <c r="KVZ91" s="294"/>
      <c r="KWF91" s="292"/>
      <c r="KWG91" s="293"/>
      <c r="KWH91" s="294"/>
      <c r="KWN91" s="292"/>
      <c r="KWO91" s="293"/>
      <c r="KWP91" s="294"/>
      <c r="KWV91" s="292"/>
      <c r="KWW91" s="293"/>
      <c r="KWX91" s="294"/>
      <c r="KXD91" s="292"/>
      <c r="KXE91" s="293"/>
      <c r="KXF91" s="294"/>
      <c r="KXL91" s="292"/>
      <c r="KXM91" s="293"/>
      <c r="KXN91" s="294"/>
      <c r="KXT91" s="292"/>
      <c r="KXU91" s="293"/>
      <c r="KXV91" s="294"/>
      <c r="KYB91" s="292"/>
      <c r="KYC91" s="293"/>
      <c r="KYD91" s="294"/>
      <c r="KYJ91" s="292"/>
      <c r="KYK91" s="293"/>
      <c r="KYL91" s="294"/>
      <c r="KYR91" s="292"/>
      <c r="KYS91" s="293"/>
      <c r="KYT91" s="294"/>
      <c r="KYZ91" s="292"/>
      <c r="KZA91" s="293"/>
      <c r="KZB91" s="294"/>
      <c r="KZH91" s="292"/>
      <c r="KZI91" s="293"/>
      <c r="KZJ91" s="294"/>
      <c r="KZP91" s="292"/>
      <c r="KZQ91" s="293"/>
      <c r="KZR91" s="294"/>
      <c r="KZX91" s="292"/>
      <c r="KZY91" s="293"/>
      <c r="KZZ91" s="294"/>
      <c r="LAF91" s="292"/>
      <c r="LAG91" s="293"/>
      <c r="LAH91" s="294"/>
      <c r="LAN91" s="292"/>
      <c r="LAO91" s="293"/>
      <c r="LAP91" s="294"/>
      <c r="LAV91" s="292"/>
      <c r="LAW91" s="293"/>
      <c r="LAX91" s="294"/>
      <c r="LBD91" s="292"/>
      <c r="LBE91" s="293"/>
      <c r="LBF91" s="294"/>
      <c r="LBL91" s="292"/>
      <c r="LBM91" s="293"/>
      <c r="LBN91" s="294"/>
      <c r="LBT91" s="292"/>
      <c r="LBU91" s="293"/>
      <c r="LBV91" s="294"/>
      <c r="LCB91" s="292"/>
      <c r="LCC91" s="293"/>
      <c r="LCD91" s="294"/>
      <c r="LCJ91" s="292"/>
      <c r="LCK91" s="293"/>
      <c r="LCL91" s="294"/>
      <c r="LCR91" s="292"/>
      <c r="LCS91" s="293"/>
      <c r="LCT91" s="294"/>
      <c r="LCZ91" s="292"/>
      <c r="LDA91" s="293"/>
      <c r="LDB91" s="294"/>
      <c r="LDH91" s="292"/>
      <c r="LDI91" s="293"/>
      <c r="LDJ91" s="294"/>
      <c r="LDP91" s="292"/>
      <c r="LDQ91" s="293"/>
      <c r="LDR91" s="294"/>
      <c r="LDX91" s="292"/>
      <c r="LDY91" s="293"/>
      <c r="LDZ91" s="294"/>
      <c r="LEF91" s="292"/>
      <c r="LEG91" s="293"/>
      <c r="LEH91" s="294"/>
      <c r="LEN91" s="292"/>
      <c r="LEO91" s="293"/>
      <c r="LEP91" s="294"/>
      <c r="LEV91" s="292"/>
      <c r="LEW91" s="293"/>
      <c r="LEX91" s="294"/>
      <c r="LFD91" s="292"/>
      <c r="LFE91" s="293"/>
      <c r="LFF91" s="294"/>
      <c r="LFL91" s="292"/>
      <c r="LFM91" s="293"/>
      <c r="LFN91" s="294"/>
      <c r="LFT91" s="292"/>
      <c r="LFU91" s="293"/>
      <c r="LFV91" s="294"/>
      <c r="LGB91" s="292"/>
      <c r="LGC91" s="293"/>
      <c r="LGD91" s="294"/>
      <c r="LGJ91" s="292"/>
      <c r="LGK91" s="293"/>
      <c r="LGL91" s="294"/>
      <c r="LGR91" s="292"/>
      <c r="LGS91" s="293"/>
      <c r="LGT91" s="294"/>
      <c r="LGZ91" s="292"/>
      <c r="LHA91" s="293"/>
      <c r="LHB91" s="294"/>
      <c r="LHH91" s="292"/>
      <c r="LHI91" s="293"/>
      <c r="LHJ91" s="294"/>
      <c r="LHP91" s="292"/>
      <c r="LHQ91" s="293"/>
      <c r="LHR91" s="294"/>
      <c r="LHX91" s="292"/>
      <c r="LHY91" s="293"/>
      <c r="LHZ91" s="294"/>
      <c r="LIF91" s="292"/>
      <c r="LIG91" s="293"/>
      <c r="LIH91" s="294"/>
      <c r="LIN91" s="292"/>
      <c r="LIO91" s="293"/>
      <c r="LIP91" s="294"/>
      <c r="LIV91" s="292"/>
      <c r="LIW91" s="293"/>
      <c r="LIX91" s="294"/>
      <c r="LJD91" s="292"/>
      <c r="LJE91" s="293"/>
      <c r="LJF91" s="294"/>
      <c r="LJL91" s="292"/>
      <c r="LJM91" s="293"/>
      <c r="LJN91" s="294"/>
      <c r="LJT91" s="292"/>
      <c r="LJU91" s="293"/>
      <c r="LJV91" s="294"/>
      <c r="LKB91" s="292"/>
      <c r="LKC91" s="293"/>
      <c r="LKD91" s="294"/>
      <c r="LKJ91" s="292"/>
      <c r="LKK91" s="293"/>
      <c r="LKL91" s="294"/>
      <c r="LKR91" s="292"/>
      <c r="LKS91" s="293"/>
      <c r="LKT91" s="294"/>
      <c r="LKZ91" s="292"/>
      <c r="LLA91" s="293"/>
      <c r="LLB91" s="294"/>
      <c r="LLH91" s="292"/>
      <c r="LLI91" s="293"/>
      <c r="LLJ91" s="294"/>
      <c r="LLP91" s="292"/>
      <c r="LLQ91" s="293"/>
      <c r="LLR91" s="294"/>
      <c r="LLX91" s="292"/>
      <c r="LLY91" s="293"/>
      <c r="LLZ91" s="294"/>
      <c r="LMF91" s="292"/>
      <c r="LMG91" s="293"/>
      <c r="LMH91" s="294"/>
      <c r="LMN91" s="292"/>
      <c r="LMO91" s="293"/>
      <c r="LMP91" s="294"/>
      <c r="LMV91" s="292"/>
      <c r="LMW91" s="293"/>
      <c r="LMX91" s="294"/>
      <c r="LND91" s="292"/>
      <c r="LNE91" s="293"/>
      <c r="LNF91" s="294"/>
      <c r="LNL91" s="292"/>
      <c r="LNM91" s="293"/>
      <c r="LNN91" s="294"/>
      <c r="LNT91" s="292"/>
      <c r="LNU91" s="293"/>
      <c r="LNV91" s="294"/>
      <c r="LOB91" s="292"/>
      <c r="LOC91" s="293"/>
      <c r="LOD91" s="294"/>
      <c r="LOJ91" s="292"/>
      <c r="LOK91" s="293"/>
      <c r="LOL91" s="294"/>
      <c r="LOR91" s="292"/>
      <c r="LOS91" s="293"/>
      <c r="LOT91" s="294"/>
      <c r="LOZ91" s="292"/>
      <c r="LPA91" s="293"/>
      <c r="LPB91" s="294"/>
      <c r="LPH91" s="292"/>
      <c r="LPI91" s="293"/>
      <c r="LPJ91" s="294"/>
      <c r="LPP91" s="292"/>
      <c r="LPQ91" s="293"/>
      <c r="LPR91" s="294"/>
      <c r="LPX91" s="292"/>
      <c r="LPY91" s="293"/>
      <c r="LPZ91" s="294"/>
      <c r="LQF91" s="292"/>
      <c r="LQG91" s="293"/>
      <c r="LQH91" s="294"/>
      <c r="LQN91" s="292"/>
      <c r="LQO91" s="293"/>
      <c r="LQP91" s="294"/>
      <c r="LQV91" s="292"/>
      <c r="LQW91" s="293"/>
      <c r="LQX91" s="294"/>
      <c r="LRD91" s="292"/>
      <c r="LRE91" s="293"/>
      <c r="LRF91" s="294"/>
      <c r="LRL91" s="292"/>
      <c r="LRM91" s="293"/>
      <c r="LRN91" s="294"/>
      <c r="LRT91" s="292"/>
      <c r="LRU91" s="293"/>
      <c r="LRV91" s="294"/>
      <c r="LSB91" s="292"/>
      <c r="LSC91" s="293"/>
      <c r="LSD91" s="294"/>
      <c r="LSJ91" s="292"/>
      <c r="LSK91" s="293"/>
      <c r="LSL91" s="294"/>
      <c r="LSR91" s="292"/>
      <c r="LSS91" s="293"/>
      <c r="LST91" s="294"/>
      <c r="LSZ91" s="292"/>
      <c r="LTA91" s="293"/>
      <c r="LTB91" s="294"/>
      <c r="LTH91" s="292"/>
      <c r="LTI91" s="293"/>
      <c r="LTJ91" s="294"/>
      <c r="LTP91" s="292"/>
      <c r="LTQ91" s="293"/>
      <c r="LTR91" s="294"/>
      <c r="LTX91" s="292"/>
      <c r="LTY91" s="293"/>
      <c r="LTZ91" s="294"/>
      <c r="LUF91" s="292"/>
      <c r="LUG91" s="293"/>
      <c r="LUH91" s="294"/>
      <c r="LUN91" s="292"/>
      <c r="LUO91" s="293"/>
      <c r="LUP91" s="294"/>
      <c r="LUV91" s="292"/>
      <c r="LUW91" s="293"/>
      <c r="LUX91" s="294"/>
      <c r="LVD91" s="292"/>
      <c r="LVE91" s="293"/>
      <c r="LVF91" s="294"/>
      <c r="LVL91" s="292"/>
      <c r="LVM91" s="293"/>
      <c r="LVN91" s="294"/>
      <c r="LVT91" s="292"/>
      <c r="LVU91" s="293"/>
      <c r="LVV91" s="294"/>
      <c r="LWB91" s="292"/>
      <c r="LWC91" s="293"/>
      <c r="LWD91" s="294"/>
      <c r="LWJ91" s="292"/>
      <c r="LWK91" s="293"/>
      <c r="LWL91" s="294"/>
      <c r="LWR91" s="292"/>
      <c r="LWS91" s="293"/>
      <c r="LWT91" s="294"/>
      <c r="LWZ91" s="292"/>
      <c r="LXA91" s="293"/>
      <c r="LXB91" s="294"/>
      <c r="LXH91" s="292"/>
      <c r="LXI91" s="293"/>
      <c r="LXJ91" s="294"/>
      <c r="LXP91" s="292"/>
      <c r="LXQ91" s="293"/>
      <c r="LXR91" s="294"/>
      <c r="LXX91" s="292"/>
      <c r="LXY91" s="293"/>
      <c r="LXZ91" s="294"/>
      <c r="LYF91" s="292"/>
      <c r="LYG91" s="293"/>
      <c r="LYH91" s="294"/>
      <c r="LYN91" s="292"/>
      <c r="LYO91" s="293"/>
      <c r="LYP91" s="294"/>
      <c r="LYV91" s="292"/>
      <c r="LYW91" s="293"/>
      <c r="LYX91" s="294"/>
      <c r="LZD91" s="292"/>
      <c r="LZE91" s="293"/>
      <c r="LZF91" s="294"/>
      <c r="LZL91" s="292"/>
      <c r="LZM91" s="293"/>
      <c r="LZN91" s="294"/>
      <c r="LZT91" s="292"/>
      <c r="LZU91" s="293"/>
      <c r="LZV91" s="294"/>
      <c r="MAB91" s="292"/>
      <c r="MAC91" s="293"/>
      <c r="MAD91" s="294"/>
      <c r="MAJ91" s="292"/>
      <c r="MAK91" s="293"/>
      <c r="MAL91" s="294"/>
      <c r="MAR91" s="292"/>
      <c r="MAS91" s="293"/>
      <c r="MAT91" s="294"/>
      <c r="MAZ91" s="292"/>
      <c r="MBA91" s="293"/>
      <c r="MBB91" s="294"/>
      <c r="MBH91" s="292"/>
      <c r="MBI91" s="293"/>
      <c r="MBJ91" s="294"/>
      <c r="MBP91" s="292"/>
      <c r="MBQ91" s="293"/>
      <c r="MBR91" s="294"/>
      <c r="MBX91" s="292"/>
      <c r="MBY91" s="293"/>
      <c r="MBZ91" s="294"/>
      <c r="MCF91" s="292"/>
      <c r="MCG91" s="293"/>
      <c r="MCH91" s="294"/>
      <c r="MCN91" s="292"/>
      <c r="MCO91" s="293"/>
      <c r="MCP91" s="294"/>
      <c r="MCV91" s="292"/>
      <c r="MCW91" s="293"/>
      <c r="MCX91" s="294"/>
      <c r="MDD91" s="292"/>
      <c r="MDE91" s="293"/>
      <c r="MDF91" s="294"/>
      <c r="MDL91" s="292"/>
      <c r="MDM91" s="293"/>
      <c r="MDN91" s="294"/>
      <c r="MDT91" s="292"/>
      <c r="MDU91" s="293"/>
      <c r="MDV91" s="294"/>
      <c r="MEB91" s="292"/>
      <c r="MEC91" s="293"/>
      <c r="MED91" s="294"/>
      <c r="MEJ91" s="292"/>
      <c r="MEK91" s="293"/>
      <c r="MEL91" s="294"/>
      <c r="MER91" s="292"/>
      <c r="MES91" s="293"/>
      <c r="MET91" s="294"/>
      <c r="MEZ91" s="292"/>
      <c r="MFA91" s="293"/>
      <c r="MFB91" s="294"/>
      <c r="MFH91" s="292"/>
      <c r="MFI91" s="293"/>
      <c r="MFJ91" s="294"/>
      <c r="MFP91" s="292"/>
      <c r="MFQ91" s="293"/>
      <c r="MFR91" s="294"/>
      <c r="MFX91" s="292"/>
      <c r="MFY91" s="293"/>
      <c r="MFZ91" s="294"/>
      <c r="MGF91" s="292"/>
      <c r="MGG91" s="293"/>
      <c r="MGH91" s="294"/>
      <c r="MGN91" s="292"/>
      <c r="MGO91" s="293"/>
      <c r="MGP91" s="294"/>
      <c r="MGV91" s="292"/>
      <c r="MGW91" s="293"/>
      <c r="MGX91" s="294"/>
      <c r="MHD91" s="292"/>
      <c r="MHE91" s="293"/>
      <c r="MHF91" s="294"/>
      <c r="MHL91" s="292"/>
      <c r="MHM91" s="293"/>
      <c r="MHN91" s="294"/>
      <c r="MHT91" s="292"/>
      <c r="MHU91" s="293"/>
      <c r="MHV91" s="294"/>
      <c r="MIB91" s="292"/>
      <c r="MIC91" s="293"/>
      <c r="MID91" s="294"/>
      <c r="MIJ91" s="292"/>
      <c r="MIK91" s="293"/>
      <c r="MIL91" s="294"/>
      <c r="MIR91" s="292"/>
      <c r="MIS91" s="293"/>
      <c r="MIT91" s="294"/>
      <c r="MIZ91" s="292"/>
      <c r="MJA91" s="293"/>
      <c r="MJB91" s="294"/>
      <c r="MJH91" s="292"/>
      <c r="MJI91" s="293"/>
      <c r="MJJ91" s="294"/>
      <c r="MJP91" s="292"/>
      <c r="MJQ91" s="293"/>
      <c r="MJR91" s="294"/>
      <c r="MJX91" s="292"/>
      <c r="MJY91" s="293"/>
      <c r="MJZ91" s="294"/>
      <c r="MKF91" s="292"/>
      <c r="MKG91" s="293"/>
      <c r="MKH91" s="294"/>
      <c r="MKN91" s="292"/>
      <c r="MKO91" s="293"/>
      <c r="MKP91" s="294"/>
      <c r="MKV91" s="292"/>
      <c r="MKW91" s="293"/>
      <c r="MKX91" s="294"/>
      <c r="MLD91" s="292"/>
      <c r="MLE91" s="293"/>
      <c r="MLF91" s="294"/>
      <c r="MLL91" s="292"/>
      <c r="MLM91" s="293"/>
      <c r="MLN91" s="294"/>
      <c r="MLT91" s="292"/>
      <c r="MLU91" s="293"/>
      <c r="MLV91" s="294"/>
      <c r="MMB91" s="292"/>
      <c r="MMC91" s="293"/>
      <c r="MMD91" s="294"/>
      <c r="MMJ91" s="292"/>
      <c r="MMK91" s="293"/>
      <c r="MML91" s="294"/>
      <c r="MMR91" s="292"/>
      <c r="MMS91" s="293"/>
      <c r="MMT91" s="294"/>
      <c r="MMZ91" s="292"/>
      <c r="MNA91" s="293"/>
      <c r="MNB91" s="294"/>
      <c r="MNH91" s="292"/>
      <c r="MNI91" s="293"/>
      <c r="MNJ91" s="294"/>
      <c r="MNP91" s="292"/>
      <c r="MNQ91" s="293"/>
      <c r="MNR91" s="294"/>
      <c r="MNX91" s="292"/>
      <c r="MNY91" s="293"/>
      <c r="MNZ91" s="294"/>
      <c r="MOF91" s="292"/>
      <c r="MOG91" s="293"/>
      <c r="MOH91" s="294"/>
      <c r="MON91" s="292"/>
      <c r="MOO91" s="293"/>
      <c r="MOP91" s="294"/>
      <c r="MOV91" s="292"/>
      <c r="MOW91" s="293"/>
      <c r="MOX91" s="294"/>
      <c r="MPD91" s="292"/>
      <c r="MPE91" s="293"/>
      <c r="MPF91" s="294"/>
      <c r="MPL91" s="292"/>
      <c r="MPM91" s="293"/>
      <c r="MPN91" s="294"/>
      <c r="MPT91" s="292"/>
      <c r="MPU91" s="293"/>
      <c r="MPV91" s="294"/>
      <c r="MQB91" s="292"/>
      <c r="MQC91" s="293"/>
      <c r="MQD91" s="294"/>
      <c r="MQJ91" s="292"/>
      <c r="MQK91" s="293"/>
      <c r="MQL91" s="294"/>
      <c r="MQR91" s="292"/>
      <c r="MQS91" s="293"/>
      <c r="MQT91" s="294"/>
      <c r="MQZ91" s="292"/>
      <c r="MRA91" s="293"/>
      <c r="MRB91" s="294"/>
      <c r="MRH91" s="292"/>
      <c r="MRI91" s="293"/>
      <c r="MRJ91" s="294"/>
      <c r="MRP91" s="292"/>
      <c r="MRQ91" s="293"/>
      <c r="MRR91" s="294"/>
      <c r="MRX91" s="292"/>
      <c r="MRY91" s="293"/>
      <c r="MRZ91" s="294"/>
      <c r="MSF91" s="292"/>
      <c r="MSG91" s="293"/>
      <c r="MSH91" s="294"/>
      <c r="MSN91" s="292"/>
      <c r="MSO91" s="293"/>
      <c r="MSP91" s="294"/>
      <c r="MSV91" s="292"/>
      <c r="MSW91" s="293"/>
      <c r="MSX91" s="294"/>
      <c r="MTD91" s="292"/>
      <c r="MTE91" s="293"/>
      <c r="MTF91" s="294"/>
      <c r="MTL91" s="292"/>
      <c r="MTM91" s="293"/>
      <c r="MTN91" s="294"/>
      <c r="MTT91" s="292"/>
      <c r="MTU91" s="293"/>
      <c r="MTV91" s="294"/>
      <c r="MUB91" s="292"/>
      <c r="MUC91" s="293"/>
      <c r="MUD91" s="294"/>
      <c r="MUJ91" s="292"/>
      <c r="MUK91" s="293"/>
      <c r="MUL91" s="294"/>
      <c r="MUR91" s="292"/>
      <c r="MUS91" s="293"/>
      <c r="MUT91" s="294"/>
      <c r="MUZ91" s="292"/>
      <c r="MVA91" s="293"/>
      <c r="MVB91" s="294"/>
      <c r="MVH91" s="292"/>
      <c r="MVI91" s="293"/>
      <c r="MVJ91" s="294"/>
      <c r="MVP91" s="292"/>
      <c r="MVQ91" s="293"/>
      <c r="MVR91" s="294"/>
      <c r="MVX91" s="292"/>
      <c r="MVY91" s="293"/>
      <c r="MVZ91" s="294"/>
      <c r="MWF91" s="292"/>
      <c r="MWG91" s="293"/>
      <c r="MWH91" s="294"/>
      <c r="MWN91" s="292"/>
      <c r="MWO91" s="293"/>
      <c r="MWP91" s="294"/>
      <c r="MWV91" s="292"/>
      <c r="MWW91" s="293"/>
      <c r="MWX91" s="294"/>
      <c r="MXD91" s="292"/>
      <c r="MXE91" s="293"/>
      <c r="MXF91" s="294"/>
      <c r="MXL91" s="292"/>
      <c r="MXM91" s="293"/>
      <c r="MXN91" s="294"/>
      <c r="MXT91" s="292"/>
      <c r="MXU91" s="293"/>
      <c r="MXV91" s="294"/>
      <c r="MYB91" s="292"/>
      <c r="MYC91" s="293"/>
      <c r="MYD91" s="294"/>
      <c r="MYJ91" s="292"/>
      <c r="MYK91" s="293"/>
      <c r="MYL91" s="294"/>
      <c r="MYR91" s="292"/>
      <c r="MYS91" s="293"/>
      <c r="MYT91" s="294"/>
      <c r="MYZ91" s="292"/>
      <c r="MZA91" s="293"/>
      <c r="MZB91" s="294"/>
      <c r="MZH91" s="292"/>
      <c r="MZI91" s="293"/>
      <c r="MZJ91" s="294"/>
      <c r="MZP91" s="292"/>
      <c r="MZQ91" s="293"/>
      <c r="MZR91" s="294"/>
      <c r="MZX91" s="292"/>
      <c r="MZY91" s="293"/>
      <c r="MZZ91" s="294"/>
      <c r="NAF91" s="292"/>
      <c r="NAG91" s="293"/>
      <c r="NAH91" s="294"/>
      <c r="NAN91" s="292"/>
      <c r="NAO91" s="293"/>
      <c r="NAP91" s="294"/>
      <c r="NAV91" s="292"/>
      <c r="NAW91" s="293"/>
      <c r="NAX91" s="294"/>
      <c r="NBD91" s="292"/>
      <c r="NBE91" s="293"/>
      <c r="NBF91" s="294"/>
      <c r="NBL91" s="292"/>
      <c r="NBM91" s="293"/>
      <c r="NBN91" s="294"/>
      <c r="NBT91" s="292"/>
      <c r="NBU91" s="293"/>
      <c r="NBV91" s="294"/>
      <c r="NCB91" s="292"/>
      <c r="NCC91" s="293"/>
      <c r="NCD91" s="294"/>
      <c r="NCJ91" s="292"/>
      <c r="NCK91" s="293"/>
      <c r="NCL91" s="294"/>
      <c r="NCR91" s="292"/>
      <c r="NCS91" s="293"/>
      <c r="NCT91" s="294"/>
      <c r="NCZ91" s="292"/>
      <c r="NDA91" s="293"/>
      <c r="NDB91" s="294"/>
      <c r="NDH91" s="292"/>
      <c r="NDI91" s="293"/>
      <c r="NDJ91" s="294"/>
      <c r="NDP91" s="292"/>
      <c r="NDQ91" s="293"/>
      <c r="NDR91" s="294"/>
      <c r="NDX91" s="292"/>
      <c r="NDY91" s="293"/>
      <c r="NDZ91" s="294"/>
      <c r="NEF91" s="292"/>
      <c r="NEG91" s="293"/>
      <c r="NEH91" s="294"/>
      <c r="NEN91" s="292"/>
      <c r="NEO91" s="293"/>
      <c r="NEP91" s="294"/>
      <c r="NEV91" s="292"/>
      <c r="NEW91" s="293"/>
      <c r="NEX91" s="294"/>
      <c r="NFD91" s="292"/>
      <c r="NFE91" s="293"/>
      <c r="NFF91" s="294"/>
      <c r="NFL91" s="292"/>
      <c r="NFM91" s="293"/>
      <c r="NFN91" s="294"/>
      <c r="NFT91" s="292"/>
      <c r="NFU91" s="293"/>
      <c r="NFV91" s="294"/>
      <c r="NGB91" s="292"/>
      <c r="NGC91" s="293"/>
      <c r="NGD91" s="294"/>
      <c r="NGJ91" s="292"/>
      <c r="NGK91" s="293"/>
      <c r="NGL91" s="294"/>
      <c r="NGR91" s="292"/>
      <c r="NGS91" s="293"/>
      <c r="NGT91" s="294"/>
      <c r="NGZ91" s="292"/>
      <c r="NHA91" s="293"/>
      <c r="NHB91" s="294"/>
      <c r="NHH91" s="292"/>
      <c r="NHI91" s="293"/>
      <c r="NHJ91" s="294"/>
      <c r="NHP91" s="292"/>
      <c r="NHQ91" s="293"/>
      <c r="NHR91" s="294"/>
      <c r="NHX91" s="292"/>
      <c r="NHY91" s="293"/>
      <c r="NHZ91" s="294"/>
      <c r="NIF91" s="292"/>
      <c r="NIG91" s="293"/>
      <c r="NIH91" s="294"/>
      <c r="NIN91" s="292"/>
      <c r="NIO91" s="293"/>
      <c r="NIP91" s="294"/>
      <c r="NIV91" s="292"/>
      <c r="NIW91" s="293"/>
      <c r="NIX91" s="294"/>
      <c r="NJD91" s="292"/>
      <c r="NJE91" s="293"/>
      <c r="NJF91" s="294"/>
      <c r="NJL91" s="292"/>
      <c r="NJM91" s="293"/>
      <c r="NJN91" s="294"/>
      <c r="NJT91" s="292"/>
      <c r="NJU91" s="293"/>
      <c r="NJV91" s="294"/>
      <c r="NKB91" s="292"/>
      <c r="NKC91" s="293"/>
      <c r="NKD91" s="294"/>
      <c r="NKJ91" s="292"/>
      <c r="NKK91" s="293"/>
      <c r="NKL91" s="294"/>
      <c r="NKR91" s="292"/>
      <c r="NKS91" s="293"/>
      <c r="NKT91" s="294"/>
      <c r="NKZ91" s="292"/>
      <c r="NLA91" s="293"/>
      <c r="NLB91" s="294"/>
      <c r="NLH91" s="292"/>
      <c r="NLI91" s="293"/>
      <c r="NLJ91" s="294"/>
      <c r="NLP91" s="292"/>
      <c r="NLQ91" s="293"/>
      <c r="NLR91" s="294"/>
      <c r="NLX91" s="292"/>
      <c r="NLY91" s="293"/>
      <c r="NLZ91" s="294"/>
      <c r="NMF91" s="292"/>
      <c r="NMG91" s="293"/>
      <c r="NMH91" s="294"/>
      <c r="NMN91" s="292"/>
      <c r="NMO91" s="293"/>
      <c r="NMP91" s="294"/>
      <c r="NMV91" s="292"/>
      <c r="NMW91" s="293"/>
      <c r="NMX91" s="294"/>
      <c r="NND91" s="292"/>
      <c r="NNE91" s="293"/>
      <c r="NNF91" s="294"/>
      <c r="NNL91" s="292"/>
      <c r="NNM91" s="293"/>
      <c r="NNN91" s="294"/>
      <c r="NNT91" s="292"/>
      <c r="NNU91" s="293"/>
      <c r="NNV91" s="294"/>
      <c r="NOB91" s="292"/>
      <c r="NOC91" s="293"/>
      <c r="NOD91" s="294"/>
      <c r="NOJ91" s="292"/>
      <c r="NOK91" s="293"/>
      <c r="NOL91" s="294"/>
      <c r="NOR91" s="292"/>
      <c r="NOS91" s="293"/>
      <c r="NOT91" s="294"/>
      <c r="NOZ91" s="292"/>
      <c r="NPA91" s="293"/>
      <c r="NPB91" s="294"/>
      <c r="NPH91" s="292"/>
      <c r="NPI91" s="293"/>
      <c r="NPJ91" s="294"/>
      <c r="NPP91" s="292"/>
      <c r="NPQ91" s="293"/>
      <c r="NPR91" s="294"/>
      <c r="NPX91" s="292"/>
      <c r="NPY91" s="293"/>
      <c r="NPZ91" s="294"/>
      <c r="NQF91" s="292"/>
      <c r="NQG91" s="293"/>
      <c r="NQH91" s="294"/>
      <c r="NQN91" s="292"/>
      <c r="NQO91" s="293"/>
      <c r="NQP91" s="294"/>
      <c r="NQV91" s="292"/>
      <c r="NQW91" s="293"/>
      <c r="NQX91" s="294"/>
      <c r="NRD91" s="292"/>
      <c r="NRE91" s="293"/>
      <c r="NRF91" s="294"/>
      <c r="NRL91" s="292"/>
      <c r="NRM91" s="293"/>
      <c r="NRN91" s="294"/>
      <c r="NRT91" s="292"/>
      <c r="NRU91" s="293"/>
      <c r="NRV91" s="294"/>
      <c r="NSB91" s="292"/>
      <c r="NSC91" s="293"/>
      <c r="NSD91" s="294"/>
      <c r="NSJ91" s="292"/>
      <c r="NSK91" s="293"/>
      <c r="NSL91" s="294"/>
      <c r="NSR91" s="292"/>
      <c r="NSS91" s="293"/>
      <c r="NST91" s="294"/>
      <c r="NSZ91" s="292"/>
      <c r="NTA91" s="293"/>
      <c r="NTB91" s="294"/>
      <c r="NTH91" s="292"/>
      <c r="NTI91" s="293"/>
      <c r="NTJ91" s="294"/>
      <c r="NTP91" s="292"/>
      <c r="NTQ91" s="293"/>
      <c r="NTR91" s="294"/>
      <c r="NTX91" s="292"/>
      <c r="NTY91" s="293"/>
      <c r="NTZ91" s="294"/>
      <c r="NUF91" s="292"/>
      <c r="NUG91" s="293"/>
      <c r="NUH91" s="294"/>
      <c r="NUN91" s="292"/>
      <c r="NUO91" s="293"/>
      <c r="NUP91" s="294"/>
      <c r="NUV91" s="292"/>
      <c r="NUW91" s="293"/>
      <c r="NUX91" s="294"/>
      <c r="NVD91" s="292"/>
      <c r="NVE91" s="293"/>
      <c r="NVF91" s="294"/>
      <c r="NVL91" s="292"/>
      <c r="NVM91" s="293"/>
      <c r="NVN91" s="294"/>
      <c r="NVT91" s="292"/>
      <c r="NVU91" s="293"/>
      <c r="NVV91" s="294"/>
      <c r="NWB91" s="292"/>
      <c r="NWC91" s="293"/>
      <c r="NWD91" s="294"/>
      <c r="NWJ91" s="292"/>
      <c r="NWK91" s="293"/>
      <c r="NWL91" s="294"/>
      <c r="NWR91" s="292"/>
      <c r="NWS91" s="293"/>
      <c r="NWT91" s="294"/>
      <c r="NWZ91" s="292"/>
      <c r="NXA91" s="293"/>
      <c r="NXB91" s="294"/>
      <c r="NXH91" s="292"/>
      <c r="NXI91" s="293"/>
      <c r="NXJ91" s="294"/>
      <c r="NXP91" s="292"/>
      <c r="NXQ91" s="293"/>
      <c r="NXR91" s="294"/>
      <c r="NXX91" s="292"/>
      <c r="NXY91" s="293"/>
      <c r="NXZ91" s="294"/>
      <c r="NYF91" s="292"/>
      <c r="NYG91" s="293"/>
      <c r="NYH91" s="294"/>
      <c r="NYN91" s="292"/>
      <c r="NYO91" s="293"/>
      <c r="NYP91" s="294"/>
      <c r="NYV91" s="292"/>
      <c r="NYW91" s="293"/>
      <c r="NYX91" s="294"/>
      <c r="NZD91" s="292"/>
      <c r="NZE91" s="293"/>
      <c r="NZF91" s="294"/>
      <c r="NZL91" s="292"/>
      <c r="NZM91" s="293"/>
      <c r="NZN91" s="294"/>
      <c r="NZT91" s="292"/>
      <c r="NZU91" s="293"/>
      <c r="NZV91" s="294"/>
      <c r="OAB91" s="292"/>
      <c r="OAC91" s="293"/>
      <c r="OAD91" s="294"/>
      <c r="OAJ91" s="292"/>
      <c r="OAK91" s="293"/>
      <c r="OAL91" s="294"/>
      <c r="OAR91" s="292"/>
      <c r="OAS91" s="293"/>
      <c r="OAT91" s="294"/>
      <c r="OAZ91" s="292"/>
      <c r="OBA91" s="293"/>
      <c r="OBB91" s="294"/>
      <c r="OBH91" s="292"/>
      <c r="OBI91" s="293"/>
      <c r="OBJ91" s="294"/>
      <c r="OBP91" s="292"/>
      <c r="OBQ91" s="293"/>
      <c r="OBR91" s="294"/>
      <c r="OBX91" s="292"/>
      <c r="OBY91" s="293"/>
      <c r="OBZ91" s="294"/>
      <c r="OCF91" s="292"/>
      <c r="OCG91" s="293"/>
      <c r="OCH91" s="294"/>
      <c r="OCN91" s="292"/>
      <c r="OCO91" s="293"/>
      <c r="OCP91" s="294"/>
      <c r="OCV91" s="292"/>
      <c r="OCW91" s="293"/>
      <c r="OCX91" s="294"/>
      <c r="ODD91" s="292"/>
      <c r="ODE91" s="293"/>
      <c r="ODF91" s="294"/>
      <c r="ODL91" s="292"/>
      <c r="ODM91" s="293"/>
      <c r="ODN91" s="294"/>
      <c r="ODT91" s="292"/>
      <c r="ODU91" s="293"/>
      <c r="ODV91" s="294"/>
      <c r="OEB91" s="292"/>
      <c r="OEC91" s="293"/>
      <c r="OED91" s="294"/>
      <c r="OEJ91" s="292"/>
      <c r="OEK91" s="293"/>
      <c r="OEL91" s="294"/>
      <c r="OER91" s="292"/>
      <c r="OES91" s="293"/>
      <c r="OET91" s="294"/>
      <c r="OEZ91" s="292"/>
      <c r="OFA91" s="293"/>
      <c r="OFB91" s="294"/>
      <c r="OFH91" s="292"/>
      <c r="OFI91" s="293"/>
      <c r="OFJ91" s="294"/>
      <c r="OFP91" s="292"/>
      <c r="OFQ91" s="293"/>
      <c r="OFR91" s="294"/>
      <c r="OFX91" s="292"/>
      <c r="OFY91" s="293"/>
      <c r="OFZ91" s="294"/>
      <c r="OGF91" s="292"/>
      <c r="OGG91" s="293"/>
      <c r="OGH91" s="294"/>
      <c r="OGN91" s="292"/>
      <c r="OGO91" s="293"/>
      <c r="OGP91" s="294"/>
      <c r="OGV91" s="292"/>
      <c r="OGW91" s="293"/>
      <c r="OGX91" s="294"/>
      <c r="OHD91" s="292"/>
      <c r="OHE91" s="293"/>
      <c r="OHF91" s="294"/>
      <c r="OHL91" s="292"/>
      <c r="OHM91" s="293"/>
      <c r="OHN91" s="294"/>
      <c r="OHT91" s="292"/>
      <c r="OHU91" s="293"/>
      <c r="OHV91" s="294"/>
      <c r="OIB91" s="292"/>
      <c r="OIC91" s="293"/>
      <c r="OID91" s="294"/>
      <c r="OIJ91" s="292"/>
      <c r="OIK91" s="293"/>
      <c r="OIL91" s="294"/>
      <c r="OIR91" s="292"/>
      <c r="OIS91" s="293"/>
      <c r="OIT91" s="294"/>
      <c r="OIZ91" s="292"/>
      <c r="OJA91" s="293"/>
      <c r="OJB91" s="294"/>
      <c r="OJH91" s="292"/>
      <c r="OJI91" s="293"/>
      <c r="OJJ91" s="294"/>
      <c r="OJP91" s="292"/>
      <c r="OJQ91" s="293"/>
      <c r="OJR91" s="294"/>
      <c r="OJX91" s="292"/>
      <c r="OJY91" s="293"/>
      <c r="OJZ91" s="294"/>
      <c r="OKF91" s="292"/>
      <c r="OKG91" s="293"/>
      <c r="OKH91" s="294"/>
      <c r="OKN91" s="292"/>
      <c r="OKO91" s="293"/>
      <c r="OKP91" s="294"/>
      <c r="OKV91" s="292"/>
      <c r="OKW91" s="293"/>
      <c r="OKX91" s="294"/>
      <c r="OLD91" s="292"/>
      <c r="OLE91" s="293"/>
      <c r="OLF91" s="294"/>
      <c r="OLL91" s="292"/>
      <c r="OLM91" s="293"/>
      <c r="OLN91" s="294"/>
      <c r="OLT91" s="292"/>
      <c r="OLU91" s="293"/>
      <c r="OLV91" s="294"/>
      <c r="OMB91" s="292"/>
      <c r="OMC91" s="293"/>
      <c r="OMD91" s="294"/>
      <c r="OMJ91" s="292"/>
      <c r="OMK91" s="293"/>
      <c r="OML91" s="294"/>
      <c r="OMR91" s="292"/>
      <c r="OMS91" s="293"/>
      <c r="OMT91" s="294"/>
      <c r="OMZ91" s="292"/>
      <c r="ONA91" s="293"/>
      <c r="ONB91" s="294"/>
      <c r="ONH91" s="292"/>
      <c r="ONI91" s="293"/>
      <c r="ONJ91" s="294"/>
      <c r="ONP91" s="292"/>
      <c r="ONQ91" s="293"/>
      <c r="ONR91" s="294"/>
      <c r="ONX91" s="292"/>
      <c r="ONY91" s="293"/>
      <c r="ONZ91" s="294"/>
      <c r="OOF91" s="292"/>
      <c r="OOG91" s="293"/>
      <c r="OOH91" s="294"/>
      <c r="OON91" s="292"/>
      <c r="OOO91" s="293"/>
      <c r="OOP91" s="294"/>
      <c r="OOV91" s="292"/>
      <c r="OOW91" s="293"/>
      <c r="OOX91" s="294"/>
      <c r="OPD91" s="292"/>
      <c r="OPE91" s="293"/>
      <c r="OPF91" s="294"/>
      <c r="OPL91" s="292"/>
      <c r="OPM91" s="293"/>
      <c r="OPN91" s="294"/>
      <c r="OPT91" s="292"/>
      <c r="OPU91" s="293"/>
      <c r="OPV91" s="294"/>
      <c r="OQB91" s="292"/>
      <c r="OQC91" s="293"/>
      <c r="OQD91" s="294"/>
      <c r="OQJ91" s="292"/>
      <c r="OQK91" s="293"/>
      <c r="OQL91" s="294"/>
      <c r="OQR91" s="292"/>
      <c r="OQS91" s="293"/>
      <c r="OQT91" s="294"/>
      <c r="OQZ91" s="292"/>
      <c r="ORA91" s="293"/>
      <c r="ORB91" s="294"/>
      <c r="ORH91" s="292"/>
      <c r="ORI91" s="293"/>
      <c r="ORJ91" s="294"/>
      <c r="ORP91" s="292"/>
      <c r="ORQ91" s="293"/>
      <c r="ORR91" s="294"/>
      <c r="ORX91" s="292"/>
      <c r="ORY91" s="293"/>
      <c r="ORZ91" s="294"/>
      <c r="OSF91" s="292"/>
      <c r="OSG91" s="293"/>
      <c r="OSH91" s="294"/>
      <c r="OSN91" s="292"/>
      <c r="OSO91" s="293"/>
      <c r="OSP91" s="294"/>
      <c r="OSV91" s="292"/>
      <c r="OSW91" s="293"/>
      <c r="OSX91" s="294"/>
      <c r="OTD91" s="292"/>
      <c r="OTE91" s="293"/>
      <c r="OTF91" s="294"/>
      <c r="OTL91" s="292"/>
      <c r="OTM91" s="293"/>
      <c r="OTN91" s="294"/>
      <c r="OTT91" s="292"/>
      <c r="OTU91" s="293"/>
      <c r="OTV91" s="294"/>
      <c r="OUB91" s="292"/>
      <c r="OUC91" s="293"/>
      <c r="OUD91" s="294"/>
      <c r="OUJ91" s="292"/>
      <c r="OUK91" s="293"/>
      <c r="OUL91" s="294"/>
      <c r="OUR91" s="292"/>
      <c r="OUS91" s="293"/>
      <c r="OUT91" s="294"/>
      <c r="OUZ91" s="292"/>
      <c r="OVA91" s="293"/>
      <c r="OVB91" s="294"/>
      <c r="OVH91" s="292"/>
      <c r="OVI91" s="293"/>
      <c r="OVJ91" s="294"/>
      <c r="OVP91" s="292"/>
      <c r="OVQ91" s="293"/>
      <c r="OVR91" s="294"/>
      <c r="OVX91" s="292"/>
      <c r="OVY91" s="293"/>
      <c r="OVZ91" s="294"/>
      <c r="OWF91" s="292"/>
      <c r="OWG91" s="293"/>
      <c r="OWH91" s="294"/>
      <c r="OWN91" s="292"/>
      <c r="OWO91" s="293"/>
      <c r="OWP91" s="294"/>
      <c r="OWV91" s="292"/>
      <c r="OWW91" s="293"/>
      <c r="OWX91" s="294"/>
      <c r="OXD91" s="292"/>
      <c r="OXE91" s="293"/>
      <c r="OXF91" s="294"/>
      <c r="OXL91" s="292"/>
      <c r="OXM91" s="293"/>
      <c r="OXN91" s="294"/>
      <c r="OXT91" s="292"/>
      <c r="OXU91" s="293"/>
      <c r="OXV91" s="294"/>
      <c r="OYB91" s="292"/>
      <c r="OYC91" s="293"/>
      <c r="OYD91" s="294"/>
      <c r="OYJ91" s="292"/>
      <c r="OYK91" s="293"/>
      <c r="OYL91" s="294"/>
      <c r="OYR91" s="292"/>
      <c r="OYS91" s="293"/>
      <c r="OYT91" s="294"/>
      <c r="OYZ91" s="292"/>
      <c r="OZA91" s="293"/>
      <c r="OZB91" s="294"/>
      <c r="OZH91" s="292"/>
      <c r="OZI91" s="293"/>
      <c r="OZJ91" s="294"/>
      <c r="OZP91" s="292"/>
      <c r="OZQ91" s="293"/>
      <c r="OZR91" s="294"/>
      <c r="OZX91" s="292"/>
      <c r="OZY91" s="293"/>
      <c r="OZZ91" s="294"/>
      <c r="PAF91" s="292"/>
      <c r="PAG91" s="293"/>
      <c r="PAH91" s="294"/>
      <c r="PAN91" s="292"/>
      <c r="PAO91" s="293"/>
      <c r="PAP91" s="294"/>
      <c r="PAV91" s="292"/>
      <c r="PAW91" s="293"/>
      <c r="PAX91" s="294"/>
      <c r="PBD91" s="292"/>
      <c r="PBE91" s="293"/>
      <c r="PBF91" s="294"/>
      <c r="PBL91" s="292"/>
      <c r="PBM91" s="293"/>
      <c r="PBN91" s="294"/>
      <c r="PBT91" s="292"/>
      <c r="PBU91" s="293"/>
      <c r="PBV91" s="294"/>
      <c r="PCB91" s="292"/>
      <c r="PCC91" s="293"/>
      <c r="PCD91" s="294"/>
      <c r="PCJ91" s="292"/>
      <c r="PCK91" s="293"/>
      <c r="PCL91" s="294"/>
      <c r="PCR91" s="292"/>
      <c r="PCS91" s="293"/>
      <c r="PCT91" s="294"/>
      <c r="PCZ91" s="292"/>
      <c r="PDA91" s="293"/>
      <c r="PDB91" s="294"/>
      <c r="PDH91" s="292"/>
      <c r="PDI91" s="293"/>
      <c r="PDJ91" s="294"/>
      <c r="PDP91" s="292"/>
      <c r="PDQ91" s="293"/>
      <c r="PDR91" s="294"/>
      <c r="PDX91" s="292"/>
      <c r="PDY91" s="293"/>
      <c r="PDZ91" s="294"/>
      <c r="PEF91" s="292"/>
      <c r="PEG91" s="293"/>
      <c r="PEH91" s="294"/>
      <c r="PEN91" s="292"/>
      <c r="PEO91" s="293"/>
      <c r="PEP91" s="294"/>
      <c r="PEV91" s="292"/>
      <c r="PEW91" s="293"/>
      <c r="PEX91" s="294"/>
      <c r="PFD91" s="292"/>
      <c r="PFE91" s="293"/>
      <c r="PFF91" s="294"/>
      <c r="PFL91" s="292"/>
      <c r="PFM91" s="293"/>
      <c r="PFN91" s="294"/>
      <c r="PFT91" s="292"/>
      <c r="PFU91" s="293"/>
      <c r="PFV91" s="294"/>
      <c r="PGB91" s="292"/>
      <c r="PGC91" s="293"/>
      <c r="PGD91" s="294"/>
      <c r="PGJ91" s="292"/>
      <c r="PGK91" s="293"/>
      <c r="PGL91" s="294"/>
      <c r="PGR91" s="292"/>
      <c r="PGS91" s="293"/>
      <c r="PGT91" s="294"/>
      <c r="PGZ91" s="292"/>
      <c r="PHA91" s="293"/>
      <c r="PHB91" s="294"/>
      <c r="PHH91" s="292"/>
      <c r="PHI91" s="293"/>
      <c r="PHJ91" s="294"/>
      <c r="PHP91" s="292"/>
      <c r="PHQ91" s="293"/>
      <c r="PHR91" s="294"/>
      <c r="PHX91" s="292"/>
      <c r="PHY91" s="293"/>
      <c r="PHZ91" s="294"/>
      <c r="PIF91" s="292"/>
      <c r="PIG91" s="293"/>
      <c r="PIH91" s="294"/>
      <c r="PIN91" s="292"/>
      <c r="PIO91" s="293"/>
      <c r="PIP91" s="294"/>
      <c r="PIV91" s="292"/>
      <c r="PIW91" s="293"/>
      <c r="PIX91" s="294"/>
      <c r="PJD91" s="292"/>
      <c r="PJE91" s="293"/>
      <c r="PJF91" s="294"/>
      <c r="PJL91" s="292"/>
      <c r="PJM91" s="293"/>
      <c r="PJN91" s="294"/>
      <c r="PJT91" s="292"/>
      <c r="PJU91" s="293"/>
      <c r="PJV91" s="294"/>
      <c r="PKB91" s="292"/>
      <c r="PKC91" s="293"/>
      <c r="PKD91" s="294"/>
      <c r="PKJ91" s="292"/>
      <c r="PKK91" s="293"/>
      <c r="PKL91" s="294"/>
      <c r="PKR91" s="292"/>
      <c r="PKS91" s="293"/>
      <c r="PKT91" s="294"/>
      <c r="PKZ91" s="292"/>
      <c r="PLA91" s="293"/>
      <c r="PLB91" s="294"/>
      <c r="PLH91" s="292"/>
      <c r="PLI91" s="293"/>
      <c r="PLJ91" s="294"/>
      <c r="PLP91" s="292"/>
      <c r="PLQ91" s="293"/>
      <c r="PLR91" s="294"/>
      <c r="PLX91" s="292"/>
      <c r="PLY91" s="293"/>
      <c r="PLZ91" s="294"/>
      <c r="PMF91" s="292"/>
      <c r="PMG91" s="293"/>
      <c r="PMH91" s="294"/>
      <c r="PMN91" s="292"/>
      <c r="PMO91" s="293"/>
      <c r="PMP91" s="294"/>
      <c r="PMV91" s="292"/>
      <c r="PMW91" s="293"/>
      <c r="PMX91" s="294"/>
      <c r="PND91" s="292"/>
      <c r="PNE91" s="293"/>
      <c r="PNF91" s="294"/>
      <c r="PNL91" s="292"/>
      <c r="PNM91" s="293"/>
      <c r="PNN91" s="294"/>
      <c r="PNT91" s="292"/>
      <c r="PNU91" s="293"/>
      <c r="PNV91" s="294"/>
      <c r="POB91" s="292"/>
      <c r="POC91" s="293"/>
      <c r="POD91" s="294"/>
      <c r="POJ91" s="292"/>
      <c r="POK91" s="293"/>
      <c r="POL91" s="294"/>
      <c r="POR91" s="292"/>
      <c r="POS91" s="293"/>
      <c r="POT91" s="294"/>
      <c r="POZ91" s="292"/>
      <c r="PPA91" s="293"/>
      <c r="PPB91" s="294"/>
      <c r="PPH91" s="292"/>
      <c r="PPI91" s="293"/>
      <c r="PPJ91" s="294"/>
      <c r="PPP91" s="292"/>
      <c r="PPQ91" s="293"/>
      <c r="PPR91" s="294"/>
      <c r="PPX91" s="292"/>
      <c r="PPY91" s="293"/>
      <c r="PPZ91" s="294"/>
      <c r="PQF91" s="292"/>
      <c r="PQG91" s="293"/>
      <c r="PQH91" s="294"/>
      <c r="PQN91" s="292"/>
      <c r="PQO91" s="293"/>
      <c r="PQP91" s="294"/>
      <c r="PQV91" s="292"/>
      <c r="PQW91" s="293"/>
      <c r="PQX91" s="294"/>
      <c r="PRD91" s="292"/>
      <c r="PRE91" s="293"/>
      <c r="PRF91" s="294"/>
      <c r="PRL91" s="292"/>
      <c r="PRM91" s="293"/>
      <c r="PRN91" s="294"/>
      <c r="PRT91" s="292"/>
      <c r="PRU91" s="293"/>
      <c r="PRV91" s="294"/>
      <c r="PSB91" s="292"/>
      <c r="PSC91" s="293"/>
      <c r="PSD91" s="294"/>
      <c r="PSJ91" s="292"/>
      <c r="PSK91" s="293"/>
      <c r="PSL91" s="294"/>
      <c r="PSR91" s="292"/>
      <c r="PSS91" s="293"/>
      <c r="PST91" s="294"/>
      <c r="PSZ91" s="292"/>
      <c r="PTA91" s="293"/>
      <c r="PTB91" s="294"/>
      <c r="PTH91" s="292"/>
      <c r="PTI91" s="293"/>
      <c r="PTJ91" s="294"/>
      <c r="PTP91" s="292"/>
      <c r="PTQ91" s="293"/>
      <c r="PTR91" s="294"/>
      <c r="PTX91" s="292"/>
      <c r="PTY91" s="293"/>
      <c r="PTZ91" s="294"/>
      <c r="PUF91" s="292"/>
      <c r="PUG91" s="293"/>
      <c r="PUH91" s="294"/>
      <c r="PUN91" s="292"/>
      <c r="PUO91" s="293"/>
      <c r="PUP91" s="294"/>
      <c r="PUV91" s="292"/>
      <c r="PUW91" s="293"/>
      <c r="PUX91" s="294"/>
      <c r="PVD91" s="292"/>
      <c r="PVE91" s="293"/>
      <c r="PVF91" s="294"/>
      <c r="PVL91" s="292"/>
      <c r="PVM91" s="293"/>
      <c r="PVN91" s="294"/>
      <c r="PVT91" s="292"/>
      <c r="PVU91" s="293"/>
      <c r="PVV91" s="294"/>
      <c r="PWB91" s="292"/>
      <c r="PWC91" s="293"/>
      <c r="PWD91" s="294"/>
      <c r="PWJ91" s="292"/>
      <c r="PWK91" s="293"/>
      <c r="PWL91" s="294"/>
      <c r="PWR91" s="292"/>
      <c r="PWS91" s="293"/>
      <c r="PWT91" s="294"/>
      <c r="PWZ91" s="292"/>
      <c r="PXA91" s="293"/>
      <c r="PXB91" s="294"/>
      <c r="PXH91" s="292"/>
      <c r="PXI91" s="293"/>
      <c r="PXJ91" s="294"/>
      <c r="PXP91" s="292"/>
      <c r="PXQ91" s="293"/>
      <c r="PXR91" s="294"/>
      <c r="PXX91" s="292"/>
      <c r="PXY91" s="293"/>
      <c r="PXZ91" s="294"/>
      <c r="PYF91" s="292"/>
      <c r="PYG91" s="293"/>
      <c r="PYH91" s="294"/>
      <c r="PYN91" s="292"/>
      <c r="PYO91" s="293"/>
      <c r="PYP91" s="294"/>
      <c r="PYV91" s="292"/>
      <c r="PYW91" s="293"/>
      <c r="PYX91" s="294"/>
      <c r="PZD91" s="292"/>
      <c r="PZE91" s="293"/>
      <c r="PZF91" s="294"/>
      <c r="PZL91" s="292"/>
      <c r="PZM91" s="293"/>
      <c r="PZN91" s="294"/>
      <c r="PZT91" s="292"/>
      <c r="PZU91" s="293"/>
      <c r="PZV91" s="294"/>
      <c r="QAB91" s="292"/>
      <c r="QAC91" s="293"/>
      <c r="QAD91" s="294"/>
      <c r="QAJ91" s="292"/>
      <c r="QAK91" s="293"/>
      <c r="QAL91" s="294"/>
      <c r="QAR91" s="292"/>
      <c r="QAS91" s="293"/>
      <c r="QAT91" s="294"/>
      <c r="QAZ91" s="292"/>
      <c r="QBA91" s="293"/>
      <c r="QBB91" s="294"/>
      <c r="QBH91" s="292"/>
      <c r="QBI91" s="293"/>
      <c r="QBJ91" s="294"/>
      <c r="QBP91" s="292"/>
      <c r="QBQ91" s="293"/>
      <c r="QBR91" s="294"/>
      <c r="QBX91" s="292"/>
      <c r="QBY91" s="293"/>
      <c r="QBZ91" s="294"/>
      <c r="QCF91" s="292"/>
      <c r="QCG91" s="293"/>
      <c r="QCH91" s="294"/>
      <c r="QCN91" s="292"/>
      <c r="QCO91" s="293"/>
      <c r="QCP91" s="294"/>
      <c r="QCV91" s="292"/>
      <c r="QCW91" s="293"/>
      <c r="QCX91" s="294"/>
      <c r="QDD91" s="292"/>
      <c r="QDE91" s="293"/>
      <c r="QDF91" s="294"/>
      <c r="QDL91" s="292"/>
      <c r="QDM91" s="293"/>
      <c r="QDN91" s="294"/>
      <c r="QDT91" s="292"/>
      <c r="QDU91" s="293"/>
      <c r="QDV91" s="294"/>
      <c r="QEB91" s="292"/>
      <c r="QEC91" s="293"/>
      <c r="QED91" s="294"/>
      <c r="QEJ91" s="292"/>
      <c r="QEK91" s="293"/>
      <c r="QEL91" s="294"/>
      <c r="QER91" s="292"/>
      <c r="QES91" s="293"/>
      <c r="QET91" s="294"/>
      <c r="QEZ91" s="292"/>
      <c r="QFA91" s="293"/>
      <c r="QFB91" s="294"/>
      <c r="QFH91" s="292"/>
      <c r="QFI91" s="293"/>
      <c r="QFJ91" s="294"/>
      <c r="QFP91" s="292"/>
      <c r="QFQ91" s="293"/>
      <c r="QFR91" s="294"/>
      <c r="QFX91" s="292"/>
      <c r="QFY91" s="293"/>
      <c r="QFZ91" s="294"/>
      <c r="QGF91" s="292"/>
      <c r="QGG91" s="293"/>
      <c r="QGH91" s="294"/>
      <c r="QGN91" s="292"/>
      <c r="QGO91" s="293"/>
      <c r="QGP91" s="294"/>
      <c r="QGV91" s="292"/>
      <c r="QGW91" s="293"/>
      <c r="QGX91" s="294"/>
      <c r="QHD91" s="292"/>
      <c r="QHE91" s="293"/>
      <c r="QHF91" s="294"/>
      <c r="QHL91" s="292"/>
      <c r="QHM91" s="293"/>
      <c r="QHN91" s="294"/>
      <c r="QHT91" s="292"/>
      <c r="QHU91" s="293"/>
      <c r="QHV91" s="294"/>
      <c r="QIB91" s="292"/>
      <c r="QIC91" s="293"/>
      <c r="QID91" s="294"/>
      <c r="QIJ91" s="292"/>
      <c r="QIK91" s="293"/>
      <c r="QIL91" s="294"/>
      <c r="QIR91" s="292"/>
      <c r="QIS91" s="293"/>
      <c r="QIT91" s="294"/>
      <c r="QIZ91" s="292"/>
      <c r="QJA91" s="293"/>
      <c r="QJB91" s="294"/>
      <c r="QJH91" s="292"/>
      <c r="QJI91" s="293"/>
      <c r="QJJ91" s="294"/>
      <c r="QJP91" s="292"/>
      <c r="QJQ91" s="293"/>
      <c r="QJR91" s="294"/>
      <c r="QJX91" s="292"/>
      <c r="QJY91" s="293"/>
      <c r="QJZ91" s="294"/>
      <c r="QKF91" s="292"/>
      <c r="QKG91" s="293"/>
      <c r="QKH91" s="294"/>
      <c r="QKN91" s="292"/>
      <c r="QKO91" s="293"/>
      <c r="QKP91" s="294"/>
      <c r="QKV91" s="292"/>
      <c r="QKW91" s="293"/>
      <c r="QKX91" s="294"/>
      <c r="QLD91" s="292"/>
      <c r="QLE91" s="293"/>
      <c r="QLF91" s="294"/>
      <c r="QLL91" s="292"/>
      <c r="QLM91" s="293"/>
      <c r="QLN91" s="294"/>
      <c r="QLT91" s="292"/>
      <c r="QLU91" s="293"/>
      <c r="QLV91" s="294"/>
      <c r="QMB91" s="292"/>
      <c r="QMC91" s="293"/>
      <c r="QMD91" s="294"/>
      <c r="QMJ91" s="292"/>
      <c r="QMK91" s="293"/>
      <c r="QML91" s="294"/>
      <c r="QMR91" s="292"/>
      <c r="QMS91" s="293"/>
      <c r="QMT91" s="294"/>
      <c r="QMZ91" s="292"/>
      <c r="QNA91" s="293"/>
      <c r="QNB91" s="294"/>
      <c r="QNH91" s="292"/>
      <c r="QNI91" s="293"/>
      <c r="QNJ91" s="294"/>
      <c r="QNP91" s="292"/>
      <c r="QNQ91" s="293"/>
      <c r="QNR91" s="294"/>
      <c r="QNX91" s="292"/>
      <c r="QNY91" s="293"/>
      <c r="QNZ91" s="294"/>
      <c r="QOF91" s="292"/>
      <c r="QOG91" s="293"/>
      <c r="QOH91" s="294"/>
      <c r="QON91" s="292"/>
      <c r="QOO91" s="293"/>
      <c r="QOP91" s="294"/>
      <c r="QOV91" s="292"/>
      <c r="QOW91" s="293"/>
      <c r="QOX91" s="294"/>
      <c r="QPD91" s="292"/>
      <c r="QPE91" s="293"/>
      <c r="QPF91" s="294"/>
      <c r="QPL91" s="292"/>
      <c r="QPM91" s="293"/>
      <c r="QPN91" s="294"/>
      <c r="QPT91" s="292"/>
      <c r="QPU91" s="293"/>
      <c r="QPV91" s="294"/>
      <c r="QQB91" s="292"/>
      <c r="QQC91" s="293"/>
      <c r="QQD91" s="294"/>
      <c r="QQJ91" s="292"/>
      <c r="QQK91" s="293"/>
      <c r="QQL91" s="294"/>
      <c r="QQR91" s="292"/>
      <c r="QQS91" s="293"/>
      <c r="QQT91" s="294"/>
      <c r="QQZ91" s="292"/>
      <c r="QRA91" s="293"/>
      <c r="QRB91" s="294"/>
      <c r="QRH91" s="292"/>
      <c r="QRI91" s="293"/>
      <c r="QRJ91" s="294"/>
      <c r="QRP91" s="292"/>
      <c r="QRQ91" s="293"/>
      <c r="QRR91" s="294"/>
      <c r="QRX91" s="292"/>
      <c r="QRY91" s="293"/>
      <c r="QRZ91" s="294"/>
      <c r="QSF91" s="292"/>
      <c r="QSG91" s="293"/>
      <c r="QSH91" s="294"/>
      <c r="QSN91" s="292"/>
      <c r="QSO91" s="293"/>
      <c r="QSP91" s="294"/>
      <c r="QSV91" s="292"/>
      <c r="QSW91" s="293"/>
      <c r="QSX91" s="294"/>
      <c r="QTD91" s="292"/>
      <c r="QTE91" s="293"/>
      <c r="QTF91" s="294"/>
      <c r="QTL91" s="292"/>
      <c r="QTM91" s="293"/>
      <c r="QTN91" s="294"/>
      <c r="QTT91" s="292"/>
      <c r="QTU91" s="293"/>
      <c r="QTV91" s="294"/>
      <c r="QUB91" s="292"/>
      <c r="QUC91" s="293"/>
      <c r="QUD91" s="294"/>
      <c r="QUJ91" s="292"/>
      <c r="QUK91" s="293"/>
      <c r="QUL91" s="294"/>
      <c r="QUR91" s="292"/>
      <c r="QUS91" s="293"/>
      <c r="QUT91" s="294"/>
      <c r="QUZ91" s="292"/>
      <c r="QVA91" s="293"/>
      <c r="QVB91" s="294"/>
      <c r="QVH91" s="292"/>
      <c r="QVI91" s="293"/>
      <c r="QVJ91" s="294"/>
      <c r="QVP91" s="292"/>
      <c r="QVQ91" s="293"/>
      <c r="QVR91" s="294"/>
      <c r="QVX91" s="292"/>
      <c r="QVY91" s="293"/>
      <c r="QVZ91" s="294"/>
      <c r="QWF91" s="292"/>
      <c r="QWG91" s="293"/>
      <c r="QWH91" s="294"/>
      <c r="QWN91" s="292"/>
      <c r="QWO91" s="293"/>
      <c r="QWP91" s="294"/>
      <c r="QWV91" s="292"/>
      <c r="QWW91" s="293"/>
      <c r="QWX91" s="294"/>
      <c r="QXD91" s="292"/>
      <c r="QXE91" s="293"/>
      <c r="QXF91" s="294"/>
      <c r="QXL91" s="292"/>
      <c r="QXM91" s="293"/>
      <c r="QXN91" s="294"/>
      <c r="QXT91" s="292"/>
      <c r="QXU91" s="293"/>
      <c r="QXV91" s="294"/>
      <c r="QYB91" s="292"/>
      <c r="QYC91" s="293"/>
      <c r="QYD91" s="294"/>
      <c r="QYJ91" s="292"/>
      <c r="QYK91" s="293"/>
      <c r="QYL91" s="294"/>
      <c r="QYR91" s="292"/>
      <c r="QYS91" s="293"/>
      <c r="QYT91" s="294"/>
      <c r="QYZ91" s="292"/>
      <c r="QZA91" s="293"/>
      <c r="QZB91" s="294"/>
      <c r="QZH91" s="292"/>
      <c r="QZI91" s="293"/>
      <c r="QZJ91" s="294"/>
      <c r="QZP91" s="292"/>
      <c r="QZQ91" s="293"/>
      <c r="QZR91" s="294"/>
      <c r="QZX91" s="292"/>
      <c r="QZY91" s="293"/>
      <c r="QZZ91" s="294"/>
      <c r="RAF91" s="292"/>
      <c r="RAG91" s="293"/>
      <c r="RAH91" s="294"/>
      <c r="RAN91" s="292"/>
      <c r="RAO91" s="293"/>
      <c r="RAP91" s="294"/>
      <c r="RAV91" s="292"/>
      <c r="RAW91" s="293"/>
      <c r="RAX91" s="294"/>
      <c r="RBD91" s="292"/>
      <c r="RBE91" s="293"/>
      <c r="RBF91" s="294"/>
      <c r="RBL91" s="292"/>
      <c r="RBM91" s="293"/>
      <c r="RBN91" s="294"/>
      <c r="RBT91" s="292"/>
      <c r="RBU91" s="293"/>
      <c r="RBV91" s="294"/>
      <c r="RCB91" s="292"/>
      <c r="RCC91" s="293"/>
      <c r="RCD91" s="294"/>
      <c r="RCJ91" s="292"/>
      <c r="RCK91" s="293"/>
      <c r="RCL91" s="294"/>
      <c r="RCR91" s="292"/>
      <c r="RCS91" s="293"/>
      <c r="RCT91" s="294"/>
      <c r="RCZ91" s="292"/>
      <c r="RDA91" s="293"/>
      <c r="RDB91" s="294"/>
      <c r="RDH91" s="292"/>
      <c r="RDI91" s="293"/>
      <c r="RDJ91" s="294"/>
      <c r="RDP91" s="292"/>
      <c r="RDQ91" s="293"/>
      <c r="RDR91" s="294"/>
      <c r="RDX91" s="292"/>
      <c r="RDY91" s="293"/>
      <c r="RDZ91" s="294"/>
      <c r="REF91" s="292"/>
      <c r="REG91" s="293"/>
      <c r="REH91" s="294"/>
      <c r="REN91" s="292"/>
      <c r="REO91" s="293"/>
      <c r="REP91" s="294"/>
      <c r="REV91" s="292"/>
      <c r="REW91" s="293"/>
      <c r="REX91" s="294"/>
      <c r="RFD91" s="292"/>
      <c r="RFE91" s="293"/>
      <c r="RFF91" s="294"/>
      <c r="RFL91" s="292"/>
      <c r="RFM91" s="293"/>
      <c r="RFN91" s="294"/>
      <c r="RFT91" s="292"/>
      <c r="RFU91" s="293"/>
      <c r="RFV91" s="294"/>
      <c r="RGB91" s="292"/>
      <c r="RGC91" s="293"/>
      <c r="RGD91" s="294"/>
      <c r="RGJ91" s="292"/>
      <c r="RGK91" s="293"/>
      <c r="RGL91" s="294"/>
      <c r="RGR91" s="292"/>
      <c r="RGS91" s="293"/>
      <c r="RGT91" s="294"/>
      <c r="RGZ91" s="292"/>
      <c r="RHA91" s="293"/>
      <c r="RHB91" s="294"/>
      <c r="RHH91" s="292"/>
      <c r="RHI91" s="293"/>
      <c r="RHJ91" s="294"/>
      <c r="RHP91" s="292"/>
      <c r="RHQ91" s="293"/>
      <c r="RHR91" s="294"/>
      <c r="RHX91" s="292"/>
      <c r="RHY91" s="293"/>
      <c r="RHZ91" s="294"/>
      <c r="RIF91" s="292"/>
      <c r="RIG91" s="293"/>
      <c r="RIH91" s="294"/>
      <c r="RIN91" s="292"/>
      <c r="RIO91" s="293"/>
      <c r="RIP91" s="294"/>
      <c r="RIV91" s="292"/>
      <c r="RIW91" s="293"/>
      <c r="RIX91" s="294"/>
      <c r="RJD91" s="292"/>
      <c r="RJE91" s="293"/>
      <c r="RJF91" s="294"/>
      <c r="RJL91" s="292"/>
      <c r="RJM91" s="293"/>
      <c r="RJN91" s="294"/>
      <c r="RJT91" s="292"/>
      <c r="RJU91" s="293"/>
      <c r="RJV91" s="294"/>
      <c r="RKB91" s="292"/>
      <c r="RKC91" s="293"/>
      <c r="RKD91" s="294"/>
      <c r="RKJ91" s="292"/>
      <c r="RKK91" s="293"/>
      <c r="RKL91" s="294"/>
      <c r="RKR91" s="292"/>
      <c r="RKS91" s="293"/>
      <c r="RKT91" s="294"/>
      <c r="RKZ91" s="292"/>
      <c r="RLA91" s="293"/>
      <c r="RLB91" s="294"/>
      <c r="RLH91" s="292"/>
      <c r="RLI91" s="293"/>
      <c r="RLJ91" s="294"/>
      <c r="RLP91" s="292"/>
      <c r="RLQ91" s="293"/>
      <c r="RLR91" s="294"/>
      <c r="RLX91" s="292"/>
      <c r="RLY91" s="293"/>
      <c r="RLZ91" s="294"/>
      <c r="RMF91" s="292"/>
      <c r="RMG91" s="293"/>
      <c r="RMH91" s="294"/>
      <c r="RMN91" s="292"/>
      <c r="RMO91" s="293"/>
      <c r="RMP91" s="294"/>
      <c r="RMV91" s="292"/>
      <c r="RMW91" s="293"/>
      <c r="RMX91" s="294"/>
      <c r="RND91" s="292"/>
      <c r="RNE91" s="293"/>
      <c r="RNF91" s="294"/>
      <c r="RNL91" s="292"/>
      <c r="RNM91" s="293"/>
      <c r="RNN91" s="294"/>
      <c r="RNT91" s="292"/>
      <c r="RNU91" s="293"/>
      <c r="RNV91" s="294"/>
      <c r="ROB91" s="292"/>
      <c r="ROC91" s="293"/>
      <c r="ROD91" s="294"/>
      <c r="ROJ91" s="292"/>
      <c r="ROK91" s="293"/>
      <c r="ROL91" s="294"/>
      <c r="ROR91" s="292"/>
      <c r="ROS91" s="293"/>
      <c r="ROT91" s="294"/>
      <c r="ROZ91" s="292"/>
      <c r="RPA91" s="293"/>
      <c r="RPB91" s="294"/>
      <c r="RPH91" s="292"/>
      <c r="RPI91" s="293"/>
      <c r="RPJ91" s="294"/>
      <c r="RPP91" s="292"/>
      <c r="RPQ91" s="293"/>
      <c r="RPR91" s="294"/>
      <c r="RPX91" s="292"/>
      <c r="RPY91" s="293"/>
      <c r="RPZ91" s="294"/>
      <c r="RQF91" s="292"/>
      <c r="RQG91" s="293"/>
      <c r="RQH91" s="294"/>
      <c r="RQN91" s="292"/>
      <c r="RQO91" s="293"/>
      <c r="RQP91" s="294"/>
      <c r="RQV91" s="292"/>
      <c r="RQW91" s="293"/>
      <c r="RQX91" s="294"/>
      <c r="RRD91" s="292"/>
      <c r="RRE91" s="293"/>
      <c r="RRF91" s="294"/>
      <c r="RRL91" s="292"/>
      <c r="RRM91" s="293"/>
      <c r="RRN91" s="294"/>
      <c r="RRT91" s="292"/>
      <c r="RRU91" s="293"/>
      <c r="RRV91" s="294"/>
      <c r="RSB91" s="292"/>
      <c r="RSC91" s="293"/>
      <c r="RSD91" s="294"/>
      <c r="RSJ91" s="292"/>
      <c r="RSK91" s="293"/>
      <c r="RSL91" s="294"/>
      <c r="RSR91" s="292"/>
      <c r="RSS91" s="293"/>
      <c r="RST91" s="294"/>
      <c r="RSZ91" s="292"/>
      <c r="RTA91" s="293"/>
      <c r="RTB91" s="294"/>
      <c r="RTH91" s="292"/>
      <c r="RTI91" s="293"/>
      <c r="RTJ91" s="294"/>
      <c r="RTP91" s="292"/>
      <c r="RTQ91" s="293"/>
      <c r="RTR91" s="294"/>
      <c r="RTX91" s="292"/>
      <c r="RTY91" s="293"/>
      <c r="RTZ91" s="294"/>
      <c r="RUF91" s="292"/>
      <c r="RUG91" s="293"/>
      <c r="RUH91" s="294"/>
      <c r="RUN91" s="292"/>
      <c r="RUO91" s="293"/>
      <c r="RUP91" s="294"/>
      <c r="RUV91" s="292"/>
      <c r="RUW91" s="293"/>
      <c r="RUX91" s="294"/>
      <c r="RVD91" s="292"/>
      <c r="RVE91" s="293"/>
      <c r="RVF91" s="294"/>
      <c r="RVL91" s="292"/>
      <c r="RVM91" s="293"/>
      <c r="RVN91" s="294"/>
      <c r="RVT91" s="292"/>
      <c r="RVU91" s="293"/>
      <c r="RVV91" s="294"/>
      <c r="RWB91" s="292"/>
      <c r="RWC91" s="293"/>
      <c r="RWD91" s="294"/>
      <c r="RWJ91" s="292"/>
      <c r="RWK91" s="293"/>
      <c r="RWL91" s="294"/>
      <c r="RWR91" s="292"/>
      <c r="RWS91" s="293"/>
      <c r="RWT91" s="294"/>
      <c r="RWZ91" s="292"/>
      <c r="RXA91" s="293"/>
      <c r="RXB91" s="294"/>
      <c r="RXH91" s="292"/>
      <c r="RXI91" s="293"/>
      <c r="RXJ91" s="294"/>
      <c r="RXP91" s="292"/>
      <c r="RXQ91" s="293"/>
      <c r="RXR91" s="294"/>
      <c r="RXX91" s="292"/>
      <c r="RXY91" s="293"/>
      <c r="RXZ91" s="294"/>
      <c r="RYF91" s="292"/>
      <c r="RYG91" s="293"/>
      <c r="RYH91" s="294"/>
      <c r="RYN91" s="292"/>
      <c r="RYO91" s="293"/>
      <c r="RYP91" s="294"/>
      <c r="RYV91" s="292"/>
      <c r="RYW91" s="293"/>
      <c r="RYX91" s="294"/>
      <c r="RZD91" s="292"/>
      <c r="RZE91" s="293"/>
      <c r="RZF91" s="294"/>
      <c r="RZL91" s="292"/>
      <c r="RZM91" s="293"/>
      <c r="RZN91" s="294"/>
      <c r="RZT91" s="292"/>
      <c r="RZU91" s="293"/>
      <c r="RZV91" s="294"/>
      <c r="SAB91" s="292"/>
      <c r="SAC91" s="293"/>
      <c r="SAD91" s="294"/>
      <c r="SAJ91" s="292"/>
      <c r="SAK91" s="293"/>
      <c r="SAL91" s="294"/>
      <c r="SAR91" s="292"/>
      <c r="SAS91" s="293"/>
      <c r="SAT91" s="294"/>
      <c r="SAZ91" s="292"/>
      <c r="SBA91" s="293"/>
      <c r="SBB91" s="294"/>
      <c r="SBH91" s="292"/>
      <c r="SBI91" s="293"/>
      <c r="SBJ91" s="294"/>
      <c r="SBP91" s="292"/>
      <c r="SBQ91" s="293"/>
      <c r="SBR91" s="294"/>
      <c r="SBX91" s="292"/>
      <c r="SBY91" s="293"/>
      <c r="SBZ91" s="294"/>
      <c r="SCF91" s="292"/>
      <c r="SCG91" s="293"/>
      <c r="SCH91" s="294"/>
      <c r="SCN91" s="292"/>
      <c r="SCO91" s="293"/>
      <c r="SCP91" s="294"/>
      <c r="SCV91" s="292"/>
      <c r="SCW91" s="293"/>
      <c r="SCX91" s="294"/>
      <c r="SDD91" s="292"/>
      <c r="SDE91" s="293"/>
      <c r="SDF91" s="294"/>
      <c r="SDL91" s="292"/>
      <c r="SDM91" s="293"/>
      <c r="SDN91" s="294"/>
      <c r="SDT91" s="292"/>
      <c r="SDU91" s="293"/>
      <c r="SDV91" s="294"/>
      <c r="SEB91" s="292"/>
      <c r="SEC91" s="293"/>
      <c r="SED91" s="294"/>
      <c r="SEJ91" s="292"/>
      <c r="SEK91" s="293"/>
      <c r="SEL91" s="294"/>
      <c r="SER91" s="292"/>
      <c r="SES91" s="293"/>
      <c r="SET91" s="294"/>
      <c r="SEZ91" s="292"/>
      <c r="SFA91" s="293"/>
      <c r="SFB91" s="294"/>
      <c r="SFH91" s="292"/>
      <c r="SFI91" s="293"/>
      <c r="SFJ91" s="294"/>
      <c r="SFP91" s="292"/>
      <c r="SFQ91" s="293"/>
      <c r="SFR91" s="294"/>
      <c r="SFX91" s="292"/>
      <c r="SFY91" s="293"/>
      <c r="SFZ91" s="294"/>
      <c r="SGF91" s="292"/>
      <c r="SGG91" s="293"/>
      <c r="SGH91" s="294"/>
      <c r="SGN91" s="292"/>
      <c r="SGO91" s="293"/>
      <c r="SGP91" s="294"/>
      <c r="SGV91" s="292"/>
      <c r="SGW91" s="293"/>
      <c r="SGX91" s="294"/>
      <c r="SHD91" s="292"/>
      <c r="SHE91" s="293"/>
      <c r="SHF91" s="294"/>
      <c r="SHL91" s="292"/>
      <c r="SHM91" s="293"/>
      <c r="SHN91" s="294"/>
      <c r="SHT91" s="292"/>
      <c r="SHU91" s="293"/>
      <c r="SHV91" s="294"/>
      <c r="SIB91" s="292"/>
      <c r="SIC91" s="293"/>
      <c r="SID91" s="294"/>
      <c r="SIJ91" s="292"/>
      <c r="SIK91" s="293"/>
      <c r="SIL91" s="294"/>
      <c r="SIR91" s="292"/>
      <c r="SIS91" s="293"/>
      <c r="SIT91" s="294"/>
      <c r="SIZ91" s="292"/>
      <c r="SJA91" s="293"/>
      <c r="SJB91" s="294"/>
      <c r="SJH91" s="292"/>
      <c r="SJI91" s="293"/>
      <c r="SJJ91" s="294"/>
      <c r="SJP91" s="292"/>
      <c r="SJQ91" s="293"/>
      <c r="SJR91" s="294"/>
      <c r="SJX91" s="292"/>
      <c r="SJY91" s="293"/>
      <c r="SJZ91" s="294"/>
      <c r="SKF91" s="292"/>
      <c r="SKG91" s="293"/>
      <c r="SKH91" s="294"/>
      <c r="SKN91" s="292"/>
      <c r="SKO91" s="293"/>
      <c r="SKP91" s="294"/>
      <c r="SKV91" s="292"/>
      <c r="SKW91" s="293"/>
      <c r="SKX91" s="294"/>
      <c r="SLD91" s="292"/>
      <c r="SLE91" s="293"/>
      <c r="SLF91" s="294"/>
      <c r="SLL91" s="292"/>
      <c r="SLM91" s="293"/>
      <c r="SLN91" s="294"/>
      <c r="SLT91" s="292"/>
      <c r="SLU91" s="293"/>
      <c r="SLV91" s="294"/>
      <c r="SMB91" s="292"/>
      <c r="SMC91" s="293"/>
      <c r="SMD91" s="294"/>
      <c r="SMJ91" s="292"/>
      <c r="SMK91" s="293"/>
      <c r="SML91" s="294"/>
      <c r="SMR91" s="292"/>
      <c r="SMS91" s="293"/>
      <c r="SMT91" s="294"/>
      <c r="SMZ91" s="292"/>
      <c r="SNA91" s="293"/>
      <c r="SNB91" s="294"/>
      <c r="SNH91" s="292"/>
      <c r="SNI91" s="293"/>
      <c r="SNJ91" s="294"/>
      <c r="SNP91" s="292"/>
      <c r="SNQ91" s="293"/>
      <c r="SNR91" s="294"/>
      <c r="SNX91" s="292"/>
      <c r="SNY91" s="293"/>
      <c r="SNZ91" s="294"/>
      <c r="SOF91" s="292"/>
      <c r="SOG91" s="293"/>
      <c r="SOH91" s="294"/>
      <c r="SON91" s="292"/>
      <c r="SOO91" s="293"/>
      <c r="SOP91" s="294"/>
      <c r="SOV91" s="292"/>
      <c r="SOW91" s="293"/>
      <c r="SOX91" s="294"/>
      <c r="SPD91" s="292"/>
      <c r="SPE91" s="293"/>
      <c r="SPF91" s="294"/>
      <c r="SPL91" s="292"/>
      <c r="SPM91" s="293"/>
      <c r="SPN91" s="294"/>
      <c r="SPT91" s="292"/>
      <c r="SPU91" s="293"/>
      <c r="SPV91" s="294"/>
      <c r="SQB91" s="292"/>
      <c r="SQC91" s="293"/>
      <c r="SQD91" s="294"/>
      <c r="SQJ91" s="292"/>
      <c r="SQK91" s="293"/>
      <c r="SQL91" s="294"/>
      <c r="SQR91" s="292"/>
      <c r="SQS91" s="293"/>
      <c r="SQT91" s="294"/>
      <c r="SQZ91" s="292"/>
      <c r="SRA91" s="293"/>
      <c r="SRB91" s="294"/>
      <c r="SRH91" s="292"/>
      <c r="SRI91" s="293"/>
      <c r="SRJ91" s="294"/>
      <c r="SRP91" s="292"/>
      <c r="SRQ91" s="293"/>
      <c r="SRR91" s="294"/>
      <c r="SRX91" s="292"/>
      <c r="SRY91" s="293"/>
      <c r="SRZ91" s="294"/>
      <c r="SSF91" s="292"/>
      <c r="SSG91" s="293"/>
      <c r="SSH91" s="294"/>
      <c r="SSN91" s="292"/>
      <c r="SSO91" s="293"/>
      <c r="SSP91" s="294"/>
      <c r="SSV91" s="292"/>
      <c r="SSW91" s="293"/>
      <c r="SSX91" s="294"/>
      <c r="STD91" s="292"/>
      <c r="STE91" s="293"/>
      <c r="STF91" s="294"/>
      <c r="STL91" s="292"/>
      <c r="STM91" s="293"/>
      <c r="STN91" s="294"/>
      <c r="STT91" s="292"/>
      <c r="STU91" s="293"/>
      <c r="STV91" s="294"/>
      <c r="SUB91" s="292"/>
      <c r="SUC91" s="293"/>
      <c r="SUD91" s="294"/>
      <c r="SUJ91" s="292"/>
      <c r="SUK91" s="293"/>
      <c r="SUL91" s="294"/>
      <c r="SUR91" s="292"/>
      <c r="SUS91" s="293"/>
      <c r="SUT91" s="294"/>
      <c r="SUZ91" s="292"/>
      <c r="SVA91" s="293"/>
      <c r="SVB91" s="294"/>
      <c r="SVH91" s="292"/>
      <c r="SVI91" s="293"/>
      <c r="SVJ91" s="294"/>
      <c r="SVP91" s="292"/>
      <c r="SVQ91" s="293"/>
      <c r="SVR91" s="294"/>
      <c r="SVX91" s="292"/>
      <c r="SVY91" s="293"/>
      <c r="SVZ91" s="294"/>
      <c r="SWF91" s="292"/>
      <c r="SWG91" s="293"/>
      <c r="SWH91" s="294"/>
      <c r="SWN91" s="292"/>
      <c r="SWO91" s="293"/>
      <c r="SWP91" s="294"/>
      <c r="SWV91" s="292"/>
      <c r="SWW91" s="293"/>
      <c r="SWX91" s="294"/>
      <c r="SXD91" s="292"/>
      <c r="SXE91" s="293"/>
      <c r="SXF91" s="294"/>
      <c r="SXL91" s="292"/>
      <c r="SXM91" s="293"/>
      <c r="SXN91" s="294"/>
      <c r="SXT91" s="292"/>
      <c r="SXU91" s="293"/>
      <c r="SXV91" s="294"/>
      <c r="SYB91" s="292"/>
      <c r="SYC91" s="293"/>
      <c r="SYD91" s="294"/>
      <c r="SYJ91" s="292"/>
      <c r="SYK91" s="293"/>
      <c r="SYL91" s="294"/>
      <c r="SYR91" s="292"/>
      <c r="SYS91" s="293"/>
      <c r="SYT91" s="294"/>
      <c r="SYZ91" s="292"/>
      <c r="SZA91" s="293"/>
      <c r="SZB91" s="294"/>
      <c r="SZH91" s="292"/>
      <c r="SZI91" s="293"/>
      <c r="SZJ91" s="294"/>
      <c r="SZP91" s="292"/>
      <c r="SZQ91" s="293"/>
      <c r="SZR91" s="294"/>
      <c r="SZX91" s="292"/>
      <c r="SZY91" s="293"/>
      <c r="SZZ91" s="294"/>
      <c r="TAF91" s="292"/>
      <c r="TAG91" s="293"/>
      <c r="TAH91" s="294"/>
      <c r="TAN91" s="292"/>
      <c r="TAO91" s="293"/>
      <c r="TAP91" s="294"/>
      <c r="TAV91" s="292"/>
      <c r="TAW91" s="293"/>
      <c r="TAX91" s="294"/>
      <c r="TBD91" s="292"/>
      <c r="TBE91" s="293"/>
      <c r="TBF91" s="294"/>
      <c r="TBL91" s="292"/>
      <c r="TBM91" s="293"/>
      <c r="TBN91" s="294"/>
      <c r="TBT91" s="292"/>
      <c r="TBU91" s="293"/>
      <c r="TBV91" s="294"/>
      <c r="TCB91" s="292"/>
      <c r="TCC91" s="293"/>
      <c r="TCD91" s="294"/>
      <c r="TCJ91" s="292"/>
      <c r="TCK91" s="293"/>
      <c r="TCL91" s="294"/>
      <c r="TCR91" s="292"/>
      <c r="TCS91" s="293"/>
      <c r="TCT91" s="294"/>
      <c r="TCZ91" s="292"/>
      <c r="TDA91" s="293"/>
      <c r="TDB91" s="294"/>
      <c r="TDH91" s="292"/>
      <c r="TDI91" s="293"/>
      <c r="TDJ91" s="294"/>
      <c r="TDP91" s="292"/>
      <c r="TDQ91" s="293"/>
      <c r="TDR91" s="294"/>
      <c r="TDX91" s="292"/>
      <c r="TDY91" s="293"/>
      <c r="TDZ91" s="294"/>
      <c r="TEF91" s="292"/>
      <c r="TEG91" s="293"/>
      <c r="TEH91" s="294"/>
      <c r="TEN91" s="292"/>
      <c r="TEO91" s="293"/>
      <c r="TEP91" s="294"/>
      <c r="TEV91" s="292"/>
      <c r="TEW91" s="293"/>
      <c r="TEX91" s="294"/>
      <c r="TFD91" s="292"/>
      <c r="TFE91" s="293"/>
      <c r="TFF91" s="294"/>
      <c r="TFL91" s="292"/>
      <c r="TFM91" s="293"/>
      <c r="TFN91" s="294"/>
      <c r="TFT91" s="292"/>
      <c r="TFU91" s="293"/>
      <c r="TFV91" s="294"/>
      <c r="TGB91" s="292"/>
      <c r="TGC91" s="293"/>
      <c r="TGD91" s="294"/>
      <c r="TGJ91" s="292"/>
      <c r="TGK91" s="293"/>
      <c r="TGL91" s="294"/>
      <c r="TGR91" s="292"/>
      <c r="TGS91" s="293"/>
      <c r="TGT91" s="294"/>
      <c r="TGZ91" s="292"/>
      <c r="THA91" s="293"/>
      <c r="THB91" s="294"/>
      <c r="THH91" s="292"/>
      <c r="THI91" s="293"/>
      <c r="THJ91" s="294"/>
      <c r="THP91" s="292"/>
      <c r="THQ91" s="293"/>
      <c r="THR91" s="294"/>
      <c r="THX91" s="292"/>
      <c r="THY91" s="293"/>
      <c r="THZ91" s="294"/>
      <c r="TIF91" s="292"/>
      <c r="TIG91" s="293"/>
      <c r="TIH91" s="294"/>
      <c r="TIN91" s="292"/>
      <c r="TIO91" s="293"/>
      <c r="TIP91" s="294"/>
      <c r="TIV91" s="292"/>
      <c r="TIW91" s="293"/>
      <c r="TIX91" s="294"/>
      <c r="TJD91" s="292"/>
      <c r="TJE91" s="293"/>
      <c r="TJF91" s="294"/>
      <c r="TJL91" s="292"/>
      <c r="TJM91" s="293"/>
      <c r="TJN91" s="294"/>
      <c r="TJT91" s="292"/>
      <c r="TJU91" s="293"/>
      <c r="TJV91" s="294"/>
      <c r="TKB91" s="292"/>
      <c r="TKC91" s="293"/>
      <c r="TKD91" s="294"/>
      <c r="TKJ91" s="292"/>
      <c r="TKK91" s="293"/>
      <c r="TKL91" s="294"/>
      <c r="TKR91" s="292"/>
      <c r="TKS91" s="293"/>
      <c r="TKT91" s="294"/>
      <c r="TKZ91" s="292"/>
      <c r="TLA91" s="293"/>
      <c r="TLB91" s="294"/>
      <c r="TLH91" s="292"/>
      <c r="TLI91" s="293"/>
      <c r="TLJ91" s="294"/>
      <c r="TLP91" s="292"/>
      <c r="TLQ91" s="293"/>
      <c r="TLR91" s="294"/>
      <c r="TLX91" s="292"/>
      <c r="TLY91" s="293"/>
      <c r="TLZ91" s="294"/>
      <c r="TMF91" s="292"/>
      <c r="TMG91" s="293"/>
      <c r="TMH91" s="294"/>
      <c r="TMN91" s="292"/>
      <c r="TMO91" s="293"/>
      <c r="TMP91" s="294"/>
      <c r="TMV91" s="292"/>
      <c r="TMW91" s="293"/>
      <c r="TMX91" s="294"/>
      <c r="TND91" s="292"/>
      <c r="TNE91" s="293"/>
      <c r="TNF91" s="294"/>
      <c r="TNL91" s="292"/>
      <c r="TNM91" s="293"/>
      <c r="TNN91" s="294"/>
      <c r="TNT91" s="292"/>
      <c r="TNU91" s="293"/>
      <c r="TNV91" s="294"/>
      <c r="TOB91" s="292"/>
      <c r="TOC91" s="293"/>
      <c r="TOD91" s="294"/>
      <c r="TOJ91" s="292"/>
      <c r="TOK91" s="293"/>
      <c r="TOL91" s="294"/>
      <c r="TOR91" s="292"/>
      <c r="TOS91" s="293"/>
      <c r="TOT91" s="294"/>
      <c r="TOZ91" s="292"/>
      <c r="TPA91" s="293"/>
      <c r="TPB91" s="294"/>
      <c r="TPH91" s="292"/>
      <c r="TPI91" s="293"/>
      <c r="TPJ91" s="294"/>
      <c r="TPP91" s="292"/>
      <c r="TPQ91" s="293"/>
      <c r="TPR91" s="294"/>
      <c r="TPX91" s="292"/>
      <c r="TPY91" s="293"/>
      <c r="TPZ91" s="294"/>
      <c r="TQF91" s="292"/>
      <c r="TQG91" s="293"/>
      <c r="TQH91" s="294"/>
      <c r="TQN91" s="292"/>
      <c r="TQO91" s="293"/>
      <c r="TQP91" s="294"/>
      <c r="TQV91" s="292"/>
      <c r="TQW91" s="293"/>
      <c r="TQX91" s="294"/>
      <c r="TRD91" s="292"/>
      <c r="TRE91" s="293"/>
      <c r="TRF91" s="294"/>
      <c r="TRL91" s="292"/>
      <c r="TRM91" s="293"/>
      <c r="TRN91" s="294"/>
      <c r="TRT91" s="292"/>
      <c r="TRU91" s="293"/>
      <c r="TRV91" s="294"/>
      <c r="TSB91" s="292"/>
      <c r="TSC91" s="293"/>
      <c r="TSD91" s="294"/>
      <c r="TSJ91" s="292"/>
      <c r="TSK91" s="293"/>
      <c r="TSL91" s="294"/>
      <c r="TSR91" s="292"/>
      <c r="TSS91" s="293"/>
      <c r="TST91" s="294"/>
      <c r="TSZ91" s="292"/>
      <c r="TTA91" s="293"/>
      <c r="TTB91" s="294"/>
      <c r="TTH91" s="292"/>
      <c r="TTI91" s="293"/>
      <c r="TTJ91" s="294"/>
      <c r="TTP91" s="292"/>
      <c r="TTQ91" s="293"/>
      <c r="TTR91" s="294"/>
      <c r="TTX91" s="292"/>
      <c r="TTY91" s="293"/>
      <c r="TTZ91" s="294"/>
      <c r="TUF91" s="292"/>
      <c r="TUG91" s="293"/>
      <c r="TUH91" s="294"/>
      <c r="TUN91" s="292"/>
      <c r="TUO91" s="293"/>
      <c r="TUP91" s="294"/>
      <c r="TUV91" s="292"/>
      <c r="TUW91" s="293"/>
      <c r="TUX91" s="294"/>
      <c r="TVD91" s="292"/>
      <c r="TVE91" s="293"/>
      <c r="TVF91" s="294"/>
      <c r="TVL91" s="292"/>
      <c r="TVM91" s="293"/>
      <c r="TVN91" s="294"/>
      <c r="TVT91" s="292"/>
      <c r="TVU91" s="293"/>
      <c r="TVV91" s="294"/>
      <c r="TWB91" s="292"/>
      <c r="TWC91" s="293"/>
      <c r="TWD91" s="294"/>
      <c r="TWJ91" s="292"/>
      <c r="TWK91" s="293"/>
      <c r="TWL91" s="294"/>
      <c r="TWR91" s="292"/>
      <c r="TWS91" s="293"/>
      <c r="TWT91" s="294"/>
      <c r="TWZ91" s="292"/>
      <c r="TXA91" s="293"/>
      <c r="TXB91" s="294"/>
      <c r="TXH91" s="292"/>
      <c r="TXI91" s="293"/>
      <c r="TXJ91" s="294"/>
      <c r="TXP91" s="292"/>
      <c r="TXQ91" s="293"/>
      <c r="TXR91" s="294"/>
      <c r="TXX91" s="292"/>
      <c r="TXY91" s="293"/>
      <c r="TXZ91" s="294"/>
      <c r="TYF91" s="292"/>
      <c r="TYG91" s="293"/>
      <c r="TYH91" s="294"/>
      <c r="TYN91" s="292"/>
      <c r="TYO91" s="293"/>
      <c r="TYP91" s="294"/>
      <c r="TYV91" s="292"/>
      <c r="TYW91" s="293"/>
      <c r="TYX91" s="294"/>
      <c r="TZD91" s="292"/>
      <c r="TZE91" s="293"/>
      <c r="TZF91" s="294"/>
      <c r="TZL91" s="292"/>
      <c r="TZM91" s="293"/>
      <c r="TZN91" s="294"/>
      <c r="TZT91" s="292"/>
      <c r="TZU91" s="293"/>
      <c r="TZV91" s="294"/>
      <c r="UAB91" s="292"/>
      <c r="UAC91" s="293"/>
      <c r="UAD91" s="294"/>
      <c r="UAJ91" s="292"/>
      <c r="UAK91" s="293"/>
      <c r="UAL91" s="294"/>
      <c r="UAR91" s="292"/>
      <c r="UAS91" s="293"/>
      <c r="UAT91" s="294"/>
      <c r="UAZ91" s="292"/>
      <c r="UBA91" s="293"/>
      <c r="UBB91" s="294"/>
      <c r="UBH91" s="292"/>
      <c r="UBI91" s="293"/>
      <c r="UBJ91" s="294"/>
      <c r="UBP91" s="292"/>
      <c r="UBQ91" s="293"/>
      <c r="UBR91" s="294"/>
      <c r="UBX91" s="292"/>
      <c r="UBY91" s="293"/>
      <c r="UBZ91" s="294"/>
      <c r="UCF91" s="292"/>
      <c r="UCG91" s="293"/>
      <c r="UCH91" s="294"/>
      <c r="UCN91" s="292"/>
      <c r="UCO91" s="293"/>
      <c r="UCP91" s="294"/>
      <c r="UCV91" s="292"/>
      <c r="UCW91" s="293"/>
      <c r="UCX91" s="294"/>
      <c r="UDD91" s="292"/>
      <c r="UDE91" s="293"/>
      <c r="UDF91" s="294"/>
      <c r="UDL91" s="292"/>
      <c r="UDM91" s="293"/>
      <c r="UDN91" s="294"/>
      <c r="UDT91" s="292"/>
      <c r="UDU91" s="293"/>
      <c r="UDV91" s="294"/>
      <c r="UEB91" s="292"/>
      <c r="UEC91" s="293"/>
      <c r="UED91" s="294"/>
      <c r="UEJ91" s="292"/>
      <c r="UEK91" s="293"/>
      <c r="UEL91" s="294"/>
      <c r="UER91" s="292"/>
      <c r="UES91" s="293"/>
      <c r="UET91" s="294"/>
      <c r="UEZ91" s="292"/>
      <c r="UFA91" s="293"/>
      <c r="UFB91" s="294"/>
      <c r="UFH91" s="292"/>
      <c r="UFI91" s="293"/>
      <c r="UFJ91" s="294"/>
      <c r="UFP91" s="292"/>
      <c r="UFQ91" s="293"/>
      <c r="UFR91" s="294"/>
      <c r="UFX91" s="292"/>
      <c r="UFY91" s="293"/>
      <c r="UFZ91" s="294"/>
      <c r="UGF91" s="292"/>
      <c r="UGG91" s="293"/>
      <c r="UGH91" s="294"/>
      <c r="UGN91" s="292"/>
      <c r="UGO91" s="293"/>
      <c r="UGP91" s="294"/>
      <c r="UGV91" s="292"/>
      <c r="UGW91" s="293"/>
      <c r="UGX91" s="294"/>
      <c r="UHD91" s="292"/>
      <c r="UHE91" s="293"/>
      <c r="UHF91" s="294"/>
      <c r="UHL91" s="292"/>
      <c r="UHM91" s="293"/>
      <c r="UHN91" s="294"/>
      <c r="UHT91" s="292"/>
      <c r="UHU91" s="293"/>
      <c r="UHV91" s="294"/>
      <c r="UIB91" s="292"/>
      <c r="UIC91" s="293"/>
      <c r="UID91" s="294"/>
      <c r="UIJ91" s="292"/>
      <c r="UIK91" s="293"/>
      <c r="UIL91" s="294"/>
      <c r="UIR91" s="292"/>
      <c r="UIS91" s="293"/>
      <c r="UIT91" s="294"/>
      <c r="UIZ91" s="292"/>
      <c r="UJA91" s="293"/>
      <c r="UJB91" s="294"/>
      <c r="UJH91" s="292"/>
      <c r="UJI91" s="293"/>
      <c r="UJJ91" s="294"/>
      <c r="UJP91" s="292"/>
      <c r="UJQ91" s="293"/>
      <c r="UJR91" s="294"/>
      <c r="UJX91" s="292"/>
      <c r="UJY91" s="293"/>
      <c r="UJZ91" s="294"/>
      <c r="UKF91" s="292"/>
      <c r="UKG91" s="293"/>
      <c r="UKH91" s="294"/>
      <c r="UKN91" s="292"/>
      <c r="UKO91" s="293"/>
      <c r="UKP91" s="294"/>
      <c r="UKV91" s="292"/>
      <c r="UKW91" s="293"/>
      <c r="UKX91" s="294"/>
      <c r="ULD91" s="292"/>
      <c r="ULE91" s="293"/>
      <c r="ULF91" s="294"/>
      <c r="ULL91" s="292"/>
      <c r="ULM91" s="293"/>
      <c r="ULN91" s="294"/>
      <c r="ULT91" s="292"/>
      <c r="ULU91" s="293"/>
      <c r="ULV91" s="294"/>
      <c r="UMB91" s="292"/>
      <c r="UMC91" s="293"/>
      <c r="UMD91" s="294"/>
      <c r="UMJ91" s="292"/>
      <c r="UMK91" s="293"/>
      <c r="UML91" s="294"/>
      <c r="UMR91" s="292"/>
      <c r="UMS91" s="293"/>
      <c r="UMT91" s="294"/>
      <c r="UMZ91" s="292"/>
      <c r="UNA91" s="293"/>
      <c r="UNB91" s="294"/>
      <c r="UNH91" s="292"/>
      <c r="UNI91" s="293"/>
      <c r="UNJ91" s="294"/>
      <c r="UNP91" s="292"/>
      <c r="UNQ91" s="293"/>
      <c r="UNR91" s="294"/>
      <c r="UNX91" s="292"/>
      <c r="UNY91" s="293"/>
      <c r="UNZ91" s="294"/>
      <c r="UOF91" s="292"/>
      <c r="UOG91" s="293"/>
      <c r="UOH91" s="294"/>
      <c r="UON91" s="292"/>
      <c r="UOO91" s="293"/>
      <c r="UOP91" s="294"/>
      <c r="UOV91" s="292"/>
      <c r="UOW91" s="293"/>
      <c r="UOX91" s="294"/>
      <c r="UPD91" s="292"/>
      <c r="UPE91" s="293"/>
      <c r="UPF91" s="294"/>
      <c r="UPL91" s="292"/>
      <c r="UPM91" s="293"/>
      <c r="UPN91" s="294"/>
      <c r="UPT91" s="292"/>
      <c r="UPU91" s="293"/>
      <c r="UPV91" s="294"/>
      <c r="UQB91" s="292"/>
      <c r="UQC91" s="293"/>
      <c r="UQD91" s="294"/>
      <c r="UQJ91" s="292"/>
      <c r="UQK91" s="293"/>
      <c r="UQL91" s="294"/>
      <c r="UQR91" s="292"/>
      <c r="UQS91" s="293"/>
      <c r="UQT91" s="294"/>
      <c r="UQZ91" s="292"/>
      <c r="URA91" s="293"/>
      <c r="URB91" s="294"/>
      <c r="URH91" s="292"/>
      <c r="URI91" s="293"/>
      <c r="URJ91" s="294"/>
      <c r="URP91" s="292"/>
      <c r="URQ91" s="293"/>
      <c r="URR91" s="294"/>
      <c r="URX91" s="292"/>
      <c r="URY91" s="293"/>
      <c r="URZ91" s="294"/>
      <c r="USF91" s="292"/>
      <c r="USG91" s="293"/>
      <c r="USH91" s="294"/>
      <c r="USN91" s="292"/>
      <c r="USO91" s="293"/>
      <c r="USP91" s="294"/>
      <c r="USV91" s="292"/>
      <c r="USW91" s="293"/>
      <c r="USX91" s="294"/>
      <c r="UTD91" s="292"/>
      <c r="UTE91" s="293"/>
      <c r="UTF91" s="294"/>
      <c r="UTL91" s="292"/>
      <c r="UTM91" s="293"/>
      <c r="UTN91" s="294"/>
      <c r="UTT91" s="292"/>
      <c r="UTU91" s="293"/>
      <c r="UTV91" s="294"/>
      <c r="UUB91" s="292"/>
      <c r="UUC91" s="293"/>
      <c r="UUD91" s="294"/>
      <c r="UUJ91" s="292"/>
      <c r="UUK91" s="293"/>
      <c r="UUL91" s="294"/>
      <c r="UUR91" s="292"/>
      <c r="UUS91" s="293"/>
      <c r="UUT91" s="294"/>
      <c r="UUZ91" s="292"/>
      <c r="UVA91" s="293"/>
      <c r="UVB91" s="294"/>
      <c r="UVH91" s="292"/>
      <c r="UVI91" s="293"/>
      <c r="UVJ91" s="294"/>
      <c r="UVP91" s="292"/>
      <c r="UVQ91" s="293"/>
      <c r="UVR91" s="294"/>
      <c r="UVX91" s="292"/>
      <c r="UVY91" s="293"/>
      <c r="UVZ91" s="294"/>
      <c r="UWF91" s="292"/>
      <c r="UWG91" s="293"/>
      <c r="UWH91" s="294"/>
      <c r="UWN91" s="292"/>
      <c r="UWO91" s="293"/>
      <c r="UWP91" s="294"/>
      <c r="UWV91" s="292"/>
      <c r="UWW91" s="293"/>
      <c r="UWX91" s="294"/>
      <c r="UXD91" s="292"/>
      <c r="UXE91" s="293"/>
      <c r="UXF91" s="294"/>
      <c r="UXL91" s="292"/>
      <c r="UXM91" s="293"/>
      <c r="UXN91" s="294"/>
      <c r="UXT91" s="292"/>
      <c r="UXU91" s="293"/>
      <c r="UXV91" s="294"/>
      <c r="UYB91" s="292"/>
      <c r="UYC91" s="293"/>
      <c r="UYD91" s="294"/>
      <c r="UYJ91" s="292"/>
      <c r="UYK91" s="293"/>
      <c r="UYL91" s="294"/>
      <c r="UYR91" s="292"/>
      <c r="UYS91" s="293"/>
      <c r="UYT91" s="294"/>
      <c r="UYZ91" s="292"/>
      <c r="UZA91" s="293"/>
      <c r="UZB91" s="294"/>
      <c r="UZH91" s="292"/>
      <c r="UZI91" s="293"/>
      <c r="UZJ91" s="294"/>
      <c r="UZP91" s="292"/>
      <c r="UZQ91" s="293"/>
      <c r="UZR91" s="294"/>
      <c r="UZX91" s="292"/>
      <c r="UZY91" s="293"/>
      <c r="UZZ91" s="294"/>
      <c r="VAF91" s="292"/>
      <c r="VAG91" s="293"/>
      <c r="VAH91" s="294"/>
      <c r="VAN91" s="292"/>
      <c r="VAO91" s="293"/>
      <c r="VAP91" s="294"/>
      <c r="VAV91" s="292"/>
      <c r="VAW91" s="293"/>
      <c r="VAX91" s="294"/>
      <c r="VBD91" s="292"/>
      <c r="VBE91" s="293"/>
      <c r="VBF91" s="294"/>
      <c r="VBL91" s="292"/>
      <c r="VBM91" s="293"/>
      <c r="VBN91" s="294"/>
      <c r="VBT91" s="292"/>
      <c r="VBU91" s="293"/>
      <c r="VBV91" s="294"/>
      <c r="VCB91" s="292"/>
      <c r="VCC91" s="293"/>
      <c r="VCD91" s="294"/>
      <c r="VCJ91" s="292"/>
      <c r="VCK91" s="293"/>
      <c r="VCL91" s="294"/>
      <c r="VCR91" s="292"/>
      <c r="VCS91" s="293"/>
      <c r="VCT91" s="294"/>
      <c r="VCZ91" s="292"/>
      <c r="VDA91" s="293"/>
      <c r="VDB91" s="294"/>
      <c r="VDH91" s="292"/>
      <c r="VDI91" s="293"/>
      <c r="VDJ91" s="294"/>
      <c r="VDP91" s="292"/>
      <c r="VDQ91" s="293"/>
      <c r="VDR91" s="294"/>
      <c r="VDX91" s="292"/>
      <c r="VDY91" s="293"/>
      <c r="VDZ91" s="294"/>
      <c r="VEF91" s="292"/>
      <c r="VEG91" s="293"/>
      <c r="VEH91" s="294"/>
      <c r="VEN91" s="292"/>
      <c r="VEO91" s="293"/>
      <c r="VEP91" s="294"/>
      <c r="VEV91" s="292"/>
      <c r="VEW91" s="293"/>
      <c r="VEX91" s="294"/>
      <c r="VFD91" s="292"/>
      <c r="VFE91" s="293"/>
      <c r="VFF91" s="294"/>
      <c r="VFL91" s="292"/>
      <c r="VFM91" s="293"/>
      <c r="VFN91" s="294"/>
      <c r="VFT91" s="292"/>
      <c r="VFU91" s="293"/>
      <c r="VFV91" s="294"/>
      <c r="VGB91" s="292"/>
      <c r="VGC91" s="293"/>
      <c r="VGD91" s="294"/>
      <c r="VGJ91" s="292"/>
      <c r="VGK91" s="293"/>
      <c r="VGL91" s="294"/>
      <c r="VGR91" s="292"/>
      <c r="VGS91" s="293"/>
      <c r="VGT91" s="294"/>
      <c r="VGZ91" s="292"/>
      <c r="VHA91" s="293"/>
      <c r="VHB91" s="294"/>
      <c r="VHH91" s="292"/>
      <c r="VHI91" s="293"/>
      <c r="VHJ91" s="294"/>
      <c r="VHP91" s="292"/>
      <c r="VHQ91" s="293"/>
      <c r="VHR91" s="294"/>
      <c r="VHX91" s="292"/>
      <c r="VHY91" s="293"/>
      <c r="VHZ91" s="294"/>
      <c r="VIF91" s="292"/>
      <c r="VIG91" s="293"/>
      <c r="VIH91" s="294"/>
      <c r="VIN91" s="292"/>
      <c r="VIO91" s="293"/>
      <c r="VIP91" s="294"/>
      <c r="VIV91" s="292"/>
      <c r="VIW91" s="293"/>
      <c r="VIX91" s="294"/>
      <c r="VJD91" s="292"/>
      <c r="VJE91" s="293"/>
      <c r="VJF91" s="294"/>
      <c r="VJL91" s="292"/>
      <c r="VJM91" s="293"/>
      <c r="VJN91" s="294"/>
      <c r="VJT91" s="292"/>
      <c r="VJU91" s="293"/>
      <c r="VJV91" s="294"/>
      <c r="VKB91" s="292"/>
      <c r="VKC91" s="293"/>
      <c r="VKD91" s="294"/>
      <c r="VKJ91" s="292"/>
      <c r="VKK91" s="293"/>
      <c r="VKL91" s="294"/>
      <c r="VKR91" s="292"/>
      <c r="VKS91" s="293"/>
      <c r="VKT91" s="294"/>
      <c r="VKZ91" s="292"/>
      <c r="VLA91" s="293"/>
      <c r="VLB91" s="294"/>
      <c r="VLH91" s="292"/>
      <c r="VLI91" s="293"/>
      <c r="VLJ91" s="294"/>
      <c r="VLP91" s="292"/>
      <c r="VLQ91" s="293"/>
      <c r="VLR91" s="294"/>
      <c r="VLX91" s="292"/>
      <c r="VLY91" s="293"/>
      <c r="VLZ91" s="294"/>
      <c r="VMF91" s="292"/>
      <c r="VMG91" s="293"/>
      <c r="VMH91" s="294"/>
      <c r="VMN91" s="292"/>
      <c r="VMO91" s="293"/>
      <c r="VMP91" s="294"/>
      <c r="VMV91" s="292"/>
      <c r="VMW91" s="293"/>
      <c r="VMX91" s="294"/>
      <c r="VND91" s="292"/>
      <c r="VNE91" s="293"/>
      <c r="VNF91" s="294"/>
      <c r="VNL91" s="292"/>
      <c r="VNM91" s="293"/>
      <c r="VNN91" s="294"/>
      <c r="VNT91" s="292"/>
      <c r="VNU91" s="293"/>
      <c r="VNV91" s="294"/>
      <c r="VOB91" s="292"/>
      <c r="VOC91" s="293"/>
      <c r="VOD91" s="294"/>
      <c r="VOJ91" s="292"/>
      <c r="VOK91" s="293"/>
      <c r="VOL91" s="294"/>
      <c r="VOR91" s="292"/>
      <c r="VOS91" s="293"/>
      <c r="VOT91" s="294"/>
      <c r="VOZ91" s="292"/>
      <c r="VPA91" s="293"/>
      <c r="VPB91" s="294"/>
      <c r="VPH91" s="292"/>
      <c r="VPI91" s="293"/>
      <c r="VPJ91" s="294"/>
      <c r="VPP91" s="292"/>
      <c r="VPQ91" s="293"/>
      <c r="VPR91" s="294"/>
      <c r="VPX91" s="292"/>
      <c r="VPY91" s="293"/>
      <c r="VPZ91" s="294"/>
      <c r="VQF91" s="292"/>
      <c r="VQG91" s="293"/>
      <c r="VQH91" s="294"/>
      <c r="VQN91" s="292"/>
      <c r="VQO91" s="293"/>
      <c r="VQP91" s="294"/>
      <c r="VQV91" s="292"/>
      <c r="VQW91" s="293"/>
      <c r="VQX91" s="294"/>
      <c r="VRD91" s="292"/>
      <c r="VRE91" s="293"/>
      <c r="VRF91" s="294"/>
      <c r="VRL91" s="292"/>
      <c r="VRM91" s="293"/>
      <c r="VRN91" s="294"/>
      <c r="VRT91" s="292"/>
      <c r="VRU91" s="293"/>
      <c r="VRV91" s="294"/>
      <c r="VSB91" s="292"/>
      <c r="VSC91" s="293"/>
      <c r="VSD91" s="294"/>
      <c r="VSJ91" s="292"/>
      <c r="VSK91" s="293"/>
      <c r="VSL91" s="294"/>
      <c r="VSR91" s="292"/>
      <c r="VSS91" s="293"/>
      <c r="VST91" s="294"/>
      <c r="VSZ91" s="292"/>
      <c r="VTA91" s="293"/>
      <c r="VTB91" s="294"/>
      <c r="VTH91" s="292"/>
      <c r="VTI91" s="293"/>
      <c r="VTJ91" s="294"/>
      <c r="VTP91" s="292"/>
      <c r="VTQ91" s="293"/>
      <c r="VTR91" s="294"/>
      <c r="VTX91" s="292"/>
      <c r="VTY91" s="293"/>
      <c r="VTZ91" s="294"/>
      <c r="VUF91" s="292"/>
      <c r="VUG91" s="293"/>
      <c r="VUH91" s="294"/>
      <c r="VUN91" s="292"/>
      <c r="VUO91" s="293"/>
      <c r="VUP91" s="294"/>
      <c r="VUV91" s="292"/>
      <c r="VUW91" s="293"/>
      <c r="VUX91" s="294"/>
      <c r="VVD91" s="292"/>
      <c r="VVE91" s="293"/>
      <c r="VVF91" s="294"/>
      <c r="VVL91" s="292"/>
      <c r="VVM91" s="293"/>
      <c r="VVN91" s="294"/>
      <c r="VVT91" s="292"/>
      <c r="VVU91" s="293"/>
      <c r="VVV91" s="294"/>
      <c r="VWB91" s="292"/>
      <c r="VWC91" s="293"/>
      <c r="VWD91" s="294"/>
      <c r="VWJ91" s="292"/>
      <c r="VWK91" s="293"/>
      <c r="VWL91" s="294"/>
      <c r="VWR91" s="292"/>
      <c r="VWS91" s="293"/>
      <c r="VWT91" s="294"/>
      <c r="VWZ91" s="292"/>
      <c r="VXA91" s="293"/>
      <c r="VXB91" s="294"/>
      <c r="VXH91" s="292"/>
      <c r="VXI91" s="293"/>
      <c r="VXJ91" s="294"/>
      <c r="VXP91" s="292"/>
      <c r="VXQ91" s="293"/>
      <c r="VXR91" s="294"/>
      <c r="VXX91" s="292"/>
      <c r="VXY91" s="293"/>
      <c r="VXZ91" s="294"/>
      <c r="VYF91" s="292"/>
      <c r="VYG91" s="293"/>
      <c r="VYH91" s="294"/>
      <c r="VYN91" s="292"/>
      <c r="VYO91" s="293"/>
      <c r="VYP91" s="294"/>
      <c r="VYV91" s="292"/>
      <c r="VYW91" s="293"/>
      <c r="VYX91" s="294"/>
      <c r="VZD91" s="292"/>
      <c r="VZE91" s="293"/>
      <c r="VZF91" s="294"/>
      <c r="VZL91" s="292"/>
      <c r="VZM91" s="293"/>
      <c r="VZN91" s="294"/>
      <c r="VZT91" s="292"/>
      <c r="VZU91" s="293"/>
      <c r="VZV91" s="294"/>
      <c r="WAB91" s="292"/>
      <c r="WAC91" s="293"/>
      <c r="WAD91" s="294"/>
      <c r="WAJ91" s="292"/>
      <c r="WAK91" s="293"/>
      <c r="WAL91" s="294"/>
      <c r="WAR91" s="292"/>
      <c r="WAS91" s="293"/>
      <c r="WAT91" s="294"/>
      <c r="WAZ91" s="292"/>
      <c r="WBA91" s="293"/>
      <c r="WBB91" s="294"/>
      <c r="WBH91" s="292"/>
      <c r="WBI91" s="293"/>
      <c r="WBJ91" s="294"/>
      <c r="WBP91" s="292"/>
      <c r="WBQ91" s="293"/>
      <c r="WBR91" s="294"/>
      <c r="WBX91" s="292"/>
      <c r="WBY91" s="293"/>
      <c r="WBZ91" s="294"/>
      <c r="WCF91" s="292"/>
      <c r="WCG91" s="293"/>
      <c r="WCH91" s="294"/>
      <c r="WCN91" s="292"/>
      <c r="WCO91" s="293"/>
      <c r="WCP91" s="294"/>
      <c r="WCV91" s="292"/>
      <c r="WCW91" s="293"/>
      <c r="WCX91" s="294"/>
      <c r="WDD91" s="292"/>
      <c r="WDE91" s="293"/>
      <c r="WDF91" s="294"/>
      <c r="WDL91" s="292"/>
      <c r="WDM91" s="293"/>
      <c r="WDN91" s="294"/>
      <c r="WDT91" s="292"/>
      <c r="WDU91" s="293"/>
      <c r="WDV91" s="294"/>
      <c r="WEB91" s="292"/>
      <c r="WEC91" s="293"/>
      <c r="WED91" s="294"/>
      <c r="WEJ91" s="292"/>
      <c r="WEK91" s="293"/>
      <c r="WEL91" s="294"/>
      <c r="WER91" s="292"/>
      <c r="WES91" s="293"/>
      <c r="WET91" s="294"/>
      <c r="WEZ91" s="292"/>
      <c r="WFA91" s="293"/>
      <c r="WFB91" s="294"/>
      <c r="WFH91" s="292"/>
      <c r="WFI91" s="293"/>
      <c r="WFJ91" s="294"/>
      <c r="WFP91" s="292"/>
      <c r="WFQ91" s="293"/>
      <c r="WFR91" s="294"/>
      <c r="WFX91" s="292"/>
      <c r="WFY91" s="293"/>
      <c r="WFZ91" s="294"/>
      <c r="WGF91" s="292"/>
      <c r="WGG91" s="293"/>
      <c r="WGH91" s="294"/>
      <c r="WGN91" s="292"/>
      <c r="WGO91" s="293"/>
      <c r="WGP91" s="294"/>
      <c r="WGV91" s="292"/>
      <c r="WGW91" s="293"/>
      <c r="WGX91" s="294"/>
      <c r="WHD91" s="292"/>
      <c r="WHE91" s="293"/>
      <c r="WHF91" s="294"/>
      <c r="WHL91" s="292"/>
      <c r="WHM91" s="293"/>
      <c r="WHN91" s="294"/>
      <c r="WHT91" s="292"/>
      <c r="WHU91" s="293"/>
      <c r="WHV91" s="294"/>
      <c r="WIB91" s="292"/>
      <c r="WIC91" s="293"/>
      <c r="WID91" s="294"/>
      <c r="WIJ91" s="292"/>
      <c r="WIK91" s="293"/>
      <c r="WIL91" s="294"/>
      <c r="WIR91" s="292"/>
      <c r="WIS91" s="293"/>
      <c r="WIT91" s="294"/>
      <c r="WIZ91" s="292"/>
      <c r="WJA91" s="293"/>
      <c r="WJB91" s="294"/>
      <c r="WJH91" s="292"/>
      <c r="WJI91" s="293"/>
      <c r="WJJ91" s="294"/>
      <c r="WJP91" s="292"/>
      <c r="WJQ91" s="293"/>
      <c r="WJR91" s="294"/>
      <c r="WJX91" s="292"/>
      <c r="WJY91" s="293"/>
      <c r="WJZ91" s="294"/>
      <c r="WKF91" s="292"/>
      <c r="WKG91" s="293"/>
      <c r="WKH91" s="294"/>
      <c r="WKN91" s="292"/>
      <c r="WKO91" s="293"/>
      <c r="WKP91" s="294"/>
      <c r="WKV91" s="292"/>
      <c r="WKW91" s="293"/>
      <c r="WKX91" s="294"/>
      <c r="WLD91" s="292"/>
      <c r="WLE91" s="293"/>
      <c r="WLF91" s="294"/>
      <c r="WLL91" s="292"/>
      <c r="WLM91" s="293"/>
      <c r="WLN91" s="294"/>
      <c r="WLT91" s="292"/>
      <c r="WLU91" s="293"/>
      <c r="WLV91" s="294"/>
      <c r="WMB91" s="292"/>
      <c r="WMC91" s="293"/>
      <c r="WMD91" s="294"/>
      <c r="WMJ91" s="292"/>
      <c r="WMK91" s="293"/>
      <c r="WML91" s="294"/>
      <c r="WMR91" s="292"/>
      <c r="WMS91" s="293"/>
      <c r="WMT91" s="294"/>
      <c r="WMZ91" s="292"/>
      <c r="WNA91" s="293"/>
      <c r="WNB91" s="294"/>
      <c r="WNH91" s="292"/>
      <c r="WNI91" s="293"/>
      <c r="WNJ91" s="294"/>
      <c r="WNP91" s="292"/>
      <c r="WNQ91" s="293"/>
      <c r="WNR91" s="294"/>
      <c r="WNX91" s="292"/>
      <c r="WNY91" s="293"/>
      <c r="WNZ91" s="294"/>
      <c r="WOF91" s="292"/>
      <c r="WOG91" s="293"/>
      <c r="WOH91" s="294"/>
      <c r="WON91" s="292"/>
      <c r="WOO91" s="293"/>
      <c r="WOP91" s="294"/>
      <c r="WOV91" s="292"/>
      <c r="WOW91" s="293"/>
      <c r="WOX91" s="294"/>
      <c r="WPD91" s="292"/>
      <c r="WPE91" s="293"/>
      <c r="WPF91" s="294"/>
      <c r="WPL91" s="292"/>
      <c r="WPM91" s="293"/>
      <c r="WPN91" s="294"/>
      <c r="WPT91" s="292"/>
      <c r="WPU91" s="293"/>
      <c r="WPV91" s="294"/>
      <c r="WQB91" s="292"/>
      <c r="WQC91" s="293"/>
      <c r="WQD91" s="294"/>
      <c r="WQJ91" s="292"/>
      <c r="WQK91" s="293"/>
      <c r="WQL91" s="294"/>
      <c r="WQR91" s="292"/>
      <c r="WQS91" s="293"/>
      <c r="WQT91" s="294"/>
      <c r="WQZ91" s="292"/>
      <c r="WRA91" s="293"/>
      <c r="WRB91" s="294"/>
      <c r="WRH91" s="292"/>
      <c r="WRI91" s="293"/>
      <c r="WRJ91" s="294"/>
      <c r="WRP91" s="292"/>
      <c r="WRQ91" s="293"/>
      <c r="WRR91" s="294"/>
      <c r="WRX91" s="292"/>
      <c r="WRY91" s="293"/>
      <c r="WRZ91" s="294"/>
      <c r="WSF91" s="292"/>
      <c r="WSG91" s="293"/>
      <c r="WSH91" s="294"/>
      <c r="WSN91" s="292"/>
      <c r="WSO91" s="293"/>
      <c r="WSP91" s="294"/>
      <c r="WSV91" s="292"/>
      <c r="WSW91" s="293"/>
      <c r="WSX91" s="294"/>
      <c r="WTD91" s="292"/>
      <c r="WTE91" s="293"/>
      <c r="WTF91" s="294"/>
      <c r="WTL91" s="292"/>
      <c r="WTM91" s="293"/>
      <c r="WTN91" s="294"/>
      <c r="WTT91" s="292"/>
      <c r="WTU91" s="293"/>
      <c r="WTV91" s="294"/>
      <c r="WUB91" s="292"/>
      <c r="WUC91" s="293"/>
      <c r="WUD91" s="294"/>
      <c r="WUJ91" s="292"/>
      <c r="WUK91" s="293"/>
      <c r="WUL91" s="294"/>
      <c r="WUR91" s="292"/>
      <c r="WUS91" s="293"/>
      <c r="WUT91" s="294"/>
      <c r="WUZ91" s="292"/>
      <c r="WVA91" s="293"/>
      <c r="WVB91" s="294"/>
      <c r="WVH91" s="292"/>
      <c r="WVI91" s="293"/>
      <c r="WVJ91" s="294"/>
      <c r="WVP91" s="292"/>
      <c r="WVQ91" s="293"/>
      <c r="WVR91" s="294"/>
      <c r="WVX91" s="292"/>
      <c r="WVY91" s="293"/>
      <c r="WVZ91" s="294"/>
      <c r="WWF91" s="292"/>
      <c r="WWG91" s="293"/>
      <c r="WWH91" s="294"/>
      <c r="WWN91" s="292"/>
      <c r="WWO91" s="293"/>
      <c r="WWP91" s="294"/>
      <c r="WWV91" s="292"/>
      <c r="WWW91" s="293"/>
      <c r="WWX91" s="294"/>
      <c r="WXD91" s="292"/>
      <c r="WXE91" s="293"/>
      <c r="WXF91" s="294"/>
      <c r="WXL91" s="292"/>
      <c r="WXM91" s="293"/>
      <c r="WXN91" s="294"/>
      <c r="WXT91" s="292"/>
      <c r="WXU91" s="293"/>
      <c r="WXV91" s="294"/>
      <c r="WYB91" s="292"/>
      <c r="WYC91" s="293"/>
      <c r="WYD91" s="294"/>
      <c r="WYJ91" s="292"/>
      <c r="WYK91" s="293"/>
      <c r="WYL91" s="294"/>
      <c r="WYR91" s="292"/>
      <c r="WYS91" s="293"/>
      <c r="WYT91" s="294"/>
      <c r="WYZ91" s="292"/>
      <c r="WZA91" s="293"/>
      <c r="WZB91" s="294"/>
      <c r="WZH91" s="292"/>
      <c r="WZI91" s="293"/>
      <c r="WZJ91" s="294"/>
      <c r="WZP91" s="292"/>
      <c r="WZQ91" s="293"/>
      <c r="WZR91" s="294"/>
      <c r="WZX91" s="292"/>
      <c r="WZY91" s="293"/>
      <c r="WZZ91" s="294"/>
      <c r="XAF91" s="292"/>
      <c r="XAG91" s="293"/>
      <c r="XAH91" s="294"/>
      <c r="XAN91" s="292"/>
      <c r="XAO91" s="293"/>
      <c r="XAP91" s="294"/>
      <c r="XAV91" s="292"/>
      <c r="XAW91" s="293"/>
      <c r="XAX91" s="294"/>
      <c r="XBD91" s="292"/>
      <c r="XBE91" s="293"/>
      <c r="XBF91" s="294"/>
      <c r="XBL91" s="292"/>
      <c r="XBM91" s="293"/>
      <c r="XBN91" s="294"/>
      <c r="XBT91" s="292"/>
      <c r="XBU91" s="293"/>
      <c r="XBV91" s="294"/>
      <c r="XCB91" s="292"/>
      <c r="XCC91" s="293"/>
      <c r="XCD91" s="294"/>
      <c r="XCJ91" s="292"/>
      <c r="XCK91" s="293"/>
      <c r="XCL91" s="294"/>
      <c r="XCR91" s="292"/>
      <c r="XCS91" s="293"/>
      <c r="XCT91" s="294"/>
      <c r="XCZ91" s="292"/>
      <c r="XDA91" s="293"/>
      <c r="XDB91" s="294"/>
      <c r="XDH91" s="292"/>
      <c r="XDI91" s="293"/>
      <c r="XDJ91" s="294"/>
      <c r="XDP91" s="292"/>
      <c r="XDQ91" s="293"/>
      <c r="XDR91" s="294"/>
      <c r="XDX91" s="292"/>
      <c r="XDY91" s="293"/>
      <c r="XDZ91" s="294"/>
      <c r="XEF91" s="292"/>
      <c r="XEG91" s="293"/>
      <c r="XEH91" s="294"/>
      <c r="XEN91" s="292"/>
      <c r="XEO91" s="293"/>
      <c r="XEP91" s="294"/>
      <c r="XEV91" s="292"/>
      <c r="XEW91" s="293"/>
      <c r="XEX91" s="294"/>
    </row>
    <row r="92" spans="1:16378" s="287" customFormat="1" ht="20.149999999999999" customHeight="1" x14ac:dyDescent="0.3">
      <c r="A92" s="451"/>
      <c r="B92" s="397"/>
      <c r="C92" s="318"/>
      <c r="D92" s="319"/>
      <c r="E92" s="319"/>
      <c r="F92" s="319"/>
      <c r="G92" s="319"/>
      <c r="H92" s="271"/>
      <c r="I92" s="293"/>
      <c r="J92" s="294"/>
      <c r="P92" s="292"/>
      <c r="Q92" s="293"/>
      <c r="R92" s="294"/>
      <c r="X92" s="292"/>
      <c r="Y92" s="293"/>
      <c r="Z92" s="294"/>
      <c r="AF92" s="292"/>
      <c r="AG92" s="293"/>
      <c r="AH92" s="294"/>
      <c r="AN92" s="292"/>
      <c r="AO92" s="293"/>
      <c r="AP92" s="294"/>
      <c r="AV92" s="292"/>
      <c r="AW92" s="293"/>
      <c r="AX92" s="294"/>
      <c r="BD92" s="292"/>
      <c r="BE92" s="293"/>
      <c r="BF92" s="294"/>
      <c r="BL92" s="292"/>
      <c r="BM92" s="293"/>
      <c r="BN92" s="294"/>
      <c r="BT92" s="292"/>
      <c r="BU92" s="293"/>
      <c r="BV92" s="294"/>
      <c r="CB92" s="292"/>
      <c r="CC92" s="293"/>
      <c r="CD92" s="294"/>
      <c r="CJ92" s="292"/>
      <c r="CK92" s="293"/>
      <c r="CL92" s="294"/>
      <c r="CR92" s="292"/>
      <c r="CS92" s="293"/>
      <c r="CT92" s="294"/>
      <c r="CZ92" s="292"/>
      <c r="DA92" s="293"/>
      <c r="DB92" s="294"/>
      <c r="DH92" s="292"/>
      <c r="DI92" s="293"/>
      <c r="DJ92" s="294"/>
      <c r="DP92" s="292"/>
      <c r="DQ92" s="293"/>
      <c r="DR92" s="294"/>
      <c r="DX92" s="292"/>
      <c r="DY92" s="293"/>
      <c r="DZ92" s="294"/>
      <c r="EF92" s="292"/>
      <c r="EG92" s="293"/>
      <c r="EH92" s="294"/>
      <c r="EN92" s="292"/>
      <c r="EO92" s="293"/>
      <c r="EP92" s="294"/>
      <c r="EV92" s="292"/>
      <c r="EW92" s="293"/>
      <c r="EX92" s="294"/>
      <c r="FD92" s="292"/>
      <c r="FE92" s="293"/>
      <c r="FF92" s="294"/>
      <c r="FL92" s="292"/>
      <c r="FM92" s="293"/>
      <c r="FN92" s="294"/>
      <c r="FT92" s="292"/>
      <c r="FU92" s="293"/>
      <c r="FV92" s="294"/>
      <c r="GB92" s="292"/>
      <c r="GC92" s="293"/>
      <c r="GD92" s="294"/>
      <c r="GJ92" s="292"/>
      <c r="GK92" s="293"/>
      <c r="GL92" s="294"/>
      <c r="GR92" s="292"/>
      <c r="GS92" s="293"/>
      <c r="GT92" s="294"/>
      <c r="GZ92" s="292"/>
      <c r="HA92" s="293"/>
      <c r="HB92" s="294"/>
      <c r="HH92" s="292"/>
      <c r="HI92" s="293"/>
      <c r="HJ92" s="294"/>
      <c r="HP92" s="292"/>
      <c r="HQ92" s="293"/>
      <c r="HR92" s="294"/>
      <c r="HX92" s="292"/>
      <c r="HY92" s="293"/>
      <c r="HZ92" s="294"/>
      <c r="IF92" s="292"/>
      <c r="IG92" s="293"/>
      <c r="IH92" s="294"/>
      <c r="IN92" s="292"/>
      <c r="IO92" s="293"/>
      <c r="IP92" s="294"/>
      <c r="IV92" s="292"/>
      <c r="IW92" s="293"/>
      <c r="IX92" s="294"/>
      <c r="JD92" s="292"/>
      <c r="JE92" s="293"/>
      <c r="JF92" s="294"/>
      <c r="JL92" s="292"/>
      <c r="JM92" s="293"/>
      <c r="JN92" s="294"/>
      <c r="JT92" s="292"/>
      <c r="JU92" s="293"/>
      <c r="JV92" s="294"/>
      <c r="KB92" s="292"/>
      <c r="KC92" s="293"/>
      <c r="KD92" s="294"/>
      <c r="KJ92" s="292"/>
      <c r="KK92" s="293"/>
      <c r="KL92" s="294"/>
      <c r="KR92" s="292"/>
      <c r="KS92" s="293"/>
      <c r="KT92" s="294"/>
      <c r="KZ92" s="292"/>
      <c r="LA92" s="293"/>
      <c r="LB92" s="294"/>
      <c r="LH92" s="292"/>
      <c r="LI92" s="293"/>
      <c r="LJ92" s="294"/>
      <c r="LP92" s="292"/>
      <c r="LQ92" s="293"/>
      <c r="LR92" s="294"/>
      <c r="LX92" s="292"/>
      <c r="LY92" s="293"/>
      <c r="LZ92" s="294"/>
      <c r="MF92" s="292"/>
      <c r="MG92" s="293"/>
      <c r="MH92" s="294"/>
      <c r="MN92" s="292"/>
      <c r="MO92" s="293"/>
      <c r="MP92" s="294"/>
      <c r="MV92" s="292"/>
      <c r="MW92" s="293"/>
      <c r="MX92" s="294"/>
      <c r="ND92" s="292"/>
      <c r="NE92" s="293"/>
      <c r="NF92" s="294"/>
      <c r="NL92" s="292"/>
      <c r="NM92" s="293"/>
      <c r="NN92" s="294"/>
      <c r="NT92" s="292"/>
      <c r="NU92" s="293"/>
      <c r="NV92" s="294"/>
      <c r="OB92" s="292"/>
      <c r="OC92" s="293"/>
      <c r="OD92" s="294"/>
      <c r="OJ92" s="292"/>
      <c r="OK92" s="293"/>
      <c r="OL92" s="294"/>
      <c r="OR92" s="292"/>
      <c r="OS92" s="293"/>
      <c r="OT92" s="294"/>
      <c r="OZ92" s="292"/>
      <c r="PA92" s="293"/>
      <c r="PB92" s="294"/>
      <c r="PH92" s="292"/>
      <c r="PI92" s="293"/>
      <c r="PJ92" s="294"/>
      <c r="PP92" s="292"/>
      <c r="PQ92" s="293"/>
      <c r="PR92" s="294"/>
      <c r="PX92" s="292"/>
      <c r="PY92" s="293"/>
      <c r="PZ92" s="294"/>
      <c r="QF92" s="292"/>
      <c r="QG92" s="293"/>
      <c r="QH92" s="294"/>
      <c r="QN92" s="292"/>
      <c r="QO92" s="293"/>
      <c r="QP92" s="294"/>
      <c r="QV92" s="292"/>
      <c r="QW92" s="293"/>
      <c r="QX92" s="294"/>
      <c r="RD92" s="292"/>
      <c r="RE92" s="293"/>
      <c r="RF92" s="294"/>
      <c r="RL92" s="292"/>
      <c r="RM92" s="293"/>
      <c r="RN92" s="294"/>
      <c r="RT92" s="292"/>
      <c r="RU92" s="293"/>
      <c r="RV92" s="294"/>
      <c r="SB92" s="292"/>
      <c r="SC92" s="293"/>
      <c r="SD92" s="294"/>
      <c r="SJ92" s="292"/>
      <c r="SK92" s="293"/>
      <c r="SL92" s="294"/>
      <c r="SR92" s="292"/>
      <c r="SS92" s="293"/>
      <c r="ST92" s="294"/>
      <c r="SZ92" s="292"/>
      <c r="TA92" s="293"/>
      <c r="TB92" s="294"/>
      <c r="TH92" s="292"/>
      <c r="TI92" s="293"/>
      <c r="TJ92" s="294"/>
      <c r="TP92" s="292"/>
      <c r="TQ92" s="293"/>
      <c r="TR92" s="294"/>
      <c r="TX92" s="292"/>
      <c r="TY92" s="293"/>
      <c r="TZ92" s="294"/>
      <c r="UF92" s="292"/>
      <c r="UG92" s="293"/>
      <c r="UH92" s="294"/>
      <c r="UN92" s="292"/>
      <c r="UO92" s="293"/>
      <c r="UP92" s="294"/>
      <c r="UV92" s="292"/>
      <c r="UW92" s="293"/>
      <c r="UX92" s="294"/>
      <c r="VD92" s="292"/>
      <c r="VE92" s="293"/>
      <c r="VF92" s="294"/>
      <c r="VL92" s="292"/>
      <c r="VM92" s="293"/>
      <c r="VN92" s="294"/>
      <c r="VT92" s="292"/>
      <c r="VU92" s="293"/>
      <c r="VV92" s="294"/>
      <c r="WB92" s="292"/>
      <c r="WC92" s="293"/>
      <c r="WD92" s="294"/>
      <c r="WJ92" s="292"/>
      <c r="WK92" s="293"/>
      <c r="WL92" s="294"/>
      <c r="WR92" s="292"/>
      <c r="WS92" s="293"/>
      <c r="WT92" s="294"/>
      <c r="WZ92" s="292"/>
      <c r="XA92" s="293"/>
      <c r="XB92" s="294"/>
      <c r="XH92" s="292"/>
      <c r="XI92" s="293"/>
      <c r="XJ92" s="294"/>
      <c r="XP92" s="292"/>
      <c r="XQ92" s="293"/>
      <c r="XR92" s="294"/>
      <c r="XX92" s="292"/>
      <c r="XY92" s="293"/>
      <c r="XZ92" s="294"/>
      <c r="YF92" s="292"/>
      <c r="YG92" s="293"/>
      <c r="YH92" s="294"/>
      <c r="YN92" s="292"/>
      <c r="YO92" s="293"/>
      <c r="YP92" s="294"/>
      <c r="YV92" s="292"/>
      <c r="YW92" s="293"/>
      <c r="YX92" s="294"/>
      <c r="ZD92" s="292"/>
      <c r="ZE92" s="293"/>
      <c r="ZF92" s="294"/>
      <c r="ZL92" s="292"/>
      <c r="ZM92" s="293"/>
      <c r="ZN92" s="294"/>
      <c r="ZT92" s="292"/>
      <c r="ZU92" s="293"/>
      <c r="ZV92" s="294"/>
      <c r="AAB92" s="292"/>
      <c r="AAC92" s="293"/>
      <c r="AAD92" s="294"/>
      <c r="AAJ92" s="292"/>
      <c r="AAK92" s="293"/>
      <c r="AAL92" s="294"/>
      <c r="AAR92" s="292"/>
      <c r="AAS92" s="293"/>
      <c r="AAT92" s="294"/>
      <c r="AAZ92" s="292"/>
      <c r="ABA92" s="293"/>
      <c r="ABB92" s="294"/>
      <c r="ABH92" s="292"/>
      <c r="ABI92" s="293"/>
      <c r="ABJ92" s="294"/>
      <c r="ABP92" s="292"/>
      <c r="ABQ92" s="293"/>
      <c r="ABR92" s="294"/>
      <c r="ABX92" s="292"/>
      <c r="ABY92" s="293"/>
      <c r="ABZ92" s="294"/>
      <c r="ACF92" s="292"/>
      <c r="ACG92" s="293"/>
      <c r="ACH92" s="294"/>
      <c r="ACN92" s="292"/>
      <c r="ACO92" s="293"/>
      <c r="ACP92" s="294"/>
      <c r="ACV92" s="292"/>
      <c r="ACW92" s="293"/>
      <c r="ACX92" s="294"/>
      <c r="ADD92" s="292"/>
      <c r="ADE92" s="293"/>
      <c r="ADF92" s="294"/>
      <c r="ADL92" s="292"/>
      <c r="ADM92" s="293"/>
      <c r="ADN92" s="294"/>
      <c r="ADT92" s="292"/>
      <c r="ADU92" s="293"/>
      <c r="ADV92" s="294"/>
      <c r="AEB92" s="292"/>
      <c r="AEC92" s="293"/>
      <c r="AED92" s="294"/>
      <c r="AEJ92" s="292"/>
      <c r="AEK92" s="293"/>
      <c r="AEL92" s="294"/>
      <c r="AER92" s="292"/>
      <c r="AES92" s="293"/>
      <c r="AET92" s="294"/>
      <c r="AEZ92" s="292"/>
      <c r="AFA92" s="293"/>
      <c r="AFB92" s="294"/>
      <c r="AFH92" s="292"/>
      <c r="AFI92" s="293"/>
      <c r="AFJ92" s="294"/>
      <c r="AFP92" s="292"/>
      <c r="AFQ92" s="293"/>
      <c r="AFR92" s="294"/>
      <c r="AFX92" s="292"/>
      <c r="AFY92" s="293"/>
      <c r="AFZ92" s="294"/>
      <c r="AGF92" s="292"/>
      <c r="AGG92" s="293"/>
      <c r="AGH92" s="294"/>
      <c r="AGN92" s="292"/>
      <c r="AGO92" s="293"/>
      <c r="AGP92" s="294"/>
      <c r="AGV92" s="292"/>
      <c r="AGW92" s="293"/>
      <c r="AGX92" s="294"/>
      <c r="AHD92" s="292"/>
      <c r="AHE92" s="293"/>
      <c r="AHF92" s="294"/>
      <c r="AHL92" s="292"/>
      <c r="AHM92" s="293"/>
      <c r="AHN92" s="294"/>
      <c r="AHT92" s="292"/>
      <c r="AHU92" s="293"/>
      <c r="AHV92" s="294"/>
      <c r="AIB92" s="292"/>
      <c r="AIC92" s="293"/>
      <c r="AID92" s="294"/>
      <c r="AIJ92" s="292"/>
      <c r="AIK92" s="293"/>
      <c r="AIL92" s="294"/>
      <c r="AIR92" s="292"/>
      <c r="AIS92" s="293"/>
      <c r="AIT92" s="294"/>
      <c r="AIZ92" s="292"/>
      <c r="AJA92" s="293"/>
      <c r="AJB92" s="294"/>
      <c r="AJH92" s="292"/>
      <c r="AJI92" s="293"/>
      <c r="AJJ92" s="294"/>
      <c r="AJP92" s="292"/>
      <c r="AJQ92" s="293"/>
      <c r="AJR92" s="294"/>
      <c r="AJX92" s="292"/>
      <c r="AJY92" s="293"/>
      <c r="AJZ92" s="294"/>
      <c r="AKF92" s="292"/>
      <c r="AKG92" s="293"/>
      <c r="AKH92" s="294"/>
      <c r="AKN92" s="292"/>
      <c r="AKO92" s="293"/>
      <c r="AKP92" s="294"/>
      <c r="AKV92" s="292"/>
      <c r="AKW92" s="293"/>
      <c r="AKX92" s="294"/>
      <c r="ALD92" s="292"/>
      <c r="ALE92" s="293"/>
      <c r="ALF92" s="294"/>
      <c r="ALL92" s="292"/>
      <c r="ALM92" s="293"/>
      <c r="ALN92" s="294"/>
      <c r="ALT92" s="292"/>
      <c r="ALU92" s="293"/>
      <c r="ALV92" s="294"/>
      <c r="AMB92" s="292"/>
      <c r="AMC92" s="293"/>
      <c r="AMD92" s="294"/>
      <c r="AMJ92" s="292"/>
      <c r="AMK92" s="293"/>
      <c r="AML92" s="294"/>
      <c r="AMR92" s="292"/>
      <c r="AMS92" s="293"/>
      <c r="AMT92" s="294"/>
      <c r="AMZ92" s="292"/>
      <c r="ANA92" s="293"/>
      <c r="ANB92" s="294"/>
      <c r="ANH92" s="292"/>
      <c r="ANI92" s="293"/>
      <c r="ANJ92" s="294"/>
      <c r="ANP92" s="292"/>
      <c r="ANQ92" s="293"/>
      <c r="ANR92" s="294"/>
      <c r="ANX92" s="292"/>
      <c r="ANY92" s="293"/>
      <c r="ANZ92" s="294"/>
      <c r="AOF92" s="292"/>
      <c r="AOG92" s="293"/>
      <c r="AOH92" s="294"/>
      <c r="AON92" s="292"/>
      <c r="AOO92" s="293"/>
      <c r="AOP92" s="294"/>
      <c r="AOV92" s="292"/>
      <c r="AOW92" s="293"/>
      <c r="AOX92" s="294"/>
      <c r="APD92" s="292"/>
      <c r="APE92" s="293"/>
      <c r="APF92" s="294"/>
      <c r="APL92" s="292"/>
      <c r="APM92" s="293"/>
      <c r="APN92" s="294"/>
      <c r="APT92" s="292"/>
      <c r="APU92" s="293"/>
      <c r="APV92" s="294"/>
      <c r="AQB92" s="292"/>
      <c r="AQC92" s="293"/>
      <c r="AQD92" s="294"/>
      <c r="AQJ92" s="292"/>
      <c r="AQK92" s="293"/>
      <c r="AQL92" s="294"/>
      <c r="AQR92" s="292"/>
      <c r="AQS92" s="293"/>
      <c r="AQT92" s="294"/>
      <c r="AQZ92" s="292"/>
      <c r="ARA92" s="293"/>
      <c r="ARB92" s="294"/>
      <c r="ARH92" s="292"/>
      <c r="ARI92" s="293"/>
      <c r="ARJ92" s="294"/>
      <c r="ARP92" s="292"/>
      <c r="ARQ92" s="293"/>
      <c r="ARR92" s="294"/>
      <c r="ARX92" s="292"/>
      <c r="ARY92" s="293"/>
      <c r="ARZ92" s="294"/>
      <c r="ASF92" s="292"/>
      <c r="ASG92" s="293"/>
      <c r="ASH92" s="294"/>
      <c r="ASN92" s="292"/>
      <c r="ASO92" s="293"/>
      <c r="ASP92" s="294"/>
      <c r="ASV92" s="292"/>
      <c r="ASW92" s="293"/>
      <c r="ASX92" s="294"/>
      <c r="ATD92" s="292"/>
      <c r="ATE92" s="293"/>
      <c r="ATF92" s="294"/>
      <c r="ATL92" s="292"/>
      <c r="ATM92" s="293"/>
      <c r="ATN92" s="294"/>
      <c r="ATT92" s="292"/>
      <c r="ATU92" s="293"/>
      <c r="ATV92" s="294"/>
      <c r="AUB92" s="292"/>
      <c r="AUC92" s="293"/>
      <c r="AUD92" s="294"/>
      <c r="AUJ92" s="292"/>
      <c r="AUK92" s="293"/>
      <c r="AUL92" s="294"/>
      <c r="AUR92" s="292"/>
      <c r="AUS92" s="293"/>
      <c r="AUT92" s="294"/>
      <c r="AUZ92" s="292"/>
      <c r="AVA92" s="293"/>
      <c r="AVB92" s="294"/>
      <c r="AVH92" s="292"/>
      <c r="AVI92" s="293"/>
      <c r="AVJ92" s="294"/>
      <c r="AVP92" s="292"/>
      <c r="AVQ92" s="293"/>
      <c r="AVR92" s="294"/>
      <c r="AVX92" s="292"/>
      <c r="AVY92" s="293"/>
      <c r="AVZ92" s="294"/>
      <c r="AWF92" s="292"/>
      <c r="AWG92" s="293"/>
      <c r="AWH92" s="294"/>
      <c r="AWN92" s="292"/>
      <c r="AWO92" s="293"/>
      <c r="AWP92" s="294"/>
      <c r="AWV92" s="292"/>
      <c r="AWW92" s="293"/>
      <c r="AWX92" s="294"/>
      <c r="AXD92" s="292"/>
      <c r="AXE92" s="293"/>
      <c r="AXF92" s="294"/>
      <c r="AXL92" s="292"/>
      <c r="AXM92" s="293"/>
      <c r="AXN92" s="294"/>
      <c r="AXT92" s="292"/>
      <c r="AXU92" s="293"/>
      <c r="AXV92" s="294"/>
      <c r="AYB92" s="292"/>
      <c r="AYC92" s="293"/>
      <c r="AYD92" s="294"/>
      <c r="AYJ92" s="292"/>
      <c r="AYK92" s="293"/>
      <c r="AYL92" s="294"/>
      <c r="AYR92" s="292"/>
      <c r="AYS92" s="293"/>
      <c r="AYT92" s="294"/>
      <c r="AYZ92" s="292"/>
      <c r="AZA92" s="293"/>
      <c r="AZB92" s="294"/>
      <c r="AZH92" s="292"/>
      <c r="AZI92" s="293"/>
      <c r="AZJ92" s="294"/>
      <c r="AZP92" s="292"/>
      <c r="AZQ92" s="293"/>
      <c r="AZR92" s="294"/>
      <c r="AZX92" s="292"/>
      <c r="AZY92" s="293"/>
      <c r="AZZ92" s="294"/>
      <c r="BAF92" s="292"/>
      <c r="BAG92" s="293"/>
      <c r="BAH92" s="294"/>
      <c r="BAN92" s="292"/>
      <c r="BAO92" s="293"/>
      <c r="BAP92" s="294"/>
      <c r="BAV92" s="292"/>
      <c r="BAW92" s="293"/>
      <c r="BAX92" s="294"/>
      <c r="BBD92" s="292"/>
      <c r="BBE92" s="293"/>
      <c r="BBF92" s="294"/>
      <c r="BBL92" s="292"/>
      <c r="BBM92" s="293"/>
      <c r="BBN92" s="294"/>
      <c r="BBT92" s="292"/>
      <c r="BBU92" s="293"/>
      <c r="BBV92" s="294"/>
      <c r="BCB92" s="292"/>
      <c r="BCC92" s="293"/>
      <c r="BCD92" s="294"/>
      <c r="BCJ92" s="292"/>
      <c r="BCK92" s="293"/>
      <c r="BCL92" s="294"/>
      <c r="BCR92" s="292"/>
      <c r="BCS92" s="293"/>
      <c r="BCT92" s="294"/>
      <c r="BCZ92" s="292"/>
      <c r="BDA92" s="293"/>
      <c r="BDB92" s="294"/>
      <c r="BDH92" s="292"/>
      <c r="BDI92" s="293"/>
      <c r="BDJ92" s="294"/>
      <c r="BDP92" s="292"/>
      <c r="BDQ92" s="293"/>
      <c r="BDR92" s="294"/>
      <c r="BDX92" s="292"/>
      <c r="BDY92" s="293"/>
      <c r="BDZ92" s="294"/>
      <c r="BEF92" s="292"/>
      <c r="BEG92" s="293"/>
      <c r="BEH92" s="294"/>
      <c r="BEN92" s="292"/>
      <c r="BEO92" s="293"/>
      <c r="BEP92" s="294"/>
      <c r="BEV92" s="292"/>
      <c r="BEW92" s="293"/>
      <c r="BEX92" s="294"/>
      <c r="BFD92" s="292"/>
      <c r="BFE92" s="293"/>
      <c r="BFF92" s="294"/>
      <c r="BFL92" s="292"/>
      <c r="BFM92" s="293"/>
      <c r="BFN92" s="294"/>
      <c r="BFT92" s="292"/>
      <c r="BFU92" s="293"/>
      <c r="BFV92" s="294"/>
      <c r="BGB92" s="292"/>
      <c r="BGC92" s="293"/>
      <c r="BGD92" s="294"/>
      <c r="BGJ92" s="292"/>
      <c r="BGK92" s="293"/>
      <c r="BGL92" s="294"/>
      <c r="BGR92" s="292"/>
      <c r="BGS92" s="293"/>
      <c r="BGT92" s="294"/>
      <c r="BGZ92" s="292"/>
      <c r="BHA92" s="293"/>
      <c r="BHB92" s="294"/>
      <c r="BHH92" s="292"/>
      <c r="BHI92" s="293"/>
      <c r="BHJ92" s="294"/>
      <c r="BHP92" s="292"/>
      <c r="BHQ92" s="293"/>
      <c r="BHR92" s="294"/>
      <c r="BHX92" s="292"/>
      <c r="BHY92" s="293"/>
      <c r="BHZ92" s="294"/>
      <c r="BIF92" s="292"/>
      <c r="BIG92" s="293"/>
      <c r="BIH92" s="294"/>
      <c r="BIN92" s="292"/>
      <c r="BIO92" s="293"/>
      <c r="BIP92" s="294"/>
      <c r="BIV92" s="292"/>
      <c r="BIW92" s="293"/>
      <c r="BIX92" s="294"/>
      <c r="BJD92" s="292"/>
      <c r="BJE92" s="293"/>
      <c r="BJF92" s="294"/>
      <c r="BJL92" s="292"/>
      <c r="BJM92" s="293"/>
      <c r="BJN92" s="294"/>
      <c r="BJT92" s="292"/>
      <c r="BJU92" s="293"/>
      <c r="BJV92" s="294"/>
      <c r="BKB92" s="292"/>
      <c r="BKC92" s="293"/>
      <c r="BKD92" s="294"/>
      <c r="BKJ92" s="292"/>
      <c r="BKK92" s="293"/>
      <c r="BKL92" s="294"/>
      <c r="BKR92" s="292"/>
      <c r="BKS92" s="293"/>
      <c r="BKT92" s="294"/>
      <c r="BKZ92" s="292"/>
      <c r="BLA92" s="293"/>
      <c r="BLB92" s="294"/>
      <c r="BLH92" s="292"/>
      <c r="BLI92" s="293"/>
      <c r="BLJ92" s="294"/>
      <c r="BLP92" s="292"/>
      <c r="BLQ92" s="293"/>
      <c r="BLR92" s="294"/>
      <c r="BLX92" s="292"/>
      <c r="BLY92" s="293"/>
      <c r="BLZ92" s="294"/>
      <c r="BMF92" s="292"/>
      <c r="BMG92" s="293"/>
      <c r="BMH92" s="294"/>
      <c r="BMN92" s="292"/>
      <c r="BMO92" s="293"/>
      <c r="BMP92" s="294"/>
      <c r="BMV92" s="292"/>
      <c r="BMW92" s="293"/>
      <c r="BMX92" s="294"/>
      <c r="BND92" s="292"/>
      <c r="BNE92" s="293"/>
      <c r="BNF92" s="294"/>
      <c r="BNL92" s="292"/>
      <c r="BNM92" s="293"/>
      <c r="BNN92" s="294"/>
      <c r="BNT92" s="292"/>
      <c r="BNU92" s="293"/>
      <c r="BNV92" s="294"/>
      <c r="BOB92" s="292"/>
      <c r="BOC92" s="293"/>
      <c r="BOD92" s="294"/>
      <c r="BOJ92" s="292"/>
      <c r="BOK92" s="293"/>
      <c r="BOL92" s="294"/>
      <c r="BOR92" s="292"/>
      <c r="BOS92" s="293"/>
      <c r="BOT92" s="294"/>
      <c r="BOZ92" s="292"/>
      <c r="BPA92" s="293"/>
      <c r="BPB92" s="294"/>
      <c r="BPH92" s="292"/>
      <c r="BPI92" s="293"/>
      <c r="BPJ92" s="294"/>
      <c r="BPP92" s="292"/>
      <c r="BPQ92" s="293"/>
      <c r="BPR92" s="294"/>
      <c r="BPX92" s="292"/>
      <c r="BPY92" s="293"/>
      <c r="BPZ92" s="294"/>
      <c r="BQF92" s="292"/>
      <c r="BQG92" s="293"/>
      <c r="BQH92" s="294"/>
      <c r="BQN92" s="292"/>
      <c r="BQO92" s="293"/>
      <c r="BQP92" s="294"/>
      <c r="BQV92" s="292"/>
      <c r="BQW92" s="293"/>
      <c r="BQX92" s="294"/>
      <c r="BRD92" s="292"/>
      <c r="BRE92" s="293"/>
      <c r="BRF92" s="294"/>
      <c r="BRL92" s="292"/>
      <c r="BRM92" s="293"/>
      <c r="BRN92" s="294"/>
      <c r="BRT92" s="292"/>
      <c r="BRU92" s="293"/>
      <c r="BRV92" s="294"/>
      <c r="BSB92" s="292"/>
      <c r="BSC92" s="293"/>
      <c r="BSD92" s="294"/>
      <c r="BSJ92" s="292"/>
      <c r="BSK92" s="293"/>
      <c r="BSL92" s="294"/>
      <c r="BSR92" s="292"/>
      <c r="BSS92" s="293"/>
      <c r="BST92" s="294"/>
      <c r="BSZ92" s="292"/>
      <c r="BTA92" s="293"/>
      <c r="BTB92" s="294"/>
      <c r="BTH92" s="292"/>
      <c r="BTI92" s="293"/>
      <c r="BTJ92" s="294"/>
      <c r="BTP92" s="292"/>
      <c r="BTQ92" s="293"/>
      <c r="BTR92" s="294"/>
      <c r="BTX92" s="292"/>
      <c r="BTY92" s="293"/>
      <c r="BTZ92" s="294"/>
      <c r="BUF92" s="292"/>
      <c r="BUG92" s="293"/>
      <c r="BUH92" s="294"/>
      <c r="BUN92" s="292"/>
      <c r="BUO92" s="293"/>
      <c r="BUP92" s="294"/>
      <c r="BUV92" s="292"/>
      <c r="BUW92" s="293"/>
      <c r="BUX92" s="294"/>
      <c r="BVD92" s="292"/>
      <c r="BVE92" s="293"/>
      <c r="BVF92" s="294"/>
      <c r="BVL92" s="292"/>
      <c r="BVM92" s="293"/>
      <c r="BVN92" s="294"/>
      <c r="BVT92" s="292"/>
      <c r="BVU92" s="293"/>
      <c r="BVV92" s="294"/>
      <c r="BWB92" s="292"/>
      <c r="BWC92" s="293"/>
      <c r="BWD92" s="294"/>
      <c r="BWJ92" s="292"/>
      <c r="BWK92" s="293"/>
      <c r="BWL92" s="294"/>
      <c r="BWR92" s="292"/>
      <c r="BWS92" s="293"/>
      <c r="BWT92" s="294"/>
      <c r="BWZ92" s="292"/>
      <c r="BXA92" s="293"/>
      <c r="BXB92" s="294"/>
      <c r="BXH92" s="292"/>
      <c r="BXI92" s="293"/>
      <c r="BXJ92" s="294"/>
      <c r="BXP92" s="292"/>
      <c r="BXQ92" s="293"/>
      <c r="BXR92" s="294"/>
      <c r="BXX92" s="292"/>
      <c r="BXY92" s="293"/>
      <c r="BXZ92" s="294"/>
      <c r="BYF92" s="292"/>
      <c r="BYG92" s="293"/>
      <c r="BYH92" s="294"/>
      <c r="BYN92" s="292"/>
      <c r="BYO92" s="293"/>
      <c r="BYP92" s="294"/>
      <c r="BYV92" s="292"/>
      <c r="BYW92" s="293"/>
      <c r="BYX92" s="294"/>
      <c r="BZD92" s="292"/>
      <c r="BZE92" s="293"/>
      <c r="BZF92" s="294"/>
      <c r="BZL92" s="292"/>
      <c r="BZM92" s="293"/>
      <c r="BZN92" s="294"/>
      <c r="BZT92" s="292"/>
      <c r="BZU92" s="293"/>
      <c r="BZV92" s="294"/>
      <c r="CAB92" s="292"/>
      <c r="CAC92" s="293"/>
      <c r="CAD92" s="294"/>
      <c r="CAJ92" s="292"/>
      <c r="CAK92" s="293"/>
      <c r="CAL92" s="294"/>
      <c r="CAR92" s="292"/>
      <c r="CAS92" s="293"/>
      <c r="CAT92" s="294"/>
      <c r="CAZ92" s="292"/>
      <c r="CBA92" s="293"/>
      <c r="CBB92" s="294"/>
      <c r="CBH92" s="292"/>
      <c r="CBI92" s="293"/>
      <c r="CBJ92" s="294"/>
      <c r="CBP92" s="292"/>
      <c r="CBQ92" s="293"/>
      <c r="CBR92" s="294"/>
      <c r="CBX92" s="292"/>
      <c r="CBY92" s="293"/>
      <c r="CBZ92" s="294"/>
      <c r="CCF92" s="292"/>
      <c r="CCG92" s="293"/>
      <c r="CCH92" s="294"/>
      <c r="CCN92" s="292"/>
      <c r="CCO92" s="293"/>
      <c r="CCP92" s="294"/>
      <c r="CCV92" s="292"/>
      <c r="CCW92" s="293"/>
      <c r="CCX92" s="294"/>
      <c r="CDD92" s="292"/>
      <c r="CDE92" s="293"/>
      <c r="CDF92" s="294"/>
      <c r="CDL92" s="292"/>
      <c r="CDM92" s="293"/>
      <c r="CDN92" s="294"/>
      <c r="CDT92" s="292"/>
      <c r="CDU92" s="293"/>
      <c r="CDV92" s="294"/>
      <c r="CEB92" s="292"/>
      <c r="CEC92" s="293"/>
      <c r="CED92" s="294"/>
      <c r="CEJ92" s="292"/>
      <c r="CEK92" s="293"/>
      <c r="CEL92" s="294"/>
      <c r="CER92" s="292"/>
      <c r="CES92" s="293"/>
      <c r="CET92" s="294"/>
      <c r="CEZ92" s="292"/>
      <c r="CFA92" s="293"/>
      <c r="CFB92" s="294"/>
      <c r="CFH92" s="292"/>
      <c r="CFI92" s="293"/>
      <c r="CFJ92" s="294"/>
      <c r="CFP92" s="292"/>
      <c r="CFQ92" s="293"/>
      <c r="CFR92" s="294"/>
      <c r="CFX92" s="292"/>
      <c r="CFY92" s="293"/>
      <c r="CFZ92" s="294"/>
      <c r="CGF92" s="292"/>
      <c r="CGG92" s="293"/>
      <c r="CGH92" s="294"/>
      <c r="CGN92" s="292"/>
      <c r="CGO92" s="293"/>
      <c r="CGP92" s="294"/>
      <c r="CGV92" s="292"/>
      <c r="CGW92" s="293"/>
      <c r="CGX92" s="294"/>
      <c r="CHD92" s="292"/>
      <c r="CHE92" s="293"/>
      <c r="CHF92" s="294"/>
      <c r="CHL92" s="292"/>
      <c r="CHM92" s="293"/>
      <c r="CHN92" s="294"/>
      <c r="CHT92" s="292"/>
      <c r="CHU92" s="293"/>
      <c r="CHV92" s="294"/>
      <c r="CIB92" s="292"/>
      <c r="CIC92" s="293"/>
      <c r="CID92" s="294"/>
      <c r="CIJ92" s="292"/>
      <c r="CIK92" s="293"/>
      <c r="CIL92" s="294"/>
      <c r="CIR92" s="292"/>
      <c r="CIS92" s="293"/>
      <c r="CIT92" s="294"/>
      <c r="CIZ92" s="292"/>
      <c r="CJA92" s="293"/>
      <c r="CJB92" s="294"/>
      <c r="CJH92" s="292"/>
      <c r="CJI92" s="293"/>
      <c r="CJJ92" s="294"/>
      <c r="CJP92" s="292"/>
      <c r="CJQ92" s="293"/>
      <c r="CJR92" s="294"/>
      <c r="CJX92" s="292"/>
      <c r="CJY92" s="293"/>
      <c r="CJZ92" s="294"/>
      <c r="CKF92" s="292"/>
      <c r="CKG92" s="293"/>
      <c r="CKH92" s="294"/>
      <c r="CKN92" s="292"/>
      <c r="CKO92" s="293"/>
      <c r="CKP92" s="294"/>
      <c r="CKV92" s="292"/>
      <c r="CKW92" s="293"/>
      <c r="CKX92" s="294"/>
      <c r="CLD92" s="292"/>
      <c r="CLE92" s="293"/>
      <c r="CLF92" s="294"/>
      <c r="CLL92" s="292"/>
      <c r="CLM92" s="293"/>
      <c r="CLN92" s="294"/>
      <c r="CLT92" s="292"/>
      <c r="CLU92" s="293"/>
      <c r="CLV92" s="294"/>
      <c r="CMB92" s="292"/>
      <c r="CMC92" s="293"/>
      <c r="CMD92" s="294"/>
      <c r="CMJ92" s="292"/>
      <c r="CMK92" s="293"/>
      <c r="CML92" s="294"/>
      <c r="CMR92" s="292"/>
      <c r="CMS92" s="293"/>
      <c r="CMT92" s="294"/>
      <c r="CMZ92" s="292"/>
      <c r="CNA92" s="293"/>
      <c r="CNB92" s="294"/>
      <c r="CNH92" s="292"/>
      <c r="CNI92" s="293"/>
      <c r="CNJ92" s="294"/>
      <c r="CNP92" s="292"/>
      <c r="CNQ92" s="293"/>
      <c r="CNR92" s="294"/>
      <c r="CNX92" s="292"/>
      <c r="CNY92" s="293"/>
      <c r="CNZ92" s="294"/>
      <c r="COF92" s="292"/>
      <c r="COG92" s="293"/>
      <c r="COH92" s="294"/>
      <c r="CON92" s="292"/>
      <c r="COO92" s="293"/>
      <c r="COP92" s="294"/>
      <c r="COV92" s="292"/>
      <c r="COW92" s="293"/>
      <c r="COX92" s="294"/>
      <c r="CPD92" s="292"/>
      <c r="CPE92" s="293"/>
      <c r="CPF92" s="294"/>
      <c r="CPL92" s="292"/>
      <c r="CPM92" s="293"/>
      <c r="CPN92" s="294"/>
      <c r="CPT92" s="292"/>
      <c r="CPU92" s="293"/>
      <c r="CPV92" s="294"/>
      <c r="CQB92" s="292"/>
      <c r="CQC92" s="293"/>
      <c r="CQD92" s="294"/>
      <c r="CQJ92" s="292"/>
      <c r="CQK92" s="293"/>
      <c r="CQL92" s="294"/>
      <c r="CQR92" s="292"/>
      <c r="CQS92" s="293"/>
      <c r="CQT92" s="294"/>
      <c r="CQZ92" s="292"/>
      <c r="CRA92" s="293"/>
      <c r="CRB92" s="294"/>
      <c r="CRH92" s="292"/>
      <c r="CRI92" s="293"/>
      <c r="CRJ92" s="294"/>
      <c r="CRP92" s="292"/>
      <c r="CRQ92" s="293"/>
      <c r="CRR92" s="294"/>
      <c r="CRX92" s="292"/>
      <c r="CRY92" s="293"/>
      <c r="CRZ92" s="294"/>
      <c r="CSF92" s="292"/>
      <c r="CSG92" s="293"/>
      <c r="CSH92" s="294"/>
      <c r="CSN92" s="292"/>
      <c r="CSO92" s="293"/>
      <c r="CSP92" s="294"/>
      <c r="CSV92" s="292"/>
      <c r="CSW92" s="293"/>
      <c r="CSX92" s="294"/>
      <c r="CTD92" s="292"/>
      <c r="CTE92" s="293"/>
      <c r="CTF92" s="294"/>
      <c r="CTL92" s="292"/>
      <c r="CTM92" s="293"/>
      <c r="CTN92" s="294"/>
      <c r="CTT92" s="292"/>
      <c r="CTU92" s="293"/>
      <c r="CTV92" s="294"/>
      <c r="CUB92" s="292"/>
      <c r="CUC92" s="293"/>
      <c r="CUD92" s="294"/>
      <c r="CUJ92" s="292"/>
      <c r="CUK92" s="293"/>
      <c r="CUL92" s="294"/>
      <c r="CUR92" s="292"/>
      <c r="CUS92" s="293"/>
      <c r="CUT92" s="294"/>
      <c r="CUZ92" s="292"/>
      <c r="CVA92" s="293"/>
      <c r="CVB92" s="294"/>
      <c r="CVH92" s="292"/>
      <c r="CVI92" s="293"/>
      <c r="CVJ92" s="294"/>
      <c r="CVP92" s="292"/>
      <c r="CVQ92" s="293"/>
      <c r="CVR92" s="294"/>
      <c r="CVX92" s="292"/>
      <c r="CVY92" s="293"/>
      <c r="CVZ92" s="294"/>
      <c r="CWF92" s="292"/>
      <c r="CWG92" s="293"/>
      <c r="CWH92" s="294"/>
      <c r="CWN92" s="292"/>
      <c r="CWO92" s="293"/>
      <c r="CWP92" s="294"/>
      <c r="CWV92" s="292"/>
      <c r="CWW92" s="293"/>
      <c r="CWX92" s="294"/>
      <c r="CXD92" s="292"/>
      <c r="CXE92" s="293"/>
      <c r="CXF92" s="294"/>
      <c r="CXL92" s="292"/>
      <c r="CXM92" s="293"/>
      <c r="CXN92" s="294"/>
      <c r="CXT92" s="292"/>
      <c r="CXU92" s="293"/>
      <c r="CXV92" s="294"/>
      <c r="CYB92" s="292"/>
      <c r="CYC92" s="293"/>
      <c r="CYD92" s="294"/>
      <c r="CYJ92" s="292"/>
      <c r="CYK92" s="293"/>
      <c r="CYL92" s="294"/>
      <c r="CYR92" s="292"/>
      <c r="CYS92" s="293"/>
      <c r="CYT92" s="294"/>
      <c r="CYZ92" s="292"/>
      <c r="CZA92" s="293"/>
      <c r="CZB92" s="294"/>
      <c r="CZH92" s="292"/>
      <c r="CZI92" s="293"/>
      <c r="CZJ92" s="294"/>
      <c r="CZP92" s="292"/>
      <c r="CZQ92" s="293"/>
      <c r="CZR92" s="294"/>
      <c r="CZX92" s="292"/>
      <c r="CZY92" s="293"/>
      <c r="CZZ92" s="294"/>
      <c r="DAF92" s="292"/>
      <c r="DAG92" s="293"/>
      <c r="DAH92" s="294"/>
      <c r="DAN92" s="292"/>
      <c r="DAO92" s="293"/>
      <c r="DAP92" s="294"/>
      <c r="DAV92" s="292"/>
      <c r="DAW92" s="293"/>
      <c r="DAX92" s="294"/>
      <c r="DBD92" s="292"/>
      <c r="DBE92" s="293"/>
      <c r="DBF92" s="294"/>
      <c r="DBL92" s="292"/>
      <c r="DBM92" s="293"/>
      <c r="DBN92" s="294"/>
      <c r="DBT92" s="292"/>
      <c r="DBU92" s="293"/>
      <c r="DBV92" s="294"/>
      <c r="DCB92" s="292"/>
      <c r="DCC92" s="293"/>
      <c r="DCD92" s="294"/>
      <c r="DCJ92" s="292"/>
      <c r="DCK92" s="293"/>
      <c r="DCL92" s="294"/>
      <c r="DCR92" s="292"/>
      <c r="DCS92" s="293"/>
      <c r="DCT92" s="294"/>
      <c r="DCZ92" s="292"/>
      <c r="DDA92" s="293"/>
      <c r="DDB92" s="294"/>
      <c r="DDH92" s="292"/>
      <c r="DDI92" s="293"/>
      <c r="DDJ92" s="294"/>
      <c r="DDP92" s="292"/>
      <c r="DDQ92" s="293"/>
      <c r="DDR92" s="294"/>
      <c r="DDX92" s="292"/>
      <c r="DDY92" s="293"/>
      <c r="DDZ92" s="294"/>
      <c r="DEF92" s="292"/>
      <c r="DEG92" s="293"/>
      <c r="DEH92" s="294"/>
      <c r="DEN92" s="292"/>
      <c r="DEO92" s="293"/>
      <c r="DEP92" s="294"/>
      <c r="DEV92" s="292"/>
      <c r="DEW92" s="293"/>
      <c r="DEX92" s="294"/>
      <c r="DFD92" s="292"/>
      <c r="DFE92" s="293"/>
      <c r="DFF92" s="294"/>
      <c r="DFL92" s="292"/>
      <c r="DFM92" s="293"/>
      <c r="DFN92" s="294"/>
      <c r="DFT92" s="292"/>
      <c r="DFU92" s="293"/>
      <c r="DFV92" s="294"/>
      <c r="DGB92" s="292"/>
      <c r="DGC92" s="293"/>
      <c r="DGD92" s="294"/>
      <c r="DGJ92" s="292"/>
      <c r="DGK92" s="293"/>
      <c r="DGL92" s="294"/>
      <c r="DGR92" s="292"/>
      <c r="DGS92" s="293"/>
      <c r="DGT92" s="294"/>
      <c r="DGZ92" s="292"/>
      <c r="DHA92" s="293"/>
      <c r="DHB92" s="294"/>
      <c r="DHH92" s="292"/>
      <c r="DHI92" s="293"/>
      <c r="DHJ92" s="294"/>
      <c r="DHP92" s="292"/>
      <c r="DHQ92" s="293"/>
      <c r="DHR92" s="294"/>
      <c r="DHX92" s="292"/>
      <c r="DHY92" s="293"/>
      <c r="DHZ92" s="294"/>
      <c r="DIF92" s="292"/>
      <c r="DIG92" s="293"/>
      <c r="DIH92" s="294"/>
      <c r="DIN92" s="292"/>
      <c r="DIO92" s="293"/>
      <c r="DIP92" s="294"/>
      <c r="DIV92" s="292"/>
      <c r="DIW92" s="293"/>
      <c r="DIX92" s="294"/>
      <c r="DJD92" s="292"/>
      <c r="DJE92" s="293"/>
      <c r="DJF92" s="294"/>
      <c r="DJL92" s="292"/>
      <c r="DJM92" s="293"/>
      <c r="DJN92" s="294"/>
      <c r="DJT92" s="292"/>
      <c r="DJU92" s="293"/>
      <c r="DJV92" s="294"/>
      <c r="DKB92" s="292"/>
      <c r="DKC92" s="293"/>
      <c r="DKD92" s="294"/>
      <c r="DKJ92" s="292"/>
      <c r="DKK92" s="293"/>
      <c r="DKL92" s="294"/>
      <c r="DKR92" s="292"/>
      <c r="DKS92" s="293"/>
      <c r="DKT92" s="294"/>
      <c r="DKZ92" s="292"/>
      <c r="DLA92" s="293"/>
      <c r="DLB92" s="294"/>
      <c r="DLH92" s="292"/>
      <c r="DLI92" s="293"/>
      <c r="DLJ92" s="294"/>
      <c r="DLP92" s="292"/>
      <c r="DLQ92" s="293"/>
      <c r="DLR92" s="294"/>
      <c r="DLX92" s="292"/>
      <c r="DLY92" s="293"/>
      <c r="DLZ92" s="294"/>
      <c r="DMF92" s="292"/>
      <c r="DMG92" s="293"/>
      <c r="DMH92" s="294"/>
      <c r="DMN92" s="292"/>
      <c r="DMO92" s="293"/>
      <c r="DMP92" s="294"/>
      <c r="DMV92" s="292"/>
      <c r="DMW92" s="293"/>
      <c r="DMX92" s="294"/>
      <c r="DND92" s="292"/>
      <c r="DNE92" s="293"/>
      <c r="DNF92" s="294"/>
      <c r="DNL92" s="292"/>
      <c r="DNM92" s="293"/>
      <c r="DNN92" s="294"/>
      <c r="DNT92" s="292"/>
      <c r="DNU92" s="293"/>
      <c r="DNV92" s="294"/>
      <c r="DOB92" s="292"/>
      <c r="DOC92" s="293"/>
      <c r="DOD92" s="294"/>
      <c r="DOJ92" s="292"/>
      <c r="DOK92" s="293"/>
      <c r="DOL92" s="294"/>
      <c r="DOR92" s="292"/>
      <c r="DOS92" s="293"/>
      <c r="DOT92" s="294"/>
      <c r="DOZ92" s="292"/>
      <c r="DPA92" s="293"/>
      <c r="DPB92" s="294"/>
      <c r="DPH92" s="292"/>
      <c r="DPI92" s="293"/>
      <c r="DPJ92" s="294"/>
      <c r="DPP92" s="292"/>
      <c r="DPQ92" s="293"/>
      <c r="DPR92" s="294"/>
      <c r="DPX92" s="292"/>
      <c r="DPY92" s="293"/>
      <c r="DPZ92" s="294"/>
      <c r="DQF92" s="292"/>
      <c r="DQG92" s="293"/>
      <c r="DQH92" s="294"/>
      <c r="DQN92" s="292"/>
      <c r="DQO92" s="293"/>
      <c r="DQP92" s="294"/>
      <c r="DQV92" s="292"/>
      <c r="DQW92" s="293"/>
      <c r="DQX92" s="294"/>
      <c r="DRD92" s="292"/>
      <c r="DRE92" s="293"/>
      <c r="DRF92" s="294"/>
      <c r="DRL92" s="292"/>
      <c r="DRM92" s="293"/>
      <c r="DRN92" s="294"/>
      <c r="DRT92" s="292"/>
      <c r="DRU92" s="293"/>
      <c r="DRV92" s="294"/>
      <c r="DSB92" s="292"/>
      <c r="DSC92" s="293"/>
      <c r="DSD92" s="294"/>
      <c r="DSJ92" s="292"/>
      <c r="DSK92" s="293"/>
      <c r="DSL92" s="294"/>
      <c r="DSR92" s="292"/>
      <c r="DSS92" s="293"/>
      <c r="DST92" s="294"/>
      <c r="DSZ92" s="292"/>
      <c r="DTA92" s="293"/>
      <c r="DTB92" s="294"/>
      <c r="DTH92" s="292"/>
      <c r="DTI92" s="293"/>
      <c r="DTJ92" s="294"/>
      <c r="DTP92" s="292"/>
      <c r="DTQ92" s="293"/>
      <c r="DTR92" s="294"/>
      <c r="DTX92" s="292"/>
      <c r="DTY92" s="293"/>
      <c r="DTZ92" s="294"/>
      <c r="DUF92" s="292"/>
      <c r="DUG92" s="293"/>
      <c r="DUH92" s="294"/>
      <c r="DUN92" s="292"/>
      <c r="DUO92" s="293"/>
      <c r="DUP92" s="294"/>
      <c r="DUV92" s="292"/>
      <c r="DUW92" s="293"/>
      <c r="DUX92" s="294"/>
      <c r="DVD92" s="292"/>
      <c r="DVE92" s="293"/>
      <c r="DVF92" s="294"/>
      <c r="DVL92" s="292"/>
      <c r="DVM92" s="293"/>
      <c r="DVN92" s="294"/>
      <c r="DVT92" s="292"/>
      <c r="DVU92" s="293"/>
      <c r="DVV92" s="294"/>
      <c r="DWB92" s="292"/>
      <c r="DWC92" s="293"/>
      <c r="DWD92" s="294"/>
      <c r="DWJ92" s="292"/>
      <c r="DWK92" s="293"/>
      <c r="DWL92" s="294"/>
      <c r="DWR92" s="292"/>
      <c r="DWS92" s="293"/>
      <c r="DWT92" s="294"/>
      <c r="DWZ92" s="292"/>
      <c r="DXA92" s="293"/>
      <c r="DXB92" s="294"/>
      <c r="DXH92" s="292"/>
      <c r="DXI92" s="293"/>
      <c r="DXJ92" s="294"/>
      <c r="DXP92" s="292"/>
      <c r="DXQ92" s="293"/>
      <c r="DXR92" s="294"/>
      <c r="DXX92" s="292"/>
      <c r="DXY92" s="293"/>
      <c r="DXZ92" s="294"/>
      <c r="DYF92" s="292"/>
      <c r="DYG92" s="293"/>
      <c r="DYH92" s="294"/>
      <c r="DYN92" s="292"/>
      <c r="DYO92" s="293"/>
      <c r="DYP92" s="294"/>
      <c r="DYV92" s="292"/>
      <c r="DYW92" s="293"/>
      <c r="DYX92" s="294"/>
      <c r="DZD92" s="292"/>
      <c r="DZE92" s="293"/>
      <c r="DZF92" s="294"/>
      <c r="DZL92" s="292"/>
      <c r="DZM92" s="293"/>
      <c r="DZN92" s="294"/>
      <c r="DZT92" s="292"/>
      <c r="DZU92" s="293"/>
      <c r="DZV92" s="294"/>
      <c r="EAB92" s="292"/>
      <c r="EAC92" s="293"/>
      <c r="EAD92" s="294"/>
      <c r="EAJ92" s="292"/>
      <c r="EAK92" s="293"/>
      <c r="EAL92" s="294"/>
      <c r="EAR92" s="292"/>
      <c r="EAS92" s="293"/>
      <c r="EAT92" s="294"/>
      <c r="EAZ92" s="292"/>
      <c r="EBA92" s="293"/>
      <c r="EBB92" s="294"/>
      <c r="EBH92" s="292"/>
      <c r="EBI92" s="293"/>
      <c r="EBJ92" s="294"/>
      <c r="EBP92" s="292"/>
      <c r="EBQ92" s="293"/>
      <c r="EBR92" s="294"/>
      <c r="EBX92" s="292"/>
      <c r="EBY92" s="293"/>
      <c r="EBZ92" s="294"/>
      <c r="ECF92" s="292"/>
      <c r="ECG92" s="293"/>
      <c r="ECH92" s="294"/>
      <c r="ECN92" s="292"/>
      <c r="ECO92" s="293"/>
      <c r="ECP92" s="294"/>
      <c r="ECV92" s="292"/>
      <c r="ECW92" s="293"/>
      <c r="ECX92" s="294"/>
      <c r="EDD92" s="292"/>
      <c r="EDE92" s="293"/>
      <c r="EDF92" s="294"/>
      <c r="EDL92" s="292"/>
      <c r="EDM92" s="293"/>
      <c r="EDN92" s="294"/>
      <c r="EDT92" s="292"/>
      <c r="EDU92" s="293"/>
      <c r="EDV92" s="294"/>
      <c r="EEB92" s="292"/>
      <c r="EEC92" s="293"/>
      <c r="EED92" s="294"/>
      <c r="EEJ92" s="292"/>
      <c r="EEK92" s="293"/>
      <c r="EEL92" s="294"/>
      <c r="EER92" s="292"/>
      <c r="EES92" s="293"/>
      <c r="EET92" s="294"/>
      <c r="EEZ92" s="292"/>
      <c r="EFA92" s="293"/>
      <c r="EFB92" s="294"/>
      <c r="EFH92" s="292"/>
      <c r="EFI92" s="293"/>
      <c r="EFJ92" s="294"/>
      <c r="EFP92" s="292"/>
      <c r="EFQ92" s="293"/>
      <c r="EFR92" s="294"/>
      <c r="EFX92" s="292"/>
      <c r="EFY92" s="293"/>
      <c r="EFZ92" s="294"/>
      <c r="EGF92" s="292"/>
      <c r="EGG92" s="293"/>
      <c r="EGH92" s="294"/>
      <c r="EGN92" s="292"/>
      <c r="EGO92" s="293"/>
      <c r="EGP92" s="294"/>
      <c r="EGV92" s="292"/>
      <c r="EGW92" s="293"/>
      <c r="EGX92" s="294"/>
      <c r="EHD92" s="292"/>
      <c r="EHE92" s="293"/>
      <c r="EHF92" s="294"/>
      <c r="EHL92" s="292"/>
      <c r="EHM92" s="293"/>
      <c r="EHN92" s="294"/>
      <c r="EHT92" s="292"/>
      <c r="EHU92" s="293"/>
      <c r="EHV92" s="294"/>
      <c r="EIB92" s="292"/>
      <c r="EIC92" s="293"/>
      <c r="EID92" s="294"/>
      <c r="EIJ92" s="292"/>
      <c r="EIK92" s="293"/>
      <c r="EIL92" s="294"/>
      <c r="EIR92" s="292"/>
      <c r="EIS92" s="293"/>
      <c r="EIT92" s="294"/>
      <c r="EIZ92" s="292"/>
      <c r="EJA92" s="293"/>
      <c r="EJB92" s="294"/>
      <c r="EJH92" s="292"/>
      <c r="EJI92" s="293"/>
      <c r="EJJ92" s="294"/>
      <c r="EJP92" s="292"/>
      <c r="EJQ92" s="293"/>
      <c r="EJR92" s="294"/>
      <c r="EJX92" s="292"/>
      <c r="EJY92" s="293"/>
      <c r="EJZ92" s="294"/>
      <c r="EKF92" s="292"/>
      <c r="EKG92" s="293"/>
      <c r="EKH92" s="294"/>
      <c r="EKN92" s="292"/>
      <c r="EKO92" s="293"/>
      <c r="EKP92" s="294"/>
      <c r="EKV92" s="292"/>
      <c r="EKW92" s="293"/>
      <c r="EKX92" s="294"/>
      <c r="ELD92" s="292"/>
      <c r="ELE92" s="293"/>
      <c r="ELF92" s="294"/>
      <c r="ELL92" s="292"/>
      <c r="ELM92" s="293"/>
      <c r="ELN92" s="294"/>
      <c r="ELT92" s="292"/>
      <c r="ELU92" s="293"/>
      <c r="ELV92" s="294"/>
      <c r="EMB92" s="292"/>
      <c r="EMC92" s="293"/>
      <c r="EMD92" s="294"/>
      <c r="EMJ92" s="292"/>
      <c r="EMK92" s="293"/>
      <c r="EML92" s="294"/>
      <c r="EMR92" s="292"/>
      <c r="EMS92" s="293"/>
      <c r="EMT92" s="294"/>
      <c r="EMZ92" s="292"/>
      <c r="ENA92" s="293"/>
      <c r="ENB92" s="294"/>
      <c r="ENH92" s="292"/>
      <c r="ENI92" s="293"/>
      <c r="ENJ92" s="294"/>
      <c r="ENP92" s="292"/>
      <c r="ENQ92" s="293"/>
      <c r="ENR92" s="294"/>
      <c r="ENX92" s="292"/>
      <c r="ENY92" s="293"/>
      <c r="ENZ92" s="294"/>
      <c r="EOF92" s="292"/>
      <c r="EOG92" s="293"/>
      <c r="EOH92" s="294"/>
      <c r="EON92" s="292"/>
      <c r="EOO92" s="293"/>
      <c r="EOP92" s="294"/>
      <c r="EOV92" s="292"/>
      <c r="EOW92" s="293"/>
      <c r="EOX92" s="294"/>
      <c r="EPD92" s="292"/>
      <c r="EPE92" s="293"/>
      <c r="EPF92" s="294"/>
      <c r="EPL92" s="292"/>
      <c r="EPM92" s="293"/>
      <c r="EPN92" s="294"/>
      <c r="EPT92" s="292"/>
      <c r="EPU92" s="293"/>
      <c r="EPV92" s="294"/>
      <c r="EQB92" s="292"/>
      <c r="EQC92" s="293"/>
      <c r="EQD92" s="294"/>
      <c r="EQJ92" s="292"/>
      <c r="EQK92" s="293"/>
      <c r="EQL92" s="294"/>
      <c r="EQR92" s="292"/>
      <c r="EQS92" s="293"/>
      <c r="EQT92" s="294"/>
      <c r="EQZ92" s="292"/>
      <c r="ERA92" s="293"/>
      <c r="ERB92" s="294"/>
      <c r="ERH92" s="292"/>
      <c r="ERI92" s="293"/>
      <c r="ERJ92" s="294"/>
      <c r="ERP92" s="292"/>
      <c r="ERQ92" s="293"/>
      <c r="ERR92" s="294"/>
      <c r="ERX92" s="292"/>
      <c r="ERY92" s="293"/>
      <c r="ERZ92" s="294"/>
      <c r="ESF92" s="292"/>
      <c r="ESG92" s="293"/>
      <c r="ESH92" s="294"/>
      <c r="ESN92" s="292"/>
      <c r="ESO92" s="293"/>
      <c r="ESP92" s="294"/>
      <c r="ESV92" s="292"/>
      <c r="ESW92" s="293"/>
      <c r="ESX92" s="294"/>
      <c r="ETD92" s="292"/>
      <c r="ETE92" s="293"/>
      <c r="ETF92" s="294"/>
      <c r="ETL92" s="292"/>
      <c r="ETM92" s="293"/>
      <c r="ETN92" s="294"/>
      <c r="ETT92" s="292"/>
      <c r="ETU92" s="293"/>
      <c r="ETV92" s="294"/>
      <c r="EUB92" s="292"/>
      <c r="EUC92" s="293"/>
      <c r="EUD92" s="294"/>
      <c r="EUJ92" s="292"/>
      <c r="EUK92" s="293"/>
      <c r="EUL92" s="294"/>
      <c r="EUR92" s="292"/>
      <c r="EUS92" s="293"/>
      <c r="EUT92" s="294"/>
      <c r="EUZ92" s="292"/>
      <c r="EVA92" s="293"/>
      <c r="EVB92" s="294"/>
      <c r="EVH92" s="292"/>
      <c r="EVI92" s="293"/>
      <c r="EVJ92" s="294"/>
      <c r="EVP92" s="292"/>
      <c r="EVQ92" s="293"/>
      <c r="EVR92" s="294"/>
      <c r="EVX92" s="292"/>
      <c r="EVY92" s="293"/>
      <c r="EVZ92" s="294"/>
      <c r="EWF92" s="292"/>
      <c r="EWG92" s="293"/>
      <c r="EWH92" s="294"/>
      <c r="EWN92" s="292"/>
      <c r="EWO92" s="293"/>
      <c r="EWP92" s="294"/>
      <c r="EWV92" s="292"/>
      <c r="EWW92" s="293"/>
      <c r="EWX92" s="294"/>
      <c r="EXD92" s="292"/>
      <c r="EXE92" s="293"/>
      <c r="EXF92" s="294"/>
      <c r="EXL92" s="292"/>
      <c r="EXM92" s="293"/>
      <c r="EXN92" s="294"/>
      <c r="EXT92" s="292"/>
      <c r="EXU92" s="293"/>
      <c r="EXV92" s="294"/>
      <c r="EYB92" s="292"/>
      <c r="EYC92" s="293"/>
      <c r="EYD92" s="294"/>
      <c r="EYJ92" s="292"/>
      <c r="EYK92" s="293"/>
      <c r="EYL92" s="294"/>
      <c r="EYR92" s="292"/>
      <c r="EYS92" s="293"/>
      <c r="EYT92" s="294"/>
      <c r="EYZ92" s="292"/>
      <c r="EZA92" s="293"/>
      <c r="EZB92" s="294"/>
      <c r="EZH92" s="292"/>
      <c r="EZI92" s="293"/>
      <c r="EZJ92" s="294"/>
      <c r="EZP92" s="292"/>
      <c r="EZQ92" s="293"/>
      <c r="EZR92" s="294"/>
      <c r="EZX92" s="292"/>
      <c r="EZY92" s="293"/>
      <c r="EZZ92" s="294"/>
      <c r="FAF92" s="292"/>
      <c r="FAG92" s="293"/>
      <c r="FAH92" s="294"/>
      <c r="FAN92" s="292"/>
      <c r="FAO92" s="293"/>
      <c r="FAP92" s="294"/>
      <c r="FAV92" s="292"/>
      <c r="FAW92" s="293"/>
      <c r="FAX92" s="294"/>
      <c r="FBD92" s="292"/>
      <c r="FBE92" s="293"/>
      <c r="FBF92" s="294"/>
      <c r="FBL92" s="292"/>
      <c r="FBM92" s="293"/>
      <c r="FBN92" s="294"/>
      <c r="FBT92" s="292"/>
      <c r="FBU92" s="293"/>
      <c r="FBV92" s="294"/>
      <c r="FCB92" s="292"/>
      <c r="FCC92" s="293"/>
      <c r="FCD92" s="294"/>
      <c r="FCJ92" s="292"/>
      <c r="FCK92" s="293"/>
      <c r="FCL92" s="294"/>
      <c r="FCR92" s="292"/>
      <c r="FCS92" s="293"/>
      <c r="FCT92" s="294"/>
      <c r="FCZ92" s="292"/>
      <c r="FDA92" s="293"/>
      <c r="FDB92" s="294"/>
      <c r="FDH92" s="292"/>
      <c r="FDI92" s="293"/>
      <c r="FDJ92" s="294"/>
      <c r="FDP92" s="292"/>
      <c r="FDQ92" s="293"/>
      <c r="FDR92" s="294"/>
      <c r="FDX92" s="292"/>
      <c r="FDY92" s="293"/>
      <c r="FDZ92" s="294"/>
      <c r="FEF92" s="292"/>
      <c r="FEG92" s="293"/>
      <c r="FEH92" s="294"/>
      <c r="FEN92" s="292"/>
      <c r="FEO92" s="293"/>
      <c r="FEP92" s="294"/>
      <c r="FEV92" s="292"/>
      <c r="FEW92" s="293"/>
      <c r="FEX92" s="294"/>
      <c r="FFD92" s="292"/>
      <c r="FFE92" s="293"/>
      <c r="FFF92" s="294"/>
      <c r="FFL92" s="292"/>
      <c r="FFM92" s="293"/>
      <c r="FFN92" s="294"/>
      <c r="FFT92" s="292"/>
      <c r="FFU92" s="293"/>
      <c r="FFV92" s="294"/>
      <c r="FGB92" s="292"/>
      <c r="FGC92" s="293"/>
      <c r="FGD92" s="294"/>
      <c r="FGJ92" s="292"/>
      <c r="FGK92" s="293"/>
      <c r="FGL92" s="294"/>
      <c r="FGR92" s="292"/>
      <c r="FGS92" s="293"/>
      <c r="FGT92" s="294"/>
      <c r="FGZ92" s="292"/>
      <c r="FHA92" s="293"/>
      <c r="FHB92" s="294"/>
      <c r="FHH92" s="292"/>
      <c r="FHI92" s="293"/>
      <c r="FHJ92" s="294"/>
      <c r="FHP92" s="292"/>
      <c r="FHQ92" s="293"/>
      <c r="FHR92" s="294"/>
      <c r="FHX92" s="292"/>
      <c r="FHY92" s="293"/>
      <c r="FHZ92" s="294"/>
      <c r="FIF92" s="292"/>
      <c r="FIG92" s="293"/>
      <c r="FIH92" s="294"/>
      <c r="FIN92" s="292"/>
      <c r="FIO92" s="293"/>
      <c r="FIP92" s="294"/>
      <c r="FIV92" s="292"/>
      <c r="FIW92" s="293"/>
      <c r="FIX92" s="294"/>
      <c r="FJD92" s="292"/>
      <c r="FJE92" s="293"/>
      <c r="FJF92" s="294"/>
      <c r="FJL92" s="292"/>
      <c r="FJM92" s="293"/>
      <c r="FJN92" s="294"/>
      <c r="FJT92" s="292"/>
      <c r="FJU92" s="293"/>
      <c r="FJV92" s="294"/>
      <c r="FKB92" s="292"/>
      <c r="FKC92" s="293"/>
      <c r="FKD92" s="294"/>
      <c r="FKJ92" s="292"/>
      <c r="FKK92" s="293"/>
      <c r="FKL92" s="294"/>
      <c r="FKR92" s="292"/>
      <c r="FKS92" s="293"/>
      <c r="FKT92" s="294"/>
      <c r="FKZ92" s="292"/>
      <c r="FLA92" s="293"/>
      <c r="FLB92" s="294"/>
      <c r="FLH92" s="292"/>
      <c r="FLI92" s="293"/>
      <c r="FLJ92" s="294"/>
      <c r="FLP92" s="292"/>
      <c r="FLQ92" s="293"/>
      <c r="FLR92" s="294"/>
      <c r="FLX92" s="292"/>
      <c r="FLY92" s="293"/>
      <c r="FLZ92" s="294"/>
      <c r="FMF92" s="292"/>
      <c r="FMG92" s="293"/>
      <c r="FMH92" s="294"/>
      <c r="FMN92" s="292"/>
      <c r="FMO92" s="293"/>
      <c r="FMP92" s="294"/>
      <c r="FMV92" s="292"/>
      <c r="FMW92" s="293"/>
      <c r="FMX92" s="294"/>
      <c r="FND92" s="292"/>
      <c r="FNE92" s="293"/>
      <c r="FNF92" s="294"/>
      <c r="FNL92" s="292"/>
      <c r="FNM92" s="293"/>
      <c r="FNN92" s="294"/>
      <c r="FNT92" s="292"/>
      <c r="FNU92" s="293"/>
      <c r="FNV92" s="294"/>
      <c r="FOB92" s="292"/>
      <c r="FOC92" s="293"/>
      <c r="FOD92" s="294"/>
      <c r="FOJ92" s="292"/>
      <c r="FOK92" s="293"/>
      <c r="FOL92" s="294"/>
      <c r="FOR92" s="292"/>
      <c r="FOS92" s="293"/>
      <c r="FOT92" s="294"/>
      <c r="FOZ92" s="292"/>
      <c r="FPA92" s="293"/>
      <c r="FPB92" s="294"/>
      <c r="FPH92" s="292"/>
      <c r="FPI92" s="293"/>
      <c r="FPJ92" s="294"/>
      <c r="FPP92" s="292"/>
      <c r="FPQ92" s="293"/>
      <c r="FPR92" s="294"/>
      <c r="FPX92" s="292"/>
      <c r="FPY92" s="293"/>
      <c r="FPZ92" s="294"/>
      <c r="FQF92" s="292"/>
      <c r="FQG92" s="293"/>
      <c r="FQH92" s="294"/>
      <c r="FQN92" s="292"/>
      <c r="FQO92" s="293"/>
      <c r="FQP92" s="294"/>
      <c r="FQV92" s="292"/>
      <c r="FQW92" s="293"/>
      <c r="FQX92" s="294"/>
      <c r="FRD92" s="292"/>
      <c r="FRE92" s="293"/>
      <c r="FRF92" s="294"/>
      <c r="FRL92" s="292"/>
      <c r="FRM92" s="293"/>
      <c r="FRN92" s="294"/>
      <c r="FRT92" s="292"/>
      <c r="FRU92" s="293"/>
      <c r="FRV92" s="294"/>
      <c r="FSB92" s="292"/>
      <c r="FSC92" s="293"/>
      <c r="FSD92" s="294"/>
      <c r="FSJ92" s="292"/>
      <c r="FSK92" s="293"/>
      <c r="FSL92" s="294"/>
      <c r="FSR92" s="292"/>
      <c r="FSS92" s="293"/>
      <c r="FST92" s="294"/>
      <c r="FSZ92" s="292"/>
      <c r="FTA92" s="293"/>
      <c r="FTB92" s="294"/>
      <c r="FTH92" s="292"/>
      <c r="FTI92" s="293"/>
      <c r="FTJ92" s="294"/>
      <c r="FTP92" s="292"/>
      <c r="FTQ92" s="293"/>
      <c r="FTR92" s="294"/>
      <c r="FTX92" s="292"/>
      <c r="FTY92" s="293"/>
      <c r="FTZ92" s="294"/>
      <c r="FUF92" s="292"/>
      <c r="FUG92" s="293"/>
      <c r="FUH92" s="294"/>
      <c r="FUN92" s="292"/>
      <c r="FUO92" s="293"/>
      <c r="FUP92" s="294"/>
      <c r="FUV92" s="292"/>
      <c r="FUW92" s="293"/>
      <c r="FUX92" s="294"/>
      <c r="FVD92" s="292"/>
      <c r="FVE92" s="293"/>
      <c r="FVF92" s="294"/>
      <c r="FVL92" s="292"/>
      <c r="FVM92" s="293"/>
      <c r="FVN92" s="294"/>
      <c r="FVT92" s="292"/>
      <c r="FVU92" s="293"/>
      <c r="FVV92" s="294"/>
      <c r="FWB92" s="292"/>
      <c r="FWC92" s="293"/>
      <c r="FWD92" s="294"/>
      <c r="FWJ92" s="292"/>
      <c r="FWK92" s="293"/>
      <c r="FWL92" s="294"/>
      <c r="FWR92" s="292"/>
      <c r="FWS92" s="293"/>
      <c r="FWT92" s="294"/>
      <c r="FWZ92" s="292"/>
      <c r="FXA92" s="293"/>
      <c r="FXB92" s="294"/>
      <c r="FXH92" s="292"/>
      <c r="FXI92" s="293"/>
      <c r="FXJ92" s="294"/>
      <c r="FXP92" s="292"/>
      <c r="FXQ92" s="293"/>
      <c r="FXR92" s="294"/>
      <c r="FXX92" s="292"/>
      <c r="FXY92" s="293"/>
      <c r="FXZ92" s="294"/>
      <c r="FYF92" s="292"/>
      <c r="FYG92" s="293"/>
      <c r="FYH92" s="294"/>
      <c r="FYN92" s="292"/>
      <c r="FYO92" s="293"/>
      <c r="FYP92" s="294"/>
      <c r="FYV92" s="292"/>
      <c r="FYW92" s="293"/>
      <c r="FYX92" s="294"/>
      <c r="FZD92" s="292"/>
      <c r="FZE92" s="293"/>
      <c r="FZF92" s="294"/>
      <c r="FZL92" s="292"/>
      <c r="FZM92" s="293"/>
      <c r="FZN92" s="294"/>
      <c r="FZT92" s="292"/>
      <c r="FZU92" s="293"/>
      <c r="FZV92" s="294"/>
      <c r="GAB92" s="292"/>
      <c r="GAC92" s="293"/>
      <c r="GAD92" s="294"/>
      <c r="GAJ92" s="292"/>
      <c r="GAK92" s="293"/>
      <c r="GAL92" s="294"/>
      <c r="GAR92" s="292"/>
      <c r="GAS92" s="293"/>
      <c r="GAT92" s="294"/>
      <c r="GAZ92" s="292"/>
      <c r="GBA92" s="293"/>
      <c r="GBB92" s="294"/>
      <c r="GBH92" s="292"/>
      <c r="GBI92" s="293"/>
      <c r="GBJ92" s="294"/>
      <c r="GBP92" s="292"/>
      <c r="GBQ92" s="293"/>
      <c r="GBR92" s="294"/>
      <c r="GBX92" s="292"/>
      <c r="GBY92" s="293"/>
      <c r="GBZ92" s="294"/>
      <c r="GCF92" s="292"/>
      <c r="GCG92" s="293"/>
      <c r="GCH92" s="294"/>
      <c r="GCN92" s="292"/>
      <c r="GCO92" s="293"/>
      <c r="GCP92" s="294"/>
      <c r="GCV92" s="292"/>
      <c r="GCW92" s="293"/>
      <c r="GCX92" s="294"/>
      <c r="GDD92" s="292"/>
      <c r="GDE92" s="293"/>
      <c r="GDF92" s="294"/>
      <c r="GDL92" s="292"/>
      <c r="GDM92" s="293"/>
      <c r="GDN92" s="294"/>
      <c r="GDT92" s="292"/>
      <c r="GDU92" s="293"/>
      <c r="GDV92" s="294"/>
      <c r="GEB92" s="292"/>
      <c r="GEC92" s="293"/>
      <c r="GED92" s="294"/>
      <c r="GEJ92" s="292"/>
      <c r="GEK92" s="293"/>
      <c r="GEL92" s="294"/>
      <c r="GER92" s="292"/>
      <c r="GES92" s="293"/>
      <c r="GET92" s="294"/>
      <c r="GEZ92" s="292"/>
      <c r="GFA92" s="293"/>
      <c r="GFB92" s="294"/>
      <c r="GFH92" s="292"/>
      <c r="GFI92" s="293"/>
      <c r="GFJ92" s="294"/>
      <c r="GFP92" s="292"/>
      <c r="GFQ92" s="293"/>
      <c r="GFR92" s="294"/>
      <c r="GFX92" s="292"/>
      <c r="GFY92" s="293"/>
      <c r="GFZ92" s="294"/>
      <c r="GGF92" s="292"/>
      <c r="GGG92" s="293"/>
      <c r="GGH92" s="294"/>
      <c r="GGN92" s="292"/>
      <c r="GGO92" s="293"/>
      <c r="GGP92" s="294"/>
      <c r="GGV92" s="292"/>
      <c r="GGW92" s="293"/>
      <c r="GGX92" s="294"/>
      <c r="GHD92" s="292"/>
      <c r="GHE92" s="293"/>
      <c r="GHF92" s="294"/>
      <c r="GHL92" s="292"/>
      <c r="GHM92" s="293"/>
      <c r="GHN92" s="294"/>
      <c r="GHT92" s="292"/>
      <c r="GHU92" s="293"/>
      <c r="GHV92" s="294"/>
      <c r="GIB92" s="292"/>
      <c r="GIC92" s="293"/>
      <c r="GID92" s="294"/>
      <c r="GIJ92" s="292"/>
      <c r="GIK92" s="293"/>
      <c r="GIL92" s="294"/>
      <c r="GIR92" s="292"/>
      <c r="GIS92" s="293"/>
      <c r="GIT92" s="294"/>
      <c r="GIZ92" s="292"/>
      <c r="GJA92" s="293"/>
      <c r="GJB92" s="294"/>
      <c r="GJH92" s="292"/>
      <c r="GJI92" s="293"/>
      <c r="GJJ92" s="294"/>
      <c r="GJP92" s="292"/>
      <c r="GJQ92" s="293"/>
      <c r="GJR92" s="294"/>
      <c r="GJX92" s="292"/>
      <c r="GJY92" s="293"/>
      <c r="GJZ92" s="294"/>
      <c r="GKF92" s="292"/>
      <c r="GKG92" s="293"/>
      <c r="GKH92" s="294"/>
      <c r="GKN92" s="292"/>
      <c r="GKO92" s="293"/>
      <c r="GKP92" s="294"/>
      <c r="GKV92" s="292"/>
      <c r="GKW92" s="293"/>
      <c r="GKX92" s="294"/>
      <c r="GLD92" s="292"/>
      <c r="GLE92" s="293"/>
      <c r="GLF92" s="294"/>
      <c r="GLL92" s="292"/>
      <c r="GLM92" s="293"/>
      <c r="GLN92" s="294"/>
      <c r="GLT92" s="292"/>
      <c r="GLU92" s="293"/>
      <c r="GLV92" s="294"/>
      <c r="GMB92" s="292"/>
      <c r="GMC92" s="293"/>
      <c r="GMD92" s="294"/>
      <c r="GMJ92" s="292"/>
      <c r="GMK92" s="293"/>
      <c r="GML92" s="294"/>
      <c r="GMR92" s="292"/>
      <c r="GMS92" s="293"/>
      <c r="GMT92" s="294"/>
      <c r="GMZ92" s="292"/>
      <c r="GNA92" s="293"/>
      <c r="GNB92" s="294"/>
      <c r="GNH92" s="292"/>
      <c r="GNI92" s="293"/>
      <c r="GNJ92" s="294"/>
      <c r="GNP92" s="292"/>
      <c r="GNQ92" s="293"/>
      <c r="GNR92" s="294"/>
      <c r="GNX92" s="292"/>
      <c r="GNY92" s="293"/>
      <c r="GNZ92" s="294"/>
      <c r="GOF92" s="292"/>
      <c r="GOG92" s="293"/>
      <c r="GOH92" s="294"/>
      <c r="GON92" s="292"/>
      <c r="GOO92" s="293"/>
      <c r="GOP92" s="294"/>
      <c r="GOV92" s="292"/>
      <c r="GOW92" s="293"/>
      <c r="GOX92" s="294"/>
      <c r="GPD92" s="292"/>
      <c r="GPE92" s="293"/>
      <c r="GPF92" s="294"/>
      <c r="GPL92" s="292"/>
      <c r="GPM92" s="293"/>
      <c r="GPN92" s="294"/>
      <c r="GPT92" s="292"/>
      <c r="GPU92" s="293"/>
      <c r="GPV92" s="294"/>
      <c r="GQB92" s="292"/>
      <c r="GQC92" s="293"/>
      <c r="GQD92" s="294"/>
      <c r="GQJ92" s="292"/>
      <c r="GQK92" s="293"/>
      <c r="GQL92" s="294"/>
      <c r="GQR92" s="292"/>
      <c r="GQS92" s="293"/>
      <c r="GQT92" s="294"/>
      <c r="GQZ92" s="292"/>
      <c r="GRA92" s="293"/>
      <c r="GRB92" s="294"/>
      <c r="GRH92" s="292"/>
      <c r="GRI92" s="293"/>
      <c r="GRJ92" s="294"/>
      <c r="GRP92" s="292"/>
      <c r="GRQ92" s="293"/>
      <c r="GRR92" s="294"/>
      <c r="GRX92" s="292"/>
      <c r="GRY92" s="293"/>
      <c r="GRZ92" s="294"/>
      <c r="GSF92" s="292"/>
      <c r="GSG92" s="293"/>
      <c r="GSH92" s="294"/>
      <c r="GSN92" s="292"/>
      <c r="GSO92" s="293"/>
      <c r="GSP92" s="294"/>
      <c r="GSV92" s="292"/>
      <c r="GSW92" s="293"/>
      <c r="GSX92" s="294"/>
      <c r="GTD92" s="292"/>
      <c r="GTE92" s="293"/>
      <c r="GTF92" s="294"/>
      <c r="GTL92" s="292"/>
      <c r="GTM92" s="293"/>
      <c r="GTN92" s="294"/>
      <c r="GTT92" s="292"/>
      <c r="GTU92" s="293"/>
      <c r="GTV92" s="294"/>
      <c r="GUB92" s="292"/>
      <c r="GUC92" s="293"/>
      <c r="GUD92" s="294"/>
      <c r="GUJ92" s="292"/>
      <c r="GUK92" s="293"/>
      <c r="GUL92" s="294"/>
      <c r="GUR92" s="292"/>
      <c r="GUS92" s="293"/>
      <c r="GUT92" s="294"/>
      <c r="GUZ92" s="292"/>
      <c r="GVA92" s="293"/>
      <c r="GVB92" s="294"/>
      <c r="GVH92" s="292"/>
      <c r="GVI92" s="293"/>
      <c r="GVJ92" s="294"/>
      <c r="GVP92" s="292"/>
      <c r="GVQ92" s="293"/>
      <c r="GVR92" s="294"/>
      <c r="GVX92" s="292"/>
      <c r="GVY92" s="293"/>
      <c r="GVZ92" s="294"/>
      <c r="GWF92" s="292"/>
      <c r="GWG92" s="293"/>
      <c r="GWH92" s="294"/>
      <c r="GWN92" s="292"/>
      <c r="GWO92" s="293"/>
      <c r="GWP92" s="294"/>
      <c r="GWV92" s="292"/>
      <c r="GWW92" s="293"/>
      <c r="GWX92" s="294"/>
      <c r="GXD92" s="292"/>
      <c r="GXE92" s="293"/>
      <c r="GXF92" s="294"/>
      <c r="GXL92" s="292"/>
      <c r="GXM92" s="293"/>
      <c r="GXN92" s="294"/>
      <c r="GXT92" s="292"/>
      <c r="GXU92" s="293"/>
      <c r="GXV92" s="294"/>
      <c r="GYB92" s="292"/>
      <c r="GYC92" s="293"/>
      <c r="GYD92" s="294"/>
      <c r="GYJ92" s="292"/>
      <c r="GYK92" s="293"/>
      <c r="GYL92" s="294"/>
      <c r="GYR92" s="292"/>
      <c r="GYS92" s="293"/>
      <c r="GYT92" s="294"/>
      <c r="GYZ92" s="292"/>
      <c r="GZA92" s="293"/>
      <c r="GZB92" s="294"/>
      <c r="GZH92" s="292"/>
      <c r="GZI92" s="293"/>
      <c r="GZJ92" s="294"/>
      <c r="GZP92" s="292"/>
      <c r="GZQ92" s="293"/>
      <c r="GZR92" s="294"/>
      <c r="GZX92" s="292"/>
      <c r="GZY92" s="293"/>
      <c r="GZZ92" s="294"/>
      <c r="HAF92" s="292"/>
      <c r="HAG92" s="293"/>
      <c r="HAH92" s="294"/>
      <c r="HAN92" s="292"/>
      <c r="HAO92" s="293"/>
      <c r="HAP92" s="294"/>
      <c r="HAV92" s="292"/>
      <c r="HAW92" s="293"/>
      <c r="HAX92" s="294"/>
      <c r="HBD92" s="292"/>
      <c r="HBE92" s="293"/>
      <c r="HBF92" s="294"/>
      <c r="HBL92" s="292"/>
      <c r="HBM92" s="293"/>
      <c r="HBN92" s="294"/>
      <c r="HBT92" s="292"/>
      <c r="HBU92" s="293"/>
      <c r="HBV92" s="294"/>
      <c r="HCB92" s="292"/>
      <c r="HCC92" s="293"/>
      <c r="HCD92" s="294"/>
      <c r="HCJ92" s="292"/>
      <c r="HCK92" s="293"/>
      <c r="HCL92" s="294"/>
      <c r="HCR92" s="292"/>
      <c r="HCS92" s="293"/>
      <c r="HCT92" s="294"/>
      <c r="HCZ92" s="292"/>
      <c r="HDA92" s="293"/>
      <c r="HDB92" s="294"/>
      <c r="HDH92" s="292"/>
      <c r="HDI92" s="293"/>
      <c r="HDJ92" s="294"/>
      <c r="HDP92" s="292"/>
      <c r="HDQ92" s="293"/>
      <c r="HDR92" s="294"/>
      <c r="HDX92" s="292"/>
      <c r="HDY92" s="293"/>
      <c r="HDZ92" s="294"/>
      <c r="HEF92" s="292"/>
      <c r="HEG92" s="293"/>
      <c r="HEH92" s="294"/>
      <c r="HEN92" s="292"/>
      <c r="HEO92" s="293"/>
      <c r="HEP92" s="294"/>
      <c r="HEV92" s="292"/>
      <c r="HEW92" s="293"/>
      <c r="HEX92" s="294"/>
      <c r="HFD92" s="292"/>
      <c r="HFE92" s="293"/>
      <c r="HFF92" s="294"/>
      <c r="HFL92" s="292"/>
      <c r="HFM92" s="293"/>
      <c r="HFN92" s="294"/>
      <c r="HFT92" s="292"/>
      <c r="HFU92" s="293"/>
      <c r="HFV92" s="294"/>
      <c r="HGB92" s="292"/>
      <c r="HGC92" s="293"/>
      <c r="HGD92" s="294"/>
      <c r="HGJ92" s="292"/>
      <c r="HGK92" s="293"/>
      <c r="HGL92" s="294"/>
      <c r="HGR92" s="292"/>
      <c r="HGS92" s="293"/>
      <c r="HGT92" s="294"/>
      <c r="HGZ92" s="292"/>
      <c r="HHA92" s="293"/>
      <c r="HHB92" s="294"/>
      <c r="HHH92" s="292"/>
      <c r="HHI92" s="293"/>
      <c r="HHJ92" s="294"/>
      <c r="HHP92" s="292"/>
      <c r="HHQ92" s="293"/>
      <c r="HHR92" s="294"/>
      <c r="HHX92" s="292"/>
      <c r="HHY92" s="293"/>
      <c r="HHZ92" s="294"/>
      <c r="HIF92" s="292"/>
      <c r="HIG92" s="293"/>
      <c r="HIH92" s="294"/>
      <c r="HIN92" s="292"/>
      <c r="HIO92" s="293"/>
      <c r="HIP92" s="294"/>
      <c r="HIV92" s="292"/>
      <c r="HIW92" s="293"/>
      <c r="HIX92" s="294"/>
      <c r="HJD92" s="292"/>
      <c r="HJE92" s="293"/>
      <c r="HJF92" s="294"/>
      <c r="HJL92" s="292"/>
      <c r="HJM92" s="293"/>
      <c r="HJN92" s="294"/>
      <c r="HJT92" s="292"/>
      <c r="HJU92" s="293"/>
      <c r="HJV92" s="294"/>
      <c r="HKB92" s="292"/>
      <c r="HKC92" s="293"/>
      <c r="HKD92" s="294"/>
      <c r="HKJ92" s="292"/>
      <c r="HKK92" s="293"/>
      <c r="HKL92" s="294"/>
      <c r="HKR92" s="292"/>
      <c r="HKS92" s="293"/>
      <c r="HKT92" s="294"/>
      <c r="HKZ92" s="292"/>
      <c r="HLA92" s="293"/>
      <c r="HLB92" s="294"/>
      <c r="HLH92" s="292"/>
      <c r="HLI92" s="293"/>
      <c r="HLJ92" s="294"/>
      <c r="HLP92" s="292"/>
      <c r="HLQ92" s="293"/>
      <c r="HLR92" s="294"/>
      <c r="HLX92" s="292"/>
      <c r="HLY92" s="293"/>
      <c r="HLZ92" s="294"/>
      <c r="HMF92" s="292"/>
      <c r="HMG92" s="293"/>
      <c r="HMH92" s="294"/>
      <c r="HMN92" s="292"/>
      <c r="HMO92" s="293"/>
      <c r="HMP92" s="294"/>
      <c r="HMV92" s="292"/>
      <c r="HMW92" s="293"/>
      <c r="HMX92" s="294"/>
      <c r="HND92" s="292"/>
      <c r="HNE92" s="293"/>
      <c r="HNF92" s="294"/>
      <c r="HNL92" s="292"/>
      <c r="HNM92" s="293"/>
      <c r="HNN92" s="294"/>
      <c r="HNT92" s="292"/>
      <c r="HNU92" s="293"/>
      <c r="HNV92" s="294"/>
      <c r="HOB92" s="292"/>
      <c r="HOC92" s="293"/>
      <c r="HOD92" s="294"/>
      <c r="HOJ92" s="292"/>
      <c r="HOK92" s="293"/>
      <c r="HOL92" s="294"/>
      <c r="HOR92" s="292"/>
      <c r="HOS92" s="293"/>
      <c r="HOT92" s="294"/>
      <c r="HOZ92" s="292"/>
      <c r="HPA92" s="293"/>
      <c r="HPB92" s="294"/>
      <c r="HPH92" s="292"/>
      <c r="HPI92" s="293"/>
      <c r="HPJ92" s="294"/>
      <c r="HPP92" s="292"/>
      <c r="HPQ92" s="293"/>
      <c r="HPR92" s="294"/>
      <c r="HPX92" s="292"/>
      <c r="HPY92" s="293"/>
      <c r="HPZ92" s="294"/>
      <c r="HQF92" s="292"/>
      <c r="HQG92" s="293"/>
      <c r="HQH92" s="294"/>
      <c r="HQN92" s="292"/>
      <c r="HQO92" s="293"/>
      <c r="HQP92" s="294"/>
      <c r="HQV92" s="292"/>
      <c r="HQW92" s="293"/>
      <c r="HQX92" s="294"/>
      <c r="HRD92" s="292"/>
      <c r="HRE92" s="293"/>
      <c r="HRF92" s="294"/>
      <c r="HRL92" s="292"/>
      <c r="HRM92" s="293"/>
      <c r="HRN92" s="294"/>
      <c r="HRT92" s="292"/>
      <c r="HRU92" s="293"/>
      <c r="HRV92" s="294"/>
      <c r="HSB92" s="292"/>
      <c r="HSC92" s="293"/>
      <c r="HSD92" s="294"/>
      <c r="HSJ92" s="292"/>
      <c r="HSK92" s="293"/>
      <c r="HSL92" s="294"/>
      <c r="HSR92" s="292"/>
      <c r="HSS92" s="293"/>
      <c r="HST92" s="294"/>
      <c r="HSZ92" s="292"/>
      <c r="HTA92" s="293"/>
      <c r="HTB92" s="294"/>
      <c r="HTH92" s="292"/>
      <c r="HTI92" s="293"/>
      <c r="HTJ92" s="294"/>
      <c r="HTP92" s="292"/>
      <c r="HTQ92" s="293"/>
      <c r="HTR92" s="294"/>
      <c r="HTX92" s="292"/>
      <c r="HTY92" s="293"/>
      <c r="HTZ92" s="294"/>
      <c r="HUF92" s="292"/>
      <c r="HUG92" s="293"/>
      <c r="HUH92" s="294"/>
      <c r="HUN92" s="292"/>
      <c r="HUO92" s="293"/>
      <c r="HUP92" s="294"/>
      <c r="HUV92" s="292"/>
      <c r="HUW92" s="293"/>
      <c r="HUX92" s="294"/>
      <c r="HVD92" s="292"/>
      <c r="HVE92" s="293"/>
      <c r="HVF92" s="294"/>
      <c r="HVL92" s="292"/>
      <c r="HVM92" s="293"/>
      <c r="HVN92" s="294"/>
      <c r="HVT92" s="292"/>
      <c r="HVU92" s="293"/>
      <c r="HVV92" s="294"/>
      <c r="HWB92" s="292"/>
      <c r="HWC92" s="293"/>
      <c r="HWD92" s="294"/>
      <c r="HWJ92" s="292"/>
      <c r="HWK92" s="293"/>
      <c r="HWL92" s="294"/>
      <c r="HWR92" s="292"/>
      <c r="HWS92" s="293"/>
      <c r="HWT92" s="294"/>
      <c r="HWZ92" s="292"/>
      <c r="HXA92" s="293"/>
      <c r="HXB92" s="294"/>
      <c r="HXH92" s="292"/>
      <c r="HXI92" s="293"/>
      <c r="HXJ92" s="294"/>
      <c r="HXP92" s="292"/>
      <c r="HXQ92" s="293"/>
      <c r="HXR92" s="294"/>
      <c r="HXX92" s="292"/>
      <c r="HXY92" s="293"/>
      <c r="HXZ92" s="294"/>
      <c r="HYF92" s="292"/>
      <c r="HYG92" s="293"/>
      <c r="HYH92" s="294"/>
      <c r="HYN92" s="292"/>
      <c r="HYO92" s="293"/>
      <c r="HYP92" s="294"/>
      <c r="HYV92" s="292"/>
      <c r="HYW92" s="293"/>
      <c r="HYX92" s="294"/>
      <c r="HZD92" s="292"/>
      <c r="HZE92" s="293"/>
      <c r="HZF92" s="294"/>
      <c r="HZL92" s="292"/>
      <c r="HZM92" s="293"/>
      <c r="HZN92" s="294"/>
      <c r="HZT92" s="292"/>
      <c r="HZU92" s="293"/>
      <c r="HZV92" s="294"/>
      <c r="IAB92" s="292"/>
      <c r="IAC92" s="293"/>
      <c r="IAD92" s="294"/>
      <c r="IAJ92" s="292"/>
      <c r="IAK92" s="293"/>
      <c r="IAL92" s="294"/>
      <c r="IAR92" s="292"/>
      <c r="IAS92" s="293"/>
      <c r="IAT92" s="294"/>
      <c r="IAZ92" s="292"/>
      <c r="IBA92" s="293"/>
      <c r="IBB92" s="294"/>
      <c r="IBH92" s="292"/>
      <c r="IBI92" s="293"/>
      <c r="IBJ92" s="294"/>
      <c r="IBP92" s="292"/>
      <c r="IBQ92" s="293"/>
      <c r="IBR92" s="294"/>
      <c r="IBX92" s="292"/>
      <c r="IBY92" s="293"/>
      <c r="IBZ92" s="294"/>
      <c r="ICF92" s="292"/>
      <c r="ICG92" s="293"/>
      <c r="ICH92" s="294"/>
      <c r="ICN92" s="292"/>
      <c r="ICO92" s="293"/>
      <c r="ICP92" s="294"/>
      <c r="ICV92" s="292"/>
      <c r="ICW92" s="293"/>
      <c r="ICX92" s="294"/>
      <c r="IDD92" s="292"/>
      <c r="IDE92" s="293"/>
      <c r="IDF92" s="294"/>
      <c r="IDL92" s="292"/>
      <c r="IDM92" s="293"/>
      <c r="IDN92" s="294"/>
      <c r="IDT92" s="292"/>
      <c r="IDU92" s="293"/>
      <c r="IDV92" s="294"/>
      <c r="IEB92" s="292"/>
      <c r="IEC92" s="293"/>
      <c r="IED92" s="294"/>
      <c r="IEJ92" s="292"/>
      <c r="IEK92" s="293"/>
      <c r="IEL92" s="294"/>
      <c r="IER92" s="292"/>
      <c r="IES92" s="293"/>
      <c r="IET92" s="294"/>
      <c r="IEZ92" s="292"/>
      <c r="IFA92" s="293"/>
      <c r="IFB92" s="294"/>
      <c r="IFH92" s="292"/>
      <c r="IFI92" s="293"/>
      <c r="IFJ92" s="294"/>
      <c r="IFP92" s="292"/>
      <c r="IFQ92" s="293"/>
      <c r="IFR92" s="294"/>
      <c r="IFX92" s="292"/>
      <c r="IFY92" s="293"/>
      <c r="IFZ92" s="294"/>
      <c r="IGF92" s="292"/>
      <c r="IGG92" s="293"/>
      <c r="IGH92" s="294"/>
      <c r="IGN92" s="292"/>
      <c r="IGO92" s="293"/>
      <c r="IGP92" s="294"/>
      <c r="IGV92" s="292"/>
      <c r="IGW92" s="293"/>
      <c r="IGX92" s="294"/>
      <c r="IHD92" s="292"/>
      <c r="IHE92" s="293"/>
      <c r="IHF92" s="294"/>
      <c r="IHL92" s="292"/>
      <c r="IHM92" s="293"/>
      <c r="IHN92" s="294"/>
      <c r="IHT92" s="292"/>
      <c r="IHU92" s="293"/>
      <c r="IHV92" s="294"/>
      <c r="IIB92" s="292"/>
      <c r="IIC92" s="293"/>
      <c r="IID92" s="294"/>
      <c r="IIJ92" s="292"/>
      <c r="IIK92" s="293"/>
      <c r="IIL92" s="294"/>
      <c r="IIR92" s="292"/>
      <c r="IIS92" s="293"/>
      <c r="IIT92" s="294"/>
      <c r="IIZ92" s="292"/>
      <c r="IJA92" s="293"/>
      <c r="IJB92" s="294"/>
      <c r="IJH92" s="292"/>
      <c r="IJI92" s="293"/>
      <c r="IJJ92" s="294"/>
      <c r="IJP92" s="292"/>
      <c r="IJQ92" s="293"/>
      <c r="IJR92" s="294"/>
      <c r="IJX92" s="292"/>
      <c r="IJY92" s="293"/>
      <c r="IJZ92" s="294"/>
      <c r="IKF92" s="292"/>
      <c r="IKG92" s="293"/>
      <c r="IKH92" s="294"/>
      <c r="IKN92" s="292"/>
      <c r="IKO92" s="293"/>
      <c r="IKP92" s="294"/>
      <c r="IKV92" s="292"/>
      <c r="IKW92" s="293"/>
      <c r="IKX92" s="294"/>
      <c r="ILD92" s="292"/>
      <c r="ILE92" s="293"/>
      <c r="ILF92" s="294"/>
      <c r="ILL92" s="292"/>
      <c r="ILM92" s="293"/>
      <c r="ILN92" s="294"/>
      <c r="ILT92" s="292"/>
      <c r="ILU92" s="293"/>
      <c r="ILV92" s="294"/>
      <c r="IMB92" s="292"/>
      <c r="IMC92" s="293"/>
      <c r="IMD92" s="294"/>
      <c r="IMJ92" s="292"/>
      <c r="IMK92" s="293"/>
      <c r="IML92" s="294"/>
      <c r="IMR92" s="292"/>
      <c r="IMS92" s="293"/>
      <c r="IMT92" s="294"/>
      <c r="IMZ92" s="292"/>
      <c r="INA92" s="293"/>
      <c r="INB92" s="294"/>
      <c r="INH92" s="292"/>
      <c r="INI92" s="293"/>
      <c r="INJ92" s="294"/>
      <c r="INP92" s="292"/>
      <c r="INQ92" s="293"/>
      <c r="INR92" s="294"/>
      <c r="INX92" s="292"/>
      <c r="INY92" s="293"/>
      <c r="INZ92" s="294"/>
      <c r="IOF92" s="292"/>
      <c r="IOG92" s="293"/>
      <c r="IOH92" s="294"/>
      <c r="ION92" s="292"/>
      <c r="IOO92" s="293"/>
      <c r="IOP92" s="294"/>
      <c r="IOV92" s="292"/>
      <c r="IOW92" s="293"/>
      <c r="IOX92" s="294"/>
      <c r="IPD92" s="292"/>
      <c r="IPE92" s="293"/>
      <c r="IPF92" s="294"/>
      <c r="IPL92" s="292"/>
      <c r="IPM92" s="293"/>
      <c r="IPN92" s="294"/>
      <c r="IPT92" s="292"/>
      <c r="IPU92" s="293"/>
      <c r="IPV92" s="294"/>
      <c r="IQB92" s="292"/>
      <c r="IQC92" s="293"/>
      <c r="IQD92" s="294"/>
      <c r="IQJ92" s="292"/>
      <c r="IQK92" s="293"/>
      <c r="IQL92" s="294"/>
      <c r="IQR92" s="292"/>
      <c r="IQS92" s="293"/>
      <c r="IQT92" s="294"/>
      <c r="IQZ92" s="292"/>
      <c r="IRA92" s="293"/>
      <c r="IRB92" s="294"/>
      <c r="IRH92" s="292"/>
      <c r="IRI92" s="293"/>
      <c r="IRJ92" s="294"/>
      <c r="IRP92" s="292"/>
      <c r="IRQ92" s="293"/>
      <c r="IRR92" s="294"/>
      <c r="IRX92" s="292"/>
      <c r="IRY92" s="293"/>
      <c r="IRZ92" s="294"/>
      <c r="ISF92" s="292"/>
      <c r="ISG92" s="293"/>
      <c r="ISH92" s="294"/>
      <c r="ISN92" s="292"/>
      <c r="ISO92" s="293"/>
      <c r="ISP92" s="294"/>
      <c r="ISV92" s="292"/>
      <c r="ISW92" s="293"/>
      <c r="ISX92" s="294"/>
      <c r="ITD92" s="292"/>
      <c r="ITE92" s="293"/>
      <c r="ITF92" s="294"/>
      <c r="ITL92" s="292"/>
      <c r="ITM92" s="293"/>
      <c r="ITN92" s="294"/>
      <c r="ITT92" s="292"/>
      <c r="ITU92" s="293"/>
      <c r="ITV92" s="294"/>
      <c r="IUB92" s="292"/>
      <c r="IUC92" s="293"/>
      <c r="IUD92" s="294"/>
      <c r="IUJ92" s="292"/>
      <c r="IUK92" s="293"/>
      <c r="IUL92" s="294"/>
      <c r="IUR92" s="292"/>
      <c r="IUS92" s="293"/>
      <c r="IUT92" s="294"/>
      <c r="IUZ92" s="292"/>
      <c r="IVA92" s="293"/>
      <c r="IVB92" s="294"/>
      <c r="IVH92" s="292"/>
      <c r="IVI92" s="293"/>
      <c r="IVJ92" s="294"/>
      <c r="IVP92" s="292"/>
      <c r="IVQ92" s="293"/>
      <c r="IVR92" s="294"/>
      <c r="IVX92" s="292"/>
      <c r="IVY92" s="293"/>
      <c r="IVZ92" s="294"/>
      <c r="IWF92" s="292"/>
      <c r="IWG92" s="293"/>
      <c r="IWH92" s="294"/>
      <c r="IWN92" s="292"/>
      <c r="IWO92" s="293"/>
      <c r="IWP92" s="294"/>
      <c r="IWV92" s="292"/>
      <c r="IWW92" s="293"/>
      <c r="IWX92" s="294"/>
      <c r="IXD92" s="292"/>
      <c r="IXE92" s="293"/>
      <c r="IXF92" s="294"/>
      <c r="IXL92" s="292"/>
      <c r="IXM92" s="293"/>
      <c r="IXN92" s="294"/>
      <c r="IXT92" s="292"/>
      <c r="IXU92" s="293"/>
      <c r="IXV92" s="294"/>
      <c r="IYB92" s="292"/>
      <c r="IYC92" s="293"/>
      <c r="IYD92" s="294"/>
      <c r="IYJ92" s="292"/>
      <c r="IYK92" s="293"/>
      <c r="IYL92" s="294"/>
      <c r="IYR92" s="292"/>
      <c r="IYS92" s="293"/>
      <c r="IYT92" s="294"/>
      <c r="IYZ92" s="292"/>
      <c r="IZA92" s="293"/>
      <c r="IZB92" s="294"/>
      <c r="IZH92" s="292"/>
      <c r="IZI92" s="293"/>
      <c r="IZJ92" s="294"/>
      <c r="IZP92" s="292"/>
      <c r="IZQ92" s="293"/>
      <c r="IZR92" s="294"/>
      <c r="IZX92" s="292"/>
      <c r="IZY92" s="293"/>
      <c r="IZZ92" s="294"/>
      <c r="JAF92" s="292"/>
      <c r="JAG92" s="293"/>
      <c r="JAH92" s="294"/>
      <c r="JAN92" s="292"/>
      <c r="JAO92" s="293"/>
      <c r="JAP92" s="294"/>
      <c r="JAV92" s="292"/>
      <c r="JAW92" s="293"/>
      <c r="JAX92" s="294"/>
      <c r="JBD92" s="292"/>
      <c r="JBE92" s="293"/>
      <c r="JBF92" s="294"/>
      <c r="JBL92" s="292"/>
      <c r="JBM92" s="293"/>
      <c r="JBN92" s="294"/>
      <c r="JBT92" s="292"/>
      <c r="JBU92" s="293"/>
      <c r="JBV92" s="294"/>
      <c r="JCB92" s="292"/>
      <c r="JCC92" s="293"/>
      <c r="JCD92" s="294"/>
      <c r="JCJ92" s="292"/>
      <c r="JCK92" s="293"/>
      <c r="JCL92" s="294"/>
      <c r="JCR92" s="292"/>
      <c r="JCS92" s="293"/>
      <c r="JCT92" s="294"/>
      <c r="JCZ92" s="292"/>
      <c r="JDA92" s="293"/>
      <c r="JDB92" s="294"/>
      <c r="JDH92" s="292"/>
      <c r="JDI92" s="293"/>
      <c r="JDJ92" s="294"/>
      <c r="JDP92" s="292"/>
      <c r="JDQ92" s="293"/>
      <c r="JDR92" s="294"/>
      <c r="JDX92" s="292"/>
      <c r="JDY92" s="293"/>
      <c r="JDZ92" s="294"/>
      <c r="JEF92" s="292"/>
      <c r="JEG92" s="293"/>
      <c r="JEH92" s="294"/>
      <c r="JEN92" s="292"/>
      <c r="JEO92" s="293"/>
      <c r="JEP92" s="294"/>
      <c r="JEV92" s="292"/>
      <c r="JEW92" s="293"/>
      <c r="JEX92" s="294"/>
      <c r="JFD92" s="292"/>
      <c r="JFE92" s="293"/>
      <c r="JFF92" s="294"/>
      <c r="JFL92" s="292"/>
      <c r="JFM92" s="293"/>
      <c r="JFN92" s="294"/>
      <c r="JFT92" s="292"/>
      <c r="JFU92" s="293"/>
      <c r="JFV92" s="294"/>
      <c r="JGB92" s="292"/>
      <c r="JGC92" s="293"/>
      <c r="JGD92" s="294"/>
      <c r="JGJ92" s="292"/>
      <c r="JGK92" s="293"/>
      <c r="JGL92" s="294"/>
      <c r="JGR92" s="292"/>
      <c r="JGS92" s="293"/>
      <c r="JGT92" s="294"/>
      <c r="JGZ92" s="292"/>
      <c r="JHA92" s="293"/>
      <c r="JHB92" s="294"/>
      <c r="JHH92" s="292"/>
      <c r="JHI92" s="293"/>
      <c r="JHJ92" s="294"/>
      <c r="JHP92" s="292"/>
      <c r="JHQ92" s="293"/>
      <c r="JHR92" s="294"/>
      <c r="JHX92" s="292"/>
      <c r="JHY92" s="293"/>
      <c r="JHZ92" s="294"/>
      <c r="JIF92" s="292"/>
      <c r="JIG92" s="293"/>
      <c r="JIH92" s="294"/>
      <c r="JIN92" s="292"/>
      <c r="JIO92" s="293"/>
      <c r="JIP92" s="294"/>
      <c r="JIV92" s="292"/>
      <c r="JIW92" s="293"/>
      <c r="JIX92" s="294"/>
      <c r="JJD92" s="292"/>
      <c r="JJE92" s="293"/>
      <c r="JJF92" s="294"/>
      <c r="JJL92" s="292"/>
      <c r="JJM92" s="293"/>
      <c r="JJN92" s="294"/>
      <c r="JJT92" s="292"/>
      <c r="JJU92" s="293"/>
      <c r="JJV92" s="294"/>
      <c r="JKB92" s="292"/>
      <c r="JKC92" s="293"/>
      <c r="JKD92" s="294"/>
      <c r="JKJ92" s="292"/>
      <c r="JKK92" s="293"/>
      <c r="JKL92" s="294"/>
      <c r="JKR92" s="292"/>
      <c r="JKS92" s="293"/>
      <c r="JKT92" s="294"/>
      <c r="JKZ92" s="292"/>
      <c r="JLA92" s="293"/>
      <c r="JLB92" s="294"/>
      <c r="JLH92" s="292"/>
      <c r="JLI92" s="293"/>
      <c r="JLJ92" s="294"/>
      <c r="JLP92" s="292"/>
      <c r="JLQ92" s="293"/>
      <c r="JLR92" s="294"/>
      <c r="JLX92" s="292"/>
      <c r="JLY92" s="293"/>
      <c r="JLZ92" s="294"/>
      <c r="JMF92" s="292"/>
      <c r="JMG92" s="293"/>
      <c r="JMH92" s="294"/>
      <c r="JMN92" s="292"/>
      <c r="JMO92" s="293"/>
      <c r="JMP92" s="294"/>
      <c r="JMV92" s="292"/>
      <c r="JMW92" s="293"/>
      <c r="JMX92" s="294"/>
      <c r="JND92" s="292"/>
      <c r="JNE92" s="293"/>
      <c r="JNF92" s="294"/>
      <c r="JNL92" s="292"/>
      <c r="JNM92" s="293"/>
      <c r="JNN92" s="294"/>
      <c r="JNT92" s="292"/>
      <c r="JNU92" s="293"/>
      <c r="JNV92" s="294"/>
      <c r="JOB92" s="292"/>
      <c r="JOC92" s="293"/>
      <c r="JOD92" s="294"/>
      <c r="JOJ92" s="292"/>
      <c r="JOK92" s="293"/>
      <c r="JOL92" s="294"/>
      <c r="JOR92" s="292"/>
      <c r="JOS92" s="293"/>
      <c r="JOT92" s="294"/>
      <c r="JOZ92" s="292"/>
      <c r="JPA92" s="293"/>
      <c r="JPB92" s="294"/>
      <c r="JPH92" s="292"/>
      <c r="JPI92" s="293"/>
      <c r="JPJ92" s="294"/>
      <c r="JPP92" s="292"/>
      <c r="JPQ92" s="293"/>
      <c r="JPR92" s="294"/>
      <c r="JPX92" s="292"/>
      <c r="JPY92" s="293"/>
      <c r="JPZ92" s="294"/>
      <c r="JQF92" s="292"/>
      <c r="JQG92" s="293"/>
      <c r="JQH92" s="294"/>
      <c r="JQN92" s="292"/>
      <c r="JQO92" s="293"/>
      <c r="JQP92" s="294"/>
      <c r="JQV92" s="292"/>
      <c r="JQW92" s="293"/>
      <c r="JQX92" s="294"/>
      <c r="JRD92" s="292"/>
      <c r="JRE92" s="293"/>
      <c r="JRF92" s="294"/>
      <c r="JRL92" s="292"/>
      <c r="JRM92" s="293"/>
      <c r="JRN92" s="294"/>
      <c r="JRT92" s="292"/>
      <c r="JRU92" s="293"/>
      <c r="JRV92" s="294"/>
      <c r="JSB92" s="292"/>
      <c r="JSC92" s="293"/>
      <c r="JSD92" s="294"/>
      <c r="JSJ92" s="292"/>
      <c r="JSK92" s="293"/>
      <c r="JSL92" s="294"/>
      <c r="JSR92" s="292"/>
      <c r="JSS92" s="293"/>
      <c r="JST92" s="294"/>
      <c r="JSZ92" s="292"/>
      <c r="JTA92" s="293"/>
      <c r="JTB92" s="294"/>
      <c r="JTH92" s="292"/>
      <c r="JTI92" s="293"/>
      <c r="JTJ92" s="294"/>
      <c r="JTP92" s="292"/>
      <c r="JTQ92" s="293"/>
      <c r="JTR92" s="294"/>
      <c r="JTX92" s="292"/>
      <c r="JTY92" s="293"/>
      <c r="JTZ92" s="294"/>
      <c r="JUF92" s="292"/>
      <c r="JUG92" s="293"/>
      <c r="JUH92" s="294"/>
      <c r="JUN92" s="292"/>
      <c r="JUO92" s="293"/>
      <c r="JUP92" s="294"/>
      <c r="JUV92" s="292"/>
      <c r="JUW92" s="293"/>
      <c r="JUX92" s="294"/>
      <c r="JVD92" s="292"/>
      <c r="JVE92" s="293"/>
      <c r="JVF92" s="294"/>
      <c r="JVL92" s="292"/>
      <c r="JVM92" s="293"/>
      <c r="JVN92" s="294"/>
      <c r="JVT92" s="292"/>
      <c r="JVU92" s="293"/>
      <c r="JVV92" s="294"/>
      <c r="JWB92" s="292"/>
      <c r="JWC92" s="293"/>
      <c r="JWD92" s="294"/>
      <c r="JWJ92" s="292"/>
      <c r="JWK92" s="293"/>
      <c r="JWL92" s="294"/>
      <c r="JWR92" s="292"/>
      <c r="JWS92" s="293"/>
      <c r="JWT92" s="294"/>
      <c r="JWZ92" s="292"/>
      <c r="JXA92" s="293"/>
      <c r="JXB92" s="294"/>
      <c r="JXH92" s="292"/>
      <c r="JXI92" s="293"/>
      <c r="JXJ92" s="294"/>
      <c r="JXP92" s="292"/>
      <c r="JXQ92" s="293"/>
      <c r="JXR92" s="294"/>
      <c r="JXX92" s="292"/>
      <c r="JXY92" s="293"/>
      <c r="JXZ92" s="294"/>
      <c r="JYF92" s="292"/>
      <c r="JYG92" s="293"/>
      <c r="JYH92" s="294"/>
      <c r="JYN92" s="292"/>
      <c r="JYO92" s="293"/>
      <c r="JYP92" s="294"/>
      <c r="JYV92" s="292"/>
      <c r="JYW92" s="293"/>
      <c r="JYX92" s="294"/>
      <c r="JZD92" s="292"/>
      <c r="JZE92" s="293"/>
      <c r="JZF92" s="294"/>
      <c r="JZL92" s="292"/>
      <c r="JZM92" s="293"/>
      <c r="JZN92" s="294"/>
      <c r="JZT92" s="292"/>
      <c r="JZU92" s="293"/>
      <c r="JZV92" s="294"/>
      <c r="KAB92" s="292"/>
      <c r="KAC92" s="293"/>
      <c r="KAD92" s="294"/>
      <c r="KAJ92" s="292"/>
      <c r="KAK92" s="293"/>
      <c r="KAL92" s="294"/>
      <c r="KAR92" s="292"/>
      <c r="KAS92" s="293"/>
      <c r="KAT92" s="294"/>
      <c r="KAZ92" s="292"/>
      <c r="KBA92" s="293"/>
      <c r="KBB92" s="294"/>
      <c r="KBH92" s="292"/>
      <c r="KBI92" s="293"/>
      <c r="KBJ92" s="294"/>
      <c r="KBP92" s="292"/>
      <c r="KBQ92" s="293"/>
      <c r="KBR92" s="294"/>
      <c r="KBX92" s="292"/>
      <c r="KBY92" s="293"/>
      <c r="KBZ92" s="294"/>
      <c r="KCF92" s="292"/>
      <c r="KCG92" s="293"/>
      <c r="KCH92" s="294"/>
      <c r="KCN92" s="292"/>
      <c r="KCO92" s="293"/>
      <c r="KCP92" s="294"/>
      <c r="KCV92" s="292"/>
      <c r="KCW92" s="293"/>
      <c r="KCX92" s="294"/>
      <c r="KDD92" s="292"/>
      <c r="KDE92" s="293"/>
      <c r="KDF92" s="294"/>
      <c r="KDL92" s="292"/>
      <c r="KDM92" s="293"/>
      <c r="KDN92" s="294"/>
      <c r="KDT92" s="292"/>
      <c r="KDU92" s="293"/>
      <c r="KDV92" s="294"/>
      <c r="KEB92" s="292"/>
      <c r="KEC92" s="293"/>
      <c r="KED92" s="294"/>
      <c r="KEJ92" s="292"/>
      <c r="KEK92" s="293"/>
      <c r="KEL92" s="294"/>
      <c r="KER92" s="292"/>
      <c r="KES92" s="293"/>
      <c r="KET92" s="294"/>
      <c r="KEZ92" s="292"/>
      <c r="KFA92" s="293"/>
      <c r="KFB92" s="294"/>
      <c r="KFH92" s="292"/>
      <c r="KFI92" s="293"/>
      <c r="KFJ92" s="294"/>
      <c r="KFP92" s="292"/>
      <c r="KFQ92" s="293"/>
      <c r="KFR92" s="294"/>
      <c r="KFX92" s="292"/>
      <c r="KFY92" s="293"/>
      <c r="KFZ92" s="294"/>
      <c r="KGF92" s="292"/>
      <c r="KGG92" s="293"/>
      <c r="KGH92" s="294"/>
      <c r="KGN92" s="292"/>
      <c r="KGO92" s="293"/>
      <c r="KGP92" s="294"/>
      <c r="KGV92" s="292"/>
      <c r="KGW92" s="293"/>
      <c r="KGX92" s="294"/>
      <c r="KHD92" s="292"/>
      <c r="KHE92" s="293"/>
      <c r="KHF92" s="294"/>
      <c r="KHL92" s="292"/>
      <c r="KHM92" s="293"/>
      <c r="KHN92" s="294"/>
      <c r="KHT92" s="292"/>
      <c r="KHU92" s="293"/>
      <c r="KHV92" s="294"/>
      <c r="KIB92" s="292"/>
      <c r="KIC92" s="293"/>
      <c r="KID92" s="294"/>
      <c r="KIJ92" s="292"/>
      <c r="KIK92" s="293"/>
      <c r="KIL92" s="294"/>
      <c r="KIR92" s="292"/>
      <c r="KIS92" s="293"/>
      <c r="KIT92" s="294"/>
      <c r="KIZ92" s="292"/>
      <c r="KJA92" s="293"/>
      <c r="KJB92" s="294"/>
      <c r="KJH92" s="292"/>
      <c r="KJI92" s="293"/>
      <c r="KJJ92" s="294"/>
      <c r="KJP92" s="292"/>
      <c r="KJQ92" s="293"/>
      <c r="KJR92" s="294"/>
      <c r="KJX92" s="292"/>
      <c r="KJY92" s="293"/>
      <c r="KJZ92" s="294"/>
      <c r="KKF92" s="292"/>
      <c r="KKG92" s="293"/>
      <c r="KKH92" s="294"/>
      <c r="KKN92" s="292"/>
      <c r="KKO92" s="293"/>
      <c r="KKP92" s="294"/>
      <c r="KKV92" s="292"/>
      <c r="KKW92" s="293"/>
      <c r="KKX92" s="294"/>
      <c r="KLD92" s="292"/>
      <c r="KLE92" s="293"/>
      <c r="KLF92" s="294"/>
      <c r="KLL92" s="292"/>
      <c r="KLM92" s="293"/>
      <c r="KLN92" s="294"/>
      <c r="KLT92" s="292"/>
      <c r="KLU92" s="293"/>
      <c r="KLV92" s="294"/>
      <c r="KMB92" s="292"/>
      <c r="KMC92" s="293"/>
      <c r="KMD92" s="294"/>
      <c r="KMJ92" s="292"/>
      <c r="KMK92" s="293"/>
      <c r="KML92" s="294"/>
      <c r="KMR92" s="292"/>
      <c r="KMS92" s="293"/>
      <c r="KMT92" s="294"/>
      <c r="KMZ92" s="292"/>
      <c r="KNA92" s="293"/>
      <c r="KNB92" s="294"/>
      <c r="KNH92" s="292"/>
      <c r="KNI92" s="293"/>
      <c r="KNJ92" s="294"/>
      <c r="KNP92" s="292"/>
      <c r="KNQ92" s="293"/>
      <c r="KNR92" s="294"/>
      <c r="KNX92" s="292"/>
      <c r="KNY92" s="293"/>
      <c r="KNZ92" s="294"/>
      <c r="KOF92" s="292"/>
      <c r="KOG92" s="293"/>
      <c r="KOH92" s="294"/>
      <c r="KON92" s="292"/>
      <c r="KOO92" s="293"/>
      <c r="KOP92" s="294"/>
      <c r="KOV92" s="292"/>
      <c r="KOW92" s="293"/>
      <c r="KOX92" s="294"/>
      <c r="KPD92" s="292"/>
      <c r="KPE92" s="293"/>
      <c r="KPF92" s="294"/>
      <c r="KPL92" s="292"/>
      <c r="KPM92" s="293"/>
      <c r="KPN92" s="294"/>
      <c r="KPT92" s="292"/>
      <c r="KPU92" s="293"/>
      <c r="KPV92" s="294"/>
      <c r="KQB92" s="292"/>
      <c r="KQC92" s="293"/>
      <c r="KQD92" s="294"/>
      <c r="KQJ92" s="292"/>
      <c r="KQK92" s="293"/>
      <c r="KQL92" s="294"/>
      <c r="KQR92" s="292"/>
      <c r="KQS92" s="293"/>
      <c r="KQT92" s="294"/>
      <c r="KQZ92" s="292"/>
      <c r="KRA92" s="293"/>
      <c r="KRB92" s="294"/>
      <c r="KRH92" s="292"/>
      <c r="KRI92" s="293"/>
      <c r="KRJ92" s="294"/>
      <c r="KRP92" s="292"/>
      <c r="KRQ92" s="293"/>
      <c r="KRR92" s="294"/>
      <c r="KRX92" s="292"/>
      <c r="KRY92" s="293"/>
      <c r="KRZ92" s="294"/>
      <c r="KSF92" s="292"/>
      <c r="KSG92" s="293"/>
      <c r="KSH92" s="294"/>
      <c r="KSN92" s="292"/>
      <c r="KSO92" s="293"/>
      <c r="KSP92" s="294"/>
      <c r="KSV92" s="292"/>
      <c r="KSW92" s="293"/>
      <c r="KSX92" s="294"/>
      <c r="KTD92" s="292"/>
      <c r="KTE92" s="293"/>
      <c r="KTF92" s="294"/>
      <c r="KTL92" s="292"/>
      <c r="KTM92" s="293"/>
      <c r="KTN92" s="294"/>
      <c r="KTT92" s="292"/>
      <c r="KTU92" s="293"/>
      <c r="KTV92" s="294"/>
      <c r="KUB92" s="292"/>
      <c r="KUC92" s="293"/>
      <c r="KUD92" s="294"/>
      <c r="KUJ92" s="292"/>
      <c r="KUK92" s="293"/>
      <c r="KUL92" s="294"/>
      <c r="KUR92" s="292"/>
      <c r="KUS92" s="293"/>
      <c r="KUT92" s="294"/>
      <c r="KUZ92" s="292"/>
      <c r="KVA92" s="293"/>
      <c r="KVB92" s="294"/>
      <c r="KVH92" s="292"/>
      <c r="KVI92" s="293"/>
      <c r="KVJ92" s="294"/>
      <c r="KVP92" s="292"/>
      <c r="KVQ92" s="293"/>
      <c r="KVR92" s="294"/>
      <c r="KVX92" s="292"/>
      <c r="KVY92" s="293"/>
      <c r="KVZ92" s="294"/>
      <c r="KWF92" s="292"/>
      <c r="KWG92" s="293"/>
      <c r="KWH92" s="294"/>
      <c r="KWN92" s="292"/>
      <c r="KWO92" s="293"/>
      <c r="KWP92" s="294"/>
      <c r="KWV92" s="292"/>
      <c r="KWW92" s="293"/>
      <c r="KWX92" s="294"/>
      <c r="KXD92" s="292"/>
      <c r="KXE92" s="293"/>
      <c r="KXF92" s="294"/>
      <c r="KXL92" s="292"/>
      <c r="KXM92" s="293"/>
      <c r="KXN92" s="294"/>
      <c r="KXT92" s="292"/>
      <c r="KXU92" s="293"/>
      <c r="KXV92" s="294"/>
      <c r="KYB92" s="292"/>
      <c r="KYC92" s="293"/>
      <c r="KYD92" s="294"/>
      <c r="KYJ92" s="292"/>
      <c r="KYK92" s="293"/>
      <c r="KYL92" s="294"/>
      <c r="KYR92" s="292"/>
      <c r="KYS92" s="293"/>
      <c r="KYT92" s="294"/>
      <c r="KYZ92" s="292"/>
      <c r="KZA92" s="293"/>
      <c r="KZB92" s="294"/>
      <c r="KZH92" s="292"/>
      <c r="KZI92" s="293"/>
      <c r="KZJ92" s="294"/>
      <c r="KZP92" s="292"/>
      <c r="KZQ92" s="293"/>
      <c r="KZR92" s="294"/>
      <c r="KZX92" s="292"/>
      <c r="KZY92" s="293"/>
      <c r="KZZ92" s="294"/>
      <c r="LAF92" s="292"/>
      <c r="LAG92" s="293"/>
      <c r="LAH92" s="294"/>
      <c r="LAN92" s="292"/>
      <c r="LAO92" s="293"/>
      <c r="LAP92" s="294"/>
      <c r="LAV92" s="292"/>
      <c r="LAW92" s="293"/>
      <c r="LAX92" s="294"/>
      <c r="LBD92" s="292"/>
      <c r="LBE92" s="293"/>
      <c r="LBF92" s="294"/>
      <c r="LBL92" s="292"/>
      <c r="LBM92" s="293"/>
      <c r="LBN92" s="294"/>
      <c r="LBT92" s="292"/>
      <c r="LBU92" s="293"/>
      <c r="LBV92" s="294"/>
      <c r="LCB92" s="292"/>
      <c r="LCC92" s="293"/>
      <c r="LCD92" s="294"/>
      <c r="LCJ92" s="292"/>
      <c r="LCK92" s="293"/>
      <c r="LCL92" s="294"/>
      <c r="LCR92" s="292"/>
      <c r="LCS92" s="293"/>
      <c r="LCT92" s="294"/>
      <c r="LCZ92" s="292"/>
      <c r="LDA92" s="293"/>
      <c r="LDB92" s="294"/>
      <c r="LDH92" s="292"/>
      <c r="LDI92" s="293"/>
      <c r="LDJ92" s="294"/>
      <c r="LDP92" s="292"/>
      <c r="LDQ92" s="293"/>
      <c r="LDR92" s="294"/>
      <c r="LDX92" s="292"/>
      <c r="LDY92" s="293"/>
      <c r="LDZ92" s="294"/>
      <c r="LEF92" s="292"/>
      <c r="LEG92" s="293"/>
      <c r="LEH92" s="294"/>
      <c r="LEN92" s="292"/>
      <c r="LEO92" s="293"/>
      <c r="LEP92" s="294"/>
      <c r="LEV92" s="292"/>
      <c r="LEW92" s="293"/>
      <c r="LEX92" s="294"/>
      <c r="LFD92" s="292"/>
      <c r="LFE92" s="293"/>
      <c r="LFF92" s="294"/>
      <c r="LFL92" s="292"/>
      <c r="LFM92" s="293"/>
      <c r="LFN92" s="294"/>
      <c r="LFT92" s="292"/>
      <c r="LFU92" s="293"/>
      <c r="LFV92" s="294"/>
      <c r="LGB92" s="292"/>
      <c r="LGC92" s="293"/>
      <c r="LGD92" s="294"/>
      <c r="LGJ92" s="292"/>
      <c r="LGK92" s="293"/>
      <c r="LGL92" s="294"/>
      <c r="LGR92" s="292"/>
      <c r="LGS92" s="293"/>
      <c r="LGT92" s="294"/>
      <c r="LGZ92" s="292"/>
      <c r="LHA92" s="293"/>
      <c r="LHB92" s="294"/>
      <c r="LHH92" s="292"/>
      <c r="LHI92" s="293"/>
      <c r="LHJ92" s="294"/>
      <c r="LHP92" s="292"/>
      <c r="LHQ92" s="293"/>
      <c r="LHR92" s="294"/>
      <c r="LHX92" s="292"/>
      <c r="LHY92" s="293"/>
      <c r="LHZ92" s="294"/>
      <c r="LIF92" s="292"/>
      <c r="LIG92" s="293"/>
      <c r="LIH92" s="294"/>
      <c r="LIN92" s="292"/>
      <c r="LIO92" s="293"/>
      <c r="LIP92" s="294"/>
      <c r="LIV92" s="292"/>
      <c r="LIW92" s="293"/>
      <c r="LIX92" s="294"/>
      <c r="LJD92" s="292"/>
      <c r="LJE92" s="293"/>
      <c r="LJF92" s="294"/>
      <c r="LJL92" s="292"/>
      <c r="LJM92" s="293"/>
      <c r="LJN92" s="294"/>
      <c r="LJT92" s="292"/>
      <c r="LJU92" s="293"/>
      <c r="LJV92" s="294"/>
      <c r="LKB92" s="292"/>
      <c r="LKC92" s="293"/>
      <c r="LKD92" s="294"/>
      <c r="LKJ92" s="292"/>
      <c r="LKK92" s="293"/>
      <c r="LKL92" s="294"/>
      <c r="LKR92" s="292"/>
      <c r="LKS92" s="293"/>
      <c r="LKT92" s="294"/>
      <c r="LKZ92" s="292"/>
      <c r="LLA92" s="293"/>
      <c r="LLB92" s="294"/>
      <c r="LLH92" s="292"/>
      <c r="LLI92" s="293"/>
      <c r="LLJ92" s="294"/>
      <c r="LLP92" s="292"/>
      <c r="LLQ92" s="293"/>
      <c r="LLR92" s="294"/>
      <c r="LLX92" s="292"/>
      <c r="LLY92" s="293"/>
      <c r="LLZ92" s="294"/>
      <c r="LMF92" s="292"/>
      <c r="LMG92" s="293"/>
      <c r="LMH92" s="294"/>
      <c r="LMN92" s="292"/>
      <c r="LMO92" s="293"/>
      <c r="LMP92" s="294"/>
      <c r="LMV92" s="292"/>
      <c r="LMW92" s="293"/>
      <c r="LMX92" s="294"/>
      <c r="LND92" s="292"/>
      <c r="LNE92" s="293"/>
      <c r="LNF92" s="294"/>
      <c r="LNL92" s="292"/>
      <c r="LNM92" s="293"/>
      <c r="LNN92" s="294"/>
      <c r="LNT92" s="292"/>
      <c r="LNU92" s="293"/>
      <c r="LNV92" s="294"/>
      <c r="LOB92" s="292"/>
      <c r="LOC92" s="293"/>
      <c r="LOD92" s="294"/>
      <c r="LOJ92" s="292"/>
      <c r="LOK92" s="293"/>
      <c r="LOL92" s="294"/>
      <c r="LOR92" s="292"/>
      <c r="LOS92" s="293"/>
      <c r="LOT92" s="294"/>
      <c r="LOZ92" s="292"/>
      <c r="LPA92" s="293"/>
      <c r="LPB92" s="294"/>
      <c r="LPH92" s="292"/>
      <c r="LPI92" s="293"/>
      <c r="LPJ92" s="294"/>
      <c r="LPP92" s="292"/>
      <c r="LPQ92" s="293"/>
      <c r="LPR92" s="294"/>
      <c r="LPX92" s="292"/>
      <c r="LPY92" s="293"/>
      <c r="LPZ92" s="294"/>
      <c r="LQF92" s="292"/>
      <c r="LQG92" s="293"/>
      <c r="LQH92" s="294"/>
      <c r="LQN92" s="292"/>
      <c r="LQO92" s="293"/>
      <c r="LQP92" s="294"/>
      <c r="LQV92" s="292"/>
      <c r="LQW92" s="293"/>
      <c r="LQX92" s="294"/>
      <c r="LRD92" s="292"/>
      <c r="LRE92" s="293"/>
      <c r="LRF92" s="294"/>
      <c r="LRL92" s="292"/>
      <c r="LRM92" s="293"/>
      <c r="LRN92" s="294"/>
      <c r="LRT92" s="292"/>
      <c r="LRU92" s="293"/>
      <c r="LRV92" s="294"/>
      <c r="LSB92" s="292"/>
      <c r="LSC92" s="293"/>
      <c r="LSD92" s="294"/>
      <c r="LSJ92" s="292"/>
      <c r="LSK92" s="293"/>
      <c r="LSL92" s="294"/>
      <c r="LSR92" s="292"/>
      <c r="LSS92" s="293"/>
      <c r="LST92" s="294"/>
      <c r="LSZ92" s="292"/>
      <c r="LTA92" s="293"/>
      <c r="LTB92" s="294"/>
      <c r="LTH92" s="292"/>
      <c r="LTI92" s="293"/>
      <c r="LTJ92" s="294"/>
      <c r="LTP92" s="292"/>
      <c r="LTQ92" s="293"/>
      <c r="LTR92" s="294"/>
      <c r="LTX92" s="292"/>
      <c r="LTY92" s="293"/>
      <c r="LTZ92" s="294"/>
      <c r="LUF92" s="292"/>
      <c r="LUG92" s="293"/>
      <c r="LUH92" s="294"/>
      <c r="LUN92" s="292"/>
      <c r="LUO92" s="293"/>
      <c r="LUP92" s="294"/>
      <c r="LUV92" s="292"/>
      <c r="LUW92" s="293"/>
      <c r="LUX92" s="294"/>
      <c r="LVD92" s="292"/>
      <c r="LVE92" s="293"/>
      <c r="LVF92" s="294"/>
      <c r="LVL92" s="292"/>
      <c r="LVM92" s="293"/>
      <c r="LVN92" s="294"/>
      <c r="LVT92" s="292"/>
      <c r="LVU92" s="293"/>
      <c r="LVV92" s="294"/>
      <c r="LWB92" s="292"/>
      <c r="LWC92" s="293"/>
      <c r="LWD92" s="294"/>
      <c r="LWJ92" s="292"/>
      <c r="LWK92" s="293"/>
      <c r="LWL92" s="294"/>
      <c r="LWR92" s="292"/>
      <c r="LWS92" s="293"/>
      <c r="LWT92" s="294"/>
      <c r="LWZ92" s="292"/>
      <c r="LXA92" s="293"/>
      <c r="LXB92" s="294"/>
      <c r="LXH92" s="292"/>
      <c r="LXI92" s="293"/>
      <c r="LXJ92" s="294"/>
      <c r="LXP92" s="292"/>
      <c r="LXQ92" s="293"/>
      <c r="LXR92" s="294"/>
      <c r="LXX92" s="292"/>
      <c r="LXY92" s="293"/>
      <c r="LXZ92" s="294"/>
      <c r="LYF92" s="292"/>
      <c r="LYG92" s="293"/>
      <c r="LYH92" s="294"/>
      <c r="LYN92" s="292"/>
      <c r="LYO92" s="293"/>
      <c r="LYP92" s="294"/>
      <c r="LYV92" s="292"/>
      <c r="LYW92" s="293"/>
      <c r="LYX92" s="294"/>
      <c r="LZD92" s="292"/>
      <c r="LZE92" s="293"/>
      <c r="LZF92" s="294"/>
      <c r="LZL92" s="292"/>
      <c r="LZM92" s="293"/>
      <c r="LZN92" s="294"/>
      <c r="LZT92" s="292"/>
      <c r="LZU92" s="293"/>
      <c r="LZV92" s="294"/>
      <c r="MAB92" s="292"/>
      <c r="MAC92" s="293"/>
      <c r="MAD92" s="294"/>
      <c r="MAJ92" s="292"/>
      <c r="MAK92" s="293"/>
      <c r="MAL92" s="294"/>
      <c r="MAR92" s="292"/>
      <c r="MAS92" s="293"/>
      <c r="MAT92" s="294"/>
      <c r="MAZ92" s="292"/>
      <c r="MBA92" s="293"/>
      <c r="MBB92" s="294"/>
      <c r="MBH92" s="292"/>
      <c r="MBI92" s="293"/>
      <c r="MBJ92" s="294"/>
      <c r="MBP92" s="292"/>
      <c r="MBQ92" s="293"/>
      <c r="MBR92" s="294"/>
      <c r="MBX92" s="292"/>
      <c r="MBY92" s="293"/>
      <c r="MBZ92" s="294"/>
      <c r="MCF92" s="292"/>
      <c r="MCG92" s="293"/>
      <c r="MCH92" s="294"/>
      <c r="MCN92" s="292"/>
      <c r="MCO92" s="293"/>
      <c r="MCP92" s="294"/>
      <c r="MCV92" s="292"/>
      <c r="MCW92" s="293"/>
      <c r="MCX92" s="294"/>
      <c r="MDD92" s="292"/>
      <c r="MDE92" s="293"/>
      <c r="MDF92" s="294"/>
      <c r="MDL92" s="292"/>
      <c r="MDM92" s="293"/>
      <c r="MDN92" s="294"/>
      <c r="MDT92" s="292"/>
      <c r="MDU92" s="293"/>
      <c r="MDV92" s="294"/>
      <c r="MEB92" s="292"/>
      <c r="MEC92" s="293"/>
      <c r="MED92" s="294"/>
      <c r="MEJ92" s="292"/>
      <c r="MEK92" s="293"/>
      <c r="MEL92" s="294"/>
      <c r="MER92" s="292"/>
      <c r="MES92" s="293"/>
      <c r="MET92" s="294"/>
      <c r="MEZ92" s="292"/>
      <c r="MFA92" s="293"/>
      <c r="MFB92" s="294"/>
      <c r="MFH92" s="292"/>
      <c r="MFI92" s="293"/>
      <c r="MFJ92" s="294"/>
      <c r="MFP92" s="292"/>
      <c r="MFQ92" s="293"/>
      <c r="MFR92" s="294"/>
      <c r="MFX92" s="292"/>
      <c r="MFY92" s="293"/>
      <c r="MFZ92" s="294"/>
      <c r="MGF92" s="292"/>
      <c r="MGG92" s="293"/>
      <c r="MGH92" s="294"/>
      <c r="MGN92" s="292"/>
      <c r="MGO92" s="293"/>
      <c r="MGP92" s="294"/>
      <c r="MGV92" s="292"/>
      <c r="MGW92" s="293"/>
      <c r="MGX92" s="294"/>
      <c r="MHD92" s="292"/>
      <c r="MHE92" s="293"/>
      <c r="MHF92" s="294"/>
      <c r="MHL92" s="292"/>
      <c r="MHM92" s="293"/>
      <c r="MHN92" s="294"/>
      <c r="MHT92" s="292"/>
      <c r="MHU92" s="293"/>
      <c r="MHV92" s="294"/>
      <c r="MIB92" s="292"/>
      <c r="MIC92" s="293"/>
      <c r="MID92" s="294"/>
      <c r="MIJ92" s="292"/>
      <c r="MIK92" s="293"/>
      <c r="MIL92" s="294"/>
      <c r="MIR92" s="292"/>
      <c r="MIS92" s="293"/>
      <c r="MIT92" s="294"/>
      <c r="MIZ92" s="292"/>
      <c r="MJA92" s="293"/>
      <c r="MJB92" s="294"/>
      <c r="MJH92" s="292"/>
      <c r="MJI92" s="293"/>
      <c r="MJJ92" s="294"/>
      <c r="MJP92" s="292"/>
      <c r="MJQ92" s="293"/>
      <c r="MJR92" s="294"/>
      <c r="MJX92" s="292"/>
      <c r="MJY92" s="293"/>
      <c r="MJZ92" s="294"/>
      <c r="MKF92" s="292"/>
      <c r="MKG92" s="293"/>
      <c r="MKH92" s="294"/>
      <c r="MKN92" s="292"/>
      <c r="MKO92" s="293"/>
      <c r="MKP92" s="294"/>
      <c r="MKV92" s="292"/>
      <c r="MKW92" s="293"/>
      <c r="MKX92" s="294"/>
      <c r="MLD92" s="292"/>
      <c r="MLE92" s="293"/>
      <c r="MLF92" s="294"/>
      <c r="MLL92" s="292"/>
      <c r="MLM92" s="293"/>
      <c r="MLN92" s="294"/>
      <c r="MLT92" s="292"/>
      <c r="MLU92" s="293"/>
      <c r="MLV92" s="294"/>
      <c r="MMB92" s="292"/>
      <c r="MMC92" s="293"/>
      <c r="MMD92" s="294"/>
      <c r="MMJ92" s="292"/>
      <c r="MMK92" s="293"/>
      <c r="MML92" s="294"/>
      <c r="MMR92" s="292"/>
      <c r="MMS92" s="293"/>
      <c r="MMT92" s="294"/>
      <c r="MMZ92" s="292"/>
      <c r="MNA92" s="293"/>
      <c r="MNB92" s="294"/>
      <c r="MNH92" s="292"/>
      <c r="MNI92" s="293"/>
      <c r="MNJ92" s="294"/>
      <c r="MNP92" s="292"/>
      <c r="MNQ92" s="293"/>
      <c r="MNR92" s="294"/>
      <c r="MNX92" s="292"/>
      <c r="MNY92" s="293"/>
      <c r="MNZ92" s="294"/>
      <c r="MOF92" s="292"/>
      <c r="MOG92" s="293"/>
      <c r="MOH92" s="294"/>
      <c r="MON92" s="292"/>
      <c r="MOO92" s="293"/>
      <c r="MOP92" s="294"/>
      <c r="MOV92" s="292"/>
      <c r="MOW92" s="293"/>
      <c r="MOX92" s="294"/>
      <c r="MPD92" s="292"/>
      <c r="MPE92" s="293"/>
      <c r="MPF92" s="294"/>
      <c r="MPL92" s="292"/>
      <c r="MPM92" s="293"/>
      <c r="MPN92" s="294"/>
      <c r="MPT92" s="292"/>
      <c r="MPU92" s="293"/>
      <c r="MPV92" s="294"/>
      <c r="MQB92" s="292"/>
      <c r="MQC92" s="293"/>
      <c r="MQD92" s="294"/>
      <c r="MQJ92" s="292"/>
      <c r="MQK92" s="293"/>
      <c r="MQL92" s="294"/>
      <c r="MQR92" s="292"/>
      <c r="MQS92" s="293"/>
      <c r="MQT92" s="294"/>
      <c r="MQZ92" s="292"/>
      <c r="MRA92" s="293"/>
      <c r="MRB92" s="294"/>
      <c r="MRH92" s="292"/>
      <c r="MRI92" s="293"/>
      <c r="MRJ92" s="294"/>
      <c r="MRP92" s="292"/>
      <c r="MRQ92" s="293"/>
      <c r="MRR92" s="294"/>
      <c r="MRX92" s="292"/>
      <c r="MRY92" s="293"/>
      <c r="MRZ92" s="294"/>
      <c r="MSF92" s="292"/>
      <c r="MSG92" s="293"/>
      <c r="MSH92" s="294"/>
      <c r="MSN92" s="292"/>
      <c r="MSO92" s="293"/>
      <c r="MSP92" s="294"/>
      <c r="MSV92" s="292"/>
      <c r="MSW92" s="293"/>
      <c r="MSX92" s="294"/>
      <c r="MTD92" s="292"/>
      <c r="MTE92" s="293"/>
      <c r="MTF92" s="294"/>
      <c r="MTL92" s="292"/>
      <c r="MTM92" s="293"/>
      <c r="MTN92" s="294"/>
      <c r="MTT92" s="292"/>
      <c r="MTU92" s="293"/>
      <c r="MTV92" s="294"/>
      <c r="MUB92" s="292"/>
      <c r="MUC92" s="293"/>
      <c r="MUD92" s="294"/>
      <c r="MUJ92" s="292"/>
      <c r="MUK92" s="293"/>
      <c r="MUL92" s="294"/>
      <c r="MUR92" s="292"/>
      <c r="MUS92" s="293"/>
      <c r="MUT92" s="294"/>
      <c r="MUZ92" s="292"/>
      <c r="MVA92" s="293"/>
      <c r="MVB92" s="294"/>
      <c r="MVH92" s="292"/>
      <c r="MVI92" s="293"/>
      <c r="MVJ92" s="294"/>
      <c r="MVP92" s="292"/>
      <c r="MVQ92" s="293"/>
      <c r="MVR92" s="294"/>
      <c r="MVX92" s="292"/>
      <c r="MVY92" s="293"/>
      <c r="MVZ92" s="294"/>
      <c r="MWF92" s="292"/>
      <c r="MWG92" s="293"/>
      <c r="MWH92" s="294"/>
      <c r="MWN92" s="292"/>
      <c r="MWO92" s="293"/>
      <c r="MWP92" s="294"/>
      <c r="MWV92" s="292"/>
      <c r="MWW92" s="293"/>
      <c r="MWX92" s="294"/>
      <c r="MXD92" s="292"/>
      <c r="MXE92" s="293"/>
      <c r="MXF92" s="294"/>
      <c r="MXL92" s="292"/>
      <c r="MXM92" s="293"/>
      <c r="MXN92" s="294"/>
      <c r="MXT92" s="292"/>
      <c r="MXU92" s="293"/>
      <c r="MXV92" s="294"/>
      <c r="MYB92" s="292"/>
      <c r="MYC92" s="293"/>
      <c r="MYD92" s="294"/>
      <c r="MYJ92" s="292"/>
      <c r="MYK92" s="293"/>
      <c r="MYL92" s="294"/>
      <c r="MYR92" s="292"/>
      <c r="MYS92" s="293"/>
      <c r="MYT92" s="294"/>
      <c r="MYZ92" s="292"/>
      <c r="MZA92" s="293"/>
      <c r="MZB92" s="294"/>
      <c r="MZH92" s="292"/>
      <c r="MZI92" s="293"/>
      <c r="MZJ92" s="294"/>
      <c r="MZP92" s="292"/>
      <c r="MZQ92" s="293"/>
      <c r="MZR92" s="294"/>
      <c r="MZX92" s="292"/>
      <c r="MZY92" s="293"/>
      <c r="MZZ92" s="294"/>
      <c r="NAF92" s="292"/>
      <c r="NAG92" s="293"/>
      <c r="NAH92" s="294"/>
      <c r="NAN92" s="292"/>
      <c r="NAO92" s="293"/>
      <c r="NAP92" s="294"/>
      <c r="NAV92" s="292"/>
      <c r="NAW92" s="293"/>
      <c r="NAX92" s="294"/>
      <c r="NBD92" s="292"/>
      <c r="NBE92" s="293"/>
      <c r="NBF92" s="294"/>
      <c r="NBL92" s="292"/>
      <c r="NBM92" s="293"/>
      <c r="NBN92" s="294"/>
      <c r="NBT92" s="292"/>
      <c r="NBU92" s="293"/>
      <c r="NBV92" s="294"/>
      <c r="NCB92" s="292"/>
      <c r="NCC92" s="293"/>
      <c r="NCD92" s="294"/>
      <c r="NCJ92" s="292"/>
      <c r="NCK92" s="293"/>
      <c r="NCL92" s="294"/>
      <c r="NCR92" s="292"/>
      <c r="NCS92" s="293"/>
      <c r="NCT92" s="294"/>
      <c r="NCZ92" s="292"/>
      <c r="NDA92" s="293"/>
      <c r="NDB92" s="294"/>
      <c r="NDH92" s="292"/>
      <c r="NDI92" s="293"/>
      <c r="NDJ92" s="294"/>
      <c r="NDP92" s="292"/>
      <c r="NDQ92" s="293"/>
      <c r="NDR92" s="294"/>
      <c r="NDX92" s="292"/>
      <c r="NDY92" s="293"/>
      <c r="NDZ92" s="294"/>
      <c r="NEF92" s="292"/>
      <c r="NEG92" s="293"/>
      <c r="NEH92" s="294"/>
      <c r="NEN92" s="292"/>
      <c r="NEO92" s="293"/>
      <c r="NEP92" s="294"/>
      <c r="NEV92" s="292"/>
      <c r="NEW92" s="293"/>
      <c r="NEX92" s="294"/>
      <c r="NFD92" s="292"/>
      <c r="NFE92" s="293"/>
      <c r="NFF92" s="294"/>
      <c r="NFL92" s="292"/>
      <c r="NFM92" s="293"/>
      <c r="NFN92" s="294"/>
      <c r="NFT92" s="292"/>
      <c r="NFU92" s="293"/>
      <c r="NFV92" s="294"/>
      <c r="NGB92" s="292"/>
      <c r="NGC92" s="293"/>
      <c r="NGD92" s="294"/>
      <c r="NGJ92" s="292"/>
      <c r="NGK92" s="293"/>
      <c r="NGL92" s="294"/>
      <c r="NGR92" s="292"/>
      <c r="NGS92" s="293"/>
      <c r="NGT92" s="294"/>
      <c r="NGZ92" s="292"/>
      <c r="NHA92" s="293"/>
      <c r="NHB92" s="294"/>
      <c r="NHH92" s="292"/>
      <c r="NHI92" s="293"/>
      <c r="NHJ92" s="294"/>
      <c r="NHP92" s="292"/>
      <c r="NHQ92" s="293"/>
      <c r="NHR92" s="294"/>
      <c r="NHX92" s="292"/>
      <c r="NHY92" s="293"/>
      <c r="NHZ92" s="294"/>
      <c r="NIF92" s="292"/>
      <c r="NIG92" s="293"/>
      <c r="NIH92" s="294"/>
      <c r="NIN92" s="292"/>
      <c r="NIO92" s="293"/>
      <c r="NIP92" s="294"/>
      <c r="NIV92" s="292"/>
      <c r="NIW92" s="293"/>
      <c r="NIX92" s="294"/>
      <c r="NJD92" s="292"/>
      <c r="NJE92" s="293"/>
      <c r="NJF92" s="294"/>
      <c r="NJL92" s="292"/>
      <c r="NJM92" s="293"/>
      <c r="NJN92" s="294"/>
      <c r="NJT92" s="292"/>
      <c r="NJU92" s="293"/>
      <c r="NJV92" s="294"/>
      <c r="NKB92" s="292"/>
      <c r="NKC92" s="293"/>
      <c r="NKD92" s="294"/>
      <c r="NKJ92" s="292"/>
      <c r="NKK92" s="293"/>
      <c r="NKL92" s="294"/>
      <c r="NKR92" s="292"/>
      <c r="NKS92" s="293"/>
      <c r="NKT92" s="294"/>
      <c r="NKZ92" s="292"/>
      <c r="NLA92" s="293"/>
      <c r="NLB92" s="294"/>
      <c r="NLH92" s="292"/>
      <c r="NLI92" s="293"/>
      <c r="NLJ92" s="294"/>
      <c r="NLP92" s="292"/>
      <c r="NLQ92" s="293"/>
      <c r="NLR92" s="294"/>
      <c r="NLX92" s="292"/>
      <c r="NLY92" s="293"/>
      <c r="NLZ92" s="294"/>
      <c r="NMF92" s="292"/>
      <c r="NMG92" s="293"/>
      <c r="NMH92" s="294"/>
      <c r="NMN92" s="292"/>
      <c r="NMO92" s="293"/>
      <c r="NMP92" s="294"/>
      <c r="NMV92" s="292"/>
      <c r="NMW92" s="293"/>
      <c r="NMX92" s="294"/>
      <c r="NND92" s="292"/>
      <c r="NNE92" s="293"/>
      <c r="NNF92" s="294"/>
      <c r="NNL92" s="292"/>
      <c r="NNM92" s="293"/>
      <c r="NNN92" s="294"/>
      <c r="NNT92" s="292"/>
      <c r="NNU92" s="293"/>
      <c r="NNV92" s="294"/>
      <c r="NOB92" s="292"/>
      <c r="NOC92" s="293"/>
      <c r="NOD92" s="294"/>
      <c r="NOJ92" s="292"/>
      <c r="NOK92" s="293"/>
      <c r="NOL92" s="294"/>
      <c r="NOR92" s="292"/>
      <c r="NOS92" s="293"/>
      <c r="NOT92" s="294"/>
      <c r="NOZ92" s="292"/>
      <c r="NPA92" s="293"/>
      <c r="NPB92" s="294"/>
      <c r="NPH92" s="292"/>
      <c r="NPI92" s="293"/>
      <c r="NPJ92" s="294"/>
      <c r="NPP92" s="292"/>
      <c r="NPQ92" s="293"/>
      <c r="NPR92" s="294"/>
      <c r="NPX92" s="292"/>
      <c r="NPY92" s="293"/>
      <c r="NPZ92" s="294"/>
      <c r="NQF92" s="292"/>
      <c r="NQG92" s="293"/>
      <c r="NQH92" s="294"/>
      <c r="NQN92" s="292"/>
      <c r="NQO92" s="293"/>
      <c r="NQP92" s="294"/>
      <c r="NQV92" s="292"/>
      <c r="NQW92" s="293"/>
      <c r="NQX92" s="294"/>
      <c r="NRD92" s="292"/>
      <c r="NRE92" s="293"/>
      <c r="NRF92" s="294"/>
      <c r="NRL92" s="292"/>
      <c r="NRM92" s="293"/>
      <c r="NRN92" s="294"/>
      <c r="NRT92" s="292"/>
      <c r="NRU92" s="293"/>
      <c r="NRV92" s="294"/>
      <c r="NSB92" s="292"/>
      <c r="NSC92" s="293"/>
      <c r="NSD92" s="294"/>
      <c r="NSJ92" s="292"/>
      <c r="NSK92" s="293"/>
      <c r="NSL92" s="294"/>
      <c r="NSR92" s="292"/>
      <c r="NSS92" s="293"/>
      <c r="NST92" s="294"/>
      <c r="NSZ92" s="292"/>
      <c r="NTA92" s="293"/>
      <c r="NTB92" s="294"/>
      <c r="NTH92" s="292"/>
      <c r="NTI92" s="293"/>
      <c r="NTJ92" s="294"/>
      <c r="NTP92" s="292"/>
      <c r="NTQ92" s="293"/>
      <c r="NTR92" s="294"/>
      <c r="NTX92" s="292"/>
      <c r="NTY92" s="293"/>
      <c r="NTZ92" s="294"/>
      <c r="NUF92" s="292"/>
      <c r="NUG92" s="293"/>
      <c r="NUH92" s="294"/>
      <c r="NUN92" s="292"/>
      <c r="NUO92" s="293"/>
      <c r="NUP92" s="294"/>
      <c r="NUV92" s="292"/>
      <c r="NUW92" s="293"/>
      <c r="NUX92" s="294"/>
      <c r="NVD92" s="292"/>
      <c r="NVE92" s="293"/>
      <c r="NVF92" s="294"/>
      <c r="NVL92" s="292"/>
      <c r="NVM92" s="293"/>
      <c r="NVN92" s="294"/>
      <c r="NVT92" s="292"/>
      <c r="NVU92" s="293"/>
      <c r="NVV92" s="294"/>
      <c r="NWB92" s="292"/>
      <c r="NWC92" s="293"/>
      <c r="NWD92" s="294"/>
      <c r="NWJ92" s="292"/>
      <c r="NWK92" s="293"/>
      <c r="NWL92" s="294"/>
      <c r="NWR92" s="292"/>
      <c r="NWS92" s="293"/>
      <c r="NWT92" s="294"/>
      <c r="NWZ92" s="292"/>
      <c r="NXA92" s="293"/>
      <c r="NXB92" s="294"/>
      <c r="NXH92" s="292"/>
      <c r="NXI92" s="293"/>
      <c r="NXJ92" s="294"/>
      <c r="NXP92" s="292"/>
      <c r="NXQ92" s="293"/>
      <c r="NXR92" s="294"/>
      <c r="NXX92" s="292"/>
      <c r="NXY92" s="293"/>
      <c r="NXZ92" s="294"/>
      <c r="NYF92" s="292"/>
      <c r="NYG92" s="293"/>
      <c r="NYH92" s="294"/>
      <c r="NYN92" s="292"/>
      <c r="NYO92" s="293"/>
      <c r="NYP92" s="294"/>
      <c r="NYV92" s="292"/>
      <c r="NYW92" s="293"/>
      <c r="NYX92" s="294"/>
      <c r="NZD92" s="292"/>
      <c r="NZE92" s="293"/>
      <c r="NZF92" s="294"/>
      <c r="NZL92" s="292"/>
      <c r="NZM92" s="293"/>
      <c r="NZN92" s="294"/>
      <c r="NZT92" s="292"/>
      <c r="NZU92" s="293"/>
      <c r="NZV92" s="294"/>
      <c r="OAB92" s="292"/>
      <c r="OAC92" s="293"/>
      <c r="OAD92" s="294"/>
      <c r="OAJ92" s="292"/>
      <c r="OAK92" s="293"/>
      <c r="OAL92" s="294"/>
      <c r="OAR92" s="292"/>
      <c r="OAS92" s="293"/>
      <c r="OAT92" s="294"/>
      <c r="OAZ92" s="292"/>
      <c r="OBA92" s="293"/>
      <c r="OBB92" s="294"/>
      <c r="OBH92" s="292"/>
      <c r="OBI92" s="293"/>
      <c r="OBJ92" s="294"/>
      <c r="OBP92" s="292"/>
      <c r="OBQ92" s="293"/>
      <c r="OBR92" s="294"/>
      <c r="OBX92" s="292"/>
      <c r="OBY92" s="293"/>
      <c r="OBZ92" s="294"/>
      <c r="OCF92" s="292"/>
      <c r="OCG92" s="293"/>
      <c r="OCH92" s="294"/>
      <c r="OCN92" s="292"/>
      <c r="OCO92" s="293"/>
      <c r="OCP92" s="294"/>
      <c r="OCV92" s="292"/>
      <c r="OCW92" s="293"/>
      <c r="OCX92" s="294"/>
      <c r="ODD92" s="292"/>
      <c r="ODE92" s="293"/>
      <c r="ODF92" s="294"/>
      <c r="ODL92" s="292"/>
      <c r="ODM92" s="293"/>
      <c r="ODN92" s="294"/>
      <c r="ODT92" s="292"/>
      <c r="ODU92" s="293"/>
      <c r="ODV92" s="294"/>
      <c r="OEB92" s="292"/>
      <c r="OEC92" s="293"/>
      <c r="OED92" s="294"/>
      <c r="OEJ92" s="292"/>
      <c r="OEK92" s="293"/>
      <c r="OEL92" s="294"/>
      <c r="OER92" s="292"/>
      <c r="OES92" s="293"/>
      <c r="OET92" s="294"/>
      <c r="OEZ92" s="292"/>
      <c r="OFA92" s="293"/>
      <c r="OFB92" s="294"/>
      <c r="OFH92" s="292"/>
      <c r="OFI92" s="293"/>
      <c r="OFJ92" s="294"/>
      <c r="OFP92" s="292"/>
      <c r="OFQ92" s="293"/>
      <c r="OFR92" s="294"/>
      <c r="OFX92" s="292"/>
      <c r="OFY92" s="293"/>
      <c r="OFZ92" s="294"/>
      <c r="OGF92" s="292"/>
      <c r="OGG92" s="293"/>
      <c r="OGH92" s="294"/>
      <c r="OGN92" s="292"/>
      <c r="OGO92" s="293"/>
      <c r="OGP92" s="294"/>
      <c r="OGV92" s="292"/>
      <c r="OGW92" s="293"/>
      <c r="OGX92" s="294"/>
      <c r="OHD92" s="292"/>
      <c r="OHE92" s="293"/>
      <c r="OHF92" s="294"/>
      <c r="OHL92" s="292"/>
      <c r="OHM92" s="293"/>
      <c r="OHN92" s="294"/>
      <c r="OHT92" s="292"/>
      <c r="OHU92" s="293"/>
      <c r="OHV92" s="294"/>
      <c r="OIB92" s="292"/>
      <c r="OIC92" s="293"/>
      <c r="OID92" s="294"/>
      <c r="OIJ92" s="292"/>
      <c r="OIK92" s="293"/>
      <c r="OIL92" s="294"/>
      <c r="OIR92" s="292"/>
      <c r="OIS92" s="293"/>
      <c r="OIT92" s="294"/>
      <c r="OIZ92" s="292"/>
      <c r="OJA92" s="293"/>
      <c r="OJB92" s="294"/>
      <c r="OJH92" s="292"/>
      <c r="OJI92" s="293"/>
      <c r="OJJ92" s="294"/>
      <c r="OJP92" s="292"/>
      <c r="OJQ92" s="293"/>
      <c r="OJR92" s="294"/>
      <c r="OJX92" s="292"/>
      <c r="OJY92" s="293"/>
      <c r="OJZ92" s="294"/>
      <c r="OKF92" s="292"/>
      <c r="OKG92" s="293"/>
      <c r="OKH92" s="294"/>
      <c r="OKN92" s="292"/>
      <c r="OKO92" s="293"/>
      <c r="OKP92" s="294"/>
      <c r="OKV92" s="292"/>
      <c r="OKW92" s="293"/>
      <c r="OKX92" s="294"/>
      <c r="OLD92" s="292"/>
      <c r="OLE92" s="293"/>
      <c r="OLF92" s="294"/>
      <c r="OLL92" s="292"/>
      <c r="OLM92" s="293"/>
      <c r="OLN92" s="294"/>
      <c r="OLT92" s="292"/>
      <c r="OLU92" s="293"/>
      <c r="OLV92" s="294"/>
      <c r="OMB92" s="292"/>
      <c r="OMC92" s="293"/>
      <c r="OMD92" s="294"/>
      <c r="OMJ92" s="292"/>
      <c r="OMK92" s="293"/>
      <c r="OML92" s="294"/>
      <c r="OMR92" s="292"/>
      <c r="OMS92" s="293"/>
      <c r="OMT92" s="294"/>
      <c r="OMZ92" s="292"/>
      <c r="ONA92" s="293"/>
      <c r="ONB92" s="294"/>
      <c r="ONH92" s="292"/>
      <c r="ONI92" s="293"/>
      <c r="ONJ92" s="294"/>
      <c r="ONP92" s="292"/>
      <c r="ONQ92" s="293"/>
      <c r="ONR92" s="294"/>
      <c r="ONX92" s="292"/>
      <c r="ONY92" s="293"/>
      <c r="ONZ92" s="294"/>
      <c r="OOF92" s="292"/>
      <c r="OOG92" s="293"/>
      <c r="OOH92" s="294"/>
      <c r="OON92" s="292"/>
      <c r="OOO92" s="293"/>
      <c r="OOP92" s="294"/>
      <c r="OOV92" s="292"/>
      <c r="OOW92" s="293"/>
      <c r="OOX92" s="294"/>
      <c r="OPD92" s="292"/>
      <c r="OPE92" s="293"/>
      <c r="OPF92" s="294"/>
      <c r="OPL92" s="292"/>
      <c r="OPM92" s="293"/>
      <c r="OPN92" s="294"/>
      <c r="OPT92" s="292"/>
      <c r="OPU92" s="293"/>
      <c r="OPV92" s="294"/>
      <c r="OQB92" s="292"/>
      <c r="OQC92" s="293"/>
      <c r="OQD92" s="294"/>
      <c r="OQJ92" s="292"/>
      <c r="OQK92" s="293"/>
      <c r="OQL92" s="294"/>
      <c r="OQR92" s="292"/>
      <c r="OQS92" s="293"/>
      <c r="OQT92" s="294"/>
      <c r="OQZ92" s="292"/>
      <c r="ORA92" s="293"/>
      <c r="ORB92" s="294"/>
      <c r="ORH92" s="292"/>
      <c r="ORI92" s="293"/>
      <c r="ORJ92" s="294"/>
      <c r="ORP92" s="292"/>
      <c r="ORQ92" s="293"/>
      <c r="ORR92" s="294"/>
      <c r="ORX92" s="292"/>
      <c r="ORY92" s="293"/>
      <c r="ORZ92" s="294"/>
      <c r="OSF92" s="292"/>
      <c r="OSG92" s="293"/>
      <c r="OSH92" s="294"/>
      <c r="OSN92" s="292"/>
      <c r="OSO92" s="293"/>
      <c r="OSP92" s="294"/>
      <c r="OSV92" s="292"/>
      <c r="OSW92" s="293"/>
      <c r="OSX92" s="294"/>
      <c r="OTD92" s="292"/>
      <c r="OTE92" s="293"/>
      <c r="OTF92" s="294"/>
      <c r="OTL92" s="292"/>
      <c r="OTM92" s="293"/>
      <c r="OTN92" s="294"/>
      <c r="OTT92" s="292"/>
      <c r="OTU92" s="293"/>
      <c r="OTV92" s="294"/>
      <c r="OUB92" s="292"/>
      <c r="OUC92" s="293"/>
      <c r="OUD92" s="294"/>
      <c r="OUJ92" s="292"/>
      <c r="OUK92" s="293"/>
      <c r="OUL92" s="294"/>
      <c r="OUR92" s="292"/>
      <c r="OUS92" s="293"/>
      <c r="OUT92" s="294"/>
      <c r="OUZ92" s="292"/>
      <c r="OVA92" s="293"/>
      <c r="OVB92" s="294"/>
      <c r="OVH92" s="292"/>
      <c r="OVI92" s="293"/>
      <c r="OVJ92" s="294"/>
      <c r="OVP92" s="292"/>
      <c r="OVQ92" s="293"/>
      <c r="OVR92" s="294"/>
      <c r="OVX92" s="292"/>
      <c r="OVY92" s="293"/>
      <c r="OVZ92" s="294"/>
      <c r="OWF92" s="292"/>
      <c r="OWG92" s="293"/>
      <c r="OWH92" s="294"/>
      <c r="OWN92" s="292"/>
      <c r="OWO92" s="293"/>
      <c r="OWP92" s="294"/>
      <c r="OWV92" s="292"/>
      <c r="OWW92" s="293"/>
      <c r="OWX92" s="294"/>
      <c r="OXD92" s="292"/>
      <c r="OXE92" s="293"/>
      <c r="OXF92" s="294"/>
      <c r="OXL92" s="292"/>
      <c r="OXM92" s="293"/>
      <c r="OXN92" s="294"/>
      <c r="OXT92" s="292"/>
      <c r="OXU92" s="293"/>
      <c r="OXV92" s="294"/>
      <c r="OYB92" s="292"/>
      <c r="OYC92" s="293"/>
      <c r="OYD92" s="294"/>
      <c r="OYJ92" s="292"/>
      <c r="OYK92" s="293"/>
      <c r="OYL92" s="294"/>
      <c r="OYR92" s="292"/>
      <c r="OYS92" s="293"/>
      <c r="OYT92" s="294"/>
      <c r="OYZ92" s="292"/>
      <c r="OZA92" s="293"/>
      <c r="OZB92" s="294"/>
      <c r="OZH92" s="292"/>
      <c r="OZI92" s="293"/>
      <c r="OZJ92" s="294"/>
      <c r="OZP92" s="292"/>
      <c r="OZQ92" s="293"/>
      <c r="OZR92" s="294"/>
      <c r="OZX92" s="292"/>
      <c r="OZY92" s="293"/>
      <c r="OZZ92" s="294"/>
      <c r="PAF92" s="292"/>
      <c r="PAG92" s="293"/>
      <c r="PAH92" s="294"/>
      <c r="PAN92" s="292"/>
      <c r="PAO92" s="293"/>
      <c r="PAP92" s="294"/>
      <c r="PAV92" s="292"/>
      <c r="PAW92" s="293"/>
      <c r="PAX92" s="294"/>
      <c r="PBD92" s="292"/>
      <c r="PBE92" s="293"/>
      <c r="PBF92" s="294"/>
      <c r="PBL92" s="292"/>
      <c r="PBM92" s="293"/>
      <c r="PBN92" s="294"/>
      <c r="PBT92" s="292"/>
      <c r="PBU92" s="293"/>
      <c r="PBV92" s="294"/>
      <c r="PCB92" s="292"/>
      <c r="PCC92" s="293"/>
      <c r="PCD92" s="294"/>
      <c r="PCJ92" s="292"/>
      <c r="PCK92" s="293"/>
      <c r="PCL92" s="294"/>
      <c r="PCR92" s="292"/>
      <c r="PCS92" s="293"/>
      <c r="PCT92" s="294"/>
      <c r="PCZ92" s="292"/>
      <c r="PDA92" s="293"/>
      <c r="PDB92" s="294"/>
      <c r="PDH92" s="292"/>
      <c r="PDI92" s="293"/>
      <c r="PDJ92" s="294"/>
      <c r="PDP92" s="292"/>
      <c r="PDQ92" s="293"/>
      <c r="PDR92" s="294"/>
      <c r="PDX92" s="292"/>
      <c r="PDY92" s="293"/>
      <c r="PDZ92" s="294"/>
      <c r="PEF92" s="292"/>
      <c r="PEG92" s="293"/>
      <c r="PEH92" s="294"/>
      <c r="PEN92" s="292"/>
      <c r="PEO92" s="293"/>
      <c r="PEP92" s="294"/>
      <c r="PEV92" s="292"/>
      <c r="PEW92" s="293"/>
      <c r="PEX92" s="294"/>
      <c r="PFD92" s="292"/>
      <c r="PFE92" s="293"/>
      <c r="PFF92" s="294"/>
      <c r="PFL92" s="292"/>
      <c r="PFM92" s="293"/>
      <c r="PFN92" s="294"/>
      <c r="PFT92" s="292"/>
      <c r="PFU92" s="293"/>
      <c r="PFV92" s="294"/>
      <c r="PGB92" s="292"/>
      <c r="PGC92" s="293"/>
      <c r="PGD92" s="294"/>
      <c r="PGJ92" s="292"/>
      <c r="PGK92" s="293"/>
      <c r="PGL92" s="294"/>
      <c r="PGR92" s="292"/>
      <c r="PGS92" s="293"/>
      <c r="PGT92" s="294"/>
      <c r="PGZ92" s="292"/>
      <c r="PHA92" s="293"/>
      <c r="PHB92" s="294"/>
      <c r="PHH92" s="292"/>
      <c r="PHI92" s="293"/>
      <c r="PHJ92" s="294"/>
      <c r="PHP92" s="292"/>
      <c r="PHQ92" s="293"/>
      <c r="PHR92" s="294"/>
      <c r="PHX92" s="292"/>
      <c r="PHY92" s="293"/>
      <c r="PHZ92" s="294"/>
      <c r="PIF92" s="292"/>
      <c r="PIG92" s="293"/>
      <c r="PIH92" s="294"/>
      <c r="PIN92" s="292"/>
      <c r="PIO92" s="293"/>
      <c r="PIP92" s="294"/>
      <c r="PIV92" s="292"/>
      <c r="PIW92" s="293"/>
      <c r="PIX92" s="294"/>
      <c r="PJD92" s="292"/>
      <c r="PJE92" s="293"/>
      <c r="PJF92" s="294"/>
      <c r="PJL92" s="292"/>
      <c r="PJM92" s="293"/>
      <c r="PJN92" s="294"/>
      <c r="PJT92" s="292"/>
      <c r="PJU92" s="293"/>
      <c r="PJV92" s="294"/>
      <c r="PKB92" s="292"/>
      <c r="PKC92" s="293"/>
      <c r="PKD92" s="294"/>
      <c r="PKJ92" s="292"/>
      <c r="PKK92" s="293"/>
      <c r="PKL92" s="294"/>
      <c r="PKR92" s="292"/>
      <c r="PKS92" s="293"/>
      <c r="PKT92" s="294"/>
      <c r="PKZ92" s="292"/>
      <c r="PLA92" s="293"/>
      <c r="PLB92" s="294"/>
      <c r="PLH92" s="292"/>
      <c r="PLI92" s="293"/>
      <c r="PLJ92" s="294"/>
      <c r="PLP92" s="292"/>
      <c r="PLQ92" s="293"/>
      <c r="PLR92" s="294"/>
      <c r="PLX92" s="292"/>
      <c r="PLY92" s="293"/>
      <c r="PLZ92" s="294"/>
      <c r="PMF92" s="292"/>
      <c r="PMG92" s="293"/>
      <c r="PMH92" s="294"/>
      <c r="PMN92" s="292"/>
      <c r="PMO92" s="293"/>
      <c r="PMP92" s="294"/>
      <c r="PMV92" s="292"/>
      <c r="PMW92" s="293"/>
      <c r="PMX92" s="294"/>
      <c r="PND92" s="292"/>
      <c r="PNE92" s="293"/>
      <c r="PNF92" s="294"/>
      <c r="PNL92" s="292"/>
      <c r="PNM92" s="293"/>
      <c r="PNN92" s="294"/>
      <c r="PNT92" s="292"/>
      <c r="PNU92" s="293"/>
      <c r="PNV92" s="294"/>
      <c r="POB92" s="292"/>
      <c r="POC92" s="293"/>
      <c r="POD92" s="294"/>
      <c r="POJ92" s="292"/>
      <c r="POK92" s="293"/>
      <c r="POL92" s="294"/>
      <c r="POR92" s="292"/>
      <c r="POS92" s="293"/>
      <c r="POT92" s="294"/>
      <c r="POZ92" s="292"/>
      <c r="PPA92" s="293"/>
      <c r="PPB92" s="294"/>
      <c r="PPH92" s="292"/>
      <c r="PPI92" s="293"/>
      <c r="PPJ92" s="294"/>
      <c r="PPP92" s="292"/>
      <c r="PPQ92" s="293"/>
      <c r="PPR92" s="294"/>
      <c r="PPX92" s="292"/>
      <c r="PPY92" s="293"/>
      <c r="PPZ92" s="294"/>
      <c r="PQF92" s="292"/>
      <c r="PQG92" s="293"/>
      <c r="PQH92" s="294"/>
      <c r="PQN92" s="292"/>
      <c r="PQO92" s="293"/>
      <c r="PQP92" s="294"/>
      <c r="PQV92" s="292"/>
      <c r="PQW92" s="293"/>
      <c r="PQX92" s="294"/>
      <c r="PRD92" s="292"/>
      <c r="PRE92" s="293"/>
      <c r="PRF92" s="294"/>
      <c r="PRL92" s="292"/>
      <c r="PRM92" s="293"/>
      <c r="PRN92" s="294"/>
      <c r="PRT92" s="292"/>
      <c r="PRU92" s="293"/>
      <c r="PRV92" s="294"/>
      <c r="PSB92" s="292"/>
      <c r="PSC92" s="293"/>
      <c r="PSD92" s="294"/>
      <c r="PSJ92" s="292"/>
      <c r="PSK92" s="293"/>
      <c r="PSL92" s="294"/>
      <c r="PSR92" s="292"/>
      <c r="PSS92" s="293"/>
      <c r="PST92" s="294"/>
      <c r="PSZ92" s="292"/>
      <c r="PTA92" s="293"/>
      <c r="PTB92" s="294"/>
      <c r="PTH92" s="292"/>
      <c r="PTI92" s="293"/>
      <c r="PTJ92" s="294"/>
      <c r="PTP92" s="292"/>
      <c r="PTQ92" s="293"/>
      <c r="PTR92" s="294"/>
      <c r="PTX92" s="292"/>
      <c r="PTY92" s="293"/>
      <c r="PTZ92" s="294"/>
      <c r="PUF92" s="292"/>
      <c r="PUG92" s="293"/>
      <c r="PUH92" s="294"/>
      <c r="PUN92" s="292"/>
      <c r="PUO92" s="293"/>
      <c r="PUP92" s="294"/>
      <c r="PUV92" s="292"/>
      <c r="PUW92" s="293"/>
      <c r="PUX92" s="294"/>
      <c r="PVD92" s="292"/>
      <c r="PVE92" s="293"/>
      <c r="PVF92" s="294"/>
      <c r="PVL92" s="292"/>
      <c r="PVM92" s="293"/>
      <c r="PVN92" s="294"/>
      <c r="PVT92" s="292"/>
      <c r="PVU92" s="293"/>
      <c r="PVV92" s="294"/>
      <c r="PWB92" s="292"/>
      <c r="PWC92" s="293"/>
      <c r="PWD92" s="294"/>
      <c r="PWJ92" s="292"/>
      <c r="PWK92" s="293"/>
      <c r="PWL92" s="294"/>
      <c r="PWR92" s="292"/>
      <c r="PWS92" s="293"/>
      <c r="PWT92" s="294"/>
      <c r="PWZ92" s="292"/>
      <c r="PXA92" s="293"/>
      <c r="PXB92" s="294"/>
      <c r="PXH92" s="292"/>
      <c r="PXI92" s="293"/>
      <c r="PXJ92" s="294"/>
      <c r="PXP92" s="292"/>
      <c r="PXQ92" s="293"/>
      <c r="PXR92" s="294"/>
      <c r="PXX92" s="292"/>
      <c r="PXY92" s="293"/>
      <c r="PXZ92" s="294"/>
      <c r="PYF92" s="292"/>
      <c r="PYG92" s="293"/>
      <c r="PYH92" s="294"/>
      <c r="PYN92" s="292"/>
      <c r="PYO92" s="293"/>
      <c r="PYP92" s="294"/>
      <c r="PYV92" s="292"/>
      <c r="PYW92" s="293"/>
      <c r="PYX92" s="294"/>
      <c r="PZD92" s="292"/>
      <c r="PZE92" s="293"/>
      <c r="PZF92" s="294"/>
      <c r="PZL92" s="292"/>
      <c r="PZM92" s="293"/>
      <c r="PZN92" s="294"/>
      <c r="PZT92" s="292"/>
      <c r="PZU92" s="293"/>
      <c r="PZV92" s="294"/>
      <c r="QAB92" s="292"/>
      <c r="QAC92" s="293"/>
      <c r="QAD92" s="294"/>
      <c r="QAJ92" s="292"/>
      <c r="QAK92" s="293"/>
      <c r="QAL92" s="294"/>
      <c r="QAR92" s="292"/>
      <c r="QAS92" s="293"/>
      <c r="QAT92" s="294"/>
      <c r="QAZ92" s="292"/>
      <c r="QBA92" s="293"/>
      <c r="QBB92" s="294"/>
      <c r="QBH92" s="292"/>
      <c r="QBI92" s="293"/>
      <c r="QBJ92" s="294"/>
      <c r="QBP92" s="292"/>
      <c r="QBQ92" s="293"/>
      <c r="QBR92" s="294"/>
      <c r="QBX92" s="292"/>
      <c r="QBY92" s="293"/>
      <c r="QBZ92" s="294"/>
      <c r="QCF92" s="292"/>
      <c r="QCG92" s="293"/>
      <c r="QCH92" s="294"/>
      <c r="QCN92" s="292"/>
      <c r="QCO92" s="293"/>
      <c r="QCP92" s="294"/>
      <c r="QCV92" s="292"/>
      <c r="QCW92" s="293"/>
      <c r="QCX92" s="294"/>
      <c r="QDD92" s="292"/>
      <c r="QDE92" s="293"/>
      <c r="QDF92" s="294"/>
      <c r="QDL92" s="292"/>
      <c r="QDM92" s="293"/>
      <c r="QDN92" s="294"/>
      <c r="QDT92" s="292"/>
      <c r="QDU92" s="293"/>
      <c r="QDV92" s="294"/>
      <c r="QEB92" s="292"/>
      <c r="QEC92" s="293"/>
      <c r="QED92" s="294"/>
      <c r="QEJ92" s="292"/>
      <c r="QEK92" s="293"/>
      <c r="QEL92" s="294"/>
      <c r="QER92" s="292"/>
      <c r="QES92" s="293"/>
      <c r="QET92" s="294"/>
      <c r="QEZ92" s="292"/>
      <c r="QFA92" s="293"/>
      <c r="QFB92" s="294"/>
      <c r="QFH92" s="292"/>
      <c r="QFI92" s="293"/>
      <c r="QFJ92" s="294"/>
      <c r="QFP92" s="292"/>
      <c r="QFQ92" s="293"/>
      <c r="QFR92" s="294"/>
      <c r="QFX92" s="292"/>
      <c r="QFY92" s="293"/>
      <c r="QFZ92" s="294"/>
      <c r="QGF92" s="292"/>
      <c r="QGG92" s="293"/>
      <c r="QGH92" s="294"/>
      <c r="QGN92" s="292"/>
      <c r="QGO92" s="293"/>
      <c r="QGP92" s="294"/>
      <c r="QGV92" s="292"/>
      <c r="QGW92" s="293"/>
      <c r="QGX92" s="294"/>
      <c r="QHD92" s="292"/>
      <c r="QHE92" s="293"/>
      <c r="QHF92" s="294"/>
      <c r="QHL92" s="292"/>
      <c r="QHM92" s="293"/>
      <c r="QHN92" s="294"/>
      <c r="QHT92" s="292"/>
      <c r="QHU92" s="293"/>
      <c r="QHV92" s="294"/>
      <c r="QIB92" s="292"/>
      <c r="QIC92" s="293"/>
      <c r="QID92" s="294"/>
      <c r="QIJ92" s="292"/>
      <c r="QIK92" s="293"/>
      <c r="QIL92" s="294"/>
      <c r="QIR92" s="292"/>
      <c r="QIS92" s="293"/>
      <c r="QIT92" s="294"/>
      <c r="QIZ92" s="292"/>
      <c r="QJA92" s="293"/>
      <c r="QJB92" s="294"/>
      <c r="QJH92" s="292"/>
      <c r="QJI92" s="293"/>
      <c r="QJJ92" s="294"/>
      <c r="QJP92" s="292"/>
      <c r="QJQ92" s="293"/>
      <c r="QJR92" s="294"/>
      <c r="QJX92" s="292"/>
      <c r="QJY92" s="293"/>
      <c r="QJZ92" s="294"/>
      <c r="QKF92" s="292"/>
      <c r="QKG92" s="293"/>
      <c r="QKH92" s="294"/>
      <c r="QKN92" s="292"/>
      <c r="QKO92" s="293"/>
      <c r="QKP92" s="294"/>
      <c r="QKV92" s="292"/>
      <c r="QKW92" s="293"/>
      <c r="QKX92" s="294"/>
      <c r="QLD92" s="292"/>
      <c r="QLE92" s="293"/>
      <c r="QLF92" s="294"/>
      <c r="QLL92" s="292"/>
      <c r="QLM92" s="293"/>
      <c r="QLN92" s="294"/>
      <c r="QLT92" s="292"/>
      <c r="QLU92" s="293"/>
      <c r="QLV92" s="294"/>
      <c r="QMB92" s="292"/>
      <c r="QMC92" s="293"/>
      <c r="QMD92" s="294"/>
      <c r="QMJ92" s="292"/>
      <c r="QMK92" s="293"/>
      <c r="QML92" s="294"/>
      <c r="QMR92" s="292"/>
      <c r="QMS92" s="293"/>
      <c r="QMT92" s="294"/>
      <c r="QMZ92" s="292"/>
      <c r="QNA92" s="293"/>
      <c r="QNB92" s="294"/>
      <c r="QNH92" s="292"/>
      <c r="QNI92" s="293"/>
      <c r="QNJ92" s="294"/>
      <c r="QNP92" s="292"/>
      <c r="QNQ92" s="293"/>
      <c r="QNR92" s="294"/>
      <c r="QNX92" s="292"/>
      <c r="QNY92" s="293"/>
      <c r="QNZ92" s="294"/>
      <c r="QOF92" s="292"/>
      <c r="QOG92" s="293"/>
      <c r="QOH92" s="294"/>
      <c r="QON92" s="292"/>
      <c r="QOO92" s="293"/>
      <c r="QOP92" s="294"/>
      <c r="QOV92" s="292"/>
      <c r="QOW92" s="293"/>
      <c r="QOX92" s="294"/>
      <c r="QPD92" s="292"/>
      <c r="QPE92" s="293"/>
      <c r="QPF92" s="294"/>
      <c r="QPL92" s="292"/>
      <c r="QPM92" s="293"/>
      <c r="QPN92" s="294"/>
      <c r="QPT92" s="292"/>
      <c r="QPU92" s="293"/>
      <c r="QPV92" s="294"/>
      <c r="QQB92" s="292"/>
      <c r="QQC92" s="293"/>
      <c r="QQD92" s="294"/>
      <c r="QQJ92" s="292"/>
      <c r="QQK92" s="293"/>
      <c r="QQL92" s="294"/>
      <c r="QQR92" s="292"/>
      <c r="QQS92" s="293"/>
      <c r="QQT92" s="294"/>
      <c r="QQZ92" s="292"/>
      <c r="QRA92" s="293"/>
      <c r="QRB92" s="294"/>
      <c r="QRH92" s="292"/>
      <c r="QRI92" s="293"/>
      <c r="QRJ92" s="294"/>
      <c r="QRP92" s="292"/>
      <c r="QRQ92" s="293"/>
      <c r="QRR92" s="294"/>
      <c r="QRX92" s="292"/>
      <c r="QRY92" s="293"/>
      <c r="QRZ92" s="294"/>
      <c r="QSF92" s="292"/>
      <c r="QSG92" s="293"/>
      <c r="QSH92" s="294"/>
      <c r="QSN92" s="292"/>
      <c r="QSO92" s="293"/>
      <c r="QSP92" s="294"/>
      <c r="QSV92" s="292"/>
      <c r="QSW92" s="293"/>
      <c r="QSX92" s="294"/>
      <c r="QTD92" s="292"/>
      <c r="QTE92" s="293"/>
      <c r="QTF92" s="294"/>
      <c r="QTL92" s="292"/>
      <c r="QTM92" s="293"/>
      <c r="QTN92" s="294"/>
      <c r="QTT92" s="292"/>
      <c r="QTU92" s="293"/>
      <c r="QTV92" s="294"/>
      <c r="QUB92" s="292"/>
      <c r="QUC92" s="293"/>
      <c r="QUD92" s="294"/>
      <c r="QUJ92" s="292"/>
      <c r="QUK92" s="293"/>
      <c r="QUL92" s="294"/>
      <c r="QUR92" s="292"/>
      <c r="QUS92" s="293"/>
      <c r="QUT92" s="294"/>
      <c r="QUZ92" s="292"/>
      <c r="QVA92" s="293"/>
      <c r="QVB92" s="294"/>
      <c r="QVH92" s="292"/>
      <c r="QVI92" s="293"/>
      <c r="QVJ92" s="294"/>
      <c r="QVP92" s="292"/>
      <c r="QVQ92" s="293"/>
      <c r="QVR92" s="294"/>
      <c r="QVX92" s="292"/>
      <c r="QVY92" s="293"/>
      <c r="QVZ92" s="294"/>
      <c r="QWF92" s="292"/>
      <c r="QWG92" s="293"/>
      <c r="QWH92" s="294"/>
      <c r="QWN92" s="292"/>
      <c r="QWO92" s="293"/>
      <c r="QWP92" s="294"/>
      <c r="QWV92" s="292"/>
      <c r="QWW92" s="293"/>
      <c r="QWX92" s="294"/>
      <c r="QXD92" s="292"/>
      <c r="QXE92" s="293"/>
      <c r="QXF92" s="294"/>
      <c r="QXL92" s="292"/>
      <c r="QXM92" s="293"/>
      <c r="QXN92" s="294"/>
      <c r="QXT92" s="292"/>
      <c r="QXU92" s="293"/>
      <c r="QXV92" s="294"/>
      <c r="QYB92" s="292"/>
      <c r="QYC92" s="293"/>
      <c r="QYD92" s="294"/>
      <c r="QYJ92" s="292"/>
      <c r="QYK92" s="293"/>
      <c r="QYL92" s="294"/>
      <c r="QYR92" s="292"/>
      <c r="QYS92" s="293"/>
      <c r="QYT92" s="294"/>
      <c r="QYZ92" s="292"/>
      <c r="QZA92" s="293"/>
      <c r="QZB92" s="294"/>
      <c r="QZH92" s="292"/>
      <c r="QZI92" s="293"/>
      <c r="QZJ92" s="294"/>
      <c r="QZP92" s="292"/>
      <c r="QZQ92" s="293"/>
      <c r="QZR92" s="294"/>
      <c r="QZX92" s="292"/>
      <c r="QZY92" s="293"/>
      <c r="QZZ92" s="294"/>
      <c r="RAF92" s="292"/>
      <c r="RAG92" s="293"/>
      <c r="RAH92" s="294"/>
      <c r="RAN92" s="292"/>
      <c r="RAO92" s="293"/>
      <c r="RAP92" s="294"/>
      <c r="RAV92" s="292"/>
      <c r="RAW92" s="293"/>
      <c r="RAX92" s="294"/>
      <c r="RBD92" s="292"/>
      <c r="RBE92" s="293"/>
      <c r="RBF92" s="294"/>
      <c r="RBL92" s="292"/>
      <c r="RBM92" s="293"/>
      <c r="RBN92" s="294"/>
      <c r="RBT92" s="292"/>
      <c r="RBU92" s="293"/>
      <c r="RBV92" s="294"/>
      <c r="RCB92" s="292"/>
      <c r="RCC92" s="293"/>
      <c r="RCD92" s="294"/>
      <c r="RCJ92" s="292"/>
      <c r="RCK92" s="293"/>
      <c r="RCL92" s="294"/>
      <c r="RCR92" s="292"/>
      <c r="RCS92" s="293"/>
      <c r="RCT92" s="294"/>
      <c r="RCZ92" s="292"/>
      <c r="RDA92" s="293"/>
      <c r="RDB92" s="294"/>
      <c r="RDH92" s="292"/>
      <c r="RDI92" s="293"/>
      <c r="RDJ92" s="294"/>
      <c r="RDP92" s="292"/>
      <c r="RDQ92" s="293"/>
      <c r="RDR92" s="294"/>
      <c r="RDX92" s="292"/>
      <c r="RDY92" s="293"/>
      <c r="RDZ92" s="294"/>
      <c r="REF92" s="292"/>
      <c r="REG92" s="293"/>
      <c r="REH92" s="294"/>
      <c r="REN92" s="292"/>
      <c r="REO92" s="293"/>
      <c r="REP92" s="294"/>
      <c r="REV92" s="292"/>
      <c r="REW92" s="293"/>
      <c r="REX92" s="294"/>
      <c r="RFD92" s="292"/>
      <c r="RFE92" s="293"/>
      <c r="RFF92" s="294"/>
      <c r="RFL92" s="292"/>
      <c r="RFM92" s="293"/>
      <c r="RFN92" s="294"/>
      <c r="RFT92" s="292"/>
      <c r="RFU92" s="293"/>
      <c r="RFV92" s="294"/>
      <c r="RGB92" s="292"/>
      <c r="RGC92" s="293"/>
      <c r="RGD92" s="294"/>
      <c r="RGJ92" s="292"/>
      <c r="RGK92" s="293"/>
      <c r="RGL92" s="294"/>
      <c r="RGR92" s="292"/>
      <c r="RGS92" s="293"/>
      <c r="RGT92" s="294"/>
      <c r="RGZ92" s="292"/>
      <c r="RHA92" s="293"/>
      <c r="RHB92" s="294"/>
      <c r="RHH92" s="292"/>
      <c r="RHI92" s="293"/>
      <c r="RHJ92" s="294"/>
      <c r="RHP92" s="292"/>
      <c r="RHQ92" s="293"/>
      <c r="RHR92" s="294"/>
      <c r="RHX92" s="292"/>
      <c r="RHY92" s="293"/>
      <c r="RHZ92" s="294"/>
      <c r="RIF92" s="292"/>
      <c r="RIG92" s="293"/>
      <c r="RIH92" s="294"/>
      <c r="RIN92" s="292"/>
      <c r="RIO92" s="293"/>
      <c r="RIP92" s="294"/>
      <c r="RIV92" s="292"/>
      <c r="RIW92" s="293"/>
      <c r="RIX92" s="294"/>
      <c r="RJD92" s="292"/>
      <c r="RJE92" s="293"/>
      <c r="RJF92" s="294"/>
      <c r="RJL92" s="292"/>
      <c r="RJM92" s="293"/>
      <c r="RJN92" s="294"/>
      <c r="RJT92" s="292"/>
      <c r="RJU92" s="293"/>
      <c r="RJV92" s="294"/>
      <c r="RKB92" s="292"/>
      <c r="RKC92" s="293"/>
      <c r="RKD92" s="294"/>
      <c r="RKJ92" s="292"/>
      <c r="RKK92" s="293"/>
      <c r="RKL92" s="294"/>
      <c r="RKR92" s="292"/>
      <c r="RKS92" s="293"/>
      <c r="RKT92" s="294"/>
      <c r="RKZ92" s="292"/>
      <c r="RLA92" s="293"/>
      <c r="RLB92" s="294"/>
      <c r="RLH92" s="292"/>
      <c r="RLI92" s="293"/>
      <c r="RLJ92" s="294"/>
      <c r="RLP92" s="292"/>
      <c r="RLQ92" s="293"/>
      <c r="RLR92" s="294"/>
      <c r="RLX92" s="292"/>
      <c r="RLY92" s="293"/>
      <c r="RLZ92" s="294"/>
      <c r="RMF92" s="292"/>
      <c r="RMG92" s="293"/>
      <c r="RMH92" s="294"/>
      <c r="RMN92" s="292"/>
      <c r="RMO92" s="293"/>
      <c r="RMP92" s="294"/>
      <c r="RMV92" s="292"/>
      <c r="RMW92" s="293"/>
      <c r="RMX92" s="294"/>
      <c r="RND92" s="292"/>
      <c r="RNE92" s="293"/>
      <c r="RNF92" s="294"/>
      <c r="RNL92" s="292"/>
      <c r="RNM92" s="293"/>
      <c r="RNN92" s="294"/>
      <c r="RNT92" s="292"/>
      <c r="RNU92" s="293"/>
      <c r="RNV92" s="294"/>
      <c r="ROB92" s="292"/>
      <c r="ROC92" s="293"/>
      <c r="ROD92" s="294"/>
      <c r="ROJ92" s="292"/>
      <c r="ROK92" s="293"/>
      <c r="ROL92" s="294"/>
      <c r="ROR92" s="292"/>
      <c r="ROS92" s="293"/>
      <c r="ROT92" s="294"/>
      <c r="ROZ92" s="292"/>
      <c r="RPA92" s="293"/>
      <c r="RPB92" s="294"/>
      <c r="RPH92" s="292"/>
      <c r="RPI92" s="293"/>
      <c r="RPJ92" s="294"/>
      <c r="RPP92" s="292"/>
      <c r="RPQ92" s="293"/>
      <c r="RPR92" s="294"/>
      <c r="RPX92" s="292"/>
      <c r="RPY92" s="293"/>
      <c r="RPZ92" s="294"/>
      <c r="RQF92" s="292"/>
      <c r="RQG92" s="293"/>
      <c r="RQH92" s="294"/>
      <c r="RQN92" s="292"/>
      <c r="RQO92" s="293"/>
      <c r="RQP92" s="294"/>
      <c r="RQV92" s="292"/>
      <c r="RQW92" s="293"/>
      <c r="RQX92" s="294"/>
      <c r="RRD92" s="292"/>
      <c r="RRE92" s="293"/>
      <c r="RRF92" s="294"/>
      <c r="RRL92" s="292"/>
      <c r="RRM92" s="293"/>
      <c r="RRN92" s="294"/>
      <c r="RRT92" s="292"/>
      <c r="RRU92" s="293"/>
      <c r="RRV92" s="294"/>
      <c r="RSB92" s="292"/>
      <c r="RSC92" s="293"/>
      <c r="RSD92" s="294"/>
      <c r="RSJ92" s="292"/>
      <c r="RSK92" s="293"/>
      <c r="RSL92" s="294"/>
      <c r="RSR92" s="292"/>
      <c r="RSS92" s="293"/>
      <c r="RST92" s="294"/>
      <c r="RSZ92" s="292"/>
      <c r="RTA92" s="293"/>
      <c r="RTB92" s="294"/>
      <c r="RTH92" s="292"/>
      <c r="RTI92" s="293"/>
      <c r="RTJ92" s="294"/>
      <c r="RTP92" s="292"/>
      <c r="RTQ92" s="293"/>
      <c r="RTR92" s="294"/>
      <c r="RTX92" s="292"/>
      <c r="RTY92" s="293"/>
      <c r="RTZ92" s="294"/>
      <c r="RUF92" s="292"/>
      <c r="RUG92" s="293"/>
      <c r="RUH92" s="294"/>
      <c r="RUN92" s="292"/>
      <c r="RUO92" s="293"/>
      <c r="RUP92" s="294"/>
      <c r="RUV92" s="292"/>
      <c r="RUW92" s="293"/>
      <c r="RUX92" s="294"/>
      <c r="RVD92" s="292"/>
      <c r="RVE92" s="293"/>
      <c r="RVF92" s="294"/>
      <c r="RVL92" s="292"/>
      <c r="RVM92" s="293"/>
      <c r="RVN92" s="294"/>
      <c r="RVT92" s="292"/>
      <c r="RVU92" s="293"/>
      <c r="RVV92" s="294"/>
      <c r="RWB92" s="292"/>
      <c r="RWC92" s="293"/>
      <c r="RWD92" s="294"/>
      <c r="RWJ92" s="292"/>
      <c r="RWK92" s="293"/>
      <c r="RWL92" s="294"/>
      <c r="RWR92" s="292"/>
      <c r="RWS92" s="293"/>
      <c r="RWT92" s="294"/>
      <c r="RWZ92" s="292"/>
      <c r="RXA92" s="293"/>
      <c r="RXB92" s="294"/>
      <c r="RXH92" s="292"/>
      <c r="RXI92" s="293"/>
      <c r="RXJ92" s="294"/>
      <c r="RXP92" s="292"/>
      <c r="RXQ92" s="293"/>
      <c r="RXR92" s="294"/>
      <c r="RXX92" s="292"/>
      <c r="RXY92" s="293"/>
      <c r="RXZ92" s="294"/>
      <c r="RYF92" s="292"/>
      <c r="RYG92" s="293"/>
      <c r="RYH92" s="294"/>
      <c r="RYN92" s="292"/>
      <c r="RYO92" s="293"/>
      <c r="RYP92" s="294"/>
      <c r="RYV92" s="292"/>
      <c r="RYW92" s="293"/>
      <c r="RYX92" s="294"/>
      <c r="RZD92" s="292"/>
      <c r="RZE92" s="293"/>
      <c r="RZF92" s="294"/>
      <c r="RZL92" s="292"/>
      <c r="RZM92" s="293"/>
      <c r="RZN92" s="294"/>
      <c r="RZT92" s="292"/>
      <c r="RZU92" s="293"/>
      <c r="RZV92" s="294"/>
      <c r="SAB92" s="292"/>
      <c r="SAC92" s="293"/>
      <c r="SAD92" s="294"/>
      <c r="SAJ92" s="292"/>
      <c r="SAK92" s="293"/>
      <c r="SAL92" s="294"/>
      <c r="SAR92" s="292"/>
      <c r="SAS92" s="293"/>
      <c r="SAT92" s="294"/>
      <c r="SAZ92" s="292"/>
      <c r="SBA92" s="293"/>
      <c r="SBB92" s="294"/>
      <c r="SBH92" s="292"/>
      <c r="SBI92" s="293"/>
      <c r="SBJ92" s="294"/>
      <c r="SBP92" s="292"/>
      <c r="SBQ92" s="293"/>
      <c r="SBR92" s="294"/>
      <c r="SBX92" s="292"/>
      <c r="SBY92" s="293"/>
      <c r="SBZ92" s="294"/>
      <c r="SCF92" s="292"/>
      <c r="SCG92" s="293"/>
      <c r="SCH92" s="294"/>
      <c r="SCN92" s="292"/>
      <c r="SCO92" s="293"/>
      <c r="SCP92" s="294"/>
      <c r="SCV92" s="292"/>
      <c r="SCW92" s="293"/>
      <c r="SCX92" s="294"/>
      <c r="SDD92" s="292"/>
      <c r="SDE92" s="293"/>
      <c r="SDF92" s="294"/>
      <c r="SDL92" s="292"/>
      <c r="SDM92" s="293"/>
      <c r="SDN92" s="294"/>
      <c r="SDT92" s="292"/>
      <c r="SDU92" s="293"/>
      <c r="SDV92" s="294"/>
      <c r="SEB92" s="292"/>
      <c r="SEC92" s="293"/>
      <c r="SED92" s="294"/>
      <c r="SEJ92" s="292"/>
      <c r="SEK92" s="293"/>
      <c r="SEL92" s="294"/>
      <c r="SER92" s="292"/>
      <c r="SES92" s="293"/>
      <c r="SET92" s="294"/>
      <c r="SEZ92" s="292"/>
      <c r="SFA92" s="293"/>
      <c r="SFB92" s="294"/>
      <c r="SFH92" s="292"/>
      <c r="SFI92" s="293"/>
      <c r="SFJ92" s="294"/>
      <c r="SFP92" s="292"/>
      <c r="SFQ92" s="293"/>
      <c r="SFR92" s="294"/>
      <c r="SFX92" s="292"/>
      <c r="SFY92" s="293"/>
      <c r="SFZ92" s="294"/>
      <c r="SGF92" s="292"/>
      <c r="SGG92" s="293"/>
      <c r="SGH92" s="294"/>
      <c r="SGN92" s="292"/>
      <c r="SGO92" s="293"/>
      <c r="SGP92" s="294"/>
      <c r="SGV92" s="292"/>
      <c r="SGW92" s="293"/>
      <c r="SGX92" s="294"/>
      <c r="SHD92" s="292"/>
      <c r="SHE92" s="293"/>
      <c r="SHF92" s="294"/>
      <c r="SHL92" s="292"/>
      <c r="SHM92" s="293"/>
      <c r="SHN92" s="294"/>
      <c r="SHT92" s="292"/>
      <c r="SHU92" s="293"/>
      <c r="SHV92" s="294"/>
      <c r="SIB92" s="292"/>
      <c r="SIC92" s="293"/>
      <c r="SID92" s="294"/>
      <c r="SIJ92" s="292"/>
      <c r="SIK92" s="293"/>
      <c r="SIL92" s="294"/>
      <c r="SIR92" s="292"/>
      <c r="SIS92" s="293"/>
      <c r="SIT92" s="294"/>
      <c r="SIZ92" s="292"/>
      <c r="SJA92" s="293"/>
      <c r="SJB92" s="294"/>
      <c r="SJH92" s="292"/>
      <c r="SJI92" s="293"/>
      <c r="SJJ92" s="294"/>
      <c r="SJP92" s="292"/>
      <c r="SJQ92" s="293"/>
      <c r="SJR92" s="294"/>
      <c r="SJX92" s="292"/>
      <c r="SJY92" s="293"/>
      <c r="SJZ92" s="294"/>
      <c r="SKF92" s="292"/>
      <c r="SKG92" s="293"/>
      <c r="SKH92" s="294"/>
      <c r="SKN92" s="292"/>
      <c r="SKO92" s="293"/>
      <c r="SKP92" s="294"/>
      <c r="SKV92" s="292"/>
      <c r="SKW92" s="293"/>
      <c r="SKX92" s="294"/>
      <c r="SLD92" s="292"/>
      <c r="SLE92" s="293"/>
      <c r="SLF92" s="294"/>
      <c r="SLL92" s="292"/>
      <c r="SLM92" s="293"/>
      <c r="SLN92" s="294"/>
      <c r="SLT92" s="292"/>
      <c r="SLU92" s="293"/>
      <c r="SLV92" s="294"/>
      <c r="SMB92" s="292"/>
      <c r="SMC92" s="293"/>
      <c r="SMD92" s="294"/>
      <c r="SMJ92" s="292"/>
      <c r="SMK92" s="293"/>
      <c r="SML92" s="294"/>
      <c r="SMR92" s="292"/>
      <c r="SMS92" s="293"/>
      <c r="SMT92" s="294"/>
      <c r="SMZ92" s="292"/>
      <c r="SNA92" s="293"/>
      <c r="SNB92" s="294"/>
      <c r="SNH92" s="292"/>
      <c r="SNI92" s="293"/>
      <c r="SNJ92" s="294"/>
      <c r="SNP92" s="292"/>
      <c r="SNQ92" s="293"/>
      <c r="SNR92" s="294"/>
      <c r="SNX92" s="292"/>
      <c r="SNY92" s="293"/>
      <c r="SNZ92" s="294"/>
      <c r="SOF92" s="292"/>
      <c r="SOG92" s="293"/>
      <c r="SOH92" s="294"/>
      <c r="SON92" s="292"/>
      <c r="SOO92" s="293"/>
      <c r="SOP92" s="294"/>
      <c r="SOV92" s="292"/>
      <c r="SOW92" s="293"/>
      <c r="SOX92" s="294"/>
      <c r="SPD92" s="292"/>
      <c r="SPE92" s="293"/>
      <c r="SPF92" s="294"/>
      <c r="SPL92" s="292"/>
      <c r="SPM92" s="293"/>
      <c r="SPN92" s="294"/>
      <c r="SPT92" s="292"/>
      <c r="SPU92" s="293"/>
      <c r="SPV92" s="294"/>
      <c r="SQB92" s="292"/>
      <c r="SQC92" s="293"/>
      <c r="SQD92" s="294"/>
      <c r="SQJ92" s="292"/>
      <c r="SQK92" s="293"/>
      <c r="SQL92" s="294"/>
      <c r="SQR92" s="292"/>
      <c r="SQS92" s="293"/>
      <c r="SQT92" s="294"/>
      <c r="SQZ92" s="292"/>
      <c r="SRA92" s="293"/>
      <c r="SRB92" s="294"/>
      <c r="SRH92" s="292"/>
      <c r="SRI92" s="293"/>
      <c r="SRJ92" s="294"/>
      <c r="SRP92" s="292"/>
      <c r="SRQ92" s="293"/>
      <c r="SRR92" s="294"/>
      <c r="SRX92" s="292"/>
      <c r="SRY92" s="293"/>
      <c r="SRZ92" s="294"/>
      <c r="SSF92" s="292"/>
      <c r="SSG92" s="293"/>
      <c r="SSH92" s="294"/>
      <c r="SSN92" s="292"/>
      <c r="SSO92" s="293"/>
      <c r="SSP92" s="294"/>
      <c r="SSV92" s="292"/>
      <c r="SSW92" s="293"/>
      <c r="SSX92" s="294"/>
      <c r="STD92" s="292"/>
      <c r="STE92" s="293"/>
      <c r="STF92" s="294"/>
      <c r="STL92" s="292"/>
      <c r="STM92" s="293"/>
      <c r="STN92" s="294"/>
      <c r="STT92" s="292"/>
      <c r="STU92" s="293"/>
      <c r="STV92" s="294"/>
      <c r="SUB92" s="292"/>
      <c r="SUC92" s="293"/>
      <c r="SUD92" s="294"/>
      <c r="SUJ92" s="292"/>
      <c r="SUK92" s="293"/>
      <c r="SUL92" s="294"/>
      <c r="SUR92" s="292"/>
      <c r="SUS92" s="293"/>
      <c r="SUT92" s="294"/>
      <c r="SUZ92" s="292"/>
      <c r="SVA92" s="293"/>
      <c r="SVB92" s="294"/>
      <c r="SVH92" s="292"/>
      <c r="SVI92" s="293"/>
      <c r="SVJ92" s="294"/>
      <c r="SVP92" s="292"/>
      <c r="SVQ92" s="293"/>
      <c r="SVR92" s="294"/>
      <c r="SVX92" s="292"/>
      <c r="SVY92" s="293"/>
      <c r="SVZ92" s="294"/>
      <c r="SWF92" s="292"/>
      <c r="SWG92" s="293"/>
      <c r="SWH92" s="294"/>
      <c r="SWN92" s="292"/>
      <c r="SWO92" s="293"/>
      <c r="SWP92" s="294"/>
      <c r="SWV92" s="292"/>
      <c r="SWW92" s="293"/>
      <c r="SWX92" s="294"/>
      <c r="SXD92" s="292"/>
      <c r="SXE92" s="293"/>
      <c r="SXF92" s="294"/>
      <c r="SXL92" s="292"/>
      <c r="SXM92" s="293"/>
      <c r="SXN92" s="294"/>
      <c r="SXT92" s="292"/>
      <c r="SXU92" s="293"/>
      <c r="SXV92" s="294"/>
      <c r="SYB92" s="292"/>
      <c r="SYC92" s="293"/>
      <c r="SYD92" s="294"/>
      <c r="SYJ92" s="292"/>
      <c r="SYK92" s="293"/>
      <c r="SYL92" s="294"/>
      <c r="SYR92" s="292"/>
      <c r="SYS92" s="293"/>
      <c r="SYT92" s="294"/>
      <c r="SYZ92" s="292"/>
      <c r="SZA92" s="293"/>
      <c r="SZB92" s="294"/>
      <c r="SZH92" s="292"/>
      <c r="SZI92" s="293"/>
      <c r="SZJ92" s="294"/>
      <c r="SZP92" s="292"/>
      <c r="SZQ92" s="293"/>
      <c r="SZR92" s="294"/>
      <c r="SZX92" s="292"/>
      <c r="SZY92" s="293"/>
      <c r="SZZ92" s="294"/>
      <c r="TAF92" s="292"/>
      <c r="TAG92" s="293"/>
      <c r="TAH92" s="294"/>
      <c r="TAN92" s="292"/>
      <c r="TAO92" s="293"/>
      <c r="TAP92" s="294"/>
      <c r="TAV92" s="292"/>
      <c r="TAW92" s="293"/>
      <c r="TAX92" s="294"/>
      <c r="TBD92" s="292"/>
      <c r="TBE92" s="293"/>
      <c r="TBF92" s="294"/>
      <c r="TBL92" s="292"/>
      <c r="TBM92" s="293"/>
      <c r="TBN92" s="294"/>
      <c r="TBT92" s="292"/>
      <c r="TBU92" s="293"/>
      <c r="TBV92" s="294"/>
      <c r="TCB92" s="292"/>
      <c r="TCC92" s="293"/>
      <c r="TCD92" s="294"/>
      <c r="TCJ92" s="292"/>
      <c r="TCK92" s="293"/>
      <c r="TCL92" s="294"/>
      <c r="TCR92" s="292"/>
      <c r="TCS92" s="293"/>
      <c r="TCT92" s="294"/>
      <c r="TCZ92" s="292"/>
      <c r="TDA92" s="293"/>
      <c r="TDB92" s="294"/>
      <c r="TDH92" s="292"/>
      <c r="TDI92" s="293"/>
      <c r="TDJ92" s="294"/>
      <c r="TDP92" s="292"/>
      <c r="TDQ92" s="293"/>
      <c r="TDR92" s="294"/>
      <c r="TDX92" s="292"/>
      <c r="TDY92" s="293"/>
      <c r="TDZ92" s="294"/>
      <c r="TEF92" s="292"/>
      <c r="TEG92" s="293"/>
      <c r="TEH92" s="294"/>
      <c r="TEN92" s="292"/>
      <c r="TEO92" s="293"/>
      <c r="TEP92" s="294"/>
      <c r="TEV92" s="292"/>
      <c r="TEW92" s="293"/>
      <c r="TEX92" s="294"/>
      <c r="TFD92" s="292"/>
      <c r="TFE92" s="293"/>
      <c r="TFF92" s="294"/>
      <c r="TFL92" s="292"/>
      <c r="TFM92" s="293"/>
      <c r="TFN92" s="294"/>
      <c r="TFT92" s="292"/>
      <c r="TFU92" s="293"/>
      <c r="TFV92" s="294"/>
      <c r="TGB92" s="292"/>
      <c r="TGC92" s="293"/>
      <c r="TGD92" s="294"/>
      <c r="TGJ92" s="292"/>
      <c r="TGK92" s="293"/>
      <c r="TGL92" s="294"/>
      <c r="TGR92" s="292"/>
      <c r="TGS92" s="293"/>
      <c r="TGT92" s="294"/>
      <c r="TGZ92" s="292"/>
      <c r="THA92" s="293"/>
      <c r="THB92" s="294"/>
      <c r="THH92" s="292"/>
      <c r="THI92" s="293"/>
      <c r="THJ92" s="294"/>
      <c r="THP92" s="292"/>
      <c r="THQ92" s="293"/>
      <c r="THR92" s="294"/>
      <c r="THX92" s="292"/>
      <c r="THY92" s="293"/>
      <c r="THZ92" s="294"/>
      <c r="TIF92" s="292"/>
      <c r="TIG92" s="293"/>
      <c r="TIH92" s="294"/>
      <c r="TIN92" s="292"/>
      <c r="TIO92" s="293"/>
      <c r="TIP92" s="294"/>
      <c r="TIV92" s="292"/>
      <c r="TIW92" s="293"/>
      <c r="TIX92" s="294"/>
      <c r="TJD92" s="292"/>
      <c r="TJE92" s="293"/>
      <c r="TJF92" s="294"/>
      <c r="TJL92" s="292"/>
      <c r="TJM92" s="293"/>
      <c r="TJN92" s="294"/>
      <c r="TJT92" s="292"/>
      <c r="TJU92" s="293"/>
      <c r="TJV92" s="294"/>
      <c r="TKB92" s="292"/>
      <c r="TKC92" s="293"/>
      <c r="TKD92" s="294"/>
      <c r="TKJ92" s="292"/>
      <c r="TKK92" s="293"/>
      <c r="TKL92" s="294"/>
      <c r="TKR92" s="292"/>
      <c r="TKS92" s="293"/>
      <c r="TKT92" s="294"/>
      <c r="TKZ92" s="292"/>
      <c r="TLA92" s="293"/>
      <c r="TLB92" s="294"/>
      <c r="TLH92" s="292"/>
      <c r="TLI92" s="293"/>
      <c r="TLJ92" s="294"/>
      <c r="TLP92" s="292"/>
      <c r="TLQ92" s="293"/>
      <c r="TLR92" s="294"/>
      <c r="TLX92" s="292"/>
      <c r="TLY92" s="293"/>
      <c r="TLZ92" s="294"/>
      <c r="TMF92" s="292"/>
      <c r="TMG92" s="293"/>
      <c r="TMH92" s="294"/>
      <c r="TMN92" s="292"/>
      <c r="TMO92" s="293"/>
      <c r="TMP92" s="294"/>
      <c r="TMV92" s="292"/>
      <c r="TMW92" s="293"/>
      <c r="TMX92" s="294"/>
      <c r="TND92" s="292"/>
      <c r="TNE92" s="293"/>
      <c r="TNF92" s="294"/>
      <c r="TNL92" s="292"/>
      <c r="TNM92" s="293"/>
      <c r="TNN92" s="294"/>
      <c r="TNT92" s="292"/>
      <c r="TNU92" s="293"/>
      <c r="TNV92" s="294"/>
      <c r="TOB92" s="292"/>
      <c r="TOC92" s="293"/>
      <c r="TOD92" s="294"/>
      <c r="TOJ92" s="292"/>
      <c r="TOK92" s="293"/>
      <c r="TOL92" s="294"/>
      <c r="TOR92" s="292"/>
      <c r="TOS92" s="293"/>
      <c r="TOT92" s="294"/>
      <c r="TOZ92" s="292"/>
      <c r="TPA92" s="293"/>
      <c r="TPB92" s="294"/>
      <c r="TPH92" s="292"/>
      <c r="TPI92" s="293"/>
      <c r="TPJ92" s="294"/>
      <c r="TPP92" s="292"/>
      <c r="TPQ92" s="293"/>
      <c r="TPR92" s="294"/>
      <c r="TPX92" s="292"/>
      <c r="TPY92" s="293"/>
      <c r="TPZ92" s="294"/>
      <c r="TQF92" s="292"/>
      <c r="TQG92" s="293"/>
      <c r="TQH92" s="294"/>
      <c r="TQN92" s="292"/>
      <c r="TQO92" s="293"/>
      <c r="TQP92" s="294"/>
      <c r="TQV92" s="292"/>
      <c r="TQW92" s="293"/>
      <c r="TQX92" s="294"/>
      <c r="TRD92" s="292"/>
      <c r="TRE92" s="293"/>
      <c r="TRF92" s="294"/>
      <c r="TRL92" s="292"/>
      <c r="TRM92" s="293"/>
      <c r="TRN92" s="294"/>
      <c r="TRT92" s="292"/>
      <c r="TRU92" s="293"/>
      <c r="TRV92" s="294"/>
      <c r="TSB92" s="292"/>
      <c r="TSC92" s="293"/>
      <c r="TSD92" s="294"/>
      <c r="TSJ92" s="292"/>
      <c r="TSK92" s="293"/>
      <c r="TSL92" s="294"/>
      <c r="TSR92" s="292"/>
      <c r="TSS92" s="293"/>
      <c r="TST92" s="294"/>
      <c r="TSZ92" s="292"/>
      <c r="TTA92" s="293"/>
      <c r="TTB92" s="294"/>
      <c r="TTH92" s="292"/>
      <c r="TTI92" s="293"/>
      <c r="TTJ92" s="294"/>
      <c r="TTP92" s="292"/>
      <c r="TTQ92" s="293"/>
      <c r="TTR92" s="294"/>
      <c r="TTX92" s="292"/>
      <c r="TTY92" s="293"/>
      <c r="TTZ92" s="294"/>
      <c r="TUF92" s="292"/>
      <c r="TUG92" s="293"/>
      <c r="TUH92" s="294"/>
      <c r="TUN92" s="292"/>
      <c r="TUO92" s="293"/>
      <c r="TUP92" s="294"/>
      <c r="TUV92" s="292"/>
      <c r="TUW92" s="293"/>
      <c r="TUX92" s="294"/>
      <c r="TVD92" s="292"/>
      <c r="TVE92" s="293"/>
      <c r="TVF92" s="294"/>
      <c r="TVL92" s="292"/>
      <c r="TVM92" s="293"/>
      <c r="TVN92" s="294"/>
      <c r="TVT92" s="292"/>
      <c r="TVU92" s="293"/>
      <c r="TVV92" s="294"/>
      <c r="TWB92" s="292"/>
      <c r="TWC92" s="293"/>
      <c r="TWD92" s="294"/>
      <c r="TWJ92" s="292"/>
      <c r="TWK92" s="293"/>
      <c r="TWL92" s="294"/>
      <c r="TWR92" s="292"/>
      <c r="TWS92" s="293"/>
      <c r="TWT92" s="294"/>
      <c r="TWZ92" s="292"/>
      <c r="TXA92" s="293"/>
      <c r="TXB92" s="294"/>
      <c r="TXH92" s="292"/>
      <c r="TXI92" s="293"/>
      <c r="TXJ92" s="294"/>
      <c r="TXP92" s="292"/>
      <c r="TXQ92" s="293"/>
      <c r="TXR92" s="294"/>
      <c r="TXX92" s="292"/>
      <c r="TXY92" s="293"/>
      <c r="TXZ92" s="294"/>
      <c r="TYF92" s="292"/>
      <c r="TYG92" s="293"/>
      <c r="TYH92" s="294"/>
      <c r="TYN92" s="292"/>
      <c r="TYO92" s="293"/>
      <c r="TYP92" s="294"/>
      <c r="TYV92" s="292"/>
      <c r="TYW92" s="293"/>
      <c r="TYX92" s="294"/>
      <c r="TZD92" s="292"/>
      <c r="TZE92" s="293"/>
      <c r="TZF92" s="294"/>
      <c r="TZL92" s="292"/>
      <c r="TZM92" s="293"/>
      <c r="TZN92" s="294"/>
      <c r="TZT92" s="292"/>
      <c r="TZU92" s="293"/>
      <c r="TZV92" s="294"/>
      <c r="UAB92" s="292"/>
      <c r="UAC92" s="293"/>
      <c r="UAD92" s="294"/>
      <c r="UAJ92" s="292"/>
      <c r="UAK92" s="293"/>
      <c r="UAL92" s="294"/>
      <c r="UAR92" s="292"/>
      <c r="UAS92" s="293"/>
      <c r="UAT92" s="294"/>
      <c r="UAZ92" s="292"/>
      <c r="UBA92" s="293"/>
      <c r="UBB92" s="294"/>
      <c r="UBH92" s="292"/>
      <c r="UBI92" s="293"/>
      <c r="UBJ92" s="294"/>
      <c r="UBP92" s="292"/>
      <c r="UBQ92" s="293"/>
      <c r="UBR92" s="294"/>
      <c r="UBX92" s="292"/>
      <c r="UBY92" s="293"/>
      <c r="UBZ92" s="294"/>
      <c r="UCF92" s="292"/>
      <c r="UCG92" s="293"/>
      <c r="UCH92" s="294"/>
      <c r="UCN92" s="292"/>
      <c r="UCO92" s="293"/>
      <c r="UCP92" s="294"/>
      <c r="UCV92" s="292"/>
      <c r="UCW92" s="293"/>
      <c r="UCX92" s="294"/>
      <c r="UDD92" s="292"/>
      <c r="UDE92" s="293"/>
      <c r="UDF92" s="294"/>
      <c r="UDL92" s="292"/>
      <c r="UDM92" s="293"/>
      <c r="UDN92" s="294"/>
      <c r="UDT92" s="292"/>
      <c r="UDU92" s="293"/>
      <c r="UDV92" s="294"/>
      <c r="UEB92" s="292"/>
      <c r="UEC92" s="293"/>
      <c r="UED92" s="294"/>
      <c r="UEJ92" s="292"/>
      <c r="UEK92" s="293"/>
      <c r="UEL92" s="294"/>
      <c r="UER92" s="292"/>
      <c r="UES92" s="293"/>
      <c r="UET92" s="294"/>
      <c r="UEZ92" s="292"/>
      <c r="UFA92" s="293"/>
      <c r="UFB92" s="294"/>
      <c r="UFH92" s="292"/>
      <c r="UFI92" s="293"/>
      <c r="UFJ92" s="294"/>
      <c r="UFP92" s="292"/>
      <c r="UFQ92" s="293"/>
      <c r="UFR92" s="294"/>
      <c r="UFX92" s="292"/>
      <c r="UFY92" s="293"/>
      <c r="UFZ92" s="294"/>
      <c r="UGF92" s="292"/>
      <c r="UGG92" s="293"/>
      <c r="UGH92" s="294"/>
      <c r="UGN92" s="292"/>
      <c r="UGO92" s="293"/>
      <c r="UGP92" s="294"/>
      <c r="UGV92" s="292"/>
      <c r="UGW92" s="293"/>
      <c r="UGX92" s="294"/>
      <c r="UHD92" s="292"/>
      <c r="UHE92" s="293"/>
      <c r="UHF92" s="294"/>
      <c r="UHL92" s="292"/>
      <c r="UHM92" s="293"/>
      <c r="UHN92" s="294"/>
      <c r="UHT92" s="292"/>
      <c r="UHU92" s="293"/>
      <c r="UHV92" s="294"/>
      <c r="UIB92" s="292"/>
      <c r="UIC92" s="293"/>
      <c r="UID92" s="294"/>
      <c r="UIJ92" s="292"/>
      <c r="UIK92" s="293"/>
      <c r="UIL92" s="294"/>
      <c r="UIR92" s="292"/>
      <c r="UIS92" s="293"/>
      <c r="UIT92" s="294"/>
      <c r="UIZ92" s="292"/>
      <c r="UJA92" s="293"/>
      <c r="UJB92" s="294"/>
      <c r="UJH92" s="292"/>
      <c r="UJI92" s="293"/>
      <c r="UJJ92" s="294"/>
      <c r="UJP92" s="292"/>
      <c r="UJQ92" s="293"/>
      <c r="UJR92" s="294"/>
      <c r="UJX92" s="292"/>
      <c r="UJY92" s="293"/>
      <c r="UJZ92" s="294"/>
      <c r="UKF92" s="292"/>
      <c r="UKG92" s="293"/>
      <c r="UKH92" s="294"/>
      <c r="UKN92" s="292"/>
      <c r="UKO92" s="293"/>
      <c r="UKP92" s="294"/>
      <c r="UKV92" s="292"/>
      <c r="UKW92" s="293"/>
      <c r="UKX92" s="294"/>
      <c r="ULD92" s="292"/>
      <c r="ULE92" s="293"/>
      <c r="ULF92" s="294"/>
      <c r="ULL92" s="292"/>
      <c r="ULM92" s="293"/>
      <c r="ULN92" s="294"/>
      <c r="ULT92" s="292"/>
      <c r="ULU92" s="293"/>
      <c r="ULV92" s="294"/>
      <c r="UMB92" s="292"/>
      <c r="UMC92" s="293"/>
      <c r="UMD92" s="294"/>
      <c r="UMJ92" s="292"/>
      <c r="UMK92" s="293"/>
      <c r="UML92" s="294"/>
      <c r="UMR92" s="292"/>
      <c r="UMS92" s="293"/>
      <c r="UMT92" s="294"/>
      <c r="UMZ92" s="292"/>
      <c r="UNA92" s="293"/>
      <c r="UNB92" s="294"/>
      <c r="UNH92" s="292"/>
      <c r="UNI92" s="293"/>
      <c r="UNJ92" s="294"/>
      <c r="UNP92" s="292"/>
      <c r="UNQ92" s="293"/>
      <c r="UNR92" s="294"/>
      <c r="UNX92" s="292"/>
      <c r="UNY92" s="293"/>
      <c r="UNZ92" s="294"/>
      <c r="UOF92" s="292"/>
      <c r="UOG92" s="293"/>
      <c r="UOH92" s="294"/>
      <c r="UON92" s="292"/>
      <c r="UOO92" s="293"/>
      <c r="UOP92" s="294"/>
      <c r="UOV92" s="292"/>
      <c r="UOW92" s="293"/>
      <c r="UOX92" s="294"/>
      <c r="UPD92" s="292"/>
      <c r="UPE92" s="293"/>
      <c r="UPF92" s="294"/>
      <c r="UPL92" s="292"/>
      <c r="UPM92" s="293"/>
      <c r="UPN92" s="294"/>
      <c r="UPT92" s="292"/>
      <c r="UPU92" s="293"/>
      <c r="UPV92" s="294"/>
      <c r="UQB92" s="292"/>
      <c r="UQC92" s="293"/>
      <c r="UQD92" s="294"/>
      <c r="UQJ92" s="292"/>
      <c r="UQK92" s="293"/>
      <c r="UQL92" s="294"/>
      <c r="UQR92" s="292"/>
      <c r="UQS92" s="293"/>
      <c r="UQT92" s="294"/>
      <c r="UQZ92" s="292"/>
      <c r="URA92" s="293"/>
      <c r="URB92" s="294"/>
      <c r="URH92" s="292"/>
      <c r="URI92" s="293"/>
      <c r="URJ92" s="294"/>
      <c r="URP92" s="292"/>
      <c r="URQ92" s="293"/>
      <c r="URR92" s="294"/>
      <c r="URX92" s="292"/>
      <c r="URY92" s="293"/>
      <c r="URZ92" s="294"/>
      <c r="USF92" s="292"/>
      <c r="USG92" s="293"/>
      <c r="USH92" s="294"/>
      <c r="USN92" s="292"/>
      <c r="USO92" s="293"/>
      <c r="USP92" s="294"/>
      <c r="USV92" s="292"/>
      <c r="USW92" s="293"/>
      <c r="USX92" s="294"/>
      <c r="UTD92" s="292"/>
      <c r="UTE92" s="293"/>
      <c r="UTF92" s="294"/>
      <c r="UTL92" s="292"/>
      <c r="UTM92" s="293"/>
      <c r="UTN92" s="294"/>
      <c r="UTT92" s="292"/>
      <c r="UTU92" s="293"/>
      <c r="UTV92" s="294"/>
      <c r="UUB92" s="292"/>
      <c r="UUC92" s="293"/>
      <c r="UUD92" s="294"/>
      <c r="UUJ92" s="292"/>
      <c r="UUK92" s="293"/>
      <c r="UUL92" s="294"/>
      <c r="UUR92" s="292"/>
      <c r="UUS92" s="293"/>
      <c r="UUT92" s="294"/>
      <c r="UUZ92" s="292"/>
      <c r="UVA92" s="293"/>
      <c r="UVB92" s="294"/>
      <c r="UVH92" s="292"/>
      <c r="UVI92" s="293"/>
      <c r="UVJ92" s="294"/>
      <c r="UVP92" s="292"/>
      <c r="UVQ92" s="293"/>
      <c r="UVR92" s="294"/>
      <c r="UVX92" s="292"/>
      <c r="UVY92" s="293"/>
      <c r="UVZ92" s="294"/>
      <c r="UWF92" s="292"/>
      <c r="UWG92" s="293"/>
      <c r="UWH92" s="294"/>
      <c r="UWN92" s="292"/>
      <c r="UWO92" s="293"/>
      <c r="UWP92" s="294"/>
      <c r="UWV92" s="292"/>
      <c r="UWW92" s="293"/>
      <c r="UWX92" s="294"/>
      <c r="UXD92" s="292"/>
      <c r="UXE92" s="293"/>
      <c r="UXF92" s="294"/>
      <c r="UXL92" s="292"/>
      <c r="UXM92" s="293"/>
      <c r="UXN92" s="294"/>
      <c r="UXT92" s="292"/>
      <c r="UXU92" s="293"/>
      <c r="UXV92" s="294"/>
      <c r="UYB92" s="292"/>
      <c r="UYC92" s="293"/>
      <c r="UYD92" s="294"/>
      <c r="UYJ92" s="292"/>
      <c r="UYK92" s="293"/>
      <c r="UYL92" s="294"/>
      <c r="UYR92" s="292"/>
      <c r="UYS92" s="293"/>
      <c r="UYT92" s="294"/>
      <c r="UYZ92" s="292"/>
      <c r="UZA92" s="293"/>
      <c r="UZB92" s="294"/>
      <c r="UZH92" s="292"/>
      <c r="UZI92" s="293"/>
      <c r="UZJ92" s="294"/>
      <c r="UZP92" s="292"/>
      <c r="UZQ92" s="293"/>
      <c r="UZR92" s="294"/>
      <c r="UZX92" s="292"/>
      <c r="UZY92" s="293"/>
      <c r="UZZ92" s="294"/>
      <c r="VAF92" s="292"/>
      <c r="VAG92" s="293"/>
      <c r="VAH92" s="294"/>
      <c r="VAN92" s="292"/>
      <c r="VAO92" s="293"/>
      <c r="VAP92" s="294"/>
      <c r="VAV92" s="292"/>
      <c r="VAW92" s="293"/>
      <c r="VAX92" s="294"/>
      <c r="VBD92" s="292"/>
      <c r="VBE92" s="293"/>
      <c r="VBF92" s="294"/>
      <c r="VBL92" s="292"/>
      <c r="VBM92" s="293"/>
      <c r="VBN92" s="294"/>
      <c r="VBT92" s="292"/>
      <c r="VBU92" s="293"/>
      <c r="VBV92" s="294"/>
      <c r="VCB92" s="292"/>
      <c r="VCC92" s="293"/>
      <c r="VCD92" s="294"/>
      <c r="VCJ92" s="292"/>
      <c r="VCK92" s="293"/>
      <c r="VCL92" s="294"/>
      <c r="VCR92" s="292"/>
      <c r="VCS92" s="293"/>
      <c r="VCT92" s="294"/>
      <c r="VCZ92" s="292"/>
      <c r="VDA92" s="293"/>
      <c r="VDB92" s="294"/>
      <c r="VDH92" s="292"/>
      <c r="VDI92" s="293"/>
      <c r="VDJ92" s="294"/>
      <c r="VDP92" s="292"/>
      <c r="VDQ92" s="293"/>
      <c r="VDR92" s="294"/>
      <c r="VDX92" s="292"/>
      <c r="VDY92" s="293"/>
      <c r="VDZ92" s="294"/>
      <c r="VEF92" s="292"/>
      <c r="VEG92" s="293"/>
      <c r="VEH92" s="294"/>
      <c r="VEN92" s="292"/>
      <c r="VEO92" s="293"/>
      <c r="VEP92" s="294"/>
      <c r="VEV92" s="292"/>
      <c r="VEW92" s="293"/>
      <c r="VEX92" s="294"/>
      <c r="VFD92" s="292"/>
      <c r="VFE92" s="293"/>
      <c r="VFF92" s="294"/>
      <c r="VFL92" s="292"/>
      <c r="VFM92" s="293"/>
      <c r="VFN92" s="294"/>
      <c r="VFT92" s="292"/>
      <c r="VFU92" s="293"/>
      <c r="VFV92" s="294"/>
      <c r="VGB92" s="292"/>
      <c r="VGC92" s="293"/>
      <c r="VGD92" s="294"/>
      <c r="VGJ92" s="292"/>
      <c r="VGK92" s="293"/>
      <c r="VGL92" s="294"/>
      <c r="VGR92" s="292"/>
      <c r="VGS92" s="293"/>
      <c r="VGT92" s="294"/>
      <c r="VGZ92" s="292"/>
      <c r="VHA92" s="293"/>
      <c r="VHB92" s="294"/>
      <c r="VHH92" s="292"/>
      <c r="VHI92" s="293"/>
      <c r="VHJ92" s="294"/>
      <c r="VHP92" s="292"/>
      <c r="VHQ92" s="293"/>
      <c r="VHR92" s="294"/>
      <c r="VHX92" s="292"/>
      <c r="VHY92" s="293"/>
      <c r="VHZ92" s="294"/>
      <c r="VIF92" s="292"/>
      <c r="VIG92" s="293"/>
      <c r="VIH92" s="294"/>
      <c r="VIN92" s="292"/>
      <c r="VIO92" s="293"/>
      <c r="VIP92" s="294"/>
      <c r="VIV92" s="292"/>
      <c r="VIW92" s="293"/>
      <c r="VIX92" s="294"/>
      <c r="VJD92" s="292"/>
      <c r="VJE92" s="293"/>
      <c r="VJF92" s="294"/>
      <c r="VJL92" s="292"/>
      <c r="VJM92" s="293"/>
      <c r="VJN92" s="294"/>
      <c r="VJT92" s="292"/>
      <c r="VJU92" s="293"/>
      <c r="VJV92" s="294"/>
      <c r="VKB92" s="292"/>
      <c r="VKC92" s="293"/>
      <c r="VKD92" s="294"/>
      <c r="VKJ92" s="292"/>
      <c r="VKK92" s="293"/>
      <c r="VKL92" s="294"/>
      <c r="VKR92" s="292"/>
      <c r="VKS92" s="293"/>
      <c r="VKT92" s="294"/>
      <c r="VKZ92" s="292"/>
      <c r="VLA92" s="293"/>
      <c r="VLB92" s="294"/>
      <c r="VLH92" s="292"/>
      <c r="VLI92" s="293"/>
      <c r="VLJ92" s="294"/>
      <c r="VLP92" s="292"/>
      <c r="VLQ92" s="293"/>
      <c r="VLR92" s="294"/>
      <c r="VLX92" s="292"/>
      <c r="VLY92" s="293"/>
      <c r="VLZ92" s="294"/>
      <c r="VMF92" s="292"/>
      <c r="VMG92" s="293"/>
      <c r="VMH92" s="294"/>
      <c r="VMN92" s="292"/>
      <c r="VMO92" s="293"/>
      <c r="VMP92" s="294"/>
      <c r="VMV92" s="292"/>
      <c r="VMW92" s="293"/>
      <c r="VMX92" s="294"/>
      <c r="VND92" s="292"/>
      <c r="VNE92" s="293"/>
      <c r="VNF92" s="294"/>
      <c r="VNL92" s="292"/>
      <c r="VNM92" s="293"/>
      <c r="VNN92" s="294"/>
      <c r="VNT92" s="292"/>
      <c r="VNU92" s="293"/>
      <c r="VNV92" s="294"/>
      <c r="VOB92" s="292"/>
      <c r="VOC92" s="293"/>
      <c r="VOD92" s="294"/>
      <c r="VOJ92" s="292"/>
      <c r="VOK92" s="293"/>
      <c r="VOL92" s="294"/>
      <c r="VOR92" s="292"/>
      <c r="VOS92" s="293"/>
      <c r="VOT92" s="294"/>
      <c r="VOZ92" s="292"/>
      <c r="VPA92" s="293"/>
      <c r="VPB92" s="294"/>
      <c r="VPH92" s="292"/>
      <c r="VPI92" s="293"/>
      <c r="VPJ92" s="294"/>
      <c r="VPP92" s="292"/>
      <c r="VPQ92" s="293"/>
      <c r="VPR92" s="294"/>
      <c r="VPX92" s="292"/>
      <c r="VPY92" s="293"/>
      <c r="VPZ92" s="294"/>
      <c r="VQF92" s="292"/>
      <c r="VQG92" s="293"/>
      <c r="VQH92" s="294"/>
      <c r="VQN92" s="292"/>
      <c r="VQO92" s="293"/>
      <c r="VQP92" s="294"/>
      <c r="VQV92" s="292"/>
      <c r="VQW92" s="293"/>
      <c r="VQX92" s="294"/>
      <c r="VRD92" s="292"/>
      <c r="VRE92" s="293"/>
      <c r="VRF92" s="294"/>
      <c r="VRL92" s="292"/>
      <c r="VRM92" s="293"/>
      <c r="VRN92" s="294"/>
      <c r="VRT92" s="292"/>
      <c r="VRU92" s="293"/>
      <c r="VRV92" s="294"/>
      <c r="VSB92" s="292"/>
      <c r="VSC92" s="293"/>
      <c r="VSD92" s="294"/>
      <c r="VSJ92" s="292"/>
      <c r="VSK92" s="293"/>
      <c r="VSL92" s="294"/>
      <c r="VSR92" s="292"/>
      <c r="VSS92" s="293"/>
      <c r="VST92" s="294"/>
      <c r="VSZ92" s="292"/>
      <c r="VTA92" s="293"/>
      <c r="VTB92" s="294"/>
      <c r="VTH92" s="292"/>
      <c r="VTI92" s="293"/>
      <c r="VTJ92" s="294"/>
      <c r="VTP92" s="292"/>
      <c r="VTQ92" s="293"/>
      <c r="VTR92" s="294"/>
      <c r="VTX92" s="292"/>
      <c r="VTY92" s="293"/>
      <c r="VTZ92" s="294"/>
      <c r="VUF92" s="292"/>
      <c r="VUG92" s="293"/>
      <c r="VUH92" s="294"/>
      <c r="VUN92" s="292"/>
      <c r="VUO92" s="293"/>
      <c r="VUP92" s="294"/>
      <c r="VUV92" s="292"/>
      <c r="VUW92" s="293"/>
      <c r="VUX92" s="294"/>
      <c r="VVD92" s="292"/>
      <c r="VVE92" s="293"/>
      <c r="VVF92" s="294"/>
      <c r="VVL92" s="292"/>
      <c r="VVM92" s="293"/>
      <c r="VVN92" s="294"/>
      <c r="VVT92" s="292"/>
      <c r="VVU92" s="293"/>
      <c r="VVV92" s="294"/>
      <c r="VWB92" s="292"/>
      <c r="VWC92" s="293"/>
      <c r="VWD92" s="294"/>
      <c r="VWJ92" s="292"/>
      <c r="VWK92" s="293"/>
      <c r="VWL92" s="294"/>
      <c r="VWR92" s="292"/>
      <c r="VWS92" s="293"/>
      <c r="VWT92" s="294"/>
      <c r="VWZ92" s="292"/>
      <c r="VXA92" s="293"/>
      <c r="VXB92" s="294"/>
      <c r="VXH92" s="292"/>
      <c r="VXI92" s="293"/>
      <c r="VXJ92" s="294"/>
      <c r="VXP92" s="292"/>
      <c r="VXQ92" s="293"/>
      <c r="VXR92" s="294"/>
      <c r="VXX92" s="292"/>
      <c r="VXY92" s="293"/>
      <c r="VXZ92" s="294"/>
      <c r="VYF92" s="292"/>
      <c r="VYG92" s="293"/>
      <c r="VYH92" s="294"/>
      <c r="VYN92" s="292"/>
      <c r="VYO92" s="293"/>
      <c r="VYP92" s="294"/>
      <c r="VYV92" s="292"/>
      <c r="VYW92" s="293"/>
      <c r="VYX92" s="294"/>
      <c r="VZD92" s="292"/>
      <c r="VZE92" s="293"/>
      <c r="VZF92" s="294"/>
      <c r="VZL92" s="292"/>
      <c r="VZM92" s="293"/>
      <c r="VZN92" s="294"/>
      <c r="VZT92" s="292"/>
      <c r="VZU92" s="293"/>
      <c r="VZV92" s="294"/>
      <c r="WAB92" s="292"/>
      <c r="WAC92" s="293"/>
      <c r="WAD92" s="294"/>
      <c r="WAJ92" s="292"/>
      <c r="WAK92" s="293"/>
      <c r="WAL92" s="294"/>
      <c r="WAR92" s="292"/>
      <c r="WAS92" s="293"/>
      <c r="WAT92" s="294"/>
      <c r="WAZ92" s="292"/>
      <c r="WBA92" s="293"/>
      <c r="WBB92" s="294"/>
      <c r="WBH92" s="292"/>
      <c r="WBI92" s="293"/>
      <c r="WBJ92" s="294"/>
      <c r="WBP92" s="292"/>
      <c r="WBQ92" s="293"/>
      <c r="WBR92" s="294"/>
      <c r="WBX92" s="292"/>
      <c r="WBY92" s="293"/>
      <c r="WBZ92" s="294"/>
      <c r="WCF92" s="292"/>
      <c r="WCG92" s="293"/>
      <c r="WCH92" s="294"/>
      <c r="WCN92" s="292"/>
      <c r="WCO92" s="293"/>
      <c r="WCP92" s="294"/>
      <c r="WCV92" s="292"/>
      <c r="WCW92" s="293"/>
      <c r="WCX92" s="294"/>
      <c r="WDD92" s="292"/>
      <c r="WDE92" s="293"/>
      <c r="WDF92" s="294"/>
      <c r="WDL92" s="292"/>
      <c r="WDM92" s="293"/>
      <c r="WDN92" s="294"/>
      <c r="WDT92" s="292"/>
      <c r="WDU92" s="293"/>
      <c r="WDV92" s="294"/>
      <c r="WEB92" s="292"/>
      <c r="WEC92" s="293"/>
      <c r="WED92" s="294"/>
      <c r="WEJ92" s="292"/>
      <c r="WEK92" s="293"/>
      <c r="WEL92" s="294"/>
      <c r="WER92" s="292"/>
      <c r="WES92" s="293"/>
      <c r="WET92" s="294"/>
      <c r="WEZ92" s="292"/>
      <c r="WFA92" s="293"/>
      <c r="WFB92" s="294"/>
      <c r="WFH92" s="292"/>
      <c r="WFI92" s="293"/>
      <c r="WFJ92" s="294"/>
      <c r="WFP92" s="292"/>
      <c r="WFQ92" s="293"/>
      <c r="WFR92" s="294"/>
      <c r="WFX92" s="292"/>
      <c r="WFY92" s="293"/>
      <c r="WFZ92" s="294"/>
      <c r="WGF92" s="292"/>
      <c r="WGG92" s="293"/>
      <c r="WGH92" s="294"/>
      <c r="WGN92" s="292"/>
      <c r="WGO92" s="293"/>
      <c r="WGP92" s="294"/>
      <c r="WGV92" s="292"/>
      <c r="WGW92" s="293"/>
      <c r="WGX92" s="294"/>
      <c r="WHD92" s="292"/>
      <c r="WHE92" s="293"/>
      <c r="WHF92" s="294"/>
      <c r="WHL92" s="292"/>
      <c r="WHM92" s="293"/>
      <c r="WHN92" s="294"/>
      <c r="WHT92" s="292"/>
      <c r="WHU92" s="293"/>
      <c r="WHV92" s="294"/>
      <c r="WIB92" s="292"/>
      <c r="WIC92" s="293"/>
      <c r="WID92" s="294"/>
      <c r="WIJ92" s="292"/>
      <c r="WIK92" s="293"/>
      <c r="WIL92" s="294"/>
      <c r="WIR92" s="292"/>
      <c r="WIS92" s="293"/>
      <c r="WIT92" s="294"/>
      <c r="WIZ92" s="292"/>
      <c r="WJA92" s="293"/>
      <c r="WJB92" s="294"/>
      <c r="WJH92" s="292"/>
      <c r="WJI92" s="293"/>
      <c r="WJJ92" s="294"/>
      <c r="WJP92" s="292"/>
      <c r="WJQ92" s="293"/>
      <c r="WJR92" s="294"/>
      <c r="WJX92" s="292"/>
      <c r="WJY92" s="293"/>
      <c r="WJZ92" s="294"/>
      <c r="WKF92" s="292"/>
      <c r="WKG92" s="293"/>
      <c r="WKH92" s="294"/>
      <c r="WKN92" s="292"/>
      <c r="WKO92" s="293"/>
      <c r="WKP92" s="294"/>
      <c r="WKV92" s="292"/>
      <c r="WKW92" s="293"/>
      <c r="WKX92" s="294"/>
      <c r="WLD92" s="292"/>
      <c r="WLE92" s="293"/>
      <c r="WLF92" s="294"/>
      <c r="WLL92" s="292"/>
      <c r="WLM92" s="293"/>
      <c r="WLN92" s="294"/>
      <c r="WLT92" s="292"/>
      <c r="WLU92" s="293"/>
      <c r="WLV92" s="294"/>
      <c r="WMB92" s="292"/>
      <c r="WMC92" s="293"/>
      <c r="WMD92" s="294"/>
      <c r="WMJ92" s="292"/>
      <c r="WMK92" s="293"/>
      <c r="WML92" s="294"/>
      <c r="WMR92" s="292"/>
      <c r="WMS92" s="293"/>
      <c r="WMT92" s="294"/>
      <c r="WMZ92" s="292"/>
      <c r="WNA92" s="293"/>
      <c r="WNB92" s="294"/>
      <c r="WNH92" s="292"/>
      <c r="WNI92" s="293"/>
      <c r="WNJ92" s="294"/>
      <c r="WNP92" s="292"/>
      <c r="WNQ92" s="293"/>
      <c r="WNR92" s="294"/>
      <c r="WNX92" s="292"/>
      <c r="WNY92" s="293"/>
      <c r="WNZ92" s="294"/>
      <c r="WOF92" s="292"/>
      <c r="WOG92" s="293"/>
      <c r="WOH92" s="294"/>
      <c r="WON92" s="292"/>
      <c r="WOO92" s="293"/>
      <c r="WOP92" s="294"/>
      <c r="WOV92" s="292"/>
      <c r="WOW92" s="293"/>
      <c r="WOX92" s="294"/>
      <c r="WPD92" s="292"/>
      <c r="WPE92" s="293"/>
      <c r="WPF92" s="294"/>
      <c r="WPL92" s="292"/>
      <c r="WPM92" s="293"/>
      <c r="WPN92" s="294"/>
      <c r="WPT92" s="292"/>
      <c r="WPU92" s="293"/>
      <c r="WPV92" s="294"/>
      <c r="WQB92" s="292"/>
      <c r="WQC92" s="293"/>
      <c r="WQD92" s="294"/>
      <c r="WQJ92" s="292"/>
      <c r="WQK92" s="293"/>
      <c r="WQL92" s="294"/>
      <c r="WQR92" s="292"/>
      <c r="WQS92" s="293"/>
      <c r="WQT92" s="294"/>
      <c r="WQZ92" s="292"/>
      <c r="WRA92" s="293"/>
      <c r="WRB92" s="294"/>
      <c r="WRH92" s="292"/>
      <c r="WRI92" s="293"/>
      <c r="WRJ92" s="294"/>
      <c r="WRP92" s="292"/>
      <c r="WRQ92" s="293"/>
      <c r="WRR92" s="294"/>
      <c r="WRX92" s="292"/>
      <c r="WRY92" s="293"/>
      <c r="WRZ92" s="294"/>
      <c r="WSF92" s="292"/>
      <c r="WSG92" s="293"/>
      <c r="WSH92" s="294"/>
      <c r="WSN92" s="292"/>
      <c r="WSO92" s="293"/>
      <c r="WSP92" s="294"/>
      <c r="WSV92" s="292"/>
      <c r="WSW92" s="293"/>
      <c r="WSX92" s="294"/>
      <c r="WTD92" s="292"/>
      <c r="WTE92" s="293"/>
      <c r="WTF92" s="294"/>
      <c r="WTL92" s="292"/>
      <c r="WTM92" s="293"/>
      <c r="WTN92" s="294"/>
      <c r="WTT92" s="292"/>
      <c r="WTU92" s="293"/>
      <c r="WTV92" s="294"/>
      <c r="WUB92" s="292"/>
      <c r="WUC92" s="293"/>
      <c r="WUD92" s="294"/>
      <c r="WUJ92" s="292"/>
      <c r="WUK92" s="293"/>
      <c r="WUL92" s="294"/>
      <c r="WUR92" s="292"/>
      <c r="WUS92" s="293"/>
      <c r="WUT92" s="294"/>
      <c r="WUZ92" s="292"/>
      <c r="WVA92" s="293"/>
      <c r="WVB92" s="294"/>
      <c r="WVH92" s="292"/>
      <c r="WVI92" s="293"/>
      <c r="WVJ92" s="294"/>
      <c r="WVP92" s="292"/>
      <c r="WVQ92" s="293"/>
      <c r="WVR92" s="294"/>
      <c r="WVX92" s="292"/>
      <c r="WVY92" s="293"/>
      <c r="WVZ92" s="294"/>
      <c r="WWF92" s="292"/>
      <c r="WWG92" s="293"/>
      <c r="WWH92" s="294"/>
      <c r="WWN92" s="292"/>
      <c r="WWO92" s="293"/>
      <c r="WWP92" s="294"/>
      <c r="WWV92" s="292"/>
      <c r="WWW92" s="293"/>
      <c r="WWX92" s="294"/>
      <c r="WXD92" s="292"/>
      <c r="WXE92" s="293"/>
      <c r="WXF92" s="294"/>
      <c r="WXL92" s="292"/>
      <c r="WXM92" s="293"/>
      <c r="WXN92" s="294"/>
      <c r="WXT92" s="292"/>
      <c r="WXU92" s="293"/>
      <c r="WXV92" s="294"/>
      <c r="WYB92" s="292"/>
      <c r="WYC92" s="293"/>
      <c r="WYD92" s="294"/>
      <c r="WYJ92" s="292"/>
      <c r="WYK92" s="293"/>
      <c r="WYL92" s="294"/>
      <c r="WYR92" s="292"/>
      <c r="WYS92" s="293"/>
      <c r="WYT92" s="294"/>
      <c r="WYZ92" s="292"/>
      <c r="WZA92" s="293"/>
      <c r="WZB92" s="294"/>
      <c r="WZH92" s="292"/>
      <c r="WZI92" s="293"/>
      <c r="WZJ92" s="294"/>
      <c r="WZP92" s="292"/>
      <c r="WZQ92" s="293"/>
      <c r="WZR92" s="294"/>
      <c r="WZX92" s="292"/>
      <c r="WZY92" s="293"/>
      <c r="WZZ92" s="294"/>
      <c r="XAF92" s="292"/>
      <c r="XAG92" s="293"/>
      <c r="XAH92" s="294"/>
      <c r="XAN92" s="292"/>
      <c r="XAO92" s="293"/>
      <c r="XAP92" s="294"/>
      <c r="XAV92" s="292"/>
      <c r="XAW92" s="293"/>
      <c r="XAX92" s="294"/>
      <c r="XBD92" s="292"/>
      <c r="XBE92" s="293"/>
      <c r="XBF92" s="294"/>
      <c r="XBL92" s="292"/>
      <c r="XBM92" s="293"/>
      <c r="XBN92" s="294"/>
      <c r="XBT92" s="292"/>
      <c r="XBU92" s="293"/>
      <c r="XBV92" s="294"/>
      <c r="XCB92" s="292"/>
      <c r="XCC92" s="293"/>
      <c r="XCD92" s="294"/>
      <c r="XCJ92" s="292"/>
      <c r="XCK92" s="293"/>
      <c r="XCL92" s="294"/>
      <c r="XCR92" s="292"/>
      <c r="XCS92" s="293"/>
      <c r="XCT92" s="294"/>
      <c r="XCZ92" s="292"/>
      <c r="XDA92" s="293"/>
      <c r="XDB92" s="294"/>
      <c r="XDH92" s="292"/>
      <c r="XDI92" s="293"/>
      <c r="XDJ92" s="294"/>
      <c r="XDP92" s="292"/>
      <c r="XDQ92" s="293"/>
      <c r="XDR92" s="294"/>
      <c r="XDX92" s="292"/>
      <c r="XDY92" s="293"/>
      <c r="XDZ92" s="294"/>
      <c r="XEF92" s="292"/>
      <c r="XEG92" s="293"/>
      <c r="XEH92" s="294"/>
      <c r="XEN92" s="292"/>
      <c r="XEO92" s="293"/>
      <c r="XEP92" s="294"/>
      <c r="XEV92" s="292"/>
      <c r="XEW92" s="293"/>
      <c r="XEX92" s="294"/>
    </row>
    <row r="93" spans="1:16378" s="270" customFormat="1" ht="41.25" customHeight="1" x14ac:dyDescent="0.3">
      <c r="A93" s="452" t="s">
        <v>1367</v>
      </c>
      <c r="B93" s="452"/>
      <c r="C93" s="452"/>
      <c r="D93" s="452"/>
      <c r="E93" s="452"/>
      <c r="F93" s="452"/>
      <c r="G93" s="452"/>
      <c r="H93" s="271"/>
    </row>
    <row r="94" spans="1:16378" ht="12.75" customHeight="1" x14ac:dyDescent="0.3">
      <c r="A94" s="453" t="s">
        <v>1337</v>
      </c>
      <c r="B94" s="453"/>
      <c r="C94" s="453"/>
      <c r="D94" s="453"/>
      <c r="E94" s="453"/>
      <c r="F94" s="453"/>
      <c r="G94" s="453"/>
    </row>
    <row r="95" spans="1:16378" x14ac:dyDescent="0.3">
      <c r="A95" s="454"/>
      <c r="B95" s="467"/>
      <c r="C95" s="454"/>
      <c r="D95" s="454"/>
      <c r="E95" s="454"/>
      <c r="F95" s="454"/>
      <c r="G95" s="454"/>
    </row>
    <row r="96" spans="1:16378" ht="15" customHeight="1" x14ac:dyDescent="0.3">
      <c r="A96" s="432" t="s">
        <v>1038</v>
      </c>
      <c r="B96" s="432" t="s">
        <v>1037</v>
      </c>
      <c r="C96" s="433" t="s">
        <v>91</v>
      </c>
      <c r="D96" s="433" t="s">
        <v>90</v>
      </c>
      <c r="E96" s="433" t="s">
        <v>89</v>
      </c>
      <c r="F96" s="433" t="s">
        <v>1186</v>
      </c>
      <c r="G96" s="433"/>
    </row>
    <row r="97" spans="1:8" ht="50.15" customHeight="1" x14ac:dyDescent="0.3">
      <c r="A97" s="432"/>
      <c r="B97" s="432"/>
      <c r="C97" s="433"/>
      <c r="D97" s="433"/>
      <c r="E97" s="433"/>
      <c r="F97" s="273" t="s">
        <v>88</v>
      </c>
      <c r="G97" s="273" t="s">
        <v>87</v>
      </c>
    </row>
    <row r="98" spans="1:8" x14ac:dyDescent="0.3">
      <c r="A98" s="299"/>
      <c r="B98" s="306"/>
      <c r="C98" s="306"/>
      <c r="D98" s="455"/>
      <c r="E98" s="455"/>
      <c r="F98" s="455"/>
      <c r="G98" s="456"/>
    </row>
    <row r="99" spans="1:8" s="279" customFormat="1" ht="12.75" customHeight="1" x14ac:dyDescent="0.3">
      <c r="A99" s="445" t="s">
        <v>1027</v>
      </c>
      <c r="B99" s="354" t="s">
        <v>1028</v>
      </c>
      <c r="C99" s="326">
        <v>30574.02</v>
      </c>
      <c r="D99" s="326">
        <v>1297.1400000000001</v>
      </c>
      <c r="E99" s="327">
        <f>IF(C99&lt;&gt;"",D99/C99*100,"")</f>
        <v>4.242621676835431</v>
      </c>
      <c r="F99" s="326">
        <v>28440.25</v>
      </c>
      <c r="G99" s="328">
        <v>32707.8</v>
      </c>
      <c r="H99" s="278"/>
    </row>
    <row r="100" spans="1:8" ht="28" x14ac:dyDescent="0.3">
      <c r="A100" s="377" t="s">
        <v>250</v>
      </c>
      <c r="B100" s="298" t="s">
        <v>1134</v>
      </c>
      <c r="C100" s="332">
        <v>29363.19</v>
      </c>
      <c r="D100" s="332">
        <v>1503.6590000000001</v>
      </c>
      <c r="E100" s="333">
        <f>IF(C100&lt;&gt;"",D100/C100*100,"")</f>
        <v>5.1208979678297899</v>
      </c>
      <c r="F100" s="332">
        <v>26889.7</v>
      </c>
      <c r="G100" s="334">
        <v>31836.68</v>
      </c>
      <c r="H100" s="278"/>
    </row>
    <row r="101" spans="1:8" ht="28" x14ac:dyDescent="0.3">
      <c r="A101" s="377" t="s">
        <v>209</v>
      </c>
      <c r="B101" s="298" t="s">
        <v>1374</v>
      </c>
      <c r="C101" s="332">
        <v>38038.120000000003</v>
      </c>
      <c r="D101" s="332">
        <v>3669.82</v>
      </c>
      <c r="E101" s="333">
        <f>IF(C101&lt;&gt;"",D101/C101*100,"")</f>
        <v>9.6477428432320007</v>
      </c>
      <c r="F101" s="332">
        <v>32001.33</v>
      </c>
      <c r="G101" s="334">
        <v>44074.91</v>
      </c>
      <c r="H101" s="278"/>
    </row>
    <row r="102" spans="1:8" s="279" customFormat="1" ht="27" customHeight="1" x14ac:dyDescent="0.3">
      <c r="A102" s="377" t="s">
        <v>1026</v>
      </c>
      <c r="B102" s="298" t="s">
        <v>1375</v>
      </c>
      <c r="C102" s="332">
        <v>33371.85</v>
      </c>
      <c r="D102" s="332">
        <v>2622.1080000000002</v>
      </c>
      <c r="E102" s="333">
        <f>IF(C102&lt;&gt;"",D102/C102*100,"")</f>
        <v>7.8572449534562825</v>
      </c>
      <c r="F102" s="332">
        <v>29058.53</v>
      </c>
      <c r="G102" s="334">
        <v>37685.17</v>
      </c>
      <c r="H102" s="278"/>
    </row>
    <row r="103" spans="1:8" s="279" customFormat="1" x14ac:dyDescent="0.3">
      <c r="A103" s="457"/>
      <c r="B103" s="468"/>
      <c r="C103" s="458"/>
      <c r="D103" s="319"/>
      <c r="E103" s="319"/>
      <c r="F103" s="319"/>
      <c r="G103" s="331"/>
    </row>
    <row r="104" spans="1:8" s="279" customFormat="1" ht="14.25" customHeight="1" x14ac:dyDescent="0.3">
      <c r="A104" s="445" t="s">
        <v>192</v>
      </c>
      <c r="B104" s="354" t="s">
        <v>1025</v>
      </c>
      <c r="C104" s="326">
        <v>24177.25</v>
      </c>
      <c r="D104" s="326">
        <v>986.19560000000001</v>
      </c>
      <c r="E104" s="327">
        <f>IF(C104&lt;&gt;"",D104/C104*100,"")</f>
        <v>4.0790230485270245</v>
      </c>
      <c r="F104" s="326">
        <v>22554.97</v>
      </c>
      <c r="G104" s="328">
        <v>25799.52</v>
      </c>
      <c r="H104" s="278"/>
    </row>
    <row r="105" spans="1:8" s="279" customFormat="1" x14ac:dyDescent="0.3">
      <c r="A105" s="459"/>
      <c r="B105" s="392"/>
      <c r="C105" s="392"/>
      <c r="D105" s="319"/>
      <c r="E105" s="319"/>
      <c r="F105" s="319"/>
      <c r="G105" s="331"/>
    </row>
    <row r="106" spans="1:8" s="279" customFormat="1" ht="26.25" customHeight="1" x14ac:dyDescent="0.3">
      <c r="A106" s="445" t="s">
        <v>1023</v>
      </c>
      <c r="B106" s="354" t="s">
        <v>1382</v>
      </c>
      <c r="C106" s="326">
        <v>33586.78</v>
      </c>
      <c r="D106" s="326">
        <v>2218.5630000000001</v>
      </c>
      <c r="E106" s="327">
        <f t="shared" ref="E106:E113" si="4">IF(C106&lt;&gt;"",D106/C106*100,"")</f>
        <v>6.6054650073630166</v>
      </c>
      <c r="F106" s="326">
        <v>29937.279999999999</v>
      </c>
      <c r="G106" s="328">
        <v>37236.28</v>
      </c>
      <c r="H106" s="278"/>
    </row>
    <row r="107" spans="1:8" ht="26.25" customHeight="1" x14ac:dyDescent="0.3">
      <c r="A107" s="377" t="s">
        <v>1022</v>
      </c>
      <c r="B107" s="460" t="s">
        <v>1267</v>
      </c>
      <c r="C107" s="332">
        <v>32648.63</v>
      </c>
      <c r="D107" s="332">
        <v>2397.422</v>
      </c>
      <c r="E107" s="333">
        <f t="shared" si="4"/>
        <v>7.3431013797516158</v>
      </c>
      <c r="F107" s="332">
        <v>28704.92</v>
      </c>
      <c r="G107" s="334">
        <v>36592.35</v>
      </c>
      <c r="H107" s="278"/>
    </row>
    <row r="108" spans="1:8" ht="28.5" customHeight="1" x14ac:dyDescent="0.3">
      <c r="A108" s="377" t="s">
        <v>1190</v>
      </c>
      <c r="B108" s="460" t="s">
        <v>1270</v>
      </c>
      <c r="C108" s="332">
        <v>44178.71</v>
      </c>
      <c r="D108" s="332">
        <v>8165.46</v>
      </c>
      <c r="E108" s="333">
        <f t="shared" si="4"/>
        <v>18.482794087921537</v>
      </c>
      <c r="F108" s="332">
        <v>30746.66</v>
      </c>
      <c r="G108" s="334">
        <v>57610.75</v>
      </c>
      <c r="H108" s="278"/>
    </row>
    <row r="109" spans="1:8" ht="28" x14ac:dyDescent="0.3">
      <c r="A109" s="377" t="s">
        <v>1191</v>
      </c>
      <c r="B109" s="460" t="s">
        <v>1272</v>
      </c>
      <c r="C109" s="332">
        <v>35540.61</v>
      </c>
      <c r="D109" s="332">
        <v>5305.7669999999998</v>
      </c>
      <c r="E109" s="333">
        <f t="shared" si="4"/>
        <v>14.928744892110743</v>
      </c>
      <c r="F109" s="332">
        <v>26812.71</v>
      </c>
      <c r="G109" s="334">
        <v>44268.5</v>
      </c>
      <c r="H109" s="278"/>
    </row>
    <row r="110" spans="1:8" x14ac:dyDescent="0.3">
      <c r="A110" s="377" t="s">
        <v>1192</v>
      </c>
      <c r="B110" s="460" t="s">
        <v>1275</v>
      </c>
      <c r="C110" s="332">
        <v>37769.230000000003</v>
      </c>
      <c r="D110" s="332">
        <v>5598.9840000000004</v>
      </c>
      <c r="E110" s="333">
        <f t="shared" si="4"/>
        <v>14.82419419193878</v>
      </c>
      <c r="F110" s="332">
        <v>28559</v>
      </c>
      <c r="G110" s="334">
        <v>46979.46</v>
      </c>
      <c r="H110" s="278"/>
    </row>
    <row r="111" spans="1:8" x14ac:dyDescent="0.3">
      <c r="A111" s="377" t="s">
        <v>1193</v>
      </c>
      <c r="B111" s="460" t="s">
        <v>1276</v>
      </c>
      <c r="C111" s="332">
        <v>24039.59</v>
      </c>
      <c r="D111" s="332">
        <v>3303.8270000000002</v>
      </c>
      <c r="E111" s="333">
        <f t="shared" si="4"/>
        <v>13.743275155691093</v>
      </c>
      <c r="F111" s="332">
        <v>18604.849999999999</v>
      </c>
      <c r="G111" s="334">
        <v>29474.33</v>
      </c>
      <c r="H111" s="278"/>
    </row>
    <row r="112" spans="1:8" x14ac:dyDescent="0.3">
      <c r="A112" s="377" t="s">
        <v>1194</v>
      </c>
      <c r="B112" s="460" t="s">
        <v>1280</v>
      </c>
      <c r="C112" s="332">
        <v>36376.33</v>
      </c>
      <c r="D112" s="332">
        <v>6480.9920000000002</v>
      </c>
      <c r="E112" s="333">
        <f t="shared" si="4"/>
        <v>17.81650870222477</v>
      </c>
      <c r="F112" s="332">
        <v>25715.21</v>
      </c>
      <c r="G112" s="334">
        <v>47037.45</v>
      </c>
      <c r="H112" s="278"/>
    </row>
    <row r="113" spans="1:8" x14ac:dyDescent="0.3">
      <c r="A113" s="377" t="s">
        <v>1195</v>
      </c>
      <c r="B113" s="460" t="s">
        <v>1281</v>
      </c>
      <c r="C113" s="332">
        <v>19755.03</v>
      </c>
      <c r="D113" s="332">
        <v>631.70479999999998</v>
      </c>
      <c r="E113" s="333">
        <f t="shared" si="4"/>
        <v>3.1976909171993162</v>
      </c>
      <c r="F113" s="332">
        <v>18715.89</v>
      </c>
      <c r="G113" s="334">
        <v>20794.18</v>
      </c>
      <c r="H113" s="278"/>
    </row>
    <row r="114" spans="1:8" x14ac:dyDescent="0.3">
      <c r="A114" s="377"/>
      <c r="B114" s="298"/>
      <c r="C114" s="318"/>
      <c r="D114" s="319"/>
      <c r="E114" s="319"/>
      <c r="F114" s="319"/>
      <c r="G114" s="331"/>
      <c r="H114" s="278"/>
    </row>
    <row r="115" spans="1:8" s="279" customFormat="1" ht="12.75" customHeight="1" x14ac:dyDescent="0.3">
      <c r="A115" s="445" t="s">
        <v>1020</v>
      </c>
      <c r="B115" s="354" t="s">
        <v>1021</v>
      </c>
      <c r="C115" s="326">
        <v>24714.43</v>
      </c>
      <c r="D115" s="326">
        <v>1152.7550000000001</v>
      </c>
      <c r="E115" s="327">
        <f t="shared" ref="E115:E123" si="5">IF(C115&lt;&gt;"",D115/C115*100,"")</f>
        <v>4.664299358714727</v>
      </c>
      <c r="F115" s="326">
        <v>22818.17</v>
      </c>
      <c r="G115" s="328">
        <v>26610.69</v>
      </c>
      <c r="H115" s="278"/>
    </row>
    <row r="116" spans="1:8" ht="16" customHeight="1" x14ac:dyDescent="0.3">
      <c r="A116" s="377" t="s">
        <v>1019</v>
      </c>
      <c r="B116" s="460" t="s">
        <v>1285</v>
      </c>
      <c r="C116" s="332">
        <v>20774.29</v>
      </c>
      <c r="D116" s="332">
        <v>1022.223</v>
      </c>
      <c r="E116" s="333">
        <f t="shared" si="5"/>
        <v>4.9206158188799716</v>
      </c>
      <c r="F116" s="332">
        <v>19092.75</v>
      </c>
      <c r="G116" s="334">
        <v>22455.83</v>
      </c>
      <c r="H116" s="278"/>
    </row>
    <row r="117" spans="1:8" x14ac:dyDescent="0.3">
      <c r="A117" s="377" t="s">
        <v>1017</v>
      </c>
      <c r="B117" s="460" t="s">
        <v>1018</v>
      </c>
      <c r="C117" s="332">
        <v>19554.34</v>
      </c>
      <c r="D117" s="332">
        <v>3148.9639999999999</v>
      </c>
      <c r="E117" s="333">
        <f t="shared" si="5"/>
        <v>16.103657806911407</v>
      </c>
      <c r="F117" s="332">
        <v>14374.35</v>
      </c>
      <c r="G117" s="334">
        <v>24734.33</v>
      </c>
      <c r="H117" s="278"/>
    </row>
    <row r="118" spans="1:8" ht="28" x14ac:dyDescent="0.3">
      <c r="A118" s="377" t="s">
        <v>135</v>
      </c>
      <c r="B118" s="460" t="s">
        <v>1344</v>
      </c>
      <c r="C118" s="332">
        <v>29958.07</v>
      </c>
      <c r="D118" s="332">
        <v>2142.2809999999999</v>
      </c>
      <c r="E118" s="333">
        <f t="shared" si="5"/>
        <v>7.1509312849592774</v>
      </c>
      <c r="F118" s="332">
        <v>26434.06</v>
      </c>
      <c r="G118" s="334">
        <v>33482.089999999997</v>
      </c>
      <c r="H118" s="278"/>
    </row>
    <row r="119" spans="1:8" x14ac:dyDescent="0.3">
      <c r="A119" s="377" t="s">
        <v>1196</v>
      </c>
      <c r="B119" s="460" t="s">
        <v>1290</v>
      </c>
      <c r="C119" s="332">
        <v>16676.939999999999</v>
      </c>
      <c r="D119" s="332">
        <v>592.29899999999998</v>
      </c>
      <c r="E119" s="333">
        <f t="shared" si="5"/>
        <v>3.5516047908069468</v>
      </c>
      <c r="F119" s="332">
        <v>15702.62</v>
      </c>
      <c r="G119" s="334">
        <v>17651.259999999998</v>
      </c>
      <c r="H119" s="278"/>
    </row>
    <row r="120" spans="1:8" x14ac:dyDescent="0.3">
      <c r="A120" s="377" t="s">
        <v>1197</v>
      </c>
      <c r="B120" s="460" t="s">
        <v>1292</v>
      </c>
      <c r="C120" s="332">
        <v>15612.13</v>
      </c>
      <c r="D120" s="332">
        <v>492.99369999999999</v>
      </c>
      <c r="E120" s="333">
        <f t="shared" si="5"/>
        <v>3.1577606643039742</v>
      </c>
      <c r="F120" s="332">
        <v>14801.16</v>
      </c>
      <c r="G120" s="334">
        <v>16423.09</v>
      </c>
      <c r="H120" s="278"/>
    </row>
    <row r="121" spans="1:8" ht="42" x14ac:dyDescent="0.3">
      <c r="A121" s="377" t="s">
        <v>1347</v>
      </c>
      <c r="B121" s="460" t="s">
        <v>1373</v>
      </c>
      <c r="C121" s="332">
        <v>29328.48</v>
      </c>
      <c r="D121" s="332">
        <v>3365.3449999999998</v>
      </c>
      <c r="E121" s="333">
        <f t="shared" si="5"/>
        <v>11.474665581032498</v>
      </c>
      <c r="F121" s="332">
        <v>23792.55</v>
      </c>
      <c r="G121" s="334">
        <v>34864.42</v>
      </c>
      <c r="H121" s="278"/>
    </row>
    <row r="122" spans="1:8" x14ac:dyDescent="0.3">
      <c r="A122" s="377" t="s">
        <v>120</v>
      </c>
      <c r="B122" s="460" t="s">
        <v>1294</v>
      </c>
      <c r="C122" s="332">
        <v>25984.85</v>
      </c>
      <c r="D122" s="332">
        <v>1331.9739999999999</v>
      </c>
      <c r="E122" s="333">
        <f t="shared" si="5"/>
        <v>5.1259637827426365</v>
      </c>
      <c r="F122" s="332">
        <v>23793.78</v>
      </c>
      <c r="G122" s="334">
        <v>28175.93</v>
      </c>
      <c r="H122" s="278"/>
    </row>
    <row r="123" spans="1:8" x14ac:dyDescent="0.3">
      <c r="A123" s="448" t="s">
        <v>96</v>
      </c>
      <c r="B123" s="469" t="s">
        <v>1297</v>
      </c>
      <c r="C123" s="336">
        <v>39670.42</v>
      </c>
      <c r="D123" s="336">
        <v>3264.82</v>
      </c>
      <c r="E123" s="337">
        <f t="shared" si="5"/>
        <v>8.2298599309006573</v>
      </c>
      <c r="F123" s="336">
        <v>34299.85</v>
      </c>
      <c r="G123" s="338">
        <v>45040.99</v>
      </c>
    </row>
    <row r="124" spans="1:8" x14ac:dyDescent="0.3">
      <c r="A124" s="292"/>
      <c r="B124" s="293"/>
      <c r="C124" s="230"/>
      <c r="D124" s="230"/>
      <c r="E124" s="229"/>
      <c r="F124" s="230"/>
      <c r="G124" s="230"/>
    </row>
    <row r="125" spans="1:8" s="270" customFormat="1" ht="40.5" customHeight="1" x14ac:dyDescent="0.3">
      <c r="A125" s="428" t="s">
        <v>1367</v>
      </c>
      <c r="B125" s="428"/>
      <c r="C125" s="428"/>
      <c r="D125" s="428"/>
      <c r="E125" s="428"/>
      <c r="F125" s="428"/>
      <c r="G125" s="428"/>
      <c r="H125" s="271"/>
    </row>
    <row r="126" spans="1:8" ht="12.75" customHeight="1" x14ac:dyDescent="0.3">
      <c r="A126" s="431" t="s">
        <v>1337</v>
      </c>
      <c r="B126" s="431"/>
      <c r="C126" s="431"/>
      <c r="D126" s="431"/>
      <c r="E126" s="431"/>
      <c r="F126" s="431"/>
      <c r="G126" s="431"/>
    </row>
    <row r="127" spans="1:8" ht="10.5" customHeight="1" x14ac:dyDescent="0.3">
      <c r="A127" s="272"/>
      <c r="B127" s="352"/>
      <c r="C127" s="272"/>
      <c r="D127" s="272"/>
      <c r="E127" s="272"/>
      <c r="F127" s="272"/>
      <c r="G127" s="272"/>
    </row>
    <row r="128" spans="1:8" ht="15" customHeight="1" x14ac:dyDescent="0.3">
      <c r="A128" s="432" t="s">
        <v>1038</v>
      </c>
      <c r="B128" s="432" t="s">
        <v>1037</v>
      </c>
      <c r="C128" s="433" t="s">
        <v>91</v>
      </c>
      <c r="D128" s="433" t="s">
        <v>90</v>
      </c>
      <c r="E128" s="433" t="s">
        <v>89</v>
      </c>
      <c r="F128" s="433" t="s">
        <v>1186</v>
      </c>
      <c r="G128" s="433"/>
    </row>
    <row r="129" spans="1:8" ht="50.15" customHeight="1" x14ac:dyDescent="0.3">
      <c r="A129" s="432"/>
      <c r="B129" s="432"/>
      <c r="C129" s="433"/>
      <c r="D129" s="433"/>
      <c r="E129" s="433"/>
      <c r="F129" s="273" t="s">
        <v>88</v>
      </c>
      <c r="G129" s="273" t="s">
        <v>87</v>
      </c>
    </row>
    <row r="130" spans="1:8" x14ac:dyDescent="0.3">
      <c r="A130" s="299"/>
      <c r="B130" s="306"/>
      <c r="C130" s="306"/>
      <c r="D130" s="301"/>
      <c r="E130" s="301"/>
      <c r="F130" s="301"/>
      <c r="G130" s="324"/>
    </row>
    <row r="131" spans="1:8" s="279" customFormat="1" x14ac:dyDescent="0.3">
      <c r="A131" s="284" t="s">
        <v>54</v>
      </c>
      <c r="B131" s="325" t="s">
        <v>1015</v>
      </c>
      <c r="C131" s="248">
        <v>17475.189999999999</v>
      </c>
      <c r="D131" s="248">
        <v>418.30020000000002</v>
      </c>
      <c r="E131" s="249">
        <f>IF(C131&lt;&gt;"",D131/C131*100,"")</f>
        <v>2.3936804120584672</v>
      </c>
      <c r="F131" s="248">
        <v>16787.099999999999</v>
      </c>
      <c r="G131" s="250">
        <v>18163.29</v>
      </c>
      <c r="H131" s="278"/>
    </row>
    <row r="132" spans="1:8" x14ac:dyDescent="0.3">
      <c r="A132" s="281"/>
      <c r="B132" s="329"/>
      <c r="C132" s="329"/>
      <c r="D132" s="287"/>
      <c r="E132" s="287"/>
      <c r="F132" s="287"/>
      <c r="G132" s="371"/>
      <c r="H132" s="278"/>
    </row>
    <row r="133" spans="1:8" s="279" customFormat="1" x14ac:dyDescent="0.3">
      <c r="A133" s="284" t="s">
        <v>1013</v>
      </c>
      <c r="B133" s="325" t="s">
        <v>1014</v>
      </c>
      <c r="C133" s="248">
        <v>18952.18</v>
      </c>
      <c r="D133" s="248">
        <v>457.67869999999999</v>
      </c>
      <c r="E133" s="249">
        <f>IF(C133&lt;&gt;"",D133/C133*100,"")</f>
        <v>2.4149132184265873</v>
      </c>
      <c r="F133" s="248">
        <v>18199.3</v>
      </c>
      <c r="G133" s="250">
        <v>19705.05</v>
      </c>
      <c r="H133" s="278"/>
    </row>
    <row r="134" spans="1:8" ht="12.75" customHeight="1" x14ac:dyDescent="0.3">
      <c r="A134" s="281" t="s">
        <v>22</v>
      </c>
      <c r="B134" s="296" t="s">
        <v>52</v>
      </c>
      <c r="C134" s="254">
        <v>18904.88</v>
      </c>
      <c r="D134" s="254">
        <v>468.12049999999999</v>
      </c>
      <c r="E134" s="255">
        <f>IF(C134&lt;&gt;"",D134/C134*100,"")</f>
        <v>2.4761886877885497</v>
      </c>
      <c r="F134" s="254">
        <v>18134.830000000002</v>
      </c>
      <c r="G134" s="256">
        <v>19674.93</v>
      </c>
      <c r="H134" s="278"/>
    </row>
    <row r="135" spans="1:8" ht="28" x14ac:dyDescent="0.3">
      <c r="A135" s="281" t="s">
        <v>1012</v>
      </c>
      <c r="B135" s="296" t="s">
        <v>1308</v>
      </c>
      <c r="C135" s="254">
        <v>21071.82</v>
      </c>
      <c r="D135" s="254">
        <v>932.16830000000004</v>
      </c>
      <c r="E135" s="255">
        <f>IF(C135&lt;&gt;"",D135/C135*100,"")</f>
        <v>4.4237673822194763</v>
      </c>
      <c r="F135" s="254">
        <v>19538.419999999998</v>
      </c>
      <c r="G135" s="256">
        <v>22605.22</v>
      </c>
      <c r="H135" s="278"/>
    </row>
    <row r="136" spans="1:8" x14ac:dyDescent="0.3">
      <c r="A136" s="281"/>
      <c r="B136" s="296"/>
      <c r="C136" s="296"/>
      <c r="D136" s="287"/>
      <c r="E136" s="287"/>
      <c r="F136" s="287"/>
      <c r="G136" s="371"/>
    </row>
    <row r="137" spans="1:8" s="279" customFormat="1" x14ac:dyDescent="0.3">
      <c r="A137" s="284" t="s">
        <v>1008</v>
      </c>
      <c r="B137" s="325" t="s">
        <v>1009</v>
      </c>
      <c r="C137" s="248">
        <v>22987.81</v>
      </c>
      <c r="D137" s="248">
        <v>2870.585</v>
      </c>
      <c r="E137" s="249">
        <f>IF(C137&lt;&gt;"",D137/C137*100,"")</f>
        <v>12.487422681847466</v>
      </c>
      <c r="F137" s="248">
        <v>18265.740000000002</v>
      </c>
      <c r="G137" s="250">
        <v>27709.87</v>
      </c>
      <c r="H137" s="278"/>
    </row>
    <row r="138" spans="1:8" s="279" customFormat="1" x14ac:dyDescent="0.3">
      <c r="A138" s="281" t="s">
        <v>1200</v>
      </c>
      <c r="B138" s="286" t="s">
        <v>1309</v>
      </c>
      <c r="C138" s="254">
        <v>18932.740000000002</v>
      </c>
      <c r="D138" s="254">
        <v>921.26319999999998</v>
      </c>
      <c r="E138" s="255">
        <f>IF(C138&lt;&gt;"",D138/C138*100,"")</f>
        <v>4.86597925075821</v>
      </c>
      <c r="F138" s="254">
        <v>17417.27</v>
      </c>
      <c r="G138" s="256">
        <v>20448.2</v>
      </c>
      <c r="H138" s="278"/>
    </row>
    <row r="139" spans="1:8" s="279" customFormat="1" ht="28" x14ac:dyDescent="0.3">
      <c r="A139" s="281" t="s">
        <v>1201</v>
      </c>
      <c r="B139" s="286" t="s">
        <v>1311</v>
      </c>
      <c r="C139" s="254">
        <v>20521.650000000001</v>
      </c>
      <c r="D139" s="254">
        <v>1190.489</v>
      </c>
      <c r="E139" s="255">
        <f>IF(C139&lt;&gt;"",D139/C139*100,"")</f>
        <v>5.8011368481579204</v>
      </c>
      <c r="F139" s="254">
        <v>18563.32</v>
      </c>
      <c r="G139" s="256">
        <v>22479.98</v>
      </c>
      <c r="H139" s="278"/>
    </row>
    <row r="140" spans="1:8" s="279" customFormat="1" x14ac:dyDescent="0.3">
      <c r="A140" s="281" t="s">
        <v>1202</v>
      </c>
      <c r="B140" s="286" t="s">
        <v>1312</v>
      </c>
      <c r="C140" s="254">
        <v>32323.8</v>
      </c>
      <c r="D140" s="254">
        <v>3798.663</v>
      </c>
      <c r="E140" s="255">
        <f>IF(C140&lt;&gt;"",D140/C140*100,"")</f>
        <v>11.751907263378687</v>
      </c>
      <c r="F140" s="254">
        <v>26075.06</v>
      </c>
      <c r="G140" s="256">
        <v>38572.53</v>
      </c>
      <c r="H140" s="278"/>
    </row>
    <row r="141" spans="1:8" s="279" customFormat="1" ht="28" x14ac:dyDescent="0.3">
      <c r="A141" s="281" t="s">
        <v>1203</v>
      </c>
      <c r="B141" s="286" t="s">
        <v>1315</v>
      </c>
      <c r="C141" s="254">
        <v>13672.79</v>
      </c>
      <c r="D141" s="254">
        <v>509.09989999999999</v>
      </c>
      <c r="E141" s="255">
        <f>IF(C141&lt;&gt;"",D141/C141*100,"")</f>
        <v>3.7234529309672713</v>
      </c>
      <c r="F141" s="254">
        <v>12835.33</v>
      </c>
      <c r="G141" s="256">
        <v>14510.25</v>
      </c>
      <c r="H141" s="278"/>
    </row>
    <row r="142" spans="1:8" ht="11.25" customHeight="1" x14ac:dyDescent="0.3">
      <c r="A142" s="281"/>
      <c r="B142" s="296"/>
      <c r="C142" s="296"/>
      <c r="D142" s="287"/>
      <c r="E142" s="287"/>
      <c r="F142" s="287"/>
      <c r="G142" s="371"/>
    </row>
    <row r="143" spans="1:8" s="279" customFormat="1" ht="41.25" customHeight="1" x14ac:dyDescent="0.3">
      <c r="A143" s="284" t="s">
        <v>1006</v>
      </c>
      <c r="B143" s="335" t="s">
        <v>1364</v>
      </c>
      <c r="C143" s="248">
        <v>15224</v>
      </c>
      <c r="D143" s="248">
        <v>271.90210000000002</v>
      </c>
      <c r="E143" s="249">
        <f>IF(C143&lt;&gt;"",D143/C143*100,"")</f>
        <v>1.7860095901208617</v>
      </c>
      <c r="F143" s="248">
        <v>14776.73</v>
      </c>
      <c r="G143" s="250">
        <v>15671.28</v>
      </c>
      <c r="H143" s="278"/>
    </row>
    <row r="144" spans="1:8" x14ac:dyDescent="0.3">
      <c r="A144" s="281" t="s">
        <v>1004</v>
      </c>
      <c r="B144" s="293" t="s">
        <v>1098</v>
      </c>
      <c r="C144" s="254">
        <v>16712.66</v>
      </c>
      <c r="D144" s="254">
        <v>466.75670000000002</v>
      </c>
      <c r="E144" s="255">
        <f>IF(C144&lt;&gt;"",D144/C144*100,"")</f>
        <v>2.7928330977833573</v>
      </c>
      <c r="F144" s="254">
        <v>15944.86</v>
      </c>
      <c r="G144" s="256">
        <v>17480.47</v>
      </c>
      <c r="H144" s="278"/>
    </row>
    <row r="145" spans="1:16378" x14ac:dyDescent="0.3">
      <c r="A145" s="281" t="s">
        <v>6</v>
      </c>
      <c r="B145" s="310" t="s">
        <v>1097</v>
      </c>
      <c r="C145" s="254">
        <v>15106.4</v>
      </c>
      <c r="D145" s="254">
        <v>289.91820000000001</v>
      </c>
      <c r="E145" s="255">
        <f>IF(C145&lt;&gt;"",D145/C145*100,"")</f>
        <v>1.9191746544510935</v>
      </c>
      <c r="F145" s="254">
        <v>14629.49</v>
      </c>
      <c r="G145" s="256">
        <v>15583.31</v>
      </c>
      <c r="H145" s="278"/>
    </row>
    <row r="146" spans="1:16378" s="287" customFormat="1" ht="5.5" customHeight="1" x14ac:dyDescent="0.3">
      <c r="A146" s="288"/>
      <c r="B146" s="289"/>
      <c r="C146" s="290"/>
      <c r="D146" s="291"/>
      <c r="E146" s="291"/>
      <c r="F146" s="291"/>
      <c r="G146" s="339"/>
      <c r="H146" s="292"/>
      <c r="I146" s="293"/>
      <c r="J146" s="294"/>
      <c r="P146" s="292"/>
      <c r="Q146" s="293"/>
      <c r="R146" s="294"/>
      <c r="X146" s="292"/>
      <c r="Y146" s="293"/>
      <c r="Z146" s="294"/>
      <c r="AF146" s="292"/>
      <c r="AG146" s="293"/>
      <c r="AH146" s="294"/>
      <c r="AN146" s="292"/>
      <c r="AO146" s="293"/>
      <c r="AP146" s="294"/>
      <c r="AV146" s="292"/>
      <c r="AW146" s="293"/>
      <c r="AX146" s="294"/>
      <c r="BD146" s="292"/>
      <c r="BE146" s="293"/>
      <c r="BF146" s="294"/>
      <c r="BL146" s="292"/>
      <c r="BM146" s="293"/>
      <c r="BN146" s="294"/>
      <c r="BT146" s="292"/>
      <c r="BU146" s="293"/>
      <c r="BV146" s="294"/>
      <c r="CB146" s="292"/>
      <c r="CC146" s="293"/>
      <c r="CD146" s="294"/>
      <c r="CJ146" s="292"/>
      <c r="CK146" s="293"/>
      <c r="CL146" s="294"/>
      <c r="CR146" s="292"/>
      <c r="CS146" s="293"/>
      <c r="CT146" s="294"/>
      <c r="CZ146" s="292"/>
      <c r="DA146" s="293"/>
      <c r="DB146" s="294"/>
      <c r="DH146" s="292"/>
      <c r="DI146" s="293"/>
      <c r="DJ146" s="294"/>
      <c r="DP146" s="292"/>
      <c r="DQ146" s="293"/>
      <c r="DR146" s="294"/>
      <c r="DX146" s="292"/>
      <c r="DY146" s="293"/>
      <c r="DZ146" s="294"/>
      <c r="EF146" s="292"/>
      <c r="EG146" s="293"/>
      <c r="EH146" s="294"/>
      <c r="EN146" s="292"/>
      <c r="EO146" s="293"/>
      <c r="EP146" s="294"/>
      <c r="EV146" s="292"/>
      <c r="EW146" s="293"/>
      <c r="EX146" s="294"/>
      <c r="FD146" s="292"/>
      <c r="FE146" s="293"/>
      <c r="FF146" s="294"/>
      <c r="FL146" s="292"/>
      <c r="FM146" s="293"/>
      <c r="FN146" s="294"/>
      <c r="FT146" s="292"/>
      <c r="FU146" s="293"/>
      <c r="FV146" s="294"/>
      <c r="GB146" s="292"/>
      <c r="GC146" s="293"/>
      <c r="GD146" s="294"/>
      <c r="GJ146" s="292"/>
      <c r="GK146" s="293"/>
      <c r="GL146" s="294"/>
      <c r="GR146" s="292"/>
      <c r="GS146" s="293"/>
      <c r="GT146" s="294"/>
      <c r="GZ146" s="292"/>
      <c r="HA146" s="293"/>
      <c r="HB146" s="294"/>
      <c r="HH146" s="292"/>
      <c r="HI146" s="293"/>
      <c r="HJ146" s="294"/>
      <c r="HP146" s="292"/>
      <c r="HQ146" s="293"/>
      <c r="HR146" s="294"/>
      <c r="HX146" s="292"/>
      <c r="HY146" s="293"/>
      <c r="HZ146" s="294"/>
      <c r="IF146" s="292"/>
      <c r="IG146" s="293"/>
      <c r="IH146" s="294"/>
      <c r="IN146" s="292"/>
      <c r="IO146" s="293"/>
      <c r="IP146" s="294"/>
      <c r="IV146" s="292"/>
      <c r="IW146" s="293"/>
      <c r="IX146" s="294"/>
      <c r="JD146" s="292"/>
      <c r="JE146" s="293"/>
      <c r="JF146" s="294"/>
      <c r="JL146" s="292"/>
      <c r="JM146" s="293"/>
      <c r="JN146" s="294"/>
      <c r="JT146" s="292"/>
      <c r="JU146" s="293"/>
      <c r="JV146" s="294"/>
      <c r="KB146" s="292"/>
      <c r="KC146" s="293"/>
      <c r="KD146" s="294"/>
      <c r="KJ146" s="292"/>
      <c r="KK146" s="293"/>
      <c r="KL146" s="294"/>
      <c r="KR146" s="292"/>
      <c r="KS146" s="293"/>
      <c r="KT146" s="294"/>
      <c r="KZ146" s="292"/>
      <c r="LA146" s="293"/>
      <c r="LB146" s="294"/>
      <c r="LH146" s="292"/>
      <c r="LI146" s="293"/>
      <c r="LJ146" s="294"/>
      <c r="LP146" s="292"/>
      <c r="LQ146" s="293"/>
      <c r="LR146" s="294"/>
      <c r="LX146" s="292"/>
      <c r="LY146" s="293"/>
      <c r="LZ146" s="294"/>
      <c r="MF146" s="292"/>
      <c r="MG146" s="293"/>
      <c r="MH146" s="294"/>
      <c r="MN146" s="292"/>
      <c r="MO146" s="293"/>
      <c r="MP146" s="294"/>
      <c r="MV146" s="292"/>
      <c r="MW146" s="293"/>
      <c r="MX146" s="294"/>
      <c r="ND146" s="292"/>
      <c r="NE146" s="293"/>
      <c r="NF146" s="294"/>
      <c r="NL146" s="292"/>
      <c r="NM146" s="293"/>
      <c r="NN146" s="294"/>
      <c r="NT146" s="292"/>
      <c r="NU146" s="293"/>
      <c r="NV146" s="294"/>
      <c r="OB146" s="292"/>
      <c r="OC146" s="293"/>
      <c r="OD146" s="294"/>
      <c r="OJ146" s="292"/>
      <c r="OK146" s="293"/>
      <c r="OL146" s="294"/>
      <c r="OR146" s="292"/>
      <c r="OS146" s="293"/>
      <c r="OT146" s="294"/>
      <c r="OZ146" s="292"/>
      <c r="PA146" s="293"/>
      <c r="PB146" s="294"/>
      <c r="PH146" s="292"/>
      <c r="PI146" s="293"/>
      <c r="PJ146" s="294"/>
      <c r="PP146" s="292"/>
      <c r="PQ146" s="293"/>
      <c r="PR146" s="294"/>
      <c r="PX146" s="292"/>
      <c r="PY146" s="293"/>
      <c r="PZ146" s="294"/>
      <c r="QF146" s="292"/>
      <c r="QG146" s="293"/>
      <c r="QH146" s="294"/>
      <c r="QN146" s="292"/>
      <c r="QO146" s="293"/>
      <c r="QP146" s="294"/>
      <c r="QV146" s="292"/>
      <c r="QW146" s="293"/>
      <c r="QX146" s="294"/>
      <c r="RD146" s="292"/>
      <c r="RE146" s="293"/>
      <c r="RF146" s="294"/>
      <c r="RL146" s="292"/>
      <c r="RM146" s="293"/>
      <c r="RN146" s="294"/>
      <c r="RT146" s="292"/>
      <c r="RU146" s="293"/>
      <c r="RV146" s="294"/>
      <c r="SB146" s="292"/>
      <c r="SC146" s="293"/>
      <c r="SD146" s="294"/>
      <c r="SJ146" s="292"/>
      <c r="SK146" s="293"/>
      <c r="SL146" s="294"/>
      <c r="SR146" s="292"/>
      <c r="SS146" s="293"/>
      <c r="ST146" s="294"/>
      <c r="SZ146" s="292"/>
      <c r="TA146" s="293"/>
      <c r="TB146" s="294"/>
      <c r="TH146" s="292"/>
      <c r="TI146" s="293"/>
      <c r="TJ146" s="294"/>
      <c r="TP146" s="292"/>
      <c r="TQ146" s="293"/>
      <c r="TR146" s="294"/>
      <c r="TX146" s="292"/>
      <c r="TY146" s="293"/>
      <c r="TZ146" s="294"/>
      <c r="UF146" s="292"/>
      <c r="UG146" s="293"/>
      <c r="UH146" s="294"/>
      <c r="UN146" s="292"/>
      <c r="UO146" s="293"/>
      <c r="UP146" s="294"/>
      <c r="UV146" s="292"/>
      <c r="UW146" s="293"/>
      <c r="UX146" s="294"/>
      <c r="VD146" s="292"/>
      <c r="VE146" s="293"/>
      <c r="VF146" s="294"/>
      <c r="VL146" s="292"/>
      <c r="VM146" s="293"/>
      <c r="VN146" s="294"/>
      <c r="VT146" s="292"/>
      <c r="VU146" s="293"/>
      <c r="VV146" s="294"/>
      <c r="WB146" s="292"/>
      <c r="WC146" s="293"/>
      <c r="WD146" s="294"/>
      <c r="WJ146" s="292"/>
      <c r="WK146" s="293"/>
      <c r="WL146" s="294"/>
      <c r="WR146" s="292"/>
      <c r="WS146" s="293"/>
      <c r="WT146" s="294"/>
      <c r="WZ146" s="292"/>
      <c r="XA146" s="293"/>
      <c r="XB146" s="294"/>
      <c r="XH146" s="292"/>
      <c r="XI146" s="293"/>
      <c r="XJ146" s="294"/>
      <c r="XP146" s="292"/>
      <c r="XQ146" s="293"/>
      <c r="XR146" s="294"/>
      <c r="XX146" s="292"/>
      <c r="XY146" s="293"/>
      <c r="XZ146" s="294"/>
      <c r="YF146" s="292"/>
      <c r="YG146" s="293"/>
      <c r="YH146" s="294"/>
      <c r="YN146" s="292"/>
      <c r="YO146" s="293"/>
      <c r="YP146" s="294"/>
      <c r="YV146" s="292"/>
      <c r="YW146" s="293"/>
      <c r="YX146" s="294"/>
      <c r="ZD146" s="292"/>
      <c r="ZE146" s="293"/>
      <c r="ZF146" s="294"/>
      <c r="ZL146" s="292"/>
      <c r="ZM146" s="293"/>
      <c r="ZN146" s="294"/>
      <c r="ZT146" s="292"/>
      <c r="ZU146" s="293"/>
      <c r="ZV146" s="294"/>
      <c r="AAB146" s="292"/>
      <c r="AAC146" s="293"/>
      <c r="AAD146" s="294"/>
      <c r="AAJ146" s="292"/>
      <c r="AAK146" s="293"/>
      <c r="AAL146" s="294"/>
      <c r="AAR146" s="292"/>
      <c r="AAS146" s="293"/>
      <c r="AAT146" s="294"/>
      <c r="AAZ146" s="292"/>
      <c r="ABA146" s="293"/>
      <c r="ABB146" s="294"/>
      <c r="ABH146" s="292"/>
      <c r="ABI146" s="293"/>
      <c r="ABJ146" s="294"/>
      <c r="ABP146" s="292"/>
      <c r="ABQ146" s="293"/>
      <c r="ABR146" s="294"/>
      <c r="ABX146" s="292"/>
      <c r="ABY146" s="293"/>
      <c r="ABZ146" s="294"/>
      <c r="ACF146" s="292"/>
      <c r="ACG146" s="293"/>
      <c r="ACH146" s="294"/>
      <c r="ACN146" s="292"/>
      <c r="ACO146" s="293"/>
      <c r="ACP146" s="294"/>
      <c r="ACV146" s="292"/>
      <c r="ACW146" s="293"/>
      <c r="ACX146" s="294"/>
      <c r="ADD146" s="292"/>
      <c r="ADE146" s="293"/>
      <c r="ADF146" s="294"/>
      <c r="ADL146" s="292"/>
      <c r="ADM146" s="293"/>
      <c r="ADN146" s="294"/>
      <c r="ADT146" s="292"/>
      <c r="ADU146" s="293"/>
      <c r="ADV146" s="294"/>
      <c r="AEB146" s="292"/>
      <c r="AEC146" s="293"/>
      <c r="AED146" s="294"/>
      <c r="AEJ146" s="292"/>
      <c r="AEK146" s="293"/>
      <c r="AEL146" s="294"/>
      <c r="AER146" s="292"/>
      <c r="AES146" s="293"/>
      <c r="AET146" s="294"/>
      <c r="AEZ146" s="292"/>
      <c r="AFA146" s="293"/>
      <c r="AFB146" s="294"/>
      <c r="AFH146" s="292"/>
      <c r="AFI146" s="293"/>
      <c r="AFJ146" s="294"/>
      <c r="AFP146" s="292"/>
      <c r="AFQ146" s="293"/>
      <c r="AFR146" s="294"/>
      <c r="AFX146" s="292"/>
      <c r="AFY146" s="293"/>
      <c r="AFZ146" s="294"/>
      <c r="AGF146" s="292"/>
      <c r="AGG146" s="293"/>
      <c r="AGH146" s="294"/>
      <c r="AGN146" s="292"/>
      <c r="AGO146" s="293"/>
      <c r="AGP146" s="294"/>
      <c r="AGV146" s="292"/>
      <c r="AGW146" s="293"/>
      <c r="AGX146" s="294"/>
      <c r="AHD146" s="292"/>
      <c r="AHE146" s="293"/>
      <c r="AHF146" s="294"/>
      <c r="AHL146" s="292"/>
      <c r="AHM146" s="293"/>
      <c r="AHN146" s="294"/>
      <c r="AHT146" s="292"/>
      <c r="AHU146" s="293"/>
      <c r="AHV146" s="294"/>
      <c r="AIB146" s="292"/>
      <c r="AIC146" s="293"/>
      <c r="AID146" s="294"/>
      <c r="AIJ146" s="292"/>
      <c r="AIK146" s="293"/>
      <c r="AIL146" s="294"/>
      <c r="AIR146" s="292"/>
      <c r="AIS146" s="293"/>
      <c r="AIT146" s="294"/>
      <c r="AIZ146" s="292"/>
      <c r="AJA146" s="293"/>
      <c r="AJB146" s="294"/>
      <c r="AJH146" s="292"/>
      <c r="AJI146" s="293"/>
      <c r="AJJ146" s="294"/>
      <c r="AJP146" s="292"/>
      <c r="AJQ146" s="293"/>
      <c r="AJR146" s="294"/>
      <c r="AJX146" s="292"/>
      <c r="AJY146" s="293"/>
      <c r="AJZ146" s="294"/>
      <c r="AKF146" s="292"/>
      <c r="AKG146" s="293"/>
      <c r="AKH146" s="294"/>
      <c r="AKN146" s="292"/>
      <c r="AKO146" s="293"/>
      <c r="AKP146" s="294"/>
      <c r="AKV146" s="292"/>
      <c r="AKW146" s="293"/>
      <c r="AKX146" s="294"/>
      <c r="ALD146" s="292"/>
      <c r="ALE146" s="293"/>
      <c r="ALF146" s="294"/>
      <c r="ALL146" s="292"/>
      <c r="ALM146" s="293"/>
      <c r="ALN146" s="294"/>
      <c r="ALT146" s="292"/>
      <c r="ALU146" s="293"/>
      <c r="ALV146" s="294"/>
      <c r="AMB146" s="292"/>
      <c r="AMC146" s="293"/>
      <c r="AMD146" s="294"/>
      <c r="AMJ146" s="292"/>
      <c r="AMK146" s="293"/>
      <c r="AML146" s="294"/>
      <c r="AMR146" s="292"/>
      <c r="AMS146" s="293"/>
      <c r="AMT146" s="294"/>
      <c r="AMZ146" s="292"/>
      <c r="ANA146" s="293"/>
      <c r="ANB146" s="294"/>
      <c r="ANH146" s="292"/>
      <c r="ANI146" s="293"/>
      <c r="ANJ146" s="294"/>
      <c r="ANP146" s="292"/>
      <c r="ANQ146" s="293"/>
      <c r="ANR146" s="294"/>
      <c r="ANX146" s="292"/>
      <c r="ANY146" s="293"/>
      <c r="ANZ146" s="294"/>
      <c r="AOF146" s="292"/>
      <c r="AOG146" s="293"/>
      <c r="AOH146" s="294"/>
      <c r="AON146" s="292"/>
      <c r="AOO146" s="293"/>
      <c r="AOP146" s="294"/>
      <c r="AOV146" s="292"/>
      <c r="AOW146" s="293"/>
      <c r="AOX146" s="294"/>
      <c r="APD146" s="292"/>
      <c r="APE146" s="293"/>
      <c r="APF146" s="294"/>
      <c r="APL146" s="292"/>
      <c r="APM146" s="293"/>
      <c r="APN146" s="294"/>
      <c r="APT146" s="292"/>
      <c r="APU146" s="293"/>
      <c r="APV146" s="294"/>
      <c r="AQB146" s="292"/>
      <c r="AQC146" s="293"/>
      <c r="AQD146" s="294"/>
      <c r="AQJ146" s="292"/>
      <c r="AQK146" s="293"/>
      <c r="AQL146" s="294"/>
      <c r="AQR146" s="292"/>
      <c r="AQS146" s="293"/>
      <c r="AQT146" s="294"/>
      <c r="AQZ146" s="292"/>
      <c r="ARA146" s="293"/>
      <c r="ARB146" s="294"/>
      <c r="ARH146" s="292"/>
      <c r="ARI146" s="293"/>
      <c r="ARJ146" s="294"/>
      <c r="ARP146" s="292"/>
      <c r="ARQ146" s="293"/>
      <c r="ARR146" s="294"/>
      <c r="ARX146" s="292"/>
      <c r="ARY146" s="293"/>
      <c r="ARZ146" s="294"/>
      <c r="ASF146" s="292"/>
      <c r="ASG146" s="293"/>
      <c r="ASH146" s="294"/>
      <c r="ASN146" s="292"/>
      <c r="ASO146" s="293"/>
      <c r="ASP146" s="294"/>
      <c r="ASV146" s="292"/>
      <c r="ASW146" s="293"/>
      <c r="ASX146" s="294"/>
      <c r="ATD146" s="292"/>
      <c r="ATE146" s="293"/>
      <c r="ATF146" s="294"/>
      <c r="ATL146" s="292"/>
      <c r="ATM146" s="293"/>
      <c r="ATN146" s="294"/>
      <c r="ATT146" s="292"/>
      <c r="ATU146" s="293"/>
      <c r="ATV146" s="294"/>
      <c r="AUB146" s="292"/>
      <c r="AUC146" s="293"/>
      <c r="AUD146" s="294"/>
      <c r="AUJ146" s="292"/>
      <c r="AUK146" s="293"/>
      <c r="AUL146" s="294"/>
      <c r="AUR146" s="292"/>
      <c r="AUS146" s="293"/>
      <c r="AUT146" s="294"/>
      <c r="AUZ146" s="292"/>
      <c r="AVA146" s="293"/>
      <c r="AVB146" s="294"/>
      <c r="AVH146" s="292"/>
      <c r="AVI146" s="293"/>
      <c r="AVJ146" s="294"/>
      <c r="AVP146" s="292"/>
      <c r="AVQ146" s="293"/>
      <c r="AVR146" s="294"/>
      <c r="AVX146" s="292"/>
      <c r="AVY146" s="293"/>
      <c r="AVZ146" s="294"/>
      <c r="AWF146" s="292"/>
      <c r="AWG146" s="293"/>
      <c r="AWH146" s="294"/>
      <c r="AWN146" s="292"/>
      <c r="AWO146" s="293"/>
      <c r="AWP146" s="294"/>
      <c r="AWV146" s="292"/>
      <c r="AWW146" s="293"/>
      <c r="AWX146" s="294"/>
      <c r="AXD146" s="292"/>
      <c r="AXE146" s="293"/>
      <c r="AXF146" s="294"/>
      <c r="AXL146" s="292"/>
      <c r="AXM146" s="293"/>
      <c r="AXN146" s="294"/>
      <c r="AXT146" s="292"/>
      <c r="AXU146" s="293"/>
      <c r="AXV146" s="294"/>
      <c r="AYB146" s="292"/>
      <c r="AYC146" s="293"/>
      <c r="AYD146" s="294"/>
      <c r="AYJ146" s="292"/>
      <c r="AYK146" s="293"/>
      <c r="AYL146" s="294"/>
      <c r="AYR146" s="292"/>
      <c r="AYS146" s="293"/>
      <c r="AYT146" s="294"/>
      <c r="AYZ146" s="292"/>
      <c r="AZA146" s="293"/>
      <c r="AZB146" s="294"/>
      <c r="AZH146" s="292"/>
      <c r="AZI146" s="293"/>
      <c r="AZJ146" s="294"/>
      <c r="AZP146" s="292"/>
      <c r="AZQ146" s="293"/>
      <c r="AZR146" s="294"/>
      <c r="AZX146" s="292"/>
      <c r="AZY146" s="293"/>
      <c r="AZZ146" s="294"/>
      <c r="BAF146" s="292"/>
      <c r="BAG146" s="293"/>
      <c r="BAH146" s="294"/>
      <c r="BAN146" s="292"/>
      <c r="BAO146" s="293"/>
      <c r="BAP146" s="294"/>
      <c r="BAV146" s="292"/>
      <c r="BAW146" s="293"/>
      <c r="BAX146" s="294"/>
      <c r="BBD146" s="292"/>
      <c r="BBE146" s="293"/>
      <c r="BBF146" s="294"/>
      <c r="BBL146" s="292"/>
      <c r="BBM146" s="293"/>
      <c r="BBN146" s="294"/>
      <c r="BBT146" s="292"/>
      <c r="BBU146" s="293"/>
      <c r="BBV146" s="294"/>
      <c r="BCB146" s="292"/>
      <c r="BCC146" s="293"/>
      <c r="BCD146" s="294"/>
      <c r="BCJ146" s="292"/>
      <c r="BCK146" s="293"/>
      <c r="BCL146" s="294"/>
      <c r="BCR146" s="292"/>
      <c r="BCS146" s="293"/>
      <c r="BCT146" s="294"/>
      <c r="BCZ146" s="292"/>
      <c r="BDA146" s="293"/>
      <c r="BDB146" s="294"/>
      <c r="BDH146" s="292"/>
      <c r="BDI146" s="293"/>
      <c r="BDJ146" s="294"/>
      <c r="BDP146" s="292"/>
      <c r="BDQ146" s="293"/>
      <c r="BDR146" s="294"/>
      <c r="BDX146" s="292"/>
      <c r="BDY146" s="293"/>
      <c r="BDZ146" s="294"/>
      <c r="BEF146" s="292"/>
      <c r="BEG146" s="293"/>
      <c r="BEH146" s="294"/>
      <c r="BEN146" s="292"/>
      <c r="BEO146" s="293"/>
      <c r="BEP146" s="294"/>
      <c r="BEV146" s="292"/>
      <c r="BEW146" s="293"/>
      <c r="BEX146" s="294"/>
      <c r="BFD146" s="292"/>
      <c r="BFE146" s="293"/>
      <c r="BFF146" s="294"/>
      <c r="BFL146" s="292"/>
      <c r="BFM146" s="293"/>
      <c r="BFN146" s="294"/>
      <c r="BFT146" s="292"/>
      <c r="BFU146" s="293"/>
      <c r="BFV146" s="294"/>
      <c r="BGB146" s="292"/>
      <c r="BGC146" s="293"/>
      <c r="BGD146" s="294"/>
      <c r="BGJ146" s="292"/>
      <c r="BGK146" s="293"/>
      <c r="BGL146" s="294"/>
      <c r="BGR146" s="292"/>
      <c r="BGS146" s="293"/>
      <c r="BGT146" s="294"/>
      <c r="BGZ146" s="292"/>
      <c r="BHA146" s="293"/>
      <c r="BHB146" s="294"/>
      <c r="BHH146" s="292"/>
      <c r="BHI146" s="293"/>
      <c r="BHJ146" s="294"/>
      <c r="BHP146" s="292"/>
      <c r="BHQ146" s="293"/>
      <c r="BHR146" s="294"/>
      <c r="BHX146" s="292"/>
      <c r="BHY146" s="293"/>
      <c r="BHZ146" s="294"/>
      <c r="BIF146" s="292"/>
      <c r="BIG146" s="293"/>
      <c r="BIH146" s="294"/>
      <c r="BIN146" s="292"/>
      <c r="BIO146" s="293"/>
      <c r="BIP146" s="294"/>
      <c r="BIV146" s="292"/>
      <c r="BIW146" s="293"/>
      <c r="BIX146" s="294"/>
      <c r="BJD146" s="292"/>
      <c r="BJE146" s="293"/>
      <c r="BJF146" s="294"/>
      <c r="BJL146" s="292"/>
      <c r="BJM146" s="293"/>
      <c r="BJN146" s="294"/>
      <c r="BJT146" s="292"/>
      <c r="BJU146" s="293"/>
      <c r="BJV146" s="294"/>
      <c r="BKB146" s="292"/>
      <c r="BKC146" s="293"/>
      <c r="BKD146" s="294"/>
      <c r="BKJ146" s="292"/>
      <c r="BKK146" s="293"/>
      <c r="BKL146" s="294"/>
      <c r="BKR146" s="292"/>
      <c r="BKS146" s="293"/>
      <c r="BKT146" s="294"/>
      <c r="BKZ146" s="292"/>
      <c r="BLA146" s="293"/>
      <c r="BLB146" s="294"/>
      <c r="BLH146" s="292"/>
      <c r="BLI146" s="293"/>
      <c r="BLJ146" s="294"/>
      <c r="BLP146" s="292"/>
      <c r="BLQ146" s="293"/>
      <c r="BLR146" s="294"/>
      <c r="BLX146" s="292"/>
      <c r="BLY146" s="293"/>
      <c r="BLZ146" s="294"/>
      <c r="BMF146" s="292"/>
      <c r="BMG146" s="293"/>
      <c r="BMH146" s="294"/>
      <c r="BMN146" s="292"/>
      <c r="BMO146" s="293"/>
      <c r="BMP146" s="294"/>
      <c r="BMV146" s="292"/>
      <c r="BMW146" s="293"/>
      <c r="BMX146" s="294"/>
      <c r="BND146" s="292"/>
      <c r="BNE146" s="293"/>
      <c r="BNF146" s="294"/>
      <c r="BNL146" s="292"/>
      <c r="BNM146" s="293"/>
      <c r="BNN146" s="294"/>
      <c r="BNT146" s="292"/>
      <c r="BNU146" s="293"/>
      <c r="BNV146" s="294"/>
      <c r="BOB146" s="292"/>
      <c r="BOC146" s="293"/>
      <c r="BOD146" s="294"/>
      <c r="BOJ146" s="292"/>
      <c r="BOK146" s="293"/>
      <c r="BOL146" s="294"/>
      <c r="BOR146" s="292"/>
      <c r="BOS146" s="293"/>
      <c r="BOT146" s="294"/>
      <c r="BOZ146" s="292"/>
      <c r="BPA146" s="293"/>
      <c r="BPB146" s="294"/>
      <c r="BPH146" s="292"/>
      <c r="BPI146" s="293"/>
      <c r="BPJ146" s="294"/>
      <c r="BPP146" s="292"/>
      <c r="BPQ146" s="293"/>
      <c r="BPR146" s="294"/>
      <c r="BPX146" s="292"/>
      <c r="BPY146" s="293"/>
      <c r="BPZ146" s="294"/>
      <c r="BQF146" s="292"/>
      <c r="BQG146" s="293"/>
      <c r="BQH146" s="294"/>
      <c r="BQN146" s="292"/>
      <c r="BQO146" s="293"/>
      <c r="BQP146" s="294"/>
      <c r="BQV146" s="292"/>
      <c r="BQW146" s="293"/>
      <c r="BQX146" s="294"/>
      <c r="BRD146" s="292"/>
      <c r="BRE146" s="293"/>
      <c r="BRF146" s="294"/>
      <c r="BRL146" s="292"/>
      <c r="BRM146" s="293"/>
      <c r="BRN146" s="294"/>
      <c r="BRT146" s="292"/>
      <c r="BRU146" s="293"/>
      <c r="BRV146" s="294"/>
      <c r="BSB146" s="292"/>
      <c r="BSC146" s="293"/>
      <c r="BSD146" s="294"/>
      <c r="BSJ146" s="292"/>
      <c r="BSK146" s="293"/>
      <c r="BSL146" s="294"/>
      <c r="BSR146" s="292"/>
      <c r="BSS146" s="293"/>
      <c r="BST146" s="294"/>
      <c r="BSZ146" s="292"/>
      <c r="BTA146" s="293"/>
      <c r="BTB146" s="294"/>
      <c r="BTH146" s="292"/>
      <c r="BTI146" s="293"/>
      <c r="BTJ146" s="294"/>
      <c r="BTP146" s="292"/>
      <c r="BTQ146" s="293"/>
      <c r="BTR146" s="294"/>
      <c r="BTX146" s="292"/>
      <c r="BTY146" s="293"/>
      <c r="BTZ146" s="294"/>
      <c r="BUF146" s="292"/>
      <c r="BUG146" s="293"/>
      <c r="BUH146" s="294"/>
      <c r="BUN146" s="292"/>
      <c r="BUO146" s="293"/>
      <c r="BUP146" s="294"/>
      <c r="BUV146" s="292"/>
      <c r="BUW146" s="293"/>
      <c r="BUX146" s="294"/>
      <c r="BVD146" s="292"/>
      <c r="BVE146" s="293"/>
      <c r="BVF146" s="294"/>
      <c r="BVL146" s="292"/>
      <c r="BVM146" s="293"/>
      <c r="BVN146" s="294"/>
      <c r="BVT146" s="292"/>
      <c r="BVU146" s="293"/>
      <c r="BVV146" s="294"/>
      <c r="BWB146" s="292"/>
      <c r="BWC146" s="293"/>
      <c r="BWD146" s="294"/>
      <c r="BWJ146" s="292"/>
      <c r="BWK146" s="293"/>
      <c r="BWL146" s="294"/>
      <c r="BWR146" s="292"/>
      <c r="BWS146" s="293"/>
      <c r="BWT146" s="294"/>
      <c r="BWZ146" s="292"/>
      <c r="BXA146" s="293"/>
      <c r="BXB146" s="294"/>
      <c r="BXH146" s="292"/>
      <c r="BXI146" s="293"/>
      <c r="BXJ146" s="294"/>
      <c r="BXP146" s="292"/>
      <c r="BXQ146" s="293"/>
      <c r="BXR146" s="294"/>
      <c r="BXX146" s="292"/>
      <c r="BXY146" s="293"/>
      <c r="BXZ146" s="294"/>
      <c r="BYF146" s="292"/>
      <c r="BYG146" s="293"/>
      <c r="BYH146" s="294"/>
      <c r="BYN146" s="292"/>
      <c r="BYO146" s="293"/>
      <c r="BYP146" s="294"/>
      <c r="BYV146" s="292"/>
      <c r="BYW146" s="293"/>
      <c r="BYX146" s="294"/>
      <c r="BZD146" s="292"/>
      <c r="BZE146" s="293"/>
      <c r="BZF146" s="294"/>
      <c r="BZL146" s="292"/>
      <c r="BZM146" s="293"/>
      <c r="BZN146" s="294"/>
      <c r="BZT146" s="292"/>
      <c r="BZU146" s="293"/>
      <c r="BZV146" s="294"/>
      <c r="CAB146" s="292"/>
      <c r="CAC146" s="293"/>
      <c r="CAD146" s="294"/>
      <c r="CAJ146" s="292"/>
      <c r="CAK146" s="293"/>
      <c r="CAL146" s="294"/>
      <c r="CAR146" s="292"/>
      <c r="CAS146" s="293"/>
      <c r="CAT146" s="294"/>
      <c r="CAZ146" s="292"/>
      <c r="CBA146" s="293"/>
      <c r="CBB146" s="294"/>
      <c r="CBH146" s="292"/>
      <c r="CBI146" s="293"/>
      <c r="CBJ146" s="294"/>
      <c r="CBP146" s="292"/>
      <c r="CBQ146" s="293"/>
      <c r="CBR146" s="294"/>
      <c r="CBX146" s="292"/>
      <c r="CBY146" s="293"/>
      <c r="CBZ146" s="294"/>
      <c r="CCF146" s="292"/>
      <c r="CCG146" s="293"/>
      <c r="CCH146" s="294"/>
      <c r="CCN146" s="292"/>
      <c r="CCO146" s="293"/>
      <c r="CCP146" s="294"/>
      <c r="CCV146" s="292"/>
      <c r="CCW146" s="293"/>
      <c r="CCX146" s="294"/>
      <c r="CDD146" s="292"/>
      <c r="CDE146" s="293"/>
      <c r="CDF146" s="294"/>
      <c r="CDL146" s="292"/>
      <c r="CDM146" s="293"/>
      <c r="CDN146" s="294"/>
      <c r="CDT146" s="292"/>
      <c r="CDU146" s="293"/>
      <c r="CDV146" s="294"/>
      <c r="CEB146" s="292"/>
      <c r="CEC146" s="293"/>
      <c r="CED146" s="294"/>
      <c r="CEJ146" s="292"/>
      <c r="CEK146" s="293"/>
      <c r="CEL146" s="294"/>
      <c r="CER146" s="292"/>
      <c r="CES146" s="293"/>
      <c r="CET146" s="294"/>
      <c r="CEZ146" s="292"/>
      <c r="CFA146" s="293"/>
      <c r="CFB146" s="294"/>
      <c r="CFH146" s="292"/>
      <c r="CFI146" s="293"/>
      <c r="CFJ146" s="294"/>
      <c r="CFP146" s="292"/>
      <c r="CFQ146" s="293"/>
      <c r="CFR146" s="294"/>
      <c r="CFX146" s="292"/>
      <c r="CFY146" s="293"/>
      <c r="CFZ146" s="294"/>
      <c r="CGF146" s="292"/>
      <c r="CGG146" s="293"/>
      <c r="CGH146" s="294"/>
      <c r="CGN146" s="292"/>
      <c r="CGO146" s="293"/>
      <c r="CGP146" s="294"/>
      <c r="CGV146" s="292"/>
      <c r="CGW146" s="293"/>
      <c r="CGX146" s="294"/>
      <c r="CHD146" s="292"/>
      <c r="CHE146" s="293"/>
      <c r="CHF146" s="294"/>
      <c r="CHL146" s="292"/>
      <c r="CHM146" s="293"/>
      <c r="CHN146" s="294"/>
      <c r="CHT146" s="292"/>
      <c r="CHU146" s="293"/>
      <c r="CHV146" s="294"/>
      <c r="CIB146" s="292"/>
      <c r="CIC146" s="293"/>
      <c r="CID146" s="294"/>
      <c r="CIJ146" s="292"/>
      <c r="CIK146" s="293"/>
      <c r="CIL146" s="294"/>
      <c r="CIR146" s="292"/>
      <c r="CIS146" s="293"/>
      <c r="CIT146" s="294"/>
      <c r="CIZ146" s="292"/>
      <c r="CJA146" s="293"/>
      <c r="CJB146" s="294"/>
      <c r="CJH146" s="292"/>
      <c r="CJI146" s="293"/>
      <c r="CJJ146" s="294"/>
      <c r="CJP146" s="292"/>
      <c r="CJQ146" s="293"/>
      <c r="CJR146" s="294"/>
      <c r="CJX146" s="292"/>
      <c r="CJY146" s="293"/>
      <c r="CJZ146" s="294"/>
      <c r="CKF146" s="292"/>
      <c r="CKG146" s="293"/>
      <c r="CKH146" s="294"/>
      <c r="CKN146" s="292"/>
      <c r="CKO146" s="293"/>
      <c r="CKP146" s="294"/>
      <c r="CKV146" s="292"/>
      <c r="CKW146" s="293"/>
      <c r="CKX146" s="294"/>
      <c r="CLD146" s="292"/>
      <c r="CLE146" s="293"/>
      <c r="CLF146" s="294"/>
      <c r="CLL146" s="292"/>
      <c r="CLM146" s="293"/>
      <c r="CLN146" s="294"/>
      <c r="CLT146" s="292"/>
      <c r="CLU146" s="293"/>
      <c r="CLV146" s="294"/>
      <c r="CMB146" s="292"/>
      <c r="CMC146" s="293"/>
      <c r="CMD146" s="294"/>
      <c r="CMJ146" s="292"/>
      <c r="CMK146" s="293"/>
      <c r="CML146" s="294"/>
      <c r="CMR146" s="292"/>
      <c r="CMS146" s="293"/>
      <c r="CMT146" s="294"/>
      <c r="CMZ146" s="292"/>
      <c r="CNA146" s="293"/>
      <c r="CNB146" s="294"/>
      <c r="CNH146" s="292"/>
      <c r="CNI146" s="293"/>
      <c r="CNJ146" s="294"/>
      <c r="CNP146" s="292"/>
      <c r="CNQ146" s="293"/>
      <c r="CNR146" s="294"/>
      <c r="CNX146" s="292"/>
      <c r="CNY146" s="293"/>
      <c r="CNZ146" s="294"/>
      <c r="COF146" s="292"/>
      <c r="COG146" s="293"/>
      <c r="COH146" s="294"/>
      <c r="CON146" s="292"/>
      <c r="COO146" s="293"/>
      <c r="COP146" s="294"/>
      <c r="COV146" s="292"/>
      <c r="COW146" s="293"/>
      <c r="COX146" s="294"/>
      <c r="CPD146" s="292"/>
      <c r="CPE146" s="293"/>
      <c r="CPF146" s="294"/>
      <c r="CPL146" s="292"/>
      <c r="CPM146" s="293"/>
      <c r="CPN146" s="294"/>
      <c r="CPT146" s="292"/>
      <c r="CPU146" s="293"/>
      <c r="CPV146" s="294"/>
      <c r="CQB146" s="292"/>
      <c r="CQC146" s="293"/>
      <c r="CQD146" s="294"/>
      <c r="CQJ146" s="292"/>
      <c r="CQK146" s="293"/>
      <c r="CQL146" s="294"/>
      <c r="CQR146" s="292"/>
      <c r="CQS146" s="293"/>
      <c r="CQT146" s="294"/>
      <c r="CQZ146" s="292"/>
      <c r="CRA146" s="293"/>
      <c r="CRB146" s="294"/>
      <c r="CRH146" s="292"/>
      <c r="CRI146" s="293"/>
      <c r="CRJ146" s="294"/>
      <c r="CRP146" s="292"/>
      <c r="CRQ146" s="293"/>
      <c r="CRR146" s="294"/>
      <c r="CRX146" s="292"/>
      <c r="CRY146" s="293"/>
      <c r="CRZ146" s="294"/>
      <c r="CSF146" s="292"/>
      <c r="CSG146" s="293"/>
      <c r="CSH146" s="294"/>
      <c r="CSN146" s="292"/>
      <c r="CSO146" s="293"/>
      <c r="CSP146" s="294"/>
      <c r="CSV146" s="292"/>
      <c r="CSW146" s="293"/>
      <c r="CSX146" s="294"/>
      <c r="CTD146" s="292"/>
      <c r="CTE146" s="293"/>
      <c r="CTF146" s="294"/>
      <c r="CTL146" s="292"/>
      <c r="CTM146" s="293"/>
      <c r="CTN146" s="294"/>
      <c r="CTT146" s="292"/>
      <c r="CTU146" s="293"/>
      <c r="CTV146" s="294"/>
      <c r="CUB146" s="292"/>
      <c r="CUC146" s="293"/>
      <c r="CUD146" s="294"/>
      <c r="CUJ146" s="292"/>
      <c r="CUK146" s="293"/>
      <c r="CUL146" s="294"/>
      <c r="CUR146" s="292"/>
      <c r="CUS146" s="293"/>
      <c r="CUT146" s="294"/>
      <c r="CUZ146" s="292"/>
      <c r="CVA146" s="293"/>
      <c r="CVB146" s="294"/>
      <c r="CVH146" s="292"/>
      <c r="CVI146" s="293"/>
      <c r="CVJ146" s="294"/>
      <c r="CVP146" s="292"/>
      <c r="CVQ146" s="293"/>
      <c r="CVR146" s="294"/>
      <c r="CVX146" s="292"/>
      <c r="CVY146" s="293"/>
      <c r="CVZ146" s="294"/>
      <c r="CWF146" s="292"/>
      <c r="CWG146" s="293"/>
      <c r="CWH146" s="294"/>
      <c r="CWN146" s="292"/>
      <c r="CWO146" s="293"/>
      <c r="CWP146" s="294"/>
      <c r="CWV146" s="292"/>
      <c r="CWW146" s="293"/>
      <c r="CWX146" s="294"/>
      <c r="CXD146" s="292"/>
      <c r="CXE146" s="293"/>
      <c r="CXF146" s="294"/>
      <c r="CXL146" s="292"/>
      <c r="CXM146" s="293"/>
      <c r="CXN146" s="294"/>
      <c r="CXT146" s="292"/>
      <c r="CXU146" s="293"/>
      <c r="CXV146" s="294"/>
      <c r="CYB146" s="292"/>
      <c r="CYC146" s="293"/>
      <c r="CYD146" s="294"/>
      <c r="CYJ146" s="292"/>
      <c r="CYK146" s="293"/>
      <c r="CYL146" s="294"/>
      <c r="CYR146" s="292"/>
      <c r="CYS146" s="293"/>
      <c r="CYT146" s="294"/>
      <c r="CYZ146" s="292"/>
      <c r="CZA146" s="293"/>
      <c r="CZB146" s="294"/>
      <c r="CZH146" s="292"/>
      <c r="CZI146" s="293"/>
      <c r="CZJ146" s="294"/>
      <c r="CZP146" s="292"/>
      <c r="CZQ146" s="293"/>
      <c r="CZR146" s="294"/>
      <c r="CZX146" s="292"/>
      <c r="CZY146" s="293"/>
      <c r="CZZ146" s="294"/>
      <c r="DAF146" s="292"/>
      <c r="DAG146" s="293"/>
      <c r="DAH146" s="294"/>
      <c r="DAN146" s="292"/>
      <c r="DAO146" s="293"/>
      <c r="DAP146" s="294"/>
      <c r="DAV146" s="292"/>
      <c r="DAW146" s="293"/>
      <c r="DAX146" s="294"/>
      <c r="DBD146" s="292"/>
      <c r="DBE146" s="293"/>
      <c r="DBF146" s="294"/>
      <c r="DBL146" s="292"/>
      <c r="DBM146" s="293"/>
      <c r="DBN146" s="294"/>
      <c r="DBT146" s="292"/>
      <c r="DBU146" s="293"/>
      <c r="DBV146" s="294"/>
      <c r="DCB146" s="292"/>
      <c r="DCC146" s="293"/>
      <c r="DCD146" s="294"/>
      <c r="DCJ146" s="292"/>
      <c r="DCK146" s="293"/>
      <c r="DCL146" s="294"/>
      <c r="DCR146" s="292"/>
      <c r="DCS146" s="293"/>
      <c r="DCT146" s="294"/>
      <c r="DCZ146" s="292"/>
      <c r="DDA146" s="293"/>
      <c r="DDB146" s="294"/>
      <c r="DDH146" s="292"/>
      <c r="DDI146" s="293"/>
      <c r="DDJ146" s="294"/>
      <c r="DDP146" s="292"/>
      <c r="DDQ146" s="293"/>
      <c r="DDR146" s="294"/>
      <c r="DDX146" s="292"/>
      <c r="DDY146" s="293"/>
      <c r="DDZ146" s="294"/>
      <c r="DEF146" s="292"/>
      <c r="DEG146" s="293"/>
      <c r="DEH146" s="294"/>
      <c r="DEN146" s="292"/>
      <c r="DEO146" s="293"/>
      <c r="DEP146" s="294"/>
      <c r="DEV146" s="292"/>
      <c r="DEW146" s="293"/>
      <c r="DEX146" s="294"/>
      <c r="DFD146" s="292"/>
      <c r="DFE146" s="293"/>
      <c r="DFF146" s="294"/>
      <c r="DFL146" s="292"/>
      <c r="DFM146" s="293"/>
      <c r="DFN146" s="294"/>
      <c r="DFT146" s="292"/>
      <c r="DFU146" s="293"/>
      <c r="DFV146" s="294"/>
      <c r="DGB146" s="292"/>
      <c r="DGC146" s="293"/>
      <c r="DGD146" s="294"/>
      <c r="DGJ146" s="292"/>
      <c r="DGK146" s="293"/>
      <c r="DGL146" s="294"/>
      <c r="DGR146" s="292"/>
      <c r="DGS146" s="293"/>
      <c r="DGT146" s="294"/>
      <c r="DGZ146" s="292"/>
      <c r="DHA146" s="293"/>
      <c r="DHB146" s="294"/>
      <c r="DHH146" s="292"/>
      <c r="DHI146" s="293"/>
      <c r="DHJ146" s="294"/>
      <c r="DHP146" s="292"/>
      <c r="DHQ146" s="293"/>
      <c r="DHR146" s="294"/>
      <c r="DHX146" s="292"/>
      <c r="DHY146" s="293"/>
      <c r="DHZ146" s="294"/>
      <c r="DIF146" s="292"/>
      <c r="DIG146" s="293"/>
      <c r="DIH146" s="294"/>
      <c r="DIN146" s="292"/>
      <c r="DIO146" s="293"/>
      <c r="DIP146" s="294"/>
      <c r="DIV146" s="292"/>
      <c r="DIW146" s="293"/>
      <c r="DIX146" s="294"/>
      <c r="DJD146" s="292"/>
      <c r="DJE146" s="293"/>
      <c r="DJF146" s="294"/>
      <c r="DJL146" s="292"/>
      <c r="DJM146" s="293"/>
      <c r="DJN146" s="294"/>
      <c r="DJT146" s="292"/>
      <c r="DJU146" s="293"/>
      <c r="DJV146" s="294"/>
      <c r="DKB146" s="292"/>
      <c r="DKC146" s="293"/>
      <c r="DKD146" s="294"/>
      <c r="DKJ146" s="292"/>
      <c r="DKK146" s="293"/>
      <c r="DKL146" s="294"/>
      <c r="DKR146" s="292"/>
      <c r="DKS146" s="293"/>
      <c r="DKT146" s="294"/>
      <c r="DKZ146" s="292"/>
      <c r="DLA146" s="293"/>
      <c r="DLB146" s="294"/>
      <c r="DLH146" s="292"/>
      <c r="DLI146" s="293"/>
      <c r="DLJ146" s="294"/>
      <c r="DLP146" s="292"/>
      <c r="DLQ146" s="293"/>
      <c r="DLR146" s="294"/>
      <c r="DLX146" s="292"/>
      <c r="DLY146" s="293"/>
      <c r="DLZ146" s="294"/>
      <c r="DMF146" s="292"/>
      <c r="DMG146" s="293"/>
      <c r="DMH146" s="294"/>
      <c r="DMN146" s="292"/>
      <c r="DMO146" s="293"/>
      <c r="DMP146" s="294"/>
      <c r="DMV146" s="292"/>
      <c r="DMW146" s="293"/>
      <c r="DMX146" s="294"/>
      <c r="DND146" s="292"/>
      <c r="DNE146" s="293"/>
      <c r="DNF146" s="294"/>
      <c r="DNL146" s="292"/>
      <c r="DNM146" s="293"/>
      <c r="DNN146" s="294"/>
      <c r="DNT146" s="292"/>
      <c r="DNU146" s="293"/>
      <c r="DNV146" s="294"/>
      <c r="DOB146" s="292"/>
      <c r="DOC146" s="293"/>
      <c r="DOD146" s="294"/>
      <c r="DOJ146" s="292"/>
      <c r="DOK146" s="293"/>
      <c r="DOL146" s="294"/>
      <c r="DOR146" s="292"/>
      <c r="DOS146" s="293"/>
      <c r="DOT146" s="294"/>
      <c r="DOZ146" s="292"/>
      <c r="DPA146" s="293"/>
      <c r="DPB146" s="294"/>
      <c r="DPH146" s="292"/>
      <c r="DPI146" s="293"/>
      <c r="DPJ146" s="294"/>
      <c r="DPP146" s="292"/>
      <c r="DPQ146" s="293"/>
      <c r="DPR146" s="294"/>
      <c r="DPX146" s="292"/>
      <c r="DPY146" s="293"/>
      <c r="DPZ146" s="294"/>
      <c r="DQF146" s="292"/>
      <c r="DQG146" s="293"/>
      <c r="DQH146" s="294"/>
      <c r="DQN146" s="292"/>
      <c r="DQO146" s="293"/>
      <c r="DQP146" s="294"/>
      <c r="DQV146" s="292"/>
      <c r="DQW146" s="293"/>
      <c r="DQX146" s="294"/>
      <c r="DRD146" s="292"/>
      <c r="DRE146" s="293"/>
      <c r="DRF146" s="294"/>
      <c r="DRL146" s="292"/>
      <c r="DRM146" s="293"/>
      <c r="DRN146" s="294"/>
      <c r="DRT146" s="292"/>
      <c r="DRU146" s="293"/>
      <c r="DRV146" s="294"/>
      <c r="DSB146" s="292"/>
      <c r="DSC146" s="293"/>
      <c r="DSD146" s="294"/>
      <c r="DSJ146" s="292"/>
      <c r="DSK146" s="293"/>
      <c r="DSL146" s="294"/>
      <c r="DSR146" s="292"/>
      <c r="DSS146" s="293"/>
      <c r="DST146" s="294"/>
      <c r="DSZ146" s="292"/>
      <c r="DTA146" s="293"/>
      <c r="DTB146" s="294"/>
      <c r="DTH146" s="292"/>
      <c r="DTI146" s="293"/>
      <c r="DTJ146" s="294"/>
      <c r="DTP146" s="292"/>
      <c r="DTQ146" s="293"/>
      <c r="DTR146" s="294"/>
      <c r="DTX146" s="292"/>
      <c r="DTY146" s="293"/>
      <c r="DTZ146" s="294"/>
      <c r="DUF146" s="292"/>
      <c r="DUG146" s="293"/>
      <c r="DUH146" s="294"/>
      <c r="DUN146" s="292"/>
      <c r="DUO146" s="293"/>
      <c r="DUP146" s="294"/>
      <c r="DUV146" s="292"/>
      <c r="DUW146" s="293"/>
      <c r="DUX146" s="294"/>
      <c r="DVD146" s="292"/>
      <c r="DVE146" s="293"/>
      <c r="DVF146" s="294"/>
      <c r="DVL146" s="292"/>
      <c r="DVM146" s="293"/>
      <c r="DVN146" s="294"/>
      <c r="DVT146" s="292"/>
      <c r="DVU146" s="293"/>
      <c r="DVV146" s="294"/>
      <c r="DWB146" s="292"/>
      <c r="DWC146" s="293"/>
      <c r="DWD146" s="294"/>
      <c r="DWJ146" s="292"/>
      <c r="DWK146" s="293"/>
      <c r="DWL146" s="294"/>
      <c r="DWR146" s="292"/>
      <c r="DWS146" s="293"/>
      <c r="DWT146" s="294"/>
      <c r="DWZ146" s="292"/>
      <c r="DXA146" s="293"/>
      <c r="DXB146" s="294"/>
      <c r="DXH146" s="292"/>
      <c r="DXI146" s="293"/>
      <c r="DXJ146" s="294"/>
      <c r="DXP146" s="292"/>
      <c r="DXQ146" s="293"/>
      <c r="DXR146" s="294"/>
      <c r="DXX146" s="292"/>
      <c r="DXY146" s="293"/>
      <c r="DXZ146" s="294"/>
      <c r="DYF146" s="292"/>
      <c r="DYG146" s="293"/>
      <c r="DYH146" s="294"/>
      <c r="DYN146" s="292"/>
      <c r="DYO146" s="293"/>
      <c r="DYP146" s="294"/>
      <c r="DYV146" s="292"/>
      <c r="DYW146" s="293"/>
      <c r="DYX146" s="294"/>
      <c r="DZD146" s="292"/>
      <c r="DZE146" s="293"/>
      <c r="DZF146" s="294"/>
      <c r="DZL146" s="292"/>
      <c r="DZM146" s="293"/>
      <c r="DZN146" s="294"/>
      <c r="DZT146" s="292"/>
      <c r="DZU146" s="293"/>
      <c r="DZV146" s="294"/>
      <c r="EAB146" s="292"/>
      <c r="EAC146" s="293"/>
      <c r="EAD146" s="294"/>
      <c r="EAJ146" s="292"/>
      <c r="EAK146" s="293"/>
      <c r="EAL146" s="294"/>
      <c r="EAR146" s="292"/>
      <c r="EAS146" s="293"/>
      <c r="EAT146" s="294"/>
      <c r="EAZ146" s="292"/>
      <c r="EBA146" s="293"/>
      <c r="EBB146" s="294"/>
      <c r="EBH146" s="292"/>
      <c r="EBI146" s="293"/>
      <c r="EBJ146" s="294"/>
      <c r="EBP146" s="292"/>
      <c r="EBQ146" s="293"/>
      <c r="EBR146" s="294"/>
      <c r="EBX146" s="292"/>
      <c r="EBY146" s="293"/>
      <c r="EBZ146" s="294"/>
      <c r="ECF146" s="292"/>
      <c r="ECG146" s="293"/>
      <c r="ECH146" s="294"/>
      <c r="ECN146" s="292"/>
      <c r="ECO146" s="293"/>
      <c r="ECP146" s="294"/>
      <c r="ECV146" s="292"/>
      <c r="ECW146" s="293"/>
      <c r="ECX146" s="294"/>
      <c r="EDD146" s="292"/>
      <c r="EDE146" s="293"/>
      <c r="EDF146" s="294"/>
      <c r="EDL146" s="292"/>
      <c r="EDM146" s="293"/>
      <c r="EDN146" s="294"/>
      <c r="EDT146" s="292"/>
      <c r="EDU146" s="293"/>
      <c r="EDV146" s="294"/>
      <c r="EEB146" s="292"/>
      <c r="EEC146" s="293"/>
      <c r="EED146" s="294"/>
      <c r="EEJ146" s="292"/>
      <c r="EEK146" s="293"/>
      <c r="EEL146" s="294"/>
      <c r="EER146" s="292"/>
      <c r="EES146" s="293"/>
      <c r="EET146" s="294"/>
      <c r="EEZ146" s="292"/>
      <c r="EFA146" s="293"/>
      <c r="EFB146" s="294"/>
      <c r="EFH146" s="292"/>
      <c r="EFI146" s="293"/>
      <c r="EFJ146" s="294"/>
      <c r="EFP146" s="292"/>
      <c r="EFQ146" s="293"/>
      <c r="EFR146" s="294"/>
      <c r="EFX146" s="292"/>
      <c r="EFY146" s="293"/>
      <c r="EFZ146" s="294"/>
      <c r="EGF146" s="292"/>
      <c r="EGG146" s="293"/>
      <c r="EGH146" s="294"/>
      <c r="EGN146" s="292"/>
      <c r="EGO146" s="293"/>
      <c r="EGP146" s="294"/>
      <c r="EGV146" s="292"/>
      <c r="EGW146" s="293"/>
      <c r="EGX146" s="294"/>
      <c r="EHD146" s="292"/>
      <c r="EHE146" s="293"/>
      <c r="EHF146" s="294"/>
      <c r="EHL146" s="292"/>
      <c r="EHM146" s="293"/>
      <c r="EHN146" s="294"/>
      <c r="EHT146" s="292"/>
      <c r="EHU146" s="293"/>
      <c r="EHV146" s="294"/>
      <c r="EIB146" s="292"/>
      <c r="EIC146" s="293"/>
      <c r="EID146" s="294"/>
      <c r="EIJ146" s="292"/>
      <c r="EIK146" s="293"/>
      <c r="EIL146" s="294"/>
      <c r="EIR146" s="292"/>
      <c r="EIS146" s="293"/>
      <c r="EIT146" s="294"/>
      <c r="EIZ146" s="292"/>
      <c r="EJA146" s="293"/>
      <c r="EJB146" s="294"/>
      <c r="EJH146" s="292"/>
      <c r="EJI146" s="293"/>
      <c r="EJJ146" s="294"/>
      <c r="EJP146" s="292"/>
      <c r="EJQ146" s="293"/>
      <c r="EJR146" s="294"/>
      <c r="EJX146" s="292"/>
      <c r="EJY146" s="293"/>
      <c r="EJZ146" s="294"/>
      <c r="EKF146" s="292"/>
      <c r="EKG146" s="293"/>
      <c r="EKH146" s="294"/>
      <c r="EKN146" s="292"/>
      <c r="EKO146" s="293"/>
      <c r="EKP146" s="294"/>
      <c r="EKV146" s="292"/>
      <c r="EKW146" s="293"/>
      <c r="EKX146" s="294"/>
      <c r="ELD146" s="292"/>
      <c r="ELE146" s="293"/>
      <c r="ELF146" s="294"/>
      <c r="ELL146" s="292"/>
      <c r="ELM146" s="293"/>
      <c r="ELN146" s="294"/>
      <c r="ELT146" s="292"/>
      <c r="ELU146" s="293"/>
      <c r="ELV146" s="294"/>
      <c r="EMB146" s="292"/>
      <c r="EMC146" s="293"/>
      <c r="EMD146" s="294"/>
      <c r="EMJ146" s="292"/>
      <c r="EMK146" s="293"/>
      <c r="EML146" s="294"/>
      <c r="EMR146" s="292"/>
      <c r="EMS146" s="293"/>
      <c r="EMT146" s="294"/>
      <c r="EMZ146" s="292"/>
      <c r="ENA146" s="293"/>
      <c r="ENB146" s="294"/>
      <c r="ENH146" s="292"/>
      <c r="ENI146" s="293"/>
      <c r="ENJ146" s="294"/>
      <c r="ENP146" s="292"/>
      <c r="ENQ146" s="293"/>
      <c r="ENR146" s="294"/>
      <c r="ENX146" s="292"/>
      <c r="ENY146" s="293"/>
      <c r="ENZ146" s="294"/>
      <c r="EOF146" s="292"/>
      <c r="EOG146" s="293"/>
      <c r="EOH146" s="294"/>
      <c r="EON146" s="292"/>
      <c r="EOO146" s="293"/>
      <c r="EOP146" s="294"/>
      <c r="EOV146" s="292"/>
      <c r="EOW146" s="293"/>
      <c r="EOX146" s="294"/>
      <c r="EPD146" s="292"/>
      <c r="EPE146" s="293"/>
      <c r="EPF146" s="294"/>
      <c r="EPL146" s="292"/>
      <c r="EPM146" s="293"/>
      <c r="EPN146" s="294"/>
      <c r="EPT146" s="292"/>
      <c r="EPU146" s="293"/>
      <c r="EPV146" s="294"/>
      <c r="EQB146" s="292"/>
      <c r="EQC146" s="293"/>
      <c r="EQD146" s="294"/>
      <c r="EQJ146" s="292"/>
      <c r="EQK146" s="293"/>
      <c r="EQL146" s="294"/>
      <c r="EQR146" s="292"/>
      <c r="EQS146" s="293"/>
      <c r="EQT146" s="294"/>
      <c r="EQZ146" s="292"/>
      <c r="ERA146" s="293"/>
      <c r="ERB146" s="294"/>
      <c r="ERH146" s="292"/>
      <c r="ERI146" s="293"/>
      <c r="ERJ146" s="294"/>
      <c r="ERP146" s="292"/>
      <c r="ERQ146" s="293"/>
      <c r="ERR146" s="294"/>
      <c r="ERX146" s="292"/>
      <c r="ERY146" s="293"/>
      <c r="ERZ146" s="294"/>
      <c r="ESF146" s="292"/>
      <c r="ESG146" s="293"/>
      <c r="ESH146" s="294"/>
      <c r="ESN146" s="292"/>
      <c r="ESO146" s="293"/>
      <c r="ESP146" s="294"/>
      <c r="ESV146" s="292"/>
      <c r="ESW146" s="293"/>
      <c r="ESX146" s="294"/>
      <c r="ETD146" s="292"/>
      <c r="ETE146" s="293"/>
      <c r="ETF146" s="294"/>
      <c r="ETL146" s="292"/>
      <c r="ETM146" s="293"/>
      <c r="ETN146" s="294"/>
      <c r="ETT146" s="292"/>
      <c r="ETU146" s="293"/>
      <c r="ETV146" s="294"/>
      <c r="EUB146" s="292"/>
      <c r="EUC146" s="293"/>
      <c r="EUD146" s="294"/>
      <c r="EUJ146" s="292"/>
      <c r="EUK146" s="293"/>
      <c r="EUL146" s="294"/>
      <c r="EUR146" s="292"/>
      <c r="EUS146" s="293"/>
      <c r="EUT146" s="294"/>
      <c r="EUZ146" s="292"/>
      <c r="EVA146" s="293"/>
      <c r="EVB146" s="294"/>
      <c r="EVH146" s="292"/>
      <c r="EVI146" s="293"/>
      <c r="EVJ146" s="294"/>
      <c r="EVP146" s="292"/>
      <c r="EVQ146" s="293"/>
      <c r="EVR146" s="294"/>
      <c r="EVX146" s="292"/>
      <c r="EVY146" s="293"/>
      <c r="EVZ146" s="294"/>
      <c r="EWF146" s="292"/>
      <c r="EWG146" s="293"/>
      <c r="EWH146" s="294"/>
      <c r="EWN146" s="292"/>
      <c r="EWO146" s="293"/>
      <c r="EWP146" s="294"/>
      <c r="EWV146" s="292"/>
      <c r="EWW146" s="293"/>
      <c r="EWX146" s="294"/>
      <c r="EXD146" s="292"/>
      <c r="EXE146" s="293"/>
      <c r="EXF146" s="294"/>
      <c r="EXL146" s="292"/>
      <c r="EXM146" s="293"/>
      <c r="EXN146" s="294"/>
      <c r="EXT146" s="292"/>
      <c r="EXU146" s="293"/>
      <c r="EXV146" s="294"/>
      <c r="EYB146" s="292"/>
      <c r="EYC146" s="293"/>
      <c r="EYD146" s="294"/>
      <c r="EYJ146" s="292"/>
      <c r="EYK146" s="293"/>
      <c r="EYL146" s="294"/>
      <c r="EYR146" s="292"/>
      <c r="EYS146" s="293"/>
      <c r="EYT146" s="294"/>
      <c r="EYZ146" s="292"/>
      <c r="EZA146" s="293"/>
      <c r="EZB146" s="294"/>
      <c r="EZH146" s="292"/>
      <c r="EZI146" s="293"/>
      <c r="EZJ146" s="294"/>
      <c r="EZP146" s="292"/>
      <c r="EZQ146" s="293"/>
      <c r="EZR146" s="294"/>
      <c r="EZX146" s="292"/>
      <c r="EZY146" s="293"/>
      <c r="EZZ146" s="294"/>
      <c r="FAF146" s="292"/>
      <c r="FAG146" s="293"/>
      <c r="FAH146" s="294"/>
      <c r="FAN146" s="292"/>
      <c r="FAO146" s="293"/>
      <c r="FAP146" s="294"/>
      <c r="FAV146" s="292"/>
      <c r="FAW146" s="293"/>
      <c r="FAX146" s="294"/>
      <c r="FBD146" s="292"/>
      <c r="FBE146" s="293"/>
      <c r="FBF146" s="294"/>
      <c r="FBL146" s="292"/>
      <c r="FBM146" s="293"/>
      <c r="FBN146" s="294"/>
      <c r="FBT146" s="292"/>
      <c r="FBU146" s="293"/>
      <c r="FBV146" s="294"/>
      <c r="FCB146" s="292"/>
      <c r="FCC146" s="293"/>
      <c r="FCD146" s="294"/>
      <c r="FCJ146" s="292"/>
      <c r="FCK146" s="293"/>
      <c r="FCL146" s="294"/>
      <c r="FCR146" s="292"/>
      <c r="FCS146" s="293"/>
      <c r="FCT146" s="294"/>
      <c r="FCZ146" s="292"/>
      <c r="FDA146" s="293"/>
      <c r="FDB146" s="294"/>
      <c r="FDH146" s="292"/>
      <c r="FDI146" s="293"/>
      <c r="FDJ146" s="294"/>
      <c r="FDP146" s="292"/>
      <c r="FDQ146" s="293"/>
      <c r="FDR146" s="294"/>
      <c r="FDX146" s="292"/>
      <c r="FDY146" s="293"/>
      <c r="FDZ146" s="294"/>
      <c r="FEF146" s="292"/>
      <c r="FEG146" s="293"/>
      <c r="FEH146" s="294"/>
      <c r="FEN146" s="292"/>
      <c r="FEO146" s="293"/>
      <c r="FEP146" s="294"/>
      <c r="FEV146" s="292"/>
      <c r="FEW146" s="293"/>
      <c r="FEX146" s="294"/>
      <c r="FFD146" s="292"/>
      <c r="FFE146" s="293"/>
      <c r="FFF146" s="294"/>
      <c r="FFL146" s="292"/>
      <c r="FFM146" s="293"/>
      <c r="FFN146" s="294"/>
      <c r="FFT146" s="292"/>
      <c r="FFU146" s="293"/>
      <c r="FFV146" s="294"/>
      <c r="FGB146" s="292"/>
      <c r="FGC146" s="293"/>
      <c r="FGD146" s="294"/>
      <c r="FGJ146" s="292"/>
      <c r="FGK146" s="293"/>
      <c r="FGL146" s="294"/>
      <c r="FGR146" s="292"/>
      <c r="FGS146" s="293"/>
      <c r="FGT146" s="294"/>
      <c r="FGZ146" s="292"/>
      <c r="FHA146" s="293"/>
      <c r="FHB146" s="294"/>
      <c r="FHH146" s="292"/>
      <c r="FHI146" s="293"/>
      <c r="FHJ146" s="294"/>
      <c r="FHP146" s="292"/>
      <c r="FHQ146" s="293"/>
      <c r="FHR146" s="294"/>
      <c r="FHX146" s="292"/>
      <c r="FHY146" s="293"/>
      <c r="FHZ146" s="294"/>
      <c r="FIF146" s="292"/>
      <c r="FIG146" s="293"/>
      <c r="FIH146" s="294"/>
      <c r="FIN146" s="292"/>
      <c r="FIO146" s="293"/>
      <c r="FIP146" s="294"/>
      <c r="FIV146" s="292"/>
      <c r="FIW146" s="293"/>
      <c r="FIX146" s="294"/>
      <c r="FJD146" s="292"/>
      <c r="FJE146" s="293"/>
      <c r="FJF146" s="294"/>
      <c r="FJL146" s="292"/>
      <c r="FJM146" s="293"/>
      <c r="FJN146" s="294"/>
      <c r="FJT146" s="292"/>
      <c r="FJU146" s="293"/>
      <c r="FJV146" s="294"/>
      <c r="FKB146" s="292"/>
      <c r="FKC146" s="293"/>
      <c r="FKD146" s="294"/>
      <c r="FKJ146" s="292"/>
      <c r="FKK146" s="293"/>
      <c r="FKL146" s="294"/>
      <c r="FKR146" s="292"/>
      <c r="FKS146" s="293"/>
      <c r="FKT146" s="294"/>
      <c r="FKZ146" s="292"/>
      <c r="FLA146" s="293"/>
      <c r="FLB146" s="294"/>
      <c r="FLH146" s="292"/>
      <c r="FLI146" s="293"/>
      <c r="FLJ146" s="294"/>
      <c r="FLP146" s="292"/>
      <c r="FLQ146" s="293"/>
      <c r="FLR146" s="294"/>
      <c r="FLX146" s="292"/>
      <c r="FLY146" s="293"/>
      <c r="FLZ146" s="294"/>
      <c r="FMF146" s="292"/>
      <c r="FMG146" s="293"/>
      <c r="FMH146" s="294"/>
      <c r="FMN146" s="292"/>
      <c r="FMO146" s="293"/>
      <c r="FMP146" s="294"/>
      <c r="FMV146" s="292"/>
      <c r="FMW146" s="293"/>
      <c r="FMX146" s="294"/>
      <c r="FND146" s="292"/>
      <c r="FNE146" s="293"/>
      <c r="FNF146" s="294"/>
      <c r="FNL146" s="292"/>
      <c r="FNM146" s="293"/>
      <c r="FNN146" s="294"/>
      <c r="FNT146" s="292"/>
      <c r="FNU146" s="293"/>
      <c r="FNV146" s="294"/>
      <c r="FOB146" s="292"/>
      <c r="FOC146" s="293"/>
      <c r="FOD146" s="294"/>
      <c r="FOJ146" s="292"/>
      <c r="FOK146" s="293"/>
      <c r="FOL146" s="294"/>
      <c r="FOR146" s="292"/>
      <c r="FOS146" s="293"/>
      <c r="FOT146" s="294"/>
      <c r="FOZ146" s="292"/>
      <c r="FPA146" s="293"/>
      <c r="FPB146" s="294"/>
      <c r="FPH146" s="292"/>
      <c r="FPI146" s="293"/>
      <c r="FPJ146" s="294"/>
      <c r="FPP146" s="292"/>
      <c r="FPQ146" s="293"/>
      <c r="FPR146" s="294"/>
      <c r="FPX146" s="292"/>
      <c r="FPY146" s="293"/>
      <c r="FPZ146" s="294"/>
      <c r="FQF146" s="292"/>
      <c r="FQG146" s="293"/>
      <c r="FQH146" s="294"/>
      <c r="FQN146" s="292"/>
      <c r="FQO146" s="293"/>
      <c r="FQP146" s="294"/>
      <c r="FQV146" s="292"/>
      <c r="FQW146" s="293"/>
      <c r="FQX146" s="294"/>
      <c r="FRD146" s="292"/>
      <c r="FRE146" s="293"/>
      <c r="FRF146" s="294"/>
      <c r="FRL146" s="292"/>
      <c r="FRM146" s="293"/>
      <c r="FRN146" s="294"/>
      <c r="FRT146" s="292"/>
      <c r="FRU146" s="293"/>
      <c r="FRV146" s="294"/>
      <c r="FSB146" s="292"/>
      <c r="FSC146" s="293"/>
      <c r="FSD146" s="294"/>
      <c r="FSJ146" s="292"/>
      <c r="FSK146" s="293"/>
      <c r="FSL146" s="294"/>
      <c r="FSR146" s="292"/>
      <c r="FSS146" s="293"/>
      <c r="FST146" s="294"/>
      <c r="FSZ146" s="292"/>
      <c r="FTA146" s="293"/>
      <c r="FTB146" s="294"/>
      <c r="FTH146" s="292"/>
      <c r="FTI146" s="293"/>
      <c r="FTJ146" s="294"/>
      <c r="FTP146" s="292"/>
      <c r="FTQ146" s="293"/>
      <c r="FTR146" s="294"/>
      <c r="FTX146" s="292"/>
      <c r="FTY146" s="293"/>
      <c r="FTZ146" s="294"/>
      <c r="FUF146" s="292"/>
      <c r="FUG146" s="293"/>
      <c r="FUH146" s="294"/>
      <c r="FUN146" s="292"/>
      <c r="FUO146" s="293"/>
      <c r="FUP146" s="294"/>
      <c r="FUV146" s="292"/>
      <c r="FUW146" s="293"/>
      <c r="FUX146" s="294"/>
      <c r="FVD146" s="292"/>
      <c r="FVE146" s="293"/>
      <c r="FVF146" s="294"/>
      <c r="FVL146" s="292"/>
      <c r="FVM146" s="293"/>
      <c r="FVN146" s="294"/>
      <c r="FVT146" s="292"/>
      <c r="FVU146" s="293"/>
      <c r="FVV146" s="294"/>
      <c r="FWB146" s="292"/>
      <c r="FWC146" s="293"/>
      <c r="FWD146" s="294"/>
      <c r="FWJ146" s="292"/>
      <c r="FWK146" s="293"/>
      <c r="FWL146" s="294"/>
      <c r="FWR146" s="292"/>
      <c r="FWS146" s="293"/>
      <c r="FWT146" s="294"/>
      <c r="FWZ146" s="292"/>
      <c r="FXA146" s="293"/>
      <c r="FXB146" s="294"/>
      <c r="FXH146" s="292"/>
      <c r="FXI146" s="293"/>
      <c r="FXJ146" s="294"/>
      <c r="FXP146" s="292"/>
      <c r="FXQ146" s="293"/>
      <c r="FXR146" s="294"/>
      <c r="FXX146" s="292"/>
      <c r="FXY146" s="293"/>
      <c r="FXZ146" s="294"/>
      <c r="FYF146" s="292"/>
      <c r="FYG146" s="293"/>
      <c r="FYH146" s="294"/>
      <c r="FYN146" s="292"/>
      <c r="FYO146" s="293"/>
      <c r="FYP146" s="294"/>
      <c r="FYV146" s="292"/>
      <c r="FYW146" s="293"/>
      <c r="FYX146" s="294"/>
      <c r="FZD146" s="292"/>
      <c r="FZE146" s="293"/>
      <c r="FZF146" s="294"/>
      <c r="FZL146" s="292"/>
      <c r="FZM146" s="293"/>
      <c r="FZN146" s="294"/>
      <c r="FZT146" s="292"/>
      <c r="FZU146" s="293"/>
      <c r="FZV146" s="294"/>
      <c r="GAB146" s="292"/>
      <c r="GAC146" s="293"/>
      <c r="GAD146" s="294"/>
      <c r="GAJ146" s="292"/>
      <c r="GAK146" s="293"/>
      <c r="GAL146" s="294"/>
      <c r="GAR146" s="292"/>
      <c r="GAS146" s="293"/>
      <c r="GAT146" s="294"/>
      <c r="GAZ146" s="292"/>
      <c r="GBA146" s="293"/>
      <c r="GBB146" s="294"/>
      <c r="GBH146" s="292"/>
      <c r="GBI146" s="293"/>
      <c r="GBJ146" s="294"/>
      <c r="GBP146" s="292"/>
      <c r="GBQ146" s="293"/>
      <c r="GBR146" s="294"/>
      <c r="GBX146" s="292"/>
      <c r="GBY146" s="293"/>
      <c r="GBZ146" s="294"/>
      <c r="GCF146" s="292"/>
      <c r="GCG146" s="293"/>
      <c r="GCH146" s="294"/>
      <c r="GCN146" s="292"/>
      <c r="GCO146" s="293"/>
      <c r="GCP146" s="294"/>
      <c r="GCV146" s="292"/>
      <c r="GCW146" s="293"/>
      <c r="GCX146" s="294"/>
      <c r="GDD146" s="292"/>
      <c r="GDE146" s="293"/>
      <c r="GDF146" s="294"/>
      <c r="GDL146" s="292"/>
      <c r="GDM146" s="293"/>
      <c r="GDN146" s="294"/>
      <c r="GDT146" s="292"/>
      <c r="GDU146" s="293"/>
      <c r="GDV146" s="294"/>
      <c r="GEB146" s="292"/>
      <c r="GEC146" s="293"/>
      <c r="GED146" s="294"/>
      <c r="GEJ146" s="292"/>
      <c r="GEK146" s="293"/>
      <c r="GEL146" s="294"/>
      <c r="GER146" s="292"/>
      <c r="GES146" s="293"/>
      <c r="GET146" s="294"/>
      <c r="GEZ146" s="292"/>
      <c r="GFA146" s="293"/>
      <c r="GFB146" s="294"/>
      <c r="GFH146" s="292"/>
      <c r="GFI146" s="293"/>
      <c r="GFJ146" s="294"/>
      <c r="GFP146" s="292"/>
      <c r="GFQ146" s="293"/>
      <c r="GFR146" s="294"/>
      <c r="GFX146" s="292"/>
      <c r="GFY146" s="293"/>
      <c r="GFZ146" s="294"/>
      <c r="GGF146" s="292"/>
      <c r="GGG146" s="293"/>
      <c r="GGH146" s="294"/>
      <c r="GGN146" s="292"/>
      <c r="GGO146" s="293"/>
      <c r="GGP146" s="294"/>
      <c r="GGV146" s="292"/>
      <c r="GGW146" s="293"/>
      <c r="GGX146" s="294"/>
      <c r="GHD146" s="292"/>
      <c r="GHE146" s="293"/>
      <c r="GHF146" s="294"/>
      <c r="GHL146" s="292"/>
      <c r="GHM146" s="293"/>
      <c r="GHN146" s="294"/>
      <c r="GHT146" s="292"/>
      <c r="GHU146" s="293"/>
      <c r="GHV146" s="294"/>
      <c r="GIB146" s="292"/>
      <c r="GIC146" s="293"/>
      <c r="GID146" s="294"/>
      <c r="GIJ146" s="292"/>
      <c r="GIK146" s="293"/>
      <c r="GIL146" s="294"/>
      <c r="GIR146" s="292"/>
      <c r="GIS146" s="293"/>
      <c r="GIT146" s="294"/>
      <c r="GIZ146" s="292"/>
      <c r="GJA146" s="293"/>
      <c r="GJB146" s="294"/>
      <c r="GJH146" s="292"/>
      <c r="GJI146" s="293"/>
      <c r="GJJ146" s="294"/>
      <c r="GJP146" s="292"/>
      <c r="GJQ146" s="293"/>
      <c r="GJR146" s="294"/>
      <c r="GJX146" s="292"/>
      <c r="GJY146" s="293"/>
      <c r="GJZ146" s="294"/>
      <c r="GKF146" s="292"/>
      <c r="GKG146" s="293"/>
      <c r="GKH146" s="294"/>
      <c r="GKN146" s="292"/>
      <c r="GKO146" s="293"/>
      <c r="GKP146" s="294"/>
      <c r="GKV146" s="292"/>
      <c r="GKW146" s="293"/>
      <c r="GKX146" s="294"/>
      <c r="GLD146" s="292"/>
      <c r="GLE146" s="293"/>
      <c r="GLF146" s="294"/>
      <c r="GLL146" s="292"/>
      <c r="GLM146" s="293"/>
      <c r="GLN146" s="294"/>
      <c r="GLT146" s="292"/>
      <c r="GLU146" s="293"/>
      <c r="GLV146" s="294"/>
      <c r="GMB146" s="292"/>
      <c r="GMC146" s="293"/>
      <c r="GMD146" s="294"/>
      <c r="GMJ146" s="292"/>
      <c r="GMK146" s="293"/>
      <c r="GML146" s="294"/>
      <c r="GMR146" s="292"/>
      <c r="GMS146" s="293"/>
      <c r="GMT146" s="294"/>
      <c r="GMZ146" s="292"/>
      <c r="GNA146" s="293"/>
      <c r="GNB146" s="294"/>
      <c r="GNH146" s="292"/>
      <c r="GNI146" s="293"/>
      <c r="GNJ146" s="294"/>
      <c r="GNP146" s="292"/>
      <c r="GNQ146" s="293"/>
      <c r="GNR146" s="294"/>
      <c r="GNX146" s="292"/>
      <c r="GNY146" s="293"/>
      <c r="GNZ146" s="294"/>
      <c r="GOF146" s="292"/>
      <c r="GOG146" s="293"/>
      <c r="GOH146" s="294"/>
      <c r="GON146" s="292"/>
      <c r="GOO146" s="293"/>
      <c r="GOP146" s="294"/>
      <c r="GOV146" s="292"/>
      <c r="GOW146" s="293"/>
      <c r="GOX146" s="294"/>
      <c r="GPD146" s="292"/>
      <c r="GPE146" s="293"/>
      <c r="GPF146" s="294"/>
      <c r="GPL146" s="292"/>
      <c r="GPM146" s="293"/>
      <c r="GPN146" s="294"/>
      <c r="GPT146" s="292"/>
      <c r="GPU146" s="293"/>
      <c r="GPV146" s="294"/>
      <c r="GQB146" s="292"/>
      <c r="GQC146" s="293"/>
      <c r="GQD146" s="294"/>
      <c r="GQJ146" s="292"/>
      <c r="GQK146" s="293"/>
      <c r="GQL146" s="294"/>
      <c r="GQR146" s="292"/>
      <c r="GQS146" s="293"/>
      <c r="GQT146" s="294"/>
      <c r="GQZ146" s="292"/>
      <c r="GRA146" s="293"/>
      <c r="GRB146" s="294"/>
      <c r="GRH146" s="292"/>
      <c r="GRI146" s="293"/>
      <c r="GRJ146" s="294"/>
      <c r="GRP146" s="292"/>
      <c r="GRQ146" s="293"/>
      <c r="GRR146" s="294"/>
      <c r="GRX146" s="292"/>
      <c r="GRY146" s="293"/>
      <c r="GRZ146" s="294"/>
      <c r="GSF146" s="292"/>
      <c r="GSG146" s="293"/>
      <c r="GSH146" s="294"/>
      <c r="GSN146" s="292"/>
      <c r="GSO146" s="293"/>
      <c r="GSP146" s="294"/>
      <c r="GSV146" s="292"/>
      <c r="GSW146" s="293"/>
      <c r="GSX146" s="294"/>
      <c r="GTD146" s="292"/>
      <c r="GTE146" s="293"/>
      <c r="GTF146" s="294"/>
      <c r="GTL146" s="292"/>
      <c r="GTM146" s="293"/>
      <c r="GTN146" s="294"/>
      <c r="GTT146" s="292"/>
      <c r="GTU146" s="293"/>
      <c r="GTV146" s="294"/>
      <c r="GUB146" s="292"/>
      <c r="GUC146" s="293"/>
      <c r="GUD146" s="294"/>
      <c r="GUJ146" s="292"/>
      <c r="GUK146" s="293"/>
      <c r="GUL146" s="294"/>
      <c r="GUR146" s="292"/>
      <c r="GUS146" s="293"/>
      <c r="GUT146" s="294"/>
      <c r="GUZ146" s="292"/>
      <c r="GVA146" s="293"/>
      <c r="GVB146" s="294"/>
      <c r="GVH146" s="292"/>
      <c r="GVI146" s="293"/>
      <c r="GVJ146" s="294"/>
      <c r="GVP146" s="292"/>
      <c r="GVQ146" s="293"/>
      <c r="GVR146" s="294"/>
      <c r="GVX146" s="292"/>
      <c r="GVY146" s="293"/>
      <c r="GVZ146" s="294"/>
      <c r="GWF146" s="292"/>
      <c r="GWG146" s="293"/>
      <c r="GWH146" s="294"/>
      <c r="GWN146" s="292"/>
      <c r="GWO146" s="293"/>
      <c r="GWP146" s="294"/>
      <c r="GWV146" s="292"/>
      <c r="GWW146" s="293"/>
      <c r="GWX146" s="294"/>
      <c r="GXD146" s="292"/>
      <c r="GXE146" s="293"/>
      <c r="GXF146" s="294"/>
      <c r="GXL146" s="292"/>
      <c r="GXM146" s="293"/>
      <c r="GXN146" s="294"/>
      <c r="GXT146" s="292"/>
      <c r="GXU146" s="293"/>
      <c r="GXV146" s="294"/>
      <c r="GYB146" s="292"/>
      <c r="GYC146" s="293"/>
      <c r="GYD146" s="294"/>
      <c r="GYJ146" s="292"/>
      <c r="GYK146" s="293"/>
      <c r="GYL146" s="294"/>
      <c r="GYR146" s="292"/>
      <c r="GYS146" s="293"/>
      <c r="GYT146" s="294"/>
      <c r="GYZ146" s="292"/>
      <c r="GZA146" s="293"/>
      <c r="GZB146" s="294"/>
      <c r="GZH146" s="292"/>
      <c r="GZI146" s="293"/>
      <c r="GZJ146" s="294"/>
      <c r="GZP146" s="292"/>
      <c r="GZQ146" s="293"/>
      <c r="GZR146" s="294"/>
      <c r="GZX146" s="292"/>
      <c r="GZY146" s="293"/>
      <c r="GZZ146" s="294"/>
      <c r="HAF146" s="292"/>
      <c r="HAG146" s="293"/>
      <c r="HAH146" s="294"/>
      <c r="HAN146" s="292"/>
      <c r="HAO146" s="293"/>
      <c r="HAP146" s="294"/>
      <c r="HAV146" s="292"/>
      <c r="HAW146" s="293"/>
      <c r="HAX146" s="294"/>
      <c r="HBD146" s="292"/>
      <c r="HBE146" s="293"/>
      <c r="HBF146" s="294"/>
      <c r="HBL146" s="292"/>
      <c r="HBM146" s="293"/>
      <c r="HBN146" s="294"/>
      <c r="HBT146" s="292"/>
      <c r="HBU146" s="293"/>
      <c r="HBV146" s="294"/>
      <c r="HCB146" s="292"/>
      <c r="HCC146" s="293"/>
      <c r="HCD146" s="294"/>
      <c r="HCJ146" s="292"/>
      <c r="HCK146" s="293"/>
      <c r="HCL146" s="294"/>
      <c r="HCR146" s="292"/>
      <c r="HCS146" s="293"/>
      <c r="HCT146" s="294"/>
      <c r="HCZ146" s="292"/>
      <c r="HDA146" s="293"/>
      <c r="HDB146" s="294"/>
      <c r="HDH146" s="292"/>
      <c r="HDI146" s="293"/>
      <c r="HDJ146" s="294"/>
      <c r="HDP146" s="292"/>
      <c r="HDQ146" s="293"/>
      <c r="HDR146" s="294"/>
      <c r="HDX146" s="292"/>
      <c r="HDY146" s="293"/>
      <c r="HDZ146" s="294"/>
      <c r="HEF146" s="292"/>
      <c r="HEG146" s="293"/>
      <c r="HEH146" s="294"/>
      <c r="HEN146" s="292"/>
      <c r="HEO146" s="293"/>
      <c r="HEP146" s="294"/>
      <c r="HEV146" s="292"/>
      <c r="HEW146" s="293"/>
      <c r="HEX146" s="294"/>
      <c r="HFD146" s="292"/>
      <c r="HFE146" s="293"/>
      <c r="HFF146" s="294"/>
      <c r="HFL146" s="292"/>
      <c r="HFM146" s="293"/>
      <c r="HFN146" s="294"/>
      <c r="HFT146" s="292"/>
      <c r="HFU146" s="293"/>
      <c r="HFV146" s="294"/>
      <c r="HGB146" s="292"/>
      <c r="HGC146" s="293"/>
      <c r="HGD146" s="294"/>
      <c r="HGJ146" s="292"/>
      <c r="HGK146" s="293"/>
      <c r="HGL146" s="294"/>
      <c r="HGR146" s="292"/>
      <c r="HGS146" s="293"/>
      <c r="HGT146" s="294"/>
      <c r="HGZ146" s="292"/>
      <c r="HHA146" s="293"/>
      <c r="HHB146" s="294"/>
      <c r="HHH146" s="292"/>
      <c r="HHI146" s="293"/>
      <c r="HHJ146" s="294"/>
      <c r="HHP146" s="292"/>
      <c r="HHQ146" s="293"/>
      <c r="HHR146" s="294"/>
      <c r="HHX146" s="292"/>
      <c r="HHY146" s="293"/>
      <c r="HHZ146" s="294"/>
      <c r="HIF146" s="292"/>
      <c r="HIG146" s="293"/>
      <c r="HIH146" s="294"/>
      <c r="HIN146" s="292"/>
      <c r="HIO146" s="293"/>
      <c r="HIP146" s="294"/>
      <c r="HIV146" s="292"/>
      <c r="HIW146" s="293"/>
      <c r="HIX146" s="294"/>
      <c r="HJD146" s="292"/>
      <c r="HJE146" s="293"/>
      <c r="HJF146" s="294"/>
      <c r="HJL146" s="292"/>
      <c r="HJM146" s="293"/>
      <c r="HJN146" s="294"/>
      <c r="HJT146" s="292"/>
      <c r="HJU146" s="293"/>
      <c r="HJV146" s="294"/>
      <c r="HKB146" s="292"/>
      <c r="HKC146" s="293"/>
      <c r="HKD146" s="294"/>
      <c r="HKJ146" s="292"/>
      <c r="HKK146" s="293"/>
      <c r="HKL146" s="294"/>
      <c r="HKR146" s="292"/>
      <c r="HKS146" s="293"/>
      <c r="HKT146" s="294"/>
      <c r="HKZ146" s="292"/>
      <c r="HLA146" s="293"/>
      <c r="HLB146" s="294"/>
      <c r="HLH146" s="292"/>
      <c r="HLI146" s="293"/>
      <c r="HLJ146" s="294"/>
      <c r="HLP146" s="292"/>
      <c r="HLQ146" s="293"/>
      <c r="HLR146" s="294"/>
      <c r="HLX146" s="292"/>
      <c r="HLY146" s="293"/>
      <c r="HLZ146" s="294"/>
      <c r="HMF146" s="292"/>
      <c r="HMG146" s="293"/>
      <c r="HMH146" s="294"/>
      <c r="HMN146" s="292"/>
      <c r="HMO146" s="293"/>
      <c r="HMP146" s="294"/>
      <c r="HMV146" s="292"/>
      <c r="HMW146" s="293"/>
      <c r="HMX146" s="294"/>
      <c r="HND146" s="292"/>
      <c r="HNE146" s="293"/>
      <c r="HNF146" s="294"/>
      <c r="HNL146" s="292"/>
      <c r="HNM146" s="293"/>
      <c r="HNN146" s="294"/>
      <c r="HNT146" s="292"/>
      <c r="HNU146" s="293"/>
      <c r="HNV146" s="294"/>
      <c r="HOB146" s="292"/>
      <c r="HOC146" s="293"/>
      <c r="HOD146" s="294"/>
      <c r="HOJ146" s="292"/>
      <c r="HOK146" s="293"/>
      <c r="HOL146" s="294"/>
      <c r="HOR146" s="292"/>
      <c r="HOS146" s="293"/>
      <c r="HOT146" s="294"/>
      <c r="HOZ146" s="292"/>
      <c r="HPA146" s="293"/>
      <c r="HPB146" s="294"/>
      <c r="HPH146" s="292"/>
      <c r="HPI146" s="293"/>
      <c r="HPJ146" s="294"/>
      <c r="HPP146" s="292"/>
      <c r="HPQ146" s="293"/>
      <c r="HPR146" s="294"/>
      <c r="HPX146" s="292"/>
      <c r="HPY146" s="293"/>
      <c r="HPZ146" s="294"/>
      <c r="HQF146" s="292"/>
      <c r="HQG146" s="293"/>
      <c r="HQH146" s="294"/>
      <c r="HQN146" s="292"/>
      <c r="HQO146" s="293"/>
      <c r="HQP146" s="294"/>
      <c r="HQV146" s="292"/>
      <c r="HQW146" s="293"/>
      <c r="HQX146" s="294"/>
      <c r="HRD146" s="292"/>
      <c r="HRE146" s="293"/>
      <c r="HRF146" s="294"/>
      <c r="HRL146" s="292"/>
      <c r="HRM146" s="293"/>
      <c r="HRN146" s="294"/>
      <c r="HRT146" s="292"/>
      <c r="HRU146" s="293"/>
      <c r="HRV146" s="294"/>
      <c r="HSB146" s="292"/>
      <c r="HSC146" s="293"/>
      <c r="HSD146" s="294"/>
      <c r="HSJ146" s="292"/>
      <c r="HSK146" s="293"/>
      <c r="HSL146" s="294"/>
      <c r="HSR146" s="292"/>
      <c r="HSS146" s="293"/>
      <c r="HST146" s="294"/>
      <c r="HSZ146" s="292"/>
      <c r="HTA146" s="293"/>
      <c r="HTB146" s="294"/>
      <c r="HTH146" s="292"/>
      <c r="HTI146" s="293"/>
      <c r="HTJ146" s="294"/>
      <c r="HTP146" s="292"/>
      <c r="HTQ146" s="293"/>
      <c r="HTR146" s="294"/>
      <c r="HTX146" s="292"/>
      <c r="HTY146" s="293"/>
      <c r="HTZ146" s="294"/>
      <c r="HUF146" s="292"/>
      <c r="HUG146" s="293"/>
      <c r="HUH146" s="294"/>
      <c r="HUN146" s="292"/>
      <c r="HUO146" s="293"/>
      <c r="HUP146" s="294"/>
      <c r="HUV146" s="292"/>
      <c r="HUW146" s="293"/>
      <c r="HUX146" s="294"/>
      <c r="HVD146" s="292"/>
      <c r="HVE146" s="293"/>
      <c r="HVF146" s="294"/>
      <c r="HVL146" s="292"/>
      <c r="HVM146" s="293"/>
      <c r="HVN146" s="294"/>
      <c r="HVT146" s="292"/>
      <c r="HVU146" s="293"/>
      <c r="HVV146" s="294"/>
      <c r="HWB146" s="292"/>
      <c r="HWC146" s="293"/>
      <c r="HWD146" s="294"/>
      <c r="HWJ146" s="292"/>
      <c r="HWK146" s="293"/>
      <c r="HWL146" s="294"/>
      <c r="HWR146" s="292"/>
      <c r="HWS146" s="293"/>
      <c r="HWT146" s="294"/>
      <c r="HWZ146" s="292"/>
      <c r="HXA146" s="293"/>
      <c r="HXB146" s="294"/>
      <c r="HXH146" s="292"/>
      <c r="HXI146" s="293"/>
      <c r="HXJ146" s="294"/>
      <c r="HXP146" s="292"/>
      <c r="HXQ146" s="293"/>
      <c r="HXR146" s="294"/>
      <c r="HXX146" s="292"/>
      <c r="HXY146" s="293"/>
      <c r="HXZ146" s="294"/>
      <c r="HYF146" s="292"/>
      <c r="HYG146" s="293"/>
      <c r="HYH146" s="294"/>
      <c r="HYN146" s="292"/>
      <c r="HYO146" s="293"/>
      <c r="HYP146" s="294"/>
      <c r="HYV146" s="292"/>
      <c r="HYW146" s="293"/>
      <c r="HYX146" s="294"/>
      <c r="HZD146" s="292"/>
      <c r="HZE146" s="293"/>
      <c r="HZF146" s="294"/>
      <c r="HZL146" s="292"/>
      <c r="HZM146" s="293"/>
      <c r="HZN146" s="294"/>
      <c r="HZT146" s="292"/>
      <c r="HZU146" s="293"/>
      <c r="HZV146" s="294"/>
      <c r="IAB146" s="292"/>
      <c r="IAC146" s="293"/>
      <c r="IAD146" s="294"/>
      <c r="IAJ146" s="292"/>
      <c r="IAK146" s="293"/>
      <c r="IAL146" s="294"/>
      <c r="IAR146" s="292"/>
      <c r="IAS146" s="293"/>
      <c r="IAT146" s="294"/>
      <c r="IAZ146" s="292"/>
      <c r="IBA146" s="293"/>
      <c r="IBB146" s="294"/>
      <c r="IBH146" s="292"/>
      <c r="IBI146" s="293"/>
      <c r="IBJ146" s="294"/>
      <c r="IBP146" s="292"/>
      <c r="IBQ146" s="293"/>
      <c r="IBR146" s="294"/>
      <c r="IBX146" s="292"/>
      <c r="IBY146" s="293"/>
      <c r="IBZ146" s="294"/>
      <c r="ICF146" s="292"/>
      <c r="ICG146" s="293"/>
      <c r="ICH146" s="294"/>
      <c r="ICN146" s="292"/>
      <c r="ICO146" s="293"/>
      <c r="ICP146" s="294"/>
      <c r="ICV146" s="292"/>
      <c r="ICW146" s="293"/>
      <c r="ICX146" s="294"/>
      <c r="IDD146" s="292"/>
      <c r="IDE146" s="293"/>
      <c r="IDF146" s="294"/>
      <c r="IDL146" s="292"/>
      <c r="IDM146" s="293"/>
      <c r="IDN146" s="294"/>
      <c r="IDT146" s="292"/>
      <c r="IDU146" s="293"/>
      <c r="IDV146" s="294"/>
      <c r="IEB146" s="292"/>
      <c r="IEC146" s="293"/>
      <c r="IED146" s="294"/>
      <c r="IEJ146" s="292"/>
      <c r="IEK146" s="293"/>
      <c r="IEL146" s="294"/>
      <c r="IER146" s="292"/>
      <c r="IES146" s="293"/>
      <c r="IET146" s="294"/>
      <c r="IEZ146" s="292"/>
      <c r="IFA146" s="293"/>
      <c r="IFB146" s="294"/>
      <c r="IFH146" s="292"/>
      <c r="IFI146" s="293"/>
      <c r="IFJ146" s="294"/>
      <c r="IFP146" s="292"/>
      <c r="IFQ146" s="293"/>
      <c r="IFR146" s="294"/>
      <c r="IFX146" s="292"/>
      <c r="IFY146" s="293"/>
      <c r="IFZ146" s="294"/>
      <c r="IGF146" s="292"/>
      <c r="IGG146" s="293"/>
      <c r="IGH146" s="294"/>
      <c r="IGN146" s="292"/>
      <c r="IGO146" s="293"/>
      <c r="IGP146" s="294"/>
      <c r="IGV146" s="292"/>
      <c r="IGW146" s="293"/>
      <c r="IGX146" s="294"/>
      <c r="IHD146" s="292"/>
      <c r="IHE146" s="293"/>
      <c r="IHF146" s="294"/>
      <c r="IHL146" s="292"/>
      <c r="IHM146" s="293"/>
      <c r="IHN146" s="294"/>
      <c r="IHT146" s="292"/>
      <c r="IHU146" s="293"/>
      <c r="IHV146" s="294"/>
      <c r="IIB146" s="292"/>
      <c r="IIC146" s="293"/>
      <c r="IID146" s="294"/>
      <c r="IIJ146" s="292"/>
      <c r="IIK146" s="293"/>
      <c r="IIL146" s="294"/>
      <c r="IIR146" s="292"/>
      <c r="IIS146" s="293"/>
      <c r="IIT146" s="294"/>
      <c r="IIZ146" s="292"/>
      <c r="IJA146" s="293"/>
      <c r="IJB146" s="294"/>
      <c r="IJH146" s="292"/>
      <c r="IJI146" s="293"/>
      <c r="IJJ146" s="294"/>
      <c r="IJP146" s="292"/>
      <c r="IJQ146" s="293"/>
      <c r="IJR146" s="294"/>
      <c r="IJX146" s="292"/>
      <c r="IJY146" s="293"/>
      <c r="IJZ146" s="294"/>
      <c r="IKF146" s="292"/>
      <c r="IKG146" s="293"/>
      <c r="IKH146" s="294"/>
      <c r="IKN146" s="292"/>
      <c r="IKO146" s="293"/>
      <c r="IKP146" s="294"/>
      <c r="IKV146" s="292"/>
      <c r="IKW146" s="293"/>
      <c r="IKX146" s="294"/>
      <c r="ILD146" s="292"/>
      <c r="ILE146" s="293"/>
      <c r="ILF146" s="294"/>
      <c r="ILL146" s="292"/>
      <c r="ILM146" s="293"/>
      <c r="ILN146" s="294"/>
      <c r="ILT146" s="292"/>
      <c r="ILU146" s="293"/>
      <c r="ILV146" s="294"/>
      <c r="IMB146" s="292"/>
      <c r="IMC146" s="293"/>
      <c r="IMD146" s="294"/>
      <c r="IMJ146" s="292"/>
      <c r="IMK146" s="293"/>
      <c r="IML146" s="294"/>
      <c r="IMR146" s="292"/>
      <c r="IMS146" s="293"/>
      <c r="IMT146" s="294"/>
      <c r="IMZ146" s="292"/>
      <c r="INA146" s="293"/>
      <c r="INB146" s="294"/>
      <c r="INH146" s="292"/>
      <c r="INI146" s="293"/>
      <c r="INJ146" s="294"/>
      <c r="INP146" s="292"/>
      <c r="INQ146" s="293"/>
      <c r="INR146" s="294"/>
      <c r="INX146" s="292"/>
      <c r="INY146" s="293"/>
      <c r="INZ146" s="294"/>
      <c r="IOF146" s="292"/>
      <c r="IOG146" s="293"/>
      <c r="IOH146" s="294"/>
      <c r="ION146" s="292"/>
      <c r="IOO146" s="293"/>
      <c r="IOP146" s="294"/>
      <c r="IOV146" s="292"/>
      <c r="IOW146" s="293"/>
      <c r="IOX146" s="294"/>
      <c r="IPD146" s="292"/>
      <c r="IPE146" s="293"/>
      <c r="IPF146" s="294"/>
      <c r="IPL146" s="292"/>
      <c r="IPM146" s="293"/>
      <c r="IPN146" s="294"/>
      <c r="IPT146" s="292"/>
      <c r="IPU146" s="293"/>
      <c r="IPV146" s="294"/>
      <c r="IQB146" s="292"/>
      <c r="IQC146" s="293"/>
      <c r="IQD146" s="294"/>
      <c r="IQJ146" s="292"/>
      <c r="IQK146" s="293"/>
      <c r="IQL146" s="294"/>
      <c r="IQR146" s="292"/>
      <c r="IQS146" s="293"/>
      <c r="IQT146" s="294"/>
      <c r="IQZ146" s="292"/>
      <c r="IRA146" s="293"/>
      <c r="IRB146" s="294"/>
      <c r="IRH146" s="292"/>
      <c r="IRI146" s="293"/>
      <c r="IRJ146" s="294"/>
      <c r="IRP146" s="292"/>
      <c r="IRQ146" s="293"/>
      <c r="IRR146" s="294"/>
      <c r="IRX146" s="292"/>
      <c r="IRY146" s="293"/>
      <c r="IRZ146" s="294"/>
      <c r="ISF146" s="292"/>
      <c r="ISG146" s="293"/>
      <c r="ISH146" s="294"/>
      <c r="ISN146" s="292"/>
      <c r="ISO146" s="293"/>
      <c r="ISP146" s="294"/>
      <c r="ISV146" s="292"/>
      <c r="ISW146" s="293"/>
      <c r="ISX146" s="294"/>
      <c r="ITD146" s="292"/>
      <c r="ITE146" s="293"/>
      <c r="ITF146" s="294"/>
      <c r="ITL146" s="292"/>
      <c r="ITM146" s="293"/>
      <c r="ITN146" s="294"/>
      <c r="ITT146" s="292"/>
      <c r="ITU146" s="293"/>
      <c r="ITV146" s="294"/>
      <c r="IUB146" s="292"/>
      <c r="IUC146" s="293"/>
      <c r="IUD146" s="294"/>
      <c r="IUJ146" s="292"/>
      <c r="IUK146" s="293"/>
      <c r="IUL146" s="294"/>
      <c r="IUR146" s="292"/>
      <c r="IUS146" s="293"/>
      <c r="IUT146" s="294"/>
      <c r="IUZ146" s="292"/>
      <c r="IVA146" s="293"/>
      <c r="IVB146" s="294"/>
      <c r="IVH146" s="292"/>
      <c r="IVI146" s="293"/>
      <c r="IVJ146" s="294"/>
      <c r="IVP146" s="292"/>
      <c r="IVQ146" s="293"/>
      <c r="IVR146" s="294"/>
      <c r="IVX146" s="292"/>
      <c r="IVY146" s="293"/>
      <c r="IVZ146" s="294"/>
      <c r="IWF146" s="292"/>
      <c r="IWG146" s="293"/>
      <c r="IWH146" s="294"/>
      <c r="IWN146" s="292"/>
      <c r="IWO146" s="293"/>
      <c r="IWP146" s="294"/>
      <c r="IWV146" s="292"/>
      <c r="IWW146" s="293"/>
      <c r="IWX146" s="294"/>
      <c r="IXD146" s="292"/>
      <c r="IXE146" s="293"/>
      <c r="IXF146" s="294"/>
      <c r="IXL146" s="292"/>
      <c r="IXM146" s="293"/>
      <c r="IXN146" s="294"/>
      <c r="IXT146" s="292"/>
      <c r="IXU146" s="293"/>
      <c r="IXV146" s="294"/>
      <c r="IYB146" s="292"/>
      <c r="IYC146" s="293"/>
      <c r="IYD146" s="294"/>
      <c r="IYJ146" s="292"/>
      <c r="IYK146" s="293"/>
      <c r="IYL146" s="294"/>
      <c r="IYR146" s="292"/>
      <c r="IYS146" s="293"/>
      <c r="IYT146" s="294"/>
      <c r="IYZ146" s="292"/>
      <c r="IZA146" s="293"/>
      <c r="IZB146" s="294"/>
      <c r="IZH146" s="292"/>
      <c r="IZI146" s="293"/>
      <c r="IZJ146" s="294"/>
      <c r="IZP146" s="292"/>
      <c r="IZQ146" s="293"/>
      <c r="IZR146" s="294"/>
      <c r="IZX146" s="292"/>
      <c r="IZY146" s="293"/>
      <c r="IZZ146" s="294"/>
      <c r="JAF146" s="292"/>
      <c r="JAG146" s="293"/>
      <c r="JAH146" s="294"/>
      <c r="JAN146" s="292"/>
      <c r="JAO146" s="293"/>
      <c r="JAP146" s="294"/>
      <c r="JAV146" s="292"/>
      <c r="JAW146" s="293"/>
      <c r="JAX146" s="294"/>
      <c r="JBD146" s="292"/>
      <c r="JBE146" s="293"/>
      <c r="JBF146" s="294"/>
      <c r="JBL146" s="292"/>
      <c r="JBM146" s="293"/>
      <c r="JBN146" s="294"/>
      <c r="JBT146" s="292"/>
      <c r="JBU146" s="293"/>
      <c r="JBV146" s="294"/>
      <c r="JCB146" s="292"/>
      <c r="JCC146" s="293"/>
      <c r="JCD146" s="294"/>
      <c r="JCJ146" s="292"/>
      <c r="JCK146" s="293"/>
      <c r="JCL146" s="294"/>
      <c r="JCR146" s="292"/>
      <c r="JCS146" s="293"/>
      <c r="JCT146" s="294"/>
      <c r="JCZ146" s="292"/>
      <c r="JDA146" s="293"/>
      <c r="JDB146" s="294"/>
      <c r="JDH146" s="292"/>
      <c r="JDI146" s="293"/>
      <c r="JDJ146" s="294"/>
      <c r="JDP146" s="292"/>
      <c r="JDQ146" s="293"/>
      <c r="JDR146" s="294"/>
      <c r="JDX146" s="292"/>
      <c r="JDY146" s="293"/>
      <c r="JDZ146" s="294"/>
      <c r="JEF146" s="292"/>
      <c r="JEG146" s="293"/>
      <c r="JEH146" s="294"/>
      <c r="JEN146" s="292"/>
      <c r="JEO146" s="293"/>
      <c r="JEP146" s="294"/>
      <c r="JEV146" s="292"/>
      <c r="JEW146" s="293"/>
      <c r="JEX146" s="294"/>
      <c r="JFD146" s="292"/>
      <c r="JFE146" s="293"/>
      <c r="JFF146" s="294"/>
      <c r="JFL146" s="292"/>
      <c r="JFM146" s="293"/>
      <c r="JFN146" s="294"/>
      <c r="JFT146" s="292"/>
      <c r="JFU146" s="293"/>
      <c r="JFV146" s="294"/>
      <c r="JGB146" s="292"/>
      <c r="JGC146" s="293"/>
      <c r="JGD146" s="294"/>
      <c r="JGJ146" s="292"/>
      <c r="JGK146" s="293"/>
      <c r="JGL146" s="294"/>
      <c r="JGR146" s="292"/>
      <c r="JGS146" s="293"/>
      <c r="JGT146" s="294"/>
      <c r="JGZ146" s="292"/>
      <c r="JHA146" s="293"/>
      <c r="JHB146" s="294"/>
      <c r="JHH146" s="292"/>
      <c r="JHI146" s="293"/>
      <c r="JHJ146" s="294"/>
      <c r="JHP146" s="292"/>
      <c r="JHQ146" s="293"/>
      <c r="JHR146" s="294"/>
      <c r="JHX146" s="292"/>
      <c r="JHY146" s="293"/>
      <c r="JHZ146" s="294"/>
      <c r="JIF146" s="292"/>
      <c r="JIG146" s="293"/>
      <c r="JIH146" s="294"/>
      <c r="JIN146" s="292"/>
      <c r="JIO146" s="293"/>
      <c r="JIP146" s="294"/>
      <c r="JIV146" s="292"/>
      <c r="JIW146" s="293"/>
      <c r="JIX146" s="294"/>
      <c r="JJD146" s="292"/>
      <c r="JJE146" s="293"/>
      <c r="JJF146" s="294"/>
      <c r="JJL146" s="292"/>
      <c r="JJM146" s="293"/>
      <c r="JJN146" s="294"/>
      <c r="JJT146" s="292"/>
      <c r="JJU146" s="293"/>
      <c r="JJV146" s="294"/>
      <c r="JKB146" s="292"/>
      <c r="JKC146" s="293"/>
      <c r="JKD146" s="294"/>
      <c r="JKJ146" s="292"/>
      <c r="JKK146" s="293"/>
      <c r="JKL146" s="294"/>
      <c r="JKR146" s="292"/>
      <c r="JKS146" s="293"/>
      <c r="JKT146" s="294"/>
      <c r="JKZ146" s="292"/>
      <c r="JLA146" s="293"/>
      <c r="JLB146" s="294"/>
      <c r="JLH146" s="292"/>
      <c r="JLI146" s="293"/>
      <c r="JLJ146" s="294"/>
      <c r="JLP146" s="292"/>
      <c r="JLQ146" s="293"/>
      <c r="JLR146" s="294"/>
      <c r="JLX146" s="292"/>
      <c r="JLY146" s="293"/>
      <c r="JLZ146" s="294"/>
      <c r="JMF146" s="292"/>
      <c r="JMG146" s="293"/>
      <c r="JMH146" s="294"/>
      <c r="JMN146" s="292"/>
      <c r="JMO146" s="293"/>
      <c r="JMP146" s="294"/>
      <c r="JMV146" s="292"/>
      <c r="JMW146" s="293"/>
      <c r="JMX146" s="294"/>
      <c r="JND146" s="292"/>
      <c r="JNE146" s="293"/>
      <c r="JNF146" s="294"/>
      <c r="JNL146" s="292"/>
      <c r="JNM146" s="293"/>
      <c r="JNN146" s="294"/>
      <c r="JNT146" s="292"/>
      <c r="JNU146" s="293"/>
      <c r="JNV146" s="294"/>
      <c r="JOB146" s="292"/>
      <c r="JOC146" s="293"/>
      <c r="JOD146" s="294"/>
      <c r="JOJ146" s="292"/>
      <c r="JOK146" s="293"/>
      <c r="JOL146" s="294"/>
      <c r="JOR146" s="292"/>
      <c r="JOS146" s="293"/>
      <c r="JOT146" s="294"/>
      <c r="JOZ146" s="292"/>
      <c r="JPA146" s="293"/>
      <c r="JPB146" s="294"/>
      <c r="JPH146" s="292"/>
      <c r="JPI146" s="293"/>
      <c r="JPJ146" s="294"/>
      <c r="JPP146" s="292"/>
      <c r="JPQ146" s="293"/>
      <c r="JPR146" s="294"/>
      <c r="JPX146" s="292"/>
      <c r="JPY146" s="293"/>
      <c r="JPZ146" s="294"/>
      <c r="JQF146" s="292"/>
      <c r="JQG146" s="293"/>
      <c r="JQH146" s="294"/>
      <c r="JQN146" s="292"/>
      <c r="JQO146" s="293"/>
      <c r="JQP146" s="294"/>
      <c r="JQV146" s="292"/>
      <c r="JQW146" s="293"/>
      <c r="JQX146" s="294"/>
      <c r="JRD146" s="292"/>
      <c r="JRE146" s="293"/>
      <c r="JRF146" s="294"/>
      <c r="JRL146" s="292"/>
      <c r="JRM146" s="293"/>
      <c r="JRN146" s="294"/>
      <c r="JRT146" s="292"/>
      <c r="JRU146" s="293"/>
      <c r="JRV146" s="294"/>
      <c r="JSB146" s="292"/>
      <c r="JSC146" s="293"/>
      <c r="JSD146" s="294"/>
      <c r="JSJ146" s="292"/>
      <c r="JSK146" s="293"/>
      <c r="JSL146" s="294"/>
      <c r="JSR146" s="292"/>
      <c r="JSS146" s="293"/>
      <c r="JST146" s="294"/>
      <c r="JSZ146" s="292"/>
      <c r="JTA146" s="293"/>
      <c r="JTB146" s="294"/>
      <c r="JTH146" s="292"/>
      <c r="JTI146" s="293"/>
      <c r="JTJ146" s="294"/>
      <c r="JTP146" s="292"/>
      <c r="JTQ146" s="293"/>
      <c r="JTR146" s="294"/>
      <c r="JTX146" s="292"/>
      <c r="JTY146" s="293"/>
      <c r="JTZ146" s="294"/>
      <c r="JUF146" s="292"/>
      <c r="JUG146" s="293"/>
      <c r="JUH146" s="294"/>
      <c r="JUN146" s="292"/>
      <c r="JUO146" s="293"/>
      <c r="JUP146" s="294"/>
      <c r="JUV146" s="292"/>
      <c r="JUW146" s="293"/>
      <c r="JUX146" s="294"/>
      <c r="JVD146" s="292"/>
      <c r="JVE146" s="293"/>
      <c r="JVF146" s="294"/>
      <c r="JVL146" s="292"/>
      <c r="JVM146" s="293"/>
      <c r="JVN146" s="294"/>
      <c r="JVT146" s="292"/>
      <c r="JVU146" s="293"/>
      <c r="JVV146" s="294"/>
      <c r="JWB146" s="292"/>
      <c r="JWC146" s="293"/>
      <c r="JWD146" s="294"/>
      <c r="JWJ146" s="292"/>
      <c r="JWK146" s="293"/>
      <c r="JWL146" s="294"/>
      <c r="JWR146" s="292"/>
      <c r="JWS146" s="293"/>
      <c r="JWT146" s="294"/>
      <c r="JWZ146" s="292"/>
      <c r="JXA146" s="293"/>
      <c r="JXB146" s="294"/>
      <c r="JXH146" s="292"/>
      <c r="JXI146" s="293"/>
      <c r="JXJ146" s="294"/>
      <c r="JXP146" s="292"/>
      <c r="JXQ146" s="293"/>
      <c r="JXR146" s="294"/>
      <c r="JXX146" s="292"/>
      <c r="JXY146" s="293"/>
      <c r="JXZ146" s="294"/>
      <c r="JYF146" s="292"/>
      <c r="JYG146" s="293"/>
      <c r="JYH146" s="294"/>
      <c r="JYN146" s="292"/>
      <c r="JYO146" s="293"/>
      <c r="JYP146" s="294"/>
      <c r="JYV146" s="292"/>
      <c r="JYW146" s="293"/>
      <c r="JYX146" s="294"/>
      <c r="JZD146" s="292"/>
      <c r="JZE146" s="293"/>
      <c r="JZF146" s="294"/>
      <c r="JZL146" s="292"/>
      <c r="JZM146" s="293"/>
      <c r="JZN146" s="294"/>
      <c r="JZT146" s="292"/>
      <c r="JZU146" s="293"/>
      <c r="JZV146" s="294"/>
      <c r="KAB146" s="292"/>
      <c r="KAC146" s="293"/>
      <c r="KAD146" s="294"/>
      <c r="KAJ146" s="292"/>
      <c r="KAK146" s="293"/>
      <c r="KAL146" s="294"/>
      <c r="KAR146" s="292"/>
      <c r="KAS146" s="293"/>
      <c r="KAT146" s="294"/>
      <c r="KAZ146" s="292"/>
      <c r="KBA146" s="293"/>
      <c r="KBB146" s="294"/>
      <c r="KBH146" s="292"/>
      <c r="KBI146" s="293"/>
      <c r="KBJ146" s="294"/>
      <c r="KBP146" s="292"/>
      <c r="KBQ146" s="293"/>
      <c r="KBR146" s="294"/>
      <c r="KBX146" s="292"/>
      <c r="KBY146" s="293"/>
      <c r="KBZ146" s="294"/>
      <c r="KCF146" s="292"/>
      <c r="KCG146" s="293"/>
      <c r="KCH146" s="294"/>
      <c r="KCN146" s="292"/>
      <c r="KCO146" s="293"/>
      <c r="KCP146" s="294"/>
      <c r="KCV146" s="292"/>
      <c r="KCW146" s="293"/>
      <c r="KCX146" s="294"/>
      <c r="KDD146" s="292"/>
      <c r="KDE146" s="293"/>
      <c r="KDF146" s="294"/>
      <c r="KDL146" s="292"/>
      <c r="KDM146" s="293"/>
      <c r="KDN146" s="294"/>
      <c r="KDT146" s="292"/>
      <c r="KDU146" s="293"/>
      <c r="KDV146" s="294"/>
      <c r="KEB146" s="292"/>
      <c r="KEC146" s="293"/>
      <c r="KED146" s="294"/>
      <c r="KEJ146" s="292"/>
      <c r="KEK146" s="293"/>
      <c r="KEL146" s="294"/>
      <c r="KER146" s="292"/>
      <c r="KES146" s="293"/>
      <c r="KET146" s="294"/>
      <c r="KEZ146" s="292"/>
      <c r="KFA146" s="293"/>
      <c r="KFB146" s="294"/>
      <c r="KFH146" s="292"/>
      <c r="KFI146" s="293"/>
      <c r="KFJ146" s="294"/>
      <c r="KFP146" s="292"/>
      <c r="KFQ146" s="293"/>
      <c r="KFR146" s="294"/>
      <c r="KFX146" s="292"/>
      <c r="KFY146" s="293"/>
      <c r="KFZ146" s="294"/>
      <c r="KGF146" s="292"/>
      <c r="KGG146" s="293"/>
      <c r="KGH146" s="294"/>
      <c r="KGN146" s="292"/>
      <c r="KGO146" s="293"/>
      <c r="KGP146" s="294"/>
      <c r="KGV146" s="292"/>
      <c r="KGW146" s="293"/>
      <c r="KGX146" s="294"/>
      <c r="KHD146" s="292"/>
      <c r="KHE146" s="293"/>
      <c r="KHF146" s="294"/>
      <c r="KHL146" s="292"/>
      <c r="KHM146" s="293"/>
      <c r="KHN146" s="294"/>
      <c r="KHT146" s="292"/>
      <c r="KHU146" s="293"/>
      <c r="KHV146" s="294"/>
      <c r="KIB146" s="292"/>
      <c r="KIC146" s="293"/>
      <c r="KID146" s="294"/>
      <c r="KIJ146" s="292"/>
      <c r="KIK146" s="293"/>
      <c r="KIL146" s="294"/>
      <c r="KIR146" s="292"/>
      <c r="KIS146" s="293"/>
      <c r="KIT146" s="294"/>
      <c r="KIZ146" s="292"/>
      <c r="KJA146" s="293"/>
      <c r="KJB146" s="294"/>
      <c r="KJH146" s="292"/>
      <c r="KJI146" s="293"/>
      <c r="KJJ146" s="294"/>
      <c r="KJP146" s="292"/>
      <c r="KJQ146" s="293"/>
      <c r="KJR146" s="294"/>
      <c r="KJX146" s="292"/>
      <c r="KJY146" s="293"/>
      <c r="KJZ146" s="294"/>
      <c r="KKF146" s="292"/>
      <c r="KKG146" s="293"/>
      <c r="KKH146" s="294"/>
      <c r="KKN146" s="292"/>
      <c r="KKO146" s="293"/>
      <c r="KKP146" s="294"/>
      <c r="KKV146" s="292"/>
      <c r="KKW146" s="293"/>
      <c r="KKX146" s="294"/>
      <c r="KLD146" s="292"/>
      <c r="KLE146" s="293"/>
      <c r="KLF146" s="294"/>
      <c r="KLL146" s="292"/>
      <c r="KLM146" s="293"/>
      <c r="KLN146" s="294"/>
      <c r="KLT146" s="292"/>
      <c r="KLU146" s="293"/>
      <c r="KLV146" s="294"/>
      <c r="KMB146" s="292"/>
      <c r="KMC146" s="293"/>
      <c r="KMD146" s="294"/>
      <c r="KMJ146" s="292"/>
      <c r="KMK146" s="293"/>
      <c r="KML146" s="294"/>
      <c r="KMR146" s="292"/>
      <c r="KMS146" s="293"/>
      <c r="KMT146" s="294"/>
      <c r="KMZ146" s="292"/>
      <c r="KNA146" s="293"/>
      <c r="KNB146" s="294"/>
      <c r="KNH146" s="292"/>
      <c r="KNI146" s="293"/>
      <c r="KNJ146" s="294"/>
      <c r="KNP146" s="292"/>
      <c r="KNQ146" s="293"/>
      <c r="KNR146" s="294"/>
      <c r="KNX146" s="292"/>
      <c r="KNY146" s="293"/>
      <c r="KNZ146" s="294"/>
      <c r="KOF146" s="292"/>
      <c r="KOG146" s="293"/>
      <c r="KOH146" s="294"/>
      <c r="KON146" s="292"/>
      <c r="KOO146" s="293"/>
      <c r="KOP146" s="294"/>
      <c r="KOV146" s="292"/>
      <c r="KOW146" s="293"/>
      <c r="KOX146" s="294"/>
      <c r="KPD146" s="292"/>
      <c r="KPE146" s="293"/>
      <c r="KPF146" s="294"/>
      <c r="KPL146" s="292"/>
      <c r="KPM146" s="293"/>
      <c r="KPN146" s="294"/>
      <c r="KPT146" s="292"/>
      <c r="KPU146" s="293"/>
      <c r="KPV146" s="294"/>
      <c r="KQB146" s="292"/>
      <c r="KQC146" s="293"/>
      <c r="KQD146" s="294"/>
      <c r="KQJ146" s="292"/>
      <c r="KQK146" s="293"/>
      <c r="KQL146" s="294"/>
      <c r="KQR146" s="292"/>
      <c r="KQS146" s="293"/>
      <c r="KQT146" s="294"/>
      <c r="KQZ146" s="292"/>
      <c r="KRA146" s="293"/>
      <c r="KRB146" s="294"/>
      <c r="KRH146" s="292"/>
      <c r="KRI146" s="293"/>
      <c r="KRJ146" s="294"/>
      <c r="KRP146" s="292"/>
      <c r="KRQ146" s="293"/>
      <c r="KRR146" s="294"/>
      <c r="KRX146" s="292"/>
      <c r="KRY146" s="293"/>
      <c r="KRZ146" s="294"/>
      <c r="KSF146" s="292"/>
      <c r="KSG146" s="293"/>
      <c r="KSH146" s="294"/>
      <c r="KSN146" s="292"/>
      <c r="KSO146" s="293"/>
      <c r="KSP146" s="294"/>
      <c r="KSV146" s="292"/>
      <c r="KSW146" s="293"/>
      <c r="KSX146" s="294"/>
      <c r="KTD146" s="292"/>
      <c r="KTE146" s="293"/>
      <c r="KTF146" s="294"/>
      <c r="KTL146" s="292"/>
      <c r="KTM146" s="293"/>
      <c r="KTN146" s="294"/>
      <c r="KTT146" s="292"/>
      <c r="KTU146" s="293"/>
      <c r="KTV146" s="294"/>
      <c r="KUB146" s="292"/>
      <c r="KUC146" s="293"/>
      <c r="KUD146" s="294"/>
      <c r="KUJ146" s="292"/>
      <c r="KUK146" s="293"/>
      <c r="KUL146" s="294"/>
      <c r="KUR146" s="292"/>
      <c r="KUS146" s="293"/>
      <c r="KUT146" s="294"/>
      <c r="KUZ146" s="292"/>
      <c r="KVA146" s="293"/>
      <c r="KVB146" s="294"/>
      <c r="KVH146" s="292"/>
      <c r="KVI146" s="293"/>
      <c r="KVJ146" s="294"/>
      <c r="KVP146" s="292"/>
      <c r="KVQ146" s="293"/>
      <c r="KVR146" s="294"/>
      <c r="KVX146" s="292"/>
      <c r="KVY146" s="293"/>
      <c r="KVZ146" s="294"/>
      <c r="KWF146" s="292"/>
      <c r="KWG146" s="293"/>
      <c r="KWH146" s="294"/>
      <c r="KWN146" s="292"/>
      <c r="KWO146" s="293"/>
      <c r="KWP146" s="294"/>
      <c r="KWV146" s="292"/>
      <c r="KWW146" s="293"/>
      <c r="KWX146" s="294"/>
      <c r="KXD146" s="292"/>
      <c r="KXE146" s="293"/>
      <c r="KXF146" s="294"/>
      <c r="KXL146" s="292"/>
      <c r="KXM146" s="293"/>
      <c r="KXN146" s="294"/>
      <c r="KXT146" s="292"/>
      <c r="KXU146" s="293"/>
      <c r="KXV146" s="294"/>
      <c r="KYB146" s="292"/>
      <c r="KYC146" s="293"/>
      <c r="KYD146" s="294"/>
      <c r="KYJ146" s="292"/>
      <c r="KYK146" s="293"/>
      <c r="KYL146" s="294"/>
      <c r="KYR146" s="292"/>
      <c r="KYS146" s="293"/>
      <c r="KYT146" s="294"/>
      <c r="KYZ146" s="292"/>
      <c r="KZA146" s="293"/>
      <c r="KZB146" s="294"/>
      <c r="KZH146" s="292"/>
      <c r="KZI146" s="293"/>
      <c r="KZJ146" s="294"/>
      <c r="KZP146" s="292"/>
      <c r="KZQ146" s="293"/>
      <c r="KZR146" s="294"/>
      <c r="KZX146" s="292"/>
      <c r="KZY146" s="293"/>
      <c r="KZZ146" s="294"/>
      <c r="LAF146" s="292"/>
      <c r="LAG146" s="293"/>
      <c r="LAH146" s="294"/>
      <c r="LAN146" s="292"/>
      <c r="LAO146" s="293"/>
      <c r="LAP146" s="294"/>
      <c r="LAV146" s="292"/>
      <c r="LAW146" s="293"/>
      <c r="LAX146" s="294"/>
      <c r="LBD146" s="292"/>
      <c r="LBE146" s="293"/>
      <c r="LBF146" s="294"/>
      <c r="LBL146" s="292"/>
      <c r="LBM146" s="293"/>
      <c r="LBN146" s="294"/>
      <c r="LBT146" s="292"/>
      <c r="LBU146" s="293"/>
      <c r="LBV146" s="294"/>
      <c r="LCB146" s="292"/>
      <c r="LCC146" s="293"/>
      <c r="LCD146" s="294"/>
      <c r="LCJ146" s="292"/>
      <c r="LCK146" s="293"/>
      <c r="LCL146" s="294"/>
      <c r="LCR146" s="292"/>
      <c r="LCS146" s="293"/>
      <c r="LCT146" s="294"/>
      <c r="LCZ146" s="292"/>
      <c r="LDA146" s="293"/>
      <c r="LDB146" s="294"/>
      <c r="LDH146" s="292"/>
      <c r="LDI146" s="293"/>
      <c r="LDJ146" s="294"/>
      <c r="LDP146" s="292"/>
      <c r="LDQ146" s="293"/>
      <c r="LDR146" s="294"/>
      <c r="LDX146" s="292"/>
      <c r="LDY146" s="293"/>
      <c r="LDZ146" s="294"/>
      <c r="LEF146" s="292"/>
      <c r="LEG146" s="293"/>
      <c r="LEH146" s="294"/>
      <c r="LEN146" s="292"/>
      <c r="LEO146" s="293"/>
      <c r="LEP146" s="294"/>
      <c r="LEV146" s="292"/>
      <c r="LEW146" s="293"/>
      <c r="LEX146" s="294"/>
      <c r="LFD146" s="292"/>
      <c r="LFE146" s="293"/>
      <c r="LFF146" s="294"/>
      <c r="LFL146" s="292"/>
      <c r="LFM146" s="293"/>
      <c r="LFN146" s="294"/>
      <c r="LFT146" s="292"/>
      <c r="LFU146" s="293"/>
      <c r="LFV146" s="294"/>
      <c r="LGB146" s="292"/>
      <c r="LGC146" s="293"/>
      <c r="LGD146" s="294"/>
      <c r="LGJ146" s="292"/>
      <c r="LGK146" s="293"/>
      <c r="LGL146" s="294"/>
      <c r="LGR146" s="292"/>
      <c r="LGS146" s="293"/>
      <c r="LGT146" s="294"/>
      <c r="LGZ146" s="292"/>
      <c r="LHA146" s="293"/>
      <c r="LHB146" s="294"/>
      <c r="LHH146" s="292"/>
      <c r="LHI146" s="293"/>
      <c r="LHJ146" s="294"/>
      <c r="LHP146" s="292"/>
      <c r="LHQ146" s="293"/>
      <c r="LHR146" s="294"/>
      <c r="LHX146" s="292"/>
      <c r="LHY146" s="293"/>
      <c r="LHZ146" s="294"/>
      <c r="LIF146" s="292"/>
      <c r="LIG146" s="293"/>
      <c r="LIH146" s="294"/>
      <c r="LIN146" s="292"/>
      <c r="LIO146" s="293"/>
      <c r="LIP146" s="294"/>
      <c r="LIV146" s="292"/>
      <c r="LIW146" s="293"/>
      <c r="LIX146" s="294"/>
      <c r="LJD146" s="292"/>
      <c r="LJE146" s="293"/>
      <c r="LJF146" s="294"/>
      <c r="LJL146" s="292"/>
      <c r="LJM146" s="293"/>
      <c r="LJN146" s="294"/>
      <c r="LJT146" s="292"/>
      <c r="LJU146" s="293"/>
      <c r="LJV146" s="294"/>
      <c r="LKB146" s="292"/>
      <c r="LKC146" s="293"/>
      <c r="LKD146" s="294"/>
      <c r="LKJ146" s="292"/>
      <c r="LKK146" s="293"/>
      <c r="LKL146" s="294"/>
      <c r="LKR146" s="292"/>
      <c r="LKS146" s="293"/>
      <c r="LKT146" s="294"/>
      <c r="LKZ146" s="292"/>
      <c r="LLA146" s="293"/>
      <c r="LLB146" s="294"/>
      <c r="LLH146" s="292"/>
      <c r="LLI146" s="293"/>
      <c r="LLJ146" s="294"/>
      <c r="LLP146" s="292"/>
      <c r="LLQ146" s="293"/>
      <c r="LLR146" s="294"/>
      <c r="LLX146" s="292"/>
      <c r="LLY146" s="293"/>
      <c r="LLZ146" s="294"/>
      <c r="LMF146" s="292"/>
      <c r="LMG146" s="293"/>
      <c r="LMH146" s="294"/>
      <c r="LMN146" s="292"/>
      <c r="LMO146" s="293"/>
      <c r="LMP146" s="294"/>
      <c r="LMV146" s="292"/>
      <c r="LMW146" s="293"/>
      <c r="LMX146" s="294"/>
      <c r="LND146" s="292"/>
      <c r="LNE146" s="293"/>
      <c r="LNF146" s="294"/>
      <c r="LNL146" s="292"/>
      <c r="LNM146" s="293"/>
      <c r="LNN146" s="294"/>
      <c r="LNT146" s="292"/>
      <c r="LNU146" s="293"/>
      <c r="LNV146" s="294"/>
      <c r="LOB146" s="292"/>
      <c r="LOC146" s="293"/>
      <c r="LOD146" s="294"/>
      <c r="LOJ146" s="292"/>
      <c r="LOK146" s="293"/>
      <c r="LOL146" s="294"/>
      <c r="LOR146" s="292"/>
      <c r="LOS146" s="293"/>
      <c r="LOT146" s="294"/>
      <c r="LOZ146" s="292"/>
      <c r="LPA146" s="293"/>
      <c r="LPB146" s="294"/>
      <c r="LPH146" s="292"/>
      <c r="LPI146" s="293"/>
      <c r="LPJ146" s="294"/>
      <c r="LPP146" s="292"/>
      <c r="LPQ146" s="293"/>
      <c r="LPR146" s="294"/>
      <c r="LPX146" s="292"/>
      <c r="LPY146" s="293"/>
      <c r="LPZ146" s="294"/>
      <c r="LQF146" s="292"/>
      <c r="LQG146" s="293"/>
      <c r="LQH146" s="294"/>
      <c r="LQN146" s="292"/>
      <c r="LQO146" s="293"/>
      <c r="LQP146" s="294"/>
      <c r="LQV146" s="292"/>
      <c r="LQW146" s="293"/>
      <c r="LQX146" s="294"/>
      <c r="LRD146" s="292"/>
      <c r="LRE146" s="293"/>
      <c r="LRF146" s="294"/>
      <c r="LRL146" s="292"/>
      <c r="LRM146" s="293"/>
      <c r="LRN146" s="294"/>
      <c r="LRT146" s="292"/>
      <c r="LRU146" s="293"/>
      <c r="LRV146" s="294"/>
      <c r="LSB146" s="292"/>
      <c r="LSC146" s="293"/>
      <c r="LSD146" s="294"/>
      <c r="LSJ146" s="292"/>
      <c r="LSK146" s="293"/>
      <c r="LSL146" s="294"/>
      <c r="LSR146" s="292"/>
      <c r="LSS146" s="293"/>
      <c r="LST146" s="294"/>
      <c r="LSZ146" s="292"/>
      <c r="LTA146" s="293"/>
      <c r="LTB146" s="294"/>
      <c r="LTH146" s="292"/>
      <c r="LTI146" s="293"/>
      <c r="LTJ146" s="294"/>
      <c r="LTP146" s="292"/>
      <c r="LTQ146" s="293"/>
      <c r="LTR146" s="294"/>
      <c r="LTX146" s="292"/>
      <c r="LTY146" s="293"/>
      <c r="LTZ146" s="294"/>
      <c r="LUF146" s="292"/>
      <c r="LUG146" s="293"/>
      <c r="LUH146" s="294"/>
      <c r="LUN146" s="292"/>
      <c r="LUO146" s="293"/>
      <c r="LUP146" s="294"/>
      <c r="LUV146" s="292"/>
      <c r="LUW146" s="293"/>
      <c r="LUX146" s="294"/>
      <c r="LVD146" s="292"/>
      <c r="LVE146" s="293"/>
      <c r="LVF146" s="294"/>
      <c r="LVL146" s="292"/>
      <c r="LVM146" s="293"/>
      <c r="LVN146" s="294"/>
      <c r="LVT146" s="292"/>
      <c r="LVU146" s="293"/>
      <c r="LVV146" s="294"/>
      <c r="LWB146" s="292"/>
      <c r="LWC146" s="293"/>
      <c r="LWD146" s="294"/>
      <c r="LWJ146" s="292"/>
      <c r="LWK146" s="293"/>
      <c r="LWL146" s="294"/>
      <c r="LWR146" s="292"/>
      <c r="LWS146" s="293"/>
      <c r="LWT146" s="294"/>
      <c r="LWZ146" s="292"/>
      <c r="LXA146" s="293"/>
      <c r="LXB146" s="294"/>
      <c r="LXH146" s="292"/>
      <c r="LXI146" s="293"/>
      <c r="LXJ146" s="294"/>
      <c r="LXP146" s="292"/>
      <c r="LXQ146" s="293"/>
      <c r="LXR146" s="294"/>
      <c r="LXX146" s="292"/>
      <c r="LXY146" s="293"/>
      <c r="LXZ146" s="294"/>
      <c r="LYF146" s="292"/>
      <c r="LYG146" s="293"/>
      <c r="LYH146" s="294"/>
      <c r="LYN146" s="292"/>
      <c r="LYO146" s="293"/>
      <c r="LYP146" s="294"/>
      <c r="LYV146" s="292"/>
      <c r="LYW146" s="293"/>
      <c r="LYX146" s="294"/>
      <c r="LZD146" s="292"/>
      <c r="LZE146" s="293"/>
      <c r="LZF146" s="294"/>
      <c r="LZL146" s="292"/>
      <c r="LZM146" s="293"/>
      <c r="LZN146" s="294"/>
      <c r="LZT146" s="292"/>
      <c r="LZU146" s="293"/>
      <c r="LZV146" s="294"/>
      <c r="MAB146" s="292"/>
      <c r="MAC146" s="293"/>
      <c r="MAD146" s="294"/>
      <c r="MAJ146" s="292"/>
      <c r="MAK146" s="293"/>
      <c r="MAL146" s="294"/>
      <c r="MAR146" s="292"/>
      <c r="MAS146" s="293"/>
      <c r="MAT146" s="294"/>
      <c r="MAZ146" s="292"/>
      <c r="MBA146" s="293"/>
      <c r="MBB146" s="294"/>
      <c r="MBH146" s="292"/>
      <c r="MBI146" s="293"/>
      <c r="MBJ146" s="294"/>
      <c r="MBP146" s="292"/>
      <c r="MBQ146" s="293"/>
      <c r="MBR146" s="294"/>
      <c r="MBX146" s="292"/>
      <c r="MBY146" s="293"/>
      <c r="MBZ146" s="294"/>
      <c r="MCF146" s="292"/>
      <c r="MCG146" s="293"/>
      <c r="MCH146" s="294"/>
      <c r="MCN146" s="292"/>
      <c r="MCO146" s="293"/>
      <c r="MCP146" s="294"/>
      <c r="MCV146" s="292"/>
      <c r="MCW146" s="293"/>
      <c r="MCX146" s="294"/>
      <c r="MDD146" s="292"/>
      <c r="MDE146" s="293"/>
      <c r="MDF146" s="294"/>
      <c r="MDL146" s="292"/>
      <c r="MDM146" s="293"/>
      <c r="MDN146" s="294"/>
      <c r="MDT146" s="292"/>
      <c r="MDU146" s="293"/>
      <c r="MDV146" s="294"/>
      <c r="MEB146" s="292"/>
      <c r="MEC146" s="293"/>
      <c r="MED146" s="294"/>
      <c r="MEJ146" s="292"/>
      <c r="MEK146" s="293"/>
      <c r="MEL146" s="294"/>
      <c r="MER146" s="292"/>
      <c r="MES146" s="293"/>
      <c r="MET146" s="294"/>
      <c r="MEZ146" s="292"/>
      <c r="MFA146" s="293"/>
      <c r="MFB146" s="294"/>
      <c r="MFH146" s="292"/>
      <c r="MFI146" s="293"/>
      <c r="MFJ146" s="294"/>
      <c r="MFP146" s="292"/>
      <c r="MFQ146" s="293"/>
      <c r="MFR146" s="294"/>
      <c r="MFX146" s="292"/>
      <c r="MFY146" s="293"/>
      <c r="MFZ146" s="294"/>
      <c r="MGF146" s="292"/>
      <c r="MGG146" s="293"/>
      <c r="MGH146" s="294"/>
      <c r="MGN146" s="292"/>
      <c r="MGO146" s="293"/>
      <c r="MGP146" s="294"/>
      <c r="MGV146" s="292"/>
      <c r="MGW146" s="293"/>
      <c r="MGX146" s="294"/>
      <c r="MHD146" s="292"/>
      <c r="MHE146" s="293"/>
      <c r="MHF146" s="294"/>
      <c r="MHL146" s="292"/>
      <c r="MHM146" s="293"/>
      <c r="MHN146" s="294"/>
      <c r="MHT146" s="292"/>
      <c r="MHU146" s="293"/>
      <c r="MHV146" s="294"/>
      <c r="MIB146" s="292"/>
      <c r="MIC146" s="293"/>
      <c r="MID146" s="294"/>
      <c r="MIJ146" s="292"/>
      <c r="MIK146" s="293"/>
      <c r="MIL146" s="294"/>
      <c r="MIR146" s="292"/>
      <c r="MIS146" s="293"/>
      <c r="MIT146" s="294"/>
      <c r="MIZ146" s="292"/>
      <c r="MJA146" s="293"/>
      <c r="MJB146" s="294"/>
      <c r="MJH146" s="292"/>
      <c r="MJI146" s="293"/>
      <c r="MJJ146" s="294"/>
      <c r="MJP146" s="292"/>
      <c r="MJQ146" s="293"/>
      <c r="MJR146" s="294"/>
      <c r="MJX146" s="292"/>
      <c r="MJY146" s="293"/>
      <c r="MJZ146" s="294"/>
      <c r="MKF146" s="292"/>
      <c r="MKG146" s="293"/>
      <c r="MKH146" s="294"/>
      <c r="MKN146" s="292"/>
      <c r="MKO146" s="293"/>
      <c r="MKP146" s="294"/>
      <c r="MKV146" s="292"/>
      <c r="MKW146" s="293"/>
      <c r="MKX146" s="294"/>
      <c r="MLD146" s="292"/>
      <c r="MLE146" s="293"/>
      <c r="MLF146" s="294"/>
      <c r="MLL146" s="292"/>
      <c r="MLM146" s="293"/>
      <c r="MLN146" s="294"/>
      <c r="MLT146" s="292"/>
      <c r="MLU146" s="293"/>
      <c r="MLV146" s="294"/>
      <c r="MMB146" s="292"/>
      <c r="MMC146" s="293"/>
      <c r="MMD146" s="294"/>
      <c r="MMJ146" s="292"/>
      <c r="MMK146" s="293"/>
      <c r="MML146" s="294"/>
      <c r="MMR146" s="292"/>
      <c r="MMS146" s="293"/>
      <c r="MMT146" s="294"/>
      <c r="MMZ146" s="292"/>
      <c r="MNA146" s="293"/>
      <c r="MNB146" s="294"/>
      <c r="MNH146" s="292"/>
      <c r="MNI146" s="293"/>
      <c r="MNJ146" s="294"/>
      <c r="MNP146" s="292"/>
      <c r="MNQ146" s="293"/>
      <c r="MNR146" s="294"/>
      <c r="MNX146" s="292"/>
      <c r="MNY146" s="293"/>
      <c r="MNZ146" s="294"/>
      <c r="MOF146" s="292"/>
      <c r="MOG146" s="293"/>
      <c r="MOH146" s="294"/>
      <c r="MON146" s="292"/>
      <c r="MOO146" s="293"/>
      <c r="MOP146" s="294"/>
      <c r="MOV146" s="292"/>
      <c r="MOW146" s="293"/>
      <c r="MOX146" s="294"/>
      <c r="MPD146" s="292"/>
      <c r="MPE146" s="293"/>
      <c r="MPF146" s="294"/>
      <c r="MPL146" s="292"/>
      <c r="MPM146" s="293"/>
      <c r="MPN146" s="294"/>
      <c r="MPT146" s="292"/>
      <c r="MPU146" s="293"/>
      <c r="MPV146" s="294"/>
      <c r="MQB146" s="292"/>
      <c r="MQC146" s="293"/>
      <c r="MQD146" s="294"/>
      <c r="MQJ146" s="292"/>
      <c r="MQK146" s="293"/>
      <c r="MQL146" s="294"/>
      <c r="MQR146" s="292"/>
      <c r="MQS146" s="293"/>
      <c r="MQT146" s="294"/>
      <c r="MQZ146" s="292"/>
      <c r="MRA146" s="293"/>
      <c r="MRB146" s="294"/>
      <c r="MRH146" s="292"/>
      <c r="MRI146" s="293"/>
      <c r="MRJ146" s="294"/>
      <c r="MRP146" s="292"/>
      <c r="MRQ146" s="293"/>
      <c r="MRR146" s="294"/>
      <c r="MRX146" s="292"/>
      <c r="MRY146" s="293"/>
      <c r="MRZ146" s="294"/>
      <c r="MSF146" s="292"/>
      <c r="MSG146" s="293"/>
      <c r="MSH146" s="294"/>
      <c r="MSN146" s="292"/>
      <c r="MSO146" s="293"/>
      <c r="MSP146" s="294"/>
      <c r="MSV146" s="292"/>
      <c r="MSW146" s="293"/>
      <c r="MSX146" s="294"/>
      <c r="MTD146" s="292"/>
      <c r="MTE146" s="293"/>
      <c r="MTF146" s="294"/>
      <c r="MTL146" s="292"/>
      <c r="MTM146" s="293"/>
      <c r="MTN146" s="294"/>
      <c r="MTT146" s="292"/>
      <c r="MTU146" s="293"/>
      <c r="MTV146" s="294"/>
      <c r="MUB146" s="292"/>
      <c r="MUC146" s="293"/>
      <c r="MUD146" s="294"/>
      <c r="MUJ146" s="292"/>
      <c r="MUK146" s="293"/>
      <c r="MUL146" s="294"/>
      <c r="MUR146" s="292"/>
      <c r="MUS146" s="293"/>
      <c r="MUT146" s="294"/>
      <c r="MUZ146" s="292"/>
      <c r="MVA146" s="293"/>
      <c r="MVB146" s="294"/>
      <c r="MVH146" s="292"/>
      <c r="MVI146" s="293"/>
      <c r="MVJ146" s="294"/>
      <c r="MVP146" s="292"/>
      <c r="MVQ146" s="293"/>
      <c r="MVR146" s="294"/>
      <c r="MVX146" s="292"/>
      <c r="MVY146" s="293"/>
      <c r="MVZ146" s="294"/>
      <c r="MWF146" s="292"/>
      <c r="MWG146" s="293"/>
      <c r="MWH146" s="294"/>
      <c r="MWN146" s="292"/>
      <c r="MWO146" s="293"/>
      <c r="MWP146" s="294"/>
      <c r="MWV146" s="292"/>
      <c r="MWW146" s="293"/>
      <c r="MWX146" s="294"/>
      <c r="MXD146" s="292"/>
      <c r="MXE146" s="293"/>
      <c r="MXF146" s="294"/>
      <c r="MXL146" s="292"/>
      <c r="MXM146" s="293"/>
      <c r="MXN146" s="294"/>
      <c r="MXT146" s="292"/>
      <c r="MXU146" s="293"/>
      <c r="MXV146" s="294"/>
      <c r="MYB146" s="292"/>
      <c r="MYC146" s="293"/>
      <c r="MYD146" s="294"/>
      <c r="MYJ146" s="292"/>
      <c r="MYK146" s="293"/>
      <c r="MYL146" s="294"/>
      <c r="MYR146" s="292"/>
      <c r="MYS146" s="293"/>
      <c r="MYT146" s="294"/>
      <c r="MYZ146" s="292"/>
      <c r="MZA146" s="293"/>
      <c r="MZB146" s="294"/>
      <c r="MZH146" s="292"/>
      <c r="MZI146" s="293"/>
      <c r="MZJ146" s="294"/>
      <c r="MZP146" s="292"/>
      <c r="MZQ146" s="293"/>
      <c r="MZR146" s="294"/>
      <c r="MZX146" s="292"/>
      <c r="MZY146" s="293"/>
      <c r="MZZ146" s="294"/>
      <c r="NAF146" s="292"/>
      <c r="NAG146" s="293"/>
      <c r="NAH146" s="294"/>
      <c r="NAN146" s="292"/>
      <c r="NAO146" s="293"/>
      <c r="NAP146" s="294"/>
      <c r="NAV146" s="292"/>
      <c r="NAW146" s="293"/>
      <c r="NAX146" s="294"/>
      <c r="NBD146" s="292"/>
      <c r="NBE146" s="293"/>
      <c r="NBF146" s="294"/>
      <c r="NBL146" s="292"/>
      <c r="NBM146" s="293"/>
      <c r="NBN146" s="294"/>
      <c r="NBT146" s="292"/>
      <c r="NBU146" s="293"/>
      <c r="NBV146" s="294"/>
      <c r="NCB146" s="292"/>
      <c r="NCC146" s="293"/>
      <c r="NCD146" s="294"/>
      <c r="NCJ146" s="292"/>
      <c r="NCK146" s="293"/>
      <c r="NCL146" s="294"/>
      <c r="NCR146" s="292"/>
      <c r="NCS146" s="293"/>
      <c r="NCT146" s="294"/>
      <c r="NCZ146" s="292"/>
      <c r="NDA146" s="293"/>
      <c r="NDB146" s="294"/>
      <c r="NDH146" s="292"/>
      <c r="NDI146" s="293"/>
      <c r="NDJ146" s="294"/>
      <c r="NDP146" s="292"/>
      <c r="NDQ146" s="293"/>
      <c r="NDR146" s="294"/>
      <c r="NDX146" s="292"/>
      <c r="NDY146" s="293"/>
      <c r="NDZ146" s="294"/>
      <c r="NEF146" s="292"/>
      <c r="NEG146" s="293"/>
      <c r="NEH146" s="294"/>
      <c r="NEN146" s="292"/>
      <c r="NEO146" s="293"/>
      <c r="NEP146" s="294"/>
      <c r="NEV146" s="292"/>
      <c r="NEW146" s="293"/>
      <c r="NEX146" s="294"/>
      <c r="NFD146" s="292"/>
      <c r="NFE146" s="293"/>
      <c r="NFF146" s="294"/>
      <c r="NFL146" s="292"/>
      <c r="NFM146" s="293"/>
      <c r="NFN146" s="294"/>
      <c r="NFT146" s="292"/>
      <c r="NFU146" s="293"/>
      <c r="NFV146" s="294"/>
      <c r="NGB146" s="292"/>
      <c r="NGC146" s="293"/>
      <c r="NGD146" s="294"/>
      <c r="NGJ146" s="292"/>
      <c r="NGK146" s="293"/>
      <c r="NGL146" s="294"/>
      <c r="NGR146" s="292"/>
      <c r="NGS146" s="293"/>
      <c r="NGT146" s="294"/>
      <c r="NGZ146" s="292"/>
      <c r="NHA146" s="293"/>
      <c r="NHB146" s="294"/>
      <c r="NHH146" s="292"/>
      <c r="NHI146" s="293"/>
      <c r="NHJ146" s="294"/>
      <c r="NHP146" s="292"/>
      <c r="NHQ146" s="293"/>
      <c r="NHR146" s="294"/>
      <c r="NHX146" s="292"/>
      <c r="NHY146" s="293"/>
      <c r="NHZ146" s="294"/>
      <c r="NIF146" s="292"/>
      <c r="NIG146" s="293"/>
      <c r="NIH146" s="294"/>
      <c r="NIN146" s="292"/>
      <c r="NIO146" s="293"/>
      <c r="NIP146" s="294"/>
      <c r="NIV146" s="292"/>
      <c r="NIW146" s="293"/>
      <c r="NIX146" s="294"/>
      <c r="NJD146" s="292"/>
      <c r="NJE146" s="293"/>
      <c r="NJF146" s="294"/>
      <c r="NJL146" s="292"/>
      <c r="NJM146" s="293"/>
      <c r="NJN146" s="294"/>
      <c r="NJT146" s="292"/>
      <c r="NJU146" s="293"/>
      <c r="NJV146" s="294"/>
      <c r="NKB146" s="292"/>
      <c r="NKC146" s="293"/>
      <c r="NKD146" s="294"/>
      <c r="NKJ146" s="292"/>
      <c r="NKK146" s="293"/>
      <c r="NKL146" s="294"/>
      <c r="NKR146" s="292"/>
      <c r="NKS146" s="293"/>
      <c r="NKT146" s="294"/>
      <c r="NKZ146" s="292"/>
      <c r="NLA146" s="293"/>
      <c r="NLB146" s="294"/>
      <c r="NLH146" s="292"/>
      <c r="NLI146" s="293"/>
      <c r="NLJ146" s="294"/>
      <c r="NLP146" s="292"/>
      <c r="NLQ146" s="293"/>
      <c r="NLR146" s="294"/>
      <c r="NLX146" s="292"/>
      <c r="NLY146" s="293"/>
      <c r="NLZ146" s="294"/>
      <c r="NMF146" s="292"/>
      <c r="NMG146" s="293"/>
      <c r="NMH146" s="294"/>
      <c r="NMN146" s="292"/>
      <c r="NMO146" s="293"/>
      <c r="NMP146" s="294"/>
      <c r="NMV146" s="292"/>
      <c r="NMW146" s="293"/>
      <c r="NMX146" s="294"/>
      <c r="NND146" s="292"/>
      <c r="NNE146" s="293"/>
      <c r="NNF146" s="294"/>
      <c r="NNL146" s="292"/>
      <c r="NNM146" s="293"/>
      <c r="NNN146" s="294"/>
      <c r="NNT146" s="292"/>
      <c r="NNU146" s="293"/>
      <c r="NNV146" s="294"/>
      <c r="NOB146" s="292"/>
      <c r="NOC146" s="293"/>
      <c r="NOD146" s="294"/>
      <c r="NOJ146" s="292"/>
      <c r="NOK146" s="293"/>
      <c r="NOL146" s="294"/>
      <c r="NOR146" s="292"/>
      <c r="NOS146" s="293"/>
      <c r="NOT146" s="294"/>
      <c r="NOZ146" s="292"/>
      <c r="NPA146" s="293"/>
      <c r="NPB146" s="294"/>
      <c r="NPH146" s="292"/>
      <c r="NPI146" s="293"/>
      <c r="NPJ146" s="294"/>
      <c r="NPP146" s="292"/>
      <c r="NPQ146" s="293"/>
      <c r="NPR146" s="294"/>
      <c r="NPX146" s="292"/>
      <c r="NPY146" s="293"/>
      <c r="NPZ146" s="294"/>
      <c r="NQF146" s="292"/>
      <c r="NQG146" s="293"/>
      <c r="NQH146" s="294"/>
      <c r="NQN146" s="292"/>
      <c r="NQO146" s="293"/>
      <c r="NQP146" s="294"/>
      <c r="NQV146" s="292"/>
      <c r="NQW146" s="293"/>
      <c r="NQX146" s="294"/>
      <c r="NRD146" s="292"/>
      <c r="NRE146" s="293"/>
      <c r="NRF146" s="294"/>
      <c r="NRL146" s="292"/>
      <c r="NRM146" s="293"/>
      <c r="NRN146" s="294"/>
      <c r="NRT146" s="292"/>
      <c r="NRU146" s="293"/>
      <c r="NRV146" s="294"/>
      <c r="NSB146" s="292"/>
      <c r="NSC146" s="293"/>
      <c r="NSD146" s="294"/>
      <c r="NSJ146" s="292"/>
      <c r="NSK146" s="293"/>
      <c r="NSL146" s="294"/>
      <c r="NSR146" s="292"/>
      <c r="NSS146" s="293"/>
      <c r="NST146" s="294"/>
      <c r="NSZ146" s="292"/>
      <c r="NTA146" s="293"/>
      <c r="NTB146" s="294"/>
      <c r="NTH146" s="292"/>
      <c r="NTI146" s="293"/>
      <c r="NTJ146" s="294"/>
      <c r="NTP146" s="292"/>
      <c r="NTQ146" s="293"/>
      <c r="NTR146" s="294"/>
      <c r="NTX146" s="292"/>
      <c r="NTY146" s="293"/>
      <c r="NTZ146" s="294"/>
      <c r="NUF146" s="292"/>
      <c r="NUG146" s="293"/>
      <c r="NUH146" s="294"/>
      <c r="NUN146" s="292"/>
      <c r="NUO146" s="293"/>
      <c r="NUP146" s="294"/>
      <c r="NUV146" s="292"/>
      <c r="NUW146" s="293"/>
      <c r="NUX146" s="294"/>
      <c r="NVD146" s="292"/>
      <c r="NVE146" s="293"/>
      <c r="NVF146" s="294"/>
      <c r="NVL146" s="292"/>
      <c r="NVM146" s="293"/>
      <c r="NVN146" s="294"/>
      <c r="NVT146" s="292"/>
      <c r="NVU146" s="293"/>
      <c r="NVV146" s="294"/>
      <c r="NWB146" s="292"/>
      <c r="NWC146" s="293"/>
      <c r="NWD146" s="294"/>
      <c r="NWJ146" s="292"/>
      <c r="NWK146" s="293"/>
      <c r="NWL146" s="294"/>
      <c r="NWR146" s="292"/>
      <c r="NWS146" s="293"/>
      <c r="NWT146" s="294"/>
      <c r="NWZ146" s="292"/>
      <c r="NXA146" s="293"/>
      <c r="NXB146" s="294"/>
      <c r="NXH146" s="292"/>
      <c r="NXI146" s="293"/>
      <c r="NXJ146" s="294"/>
      <c r="NXP146" s="292"/>
      <c r="NXQ146" s="293"/>
      <c r="NXR146" s="294"/>
      <c r="NXX146" s="292"/>
      <c r="NXY146" s="293"/>
      <c r="NXZ146" s="294"/>
      <c r="NYF146" s="292"/>
      <c r="NYG146" s="293"/>
      <c r="NYH146" s="294"/>
      <c r="NYN146" s="292"/>
      <c r="NYO146" s="293"/>
      <c r="NYP146" s="294"/>
      <c r="NYV146" s="292"/>
      <c r="NYW146" s="293"/>
      <c r="NYX146" s="294"/>
      <c r="NZD146" s="292"/>
      <c r="NZE146" s="293"/>
      <c r="NZF146" s="294"/>
      <c r="NZL146" s="292"/>
      <c r="NZM146" s="293"/>
      <c r="NZN146" s="294"/>
      <c r="NZT146" s="292"/>
      <c r="NZU146" s="293"/>
      <c r="NZV146" s="294"/>
      <c r="OAB146" s="292"/>
      <c r="OAC146" s="293"/>
      <c r="OAD146" s="294"/>
      <c r="OAJ146" s="292"/>
      <c r="OAK146" s="293"/>
      <c r="OAL146" s="294"/>
      <c r="OAR146" s="292"/>
      <c r="OAS146" s="293"/>
      <c r="OAT146" s="294"/>
      <c r="OAZ146" s="292"/>
      <c r="OBA146" s="293"/>
      <c r="OBB146" s="294"/>
      <c r="OBH146" s="292"/>
      <c r="OBI146" s="293"/>
      <c r="OBJ146" s="294"/>
      <c r="OBP146" s="292"/>
      <c r="OBQ146" s="293"/>
      <c r="OBR146" s="294"/>
      <c r="OBX146" s="292"/>
      <c r="OBY146" s="293"/>
      <c r="OBZ146" s="294"/>
      <c r="OCF146" s="292"/>
      <c r="OCG146" s="293"/>
      <c r="OCH146" s="294"/>
      <c r="OCN146" s="292"/>
      <c r="OCO146" s="293"/>
      <c r="OCP146" s="294"/>
      <c r="OCV146" s="292"/>
      <c r="OCW146" s="293"/>
      <c r="OCX146" s="294"/>
      <c r="ODD146" s="292"/>
      <c r="ODE146" s="293"/>
      <c r="ODF146" s="294"/>
      <c r="ODL146" s="292"/>
      <c r="ODM146" s="293"/>
      <c r="ODN146" s="294"/>
      <c r="ODT146" s="292"/>
      <c r="ODU146" s="293"/>
      <c r="ODV146" s="294"/>
      <c r="OEB146" s="292"/>
      <c r="OEC146" s="293"/>
      <c r="OED146" s="294"/>
      <c r="OEJ146" s="292"/>
      <c r="OEK146" s="293"/>
      <c r="OEL146" s="294"/>
      <c r="OER146" s="292"/>
      <c r="OES146" s="293"/>
      <c r="OET146" s="294"/>
      <c r="OEZ146" s="292"/>
      <c r="OFA146" s="293"/>
      <c r="OFB146" s="294"/>
      <c r="OFH146" s="292"/>
      <c r="OFI146" s="293"/>
      <c r="OFJ146" s="294"/>
      <c r="OFP146" s="292"/>
      <c r="OFQ146" s="293"/>
      <c r="OFR146" s="294"/>
      <c r="OFX146" s="292"/>
      <c r="OFY146" s="293"/>
      <c r="OFZ146" s="294"/>
      <c r="OGF146" s="292"/>
      <c r="OGG146" s="293"/>
      <c r="OGH146" s="294"/>
      <c r="OGN146" s="292"/>
      <c r="OGO146" s="293"/>
      <c r="OGP146" s="294"/>
      <c r="OGV146" s="292"/>
      <c r="OGW146" s="293"/>
      <c r="OGX146" s="294"/>
      <c r="OHD146" s="292"/>
      <c r="OHE146" s="293"/>
      <c r="OHF146" s="294"/>
      <c r="OHL146" s="292"/>
      <c r="OHM146" s="293"/>
      <c r="OHN146" s="294"/>
      <c r="OHT146" s="292"/>
      <c r="OHU146" s="293"/>
      <c r="OHV146" s="294"/>
      <c r="OIB146" s="292"/>
      <c r="OIC146" s="293"/>
      <c r="OID146" s="294"/>
      <c r="OIJ146" s="292"/>
      <c r="OIK146" s="293"/>
      <c r="OIL146" s="294"/>
      <c r="OIR146" s="292"/>
      <c r="OIS146" s="293"/>
      <c r="OIT146" s="294"/>
      <c r="OIZ146" s="292"/>
      <c r="OJA146" s="293"/>
      <c r="OJB146" s="294"/>
      <c r="OJH146" s="292"/>
      <c r="OJI146" s="293"/>
      <c r="OJJ146" s="294"/>
      <c r="OJP146" s="292"/>
      <c r="OJQ146" s="293"/>
      <c r="OJR146" s="294"/>
      <c r="OJX146" s="292"/>
      <c r="OJY146" s="293"/>
      <c r="OJZ146" s="294"/>
      <c r="OKF146" s="292"/>
      <c r="OKG146" s="293"/>
      <c r="OKH146" s="294"/>
      <c r="OKN146" s="292"/>
      <c r="OKO146" s="293"/>
      <c r="OKP146" s="294"/>
      <c r="OKV146" s="292"/>
      <c r="OKW146" s="293"/>
      <c r="OKX146" s="294"/>
      <c r="OLD146" s="292"/>
      <c r="OLE146" s="293"/>
      <c r="OLF146" s="294"/>
      <c r="OLL146" s="292"/>
      <c r="OLM146" s="293"/>
      <c r="OLN146" s="294"/>
      <c r="OLT146" s="292"/>
      <c r="OLU146" s="293"/>
      <c r="OLV146" s="294"/>
      <c r="OMB146" s="292"/>
      <c r="OMC146" s="293"/>
      <c r="OMD146" s="294"/>
      <c r="OMJ146" s="292"/>
      <c r="OMK146" s="293"/>
      <c r="OML146" s="294"/>
      <c r="OMR146" s="292"/>
      <c r="OMS146" s="293"/>
      <c r="OMT146" s="294"/>
      <c r="OMZ146" s="292"/>
      <c r="ONA146" s="293"/>
      <c r="ONB146" s="294"/>
      <c r="ONH146" s="292"/>
      <c r="ONI146" s="293"/>
      <c r="ONJ146" s="294"/>
      <c r="ONP146" s="292"/>
      <c r="ONQ146" s="293"/>
      <c r="ONR146" s="294"/>
      <c r="ONX146" s="292"/>
      <c r="ONY146" s="293"/>
      <c r="ONZ146" s="294"/>
      <c r="OOF146" s="292"/>
      <c r="OOG146" s="293"/>
      <c r="OOH146" s="294"/>
      <c r="OON146" s="292"/>
      <c r="OOO146" s="293"/>
      <c r="OOP146" s="294"/>
      <c r="OOV146" s="292"/>
      <c r="OOW146" s="293"/>
      <c r="OOX146" s="294"/>
      <c r="OPD146" s="292"/>
      <c r="OPE146" s="293"/>
      <c r="OPF146" s="294"/>
      <c r="OPL146" s="292"/>
      <c r="OPM146" s="293"/>
      <c r="OPN146" s="294"/>
      <c r="OPT146" s="292"/>
      <c r="OPU146" s="293"/>
      <c r="OPV146" s="294"/>
      <c r="OQB146" s="292"/>
      <c r="OQC146" s="293"/>
      <c r="OQD146" s="294"/>
      <c r="OQJ146" s="292"/>
      <c r="OQK146" s="293"/>
      <c r="OQL146" s="294"/>
      <c r="OQR146" s="292"/>
      <c r="OQS146" s="293"/>
      <c r="OQT146" s="294"/>
      <c r="OQZ146" s="292"/>
      <c r="ORA146" s="293"/>
      <c r="ORB146" s="294"/>
      <c r="ORH146" s="292"/>
      <c r="ORI146" s="293"/>
      <c r="ORJ146" s="294"/>
      <c r="ORP146" s="292"/>
      <c r="ORQ146" s="293"/>
      <c r="ORR146" s="294"/>
      <c r="ORX146" s="292"/>
      <c r="ORY146" s="293"/>
      <c r="ORZ146" s="294"/>
      <c r="OSF146" s="292"/>
      <c r="OSG146" s="293"/>
      <c r="OSH146" s="294"/>
      <c r="OSN146" s="292"/>
      <c r="OSO146" s="293"/>
      <c r="OSP146" s="294"/>
      <c r="OSV146" s="292"/>
      <c r="OSW146" s="293"/>
      <c r="OSX146" s="294"/>
      <c r="OTD146" s="292"/>
      <c r="OTE146" s="293"/>
      <c r="OTF146" s="294"/>
      <c r="OTL146" s="292"/>
      <c r="OTM146" s="293"/>
      <c r="OTN146" s="294"/>
      <c r="OTT146" s="292"/>
      <c r="OTU146" s="293"/>
      <c r="OTV146" s="294"/>
      <c r="OUB146" s="292"/>
      <c r="OUC146" s="293"/>
      <c r="OUD146" s="294"/>
      <c r="OUJ146" s="292"/>
      <c r="OUK146" s="293"/>
      <c r="OUL146" s="294"/>
      <c r="OUR146" s="292"/>
      <c r="OUS146" s="293"/>
      <c r="OUT146" s="294"/>
      <c r="OUZ146" s="292"/>
      <c r="OVA146" s="293"/>
      <c r="OVB146" s="294"/>
      <c r="OVH146" s="292"/>
      <c r="OVI146" s="293"/>
      <c r="OVJ146" s="294"/>
      <c r="OVP146" s="292"/>
      <c r="OVQ146" s="293"/>
      <c r="OVR146" s="294"/>
      <c r="OVX146" s="292"/>
      <c r="OVY146" s="293"/>
      <c r="OVZ146" s="294"/>
      <c r="OWF146" s="292"/>
      <c r="OWG146" s="293"/>
      <c r="OWH146" s="294"/>
      <c r="OWN146" s="292"/>
      <c r="OWO146" s="293"/>
      <c r="OWP146" s="294"/>
      <c r="OWV146" s="292"/>
      <c r="OWW146" s="293"/>
      <c r="OWX146" s="294"/>
      <c r="OXD146" s="292"/>
      <c r="OXE146" s="293"/>
      <c r="OXF146" s="294"/>
      <c r="OXL146" s="292"/>
      <c r="OXM146" s="293"/>
      <c r="OXN146" s="294"/>
      <c r="OXT146" s="292"/>
      <c r="OXU146" s="293"/>
      <c r="OXV146" s="294"/>
      <c r="OYB146" s="292"/>
      <c r="OYC146" s="293"/>
      <c r="OYD146" s="294"/>
      <c r="OYJ146" s="292"/>
      <c r="OYK146" s="293"/>
      <c r="OYL146" s="294"/>
      <c r="OYR146" s="292"/>
      <c r="OYS146" s="293"/>
      <c r="OYT146" s="294"/>
      <c r="OYZ146" s="292"/>
      <c r="OZA146" s="293"/>
      <c r="OZB146" s="294"/>
      <c r="OZH146" s="292"/>
      <c r="OZI146" s="293"/>
      <c r="OZJ146" s="294"/>
      <c r="OZP146" s="292"/>
      <c r="OZQ146" s="293"/>
      <c r="OZR146" s="294"/>
      <c r="OZX146" s="292"/>
      <c r="OZY146" s="293"/>
      <c r="OZZ146" s="294"/>
      <c r="PAF146" s="292"/>
      <c r="PAG146" s="293"/>
      <c r="PAH146" s="294"/>
      <c r="PAN146" s="292"/>
      <c r="PAO146" s="293"/>
      <c r="PAP146" s="294"/>
      <c r="PAV146" s="292"/>
      <c r="PAW146" s="293"/>
      <c r="PAX146" s="294"/>
      <c r="PBD146" s="292"/>
      <c r="PBE146" s="293"/>
      <c r="PBF146" s="294"/>
      <c r="PBL146" s="292"/>
      <c r="PBM146" s="293"/>
      <c r="PBN146" s="294"/>
      <c r="PBT146" s="292"/>
      <c r="PBU146" s="293"/>
      <c r="PBV146" s="294"/>
      <c r="PCB146" s="292"/>
      <c r="PCC146" s="293"/>
      <c r="PCD146" s="294"/>
      <c r="PCJ146" s="292"/>
      <c r="PCK146" s="293"/>
      <c r="PCL146" s="294"/>
      <c r="PCR146" s="292"/>
      <c r="PCS146" s="293"/>
      <c r="PCT146" s="294"/>
      <c r="PCZ146" s="292"/>
      <c r="PDA146" s="293"/>
      <c r="PDB146" s="294"/>
      <c r="PDH146" s="292"/>
      <c r="PDI146" s="293"/>
      <c r="PDJ146" s="294"/>
      <c r="PDP146" s="292"/>
      <c r="PDQ146" s="293"/>
      <c r="PDR146" s="294"/>
      <c r="PDX146" s="292"/>
      <c r="PDY146" s="293"/>
      <c r="PDZ146" s="294"/>
      <c r="PEF146" s="292"/>
      <c r="PEG146" s="293"/>
      <c r="PEH146" s="294"/>
      <c r="PEN146" s="292"/>
      <c r="PEO146" s="293"/>
      <c r="PEP146" s="294"/>
      <c r="PEV146" s="292"/>
      <c r="PEW146" s="293"/>
      <c r="PEX146" s="294"/>
      <c r="PFD146" s="292"/>
      <c r="PFE146" s="293"/>
      <c r="PFF146" s="294"/>
      <c r="PFL146" s="292"/>
      <c r="PFM146" s="293"/>
      <c r="PFN146" s="294"/>
      <c r="PFT146" s="292"/>
      <c r="PFU146" s="293"/>
      <c r="PFV146" s="294"/>
      <c r="PGB146" s="292"/>
      <c r="PGC146" s="293"/>
      <c r="PGD146" s="294"/>
      <c r="PGJ146" s="292"/>
      <c r="PGK146" s="293"/>
      <c r="PGL146" s="294"/>
      <c r="PGR146" s="292"/>
      <c r="PGS146" s="293"/>
      <c r="PGT146" s="294"/>
      <c r="PGZ146" s="292"/>
      <c r="PHA146" s="293"/>
      <c r="PHB146" s="294"/>
      <c r="PHH146" s="292"/>
      <c r="PHI146" s="293"/>
      <c r="PHJ146" s="294"/>
      <c r="PHP146" s="292"/>
      <c r="PHQ146" s="293"/>
      <c r="PHR146" s="294"/>
      <c r="PHX146" s="292"/>
      <c r="PHY146" s="293"/>
      <c r="PHZ146" s="294"/>
      <c r="PIF146" s="292"/>
      <c r="PIG146" s="293"/>
      <c r="PIH146" s="294"/>
      <c r="PIN146" s="292"/>
      <c r="PIO146" s="293"/>
      <c r="PIP146" s="294"/>
      <c r="PIV146" s="292"/>
      <c r="PIW146" s="293"/>
      <c r="PIX146" s="294"/>
      <c r="PJD146" s="292"/>
      <c r="PJE146" s="293"/>
      <c r="PJF146" s="294"/>
      <c r="PJL146" s="292"/>
      <c r="PJM146" s="293"/>
      <c r="PJN146" s="294"/>
      <c r="PJT146" s="292"/>
      <c r="PJU146" s="293"/>
      <c r="PJV146" s="294"/>
      <c r="PKB146" s="292"/>
      <c r="PKC146" s="293"/>
      <c r="PKD146" s="294"/>
      <c r="PKJ146" s="292"/>
      <c r="PKK146" s="293"/>
      <c r="PKL146" s="294"/>
      <c r="PKR146" s="292"/>
      <c r="PKS146" s="293"/>
      <c r="PKT146" s="294"/>
      <c r="PKZ146" s="292"/>
      <c r="PLA146" s="293"/>
      <c r="PLB146" s="294"/>
      <c r="PLH146" s="292"/>
      <c r="PLI146" s="293"/>
      <c r="PLJ146" s="294"/>
      <c r="PLP146" s="292"/>
      <c r="PLQ146" s="293"/>
      <c r="PLR146" s="294"/>
      <c r="PLX146" s="292"/>
      <c r="PLY146" s="293"/>
      <c r="PLZ146" s="294"/>
      <c r="PMF146" s="292"/>
      <c r="PMG146" s="293"/>
      <c r="PMH146" s="294"/>
      <c r="PMN146" s="292"/>
      <c r="PMO146" s="293"/>
      <c r="PMP146" s="294"/>
      <c r="PMV146" s="292"/>
      <c r="PMW146" s="293"/>
      <c r="PMX146" s="294"/>
      <c r="PND146" s="292"/>
      <c r="PNE146" s="293"/>
      <c r="PNF146" s="294"/>
      <c r="PNL146" s="292"/>
      <c r="PNM146" s="293"/>
      <c r="PNN146" s="294"/>
      <c r="PNT146" s="292"/>
      <c r="PNU146" s="293"/>
      <c r="PNV146" s="294"/>
      <c r="POB146" s="292"/>
      <c r="POC146" s="293"/>
      <c r="POD146" s="294"/>
      <c r="POJ146" s="292"/>
      <c r="POK146" s="293"/>
      <c r="POL146" s="294"/>
      <c r="POR146" s="292"/>
      <c r="POS146" s="293"/>
      <c r="POT146" s="294"/>
      <c r="POZ146" s="292"/>
      <c r="PPA146" s="293"/>
      <c r="PPB146" s="294"/>
      <c r="PPH146" s="292"/>
      <c r="PPI146" s="293"/>
      <c r="PPJ146" s="294"/>
      <c r="PPP146" s="292"/>
      <c r="PPQ146" s="293"/>
      <c r="PPR146" s="294"/>
      <c r="PPX146" s="292"/>
      <c r="PPY146" s="293"/>
      <c r="PPZ146" s="294"/>
      <c r="PQF146" s="292"/>
      <c r="PQG146" s="293"/>
      <c r="PQH146" s="294"/>
      <c r="PQN146" s="292"/>
      <c r="PQO146" s="293"/>
      <c r="PQP146" s="294"/>
      <c r="PQV146" s="292"/>
      <c r="PQW146" s="293"/>
      <c r="PQX146" s="294"/>
      <c r="PRD146" s="292"/>
      <c r="PRE146" s="293"/>
      <c r="PRF146" s="294"/>
      <c r="PRL146" s="292"/>
      <c r="PRM146" s="293"/>
      <c r="PRN146" s="294"/>
      <c r="PRT146" s="292"/>
      <c r="PRU146" s="293"/>
      <c r="PRV146" s="294"/>
      <c r="PSB146" s="292"/>
      <c r="PSC146" s="293"/>
      <c r="PSD146" s="294"/>
      <c r="PSJ146" s="292"/>
      <c r="PSK146" s="293"/>
      <c r="PSL146" s="294"/>
      <c r="PSR146" s="292"/>
      <c r="PSS146" s="293"/>
      <c r="PST146" s="294"/>
      <c r="PSZ146" s="292"/>
      <c r="PTA146" s="293"/>
      <c r="PTB146" s="294"/>
      <c r="PTH146" s="292"/>
      <c r="PTI146" s="293"/>
      <c r="PTJ146" s="294"/>
      <c r="PTP146" s="292"/>
      <c r="PTQ146" s="293"/>
      <c r="PTR146" s="294"/>
      <c r="PTX146" s="292"/>
      <c r="PTY146" s="293"/>
      <c r="PTZ146" s="294"/>
      <c r="PUF146" s="292"/>
      <c r="PUG146" s="293"/>
      <c r="PUH146" s="294"/>
      <c r="PUN146" s="292"/>
      <c r="PUO146" s="293"/>
      <c r="PUP146" s="294"/>
      <c r="PUV146" s="292"/>
      <c r="PUW146" s="293"/>
      <c r="PUX146" s="294"/>
      <c r="PVD146" s="292"/>
      <c r="PVE146" s="293"/>
      <c r="PVF146" s="294"/>
      <c r="PVL146" s="292"/>
      <c r="PVM146" s="293"/>
      <c r="PVN146" s="294"/>
      <c r="PVT146" s="292"/>
      <c r="PVU146" s="293"/>
      <c r="PVV146" s="294"/>
      <c r="PWB146" s="292"/>
      <c r="PWC146" s="293"/>
      <c r="PWD146" s="294"/>
      <c r="PWJ146" s="292"/>
      <c r="PWK146" s="293"/>
      <c r="PWL146" s="294"/>
      <c r="PWR146" s="292"/>
      <c r="PWS146" s="293"/>
      <c r="PWT146" s="294"/>
      <c r="PWZ146" s="292"/>
      <c r="PXA146" s="293"/>
      <c r="PXB146" s="294"/>
      <c r="PXH146" s="292"/>
      <c r="PXI146" s="293"/>
      <c r="PXJ146" s="294"/>
      <c r="PXP146" s="292"/>
      <c r="PXQ146" s="293"/>
      <c r="PXR146" s="294"/>
      <c r="PXX146" s="292"/>
      <c r="PXY146" s="293"/>
      <c r="PXZ146" s="294"/>
      <c r="PYF146" s="292"/>
      <c r="PYG146" s="293"/>
      <c r="PYH146" s="294"/>
      <c r="PYN146" s="292"/>
      <c r="PYO146" s="293"/>
      <c r="PYP146" s="294"/>
      <c r="PYV146" s="292"/>
      <c r="PYW146" s="293"/>
      <c r="PYX146" s="294"/>
      <c r="PZD146" s="292"/>
      <c r="PZE146" s="293"/>
      <c r="PZF146" s="294"/>
      <c r="PZL146" s="292"/>
      <c r="PZM146" s="293"/>
      <c r="PZN146" s="294"/>
      <c r="PZT146" s="292"/>
      <c r="PZU146" s="293"/>
      <c r="PZV146" s="294"/>
      <c r="QAB146" s="292"/>
      <c r="QAC146" s="293"/>
      <c r="QAD146" s="294"/>
      <c r="QAJ146" s="292"/>
      <c r="QAK146" s="293"/>
      <c r="QAL146" s="294"/>
      <c r="QAR146" s="292"/>
      <c r="QAS146" s="293"/>
      <c r="QAT146" s="294"/>
      <c r="QAZ146" s="292"/>
      <c r="QBA146" s="293"/>
      <c r="QBB146" s="294"/>
      <c r="QBH146" s="292"/>
      <c r="QBI146" s="293"/>
      <c r="QBJ146" s="294"/>
      <c r="QBP146" s="292"/>
      <c r="QBQ146" s="293"/>
      <c r="QBR146" s="294"/>
      <c r="QBX146" s="292"/>
      <c r="QBY146" s="293"/>
      <c r="QBZ146" s="294"/>
      <c r="QCF146" s="292"/>
      <c r="QCG146" s="293"/>
      <c r="QCH146" s="294"/>
      <c r="QCN146" s="292"/>
      <c r="QCO146" s="293"/>
      <c r="QCP146" s="294"/>
      <c r="QCV146" s="292"/>
      <c r="QCW146" s="293"/>
      <c r="QCX146" s="294"/>
      <c r="QDD146" s="292"/>
      <c r="QDE146" s="293"/>
      <c r="QDF146" s="294"/>
      <c r="QDL146" s="292"/>
      <c r="QDM146" s="293"/>
      <c r="QDN146" s="294"/>
      <c r="QDT146" s="292"/>
      <c r="QDU146" s="293"/>
      <c r="QDV146" s="294"/>
      <c r="QEB146" s="292"/>
      <c r="QEC146" s="293"/>
      <c r="QED146" s="294"/>
      <c r="QEJ146" s="292"/>
      <c r="QEK146" s="293"/>
      <c r="QEL146" s="294"/>
      <c r="QER146" s="292"/>
      <c r="QES146" s="293"/>
      <c r="QET146" s="294"/>
      <c r="QEZ146" s="292"/>
      <c r="QFA146" s="293"/>
      <c r="QFB146" s="294"/>
      <c r="QFH146" s="292"/>
      <c r="QFI146" s="293"/>
      <c r="QFJ146" s="294"/>
      <c r="QFP146" s="292"/>
      <c r="QFQ146" s="293"/>
      <c r="QFR146" s="294"/>
      <c r="QFX146" s="292"/>
      <c r="QFY146" s="293"/>
      <c r="QFZ146" s="294"/>
      <c r="QGF146" s="292"/>
      <c r="QGG146" s="293"/>
      <c r="QGH146" s="294"/>
      <c r="QGN146" s="292"/>
      <c r="QGO146" s="293"/>
      <c r="QGP146" s="294"/>
      <c r="QGV146" s="292"/>
      <c r="QGW146" s="293"/>
      <c r="QGX146" s="294"/>
      <c r="QHD146" s="292"/>
      <c r="QHE146" s="293"/>
      <c r="QHF146" s="294"/>
      <c r="QHL146" s="292"/>
      <c r="QHM146" s="293"/>
      <c r="QHN146" s="294"/>
      <c r="QHT146" s="292"/>
      <c r="QHU146" s="293"/>
      <c r="QHV146" s="294"/>
      <c r="QIB146" s="292"/>
      <c r="QIC146" s="293"/>
      <c r="QID146" s="294"/>
      <c r="QIJ146" s="292"/>
      <c r="QIK146" s="293"/>
      <c r="QIL146" s="294"/>
      <c r="QIR146" s="292"/>
      <c r="QIS146" s="293"/>
      <c r="QIT146" s="294"/>
      <c r="QIZ146" s="292"/>
      <c r="QJA146" s="293"/>
      <c r="QJB146" s="294"/>
      <c r="QJH146" s="292"/>
      <c r="QJI146" s="293"/>
      <c r="QJJ146" s="294"/>
      <c r="QJP146" s="292"/>
      <c r="QJQ146" s="293"/>
      <c r="QJR146" s="294"/>
      <c r="QJX146" s="292"/>
      <c r="QJY146" s="293"/>
      <c r="QJZ146" s="294"/>
      <c r="QKF146" s="292"/>
      <c r="QKG146" s="293"/>
      <c r="QKH146" s="294"/>
      <c r="QKN146" s="292"/>
      <c r="QKO146" s="293"/>
      <c r="QKP146" s="294"/>
      <c r="QKV146" s="292"/>
      <c r="QKW146" s="293"/>
      <c r="QKX146" s="294"/>
      <c r="QLD146" s="292"/>
      <c r="QLE146" s="293"/>
      <c r="QLF146" s="294"/>
      <c r="QLL146" s="292"/>
      <c r="QLM146" s="293"/>
      <c r="QLN146" s="294"/>
      <c r="QLT146" s="292"/>
      <c r="QLU146" s="293"/>
      <c r="QLV146" s="294"/>
      <c r="QMB146" s="292"/>
      <c r="QMC146" s="293"/>
      <c r="QMD146" s="294"/>
      <c r="QMJ146" s="292"/>
      <c r="QMK146" s="293"/>
      <c r="QML146" s="294"/>
      <c r="QMR146" s="292"/>
      <c r="QMS146" s="293"/>
      <c r="QMT146" s="294"/>
      <c r="QMZ146" s="292"/>
      <c r="QNA146" s="293"/>
      <c r="QNB146" s="294"/>
      <c r="QNH146" s="292"/>
      <c r="QNI146" s="293"/>
      <c r="QNJ146" s="294"/>
      <c r="QNP146" s="292"/>
      <c r="QNQ146" s="293"/>
      <c r="QNR146" s="294"/>
      <c r="QNX146" s="292"/>
      <c r="QNY146" s="293"/>
      <c r="QNZ146" s="294"/>
      <c r="QOF146" s="292"/>
      <c r="QOG146" s="293"/>
      <c r="QOH146" s="294"/>
      <c r="QON146" s="292"/>
      <c r="QOO146" s="293"/>
      <c r="QOP146" s="294"/>
      <c r="QOV146" s="292"/>
      <c r="QOW146" s="293"/>
      <c r="QOX146" s="294"/>
      <c r="QPD146" s="292"/>
      <c r="QPE146" s="293"/>
      <c r="QPF146" s="294"/>
      <c r="QPL146" s="292"/>
      <c r="QPM146" s="293"/>
      <c r="QPN146" s="294"/>
      <c r="QPT146" s="292"/>
      <c r="QPU146" s="293"/>
      <c r="QPV146" s="294"/>
      <c r="QQB146" s="292"/>
      <c r="QQC146" s="293"/>
      <c r="QQD146" s="294"/>
      <c r="QQJ146" s="292"/>
      <c r="QQK146" s="293"/>
      <c r="QQL146" s="294"/>
      <c r="QQR146" s="292"/>
      <c r="QQS146" s="293"/>
      <c r="QQT146" s="294"/>
      <c r="QQZ146" s="292"/>
      <c r="QRA146" s="293"/>
      <c r="QRB146" s="294"/>
      <c r="QRH146" s="292"/>
      <c r="QRI146" s="293"/>
      <c r="QRJ146" s="294"/>
      <c r="QRP146" s="292"/>
      <c r="QRQ146" s="293"/>
      <c r="QRR146" s="294"/>
      <c r="QRX146" s="292"/>
      <c r="QRY146" s="293"/>
      <c r="QRZ146" s="294"/>
      <c r="QSF146" s="292"/>
      <c r="QSG146" s="293"/>
      <c r="QSH146" s="294"/>
      <c r="QSN146" s="292"/>
      <c r="QSO146" s="293"/>
      <c r="QSP146" s="294"/>
      <c r="QSV146" s="292"/>
      <c r="QSW146" s="293"/>
      <c r="QSX146" s="294"/>
      <c r="QTD146" s="292"/>
      <c r="QTE146" s="293"/>
      <c r="QTF146" s="294"/>
      <c r="QTL146" s="292"/>
      <c r="QTM146" s="293"/>
      <c r="QTN146" s="294"/>
      <c r="QTT146" s="292"/>
      <c r="QTU146" s="293"/>
      <c r="QTV146" s="294"/>
      <c r="QUB146" s="292"/>
      <c r="QUC146" s="293"/>
      <c r="QUD146" s="294"/>
      <c r="QUJ146" s="292"/>
      <c r="QUK146" s="293"/>
      <c r="QUL146" s="294"/>
      <c r="QUR146" s="292"/>
      <c r="QUS146" s="293"/>
      <c r="QUT146" s="294"/>
      <c r="QUZ146" s="292"/>
      <c r="QVA146" s="293"/>
      <c r="QVB146" s="294"/>
      <c r="QVH146" s="292"/>
      <c r="QVI146" s="293"/>
      <c r="QVJ146" s="294"/>
      <c r="QVP146" s="292"/>
      <c r="QVQ146" s="293"/>
      <c r="QVR146" s="294"/>
      <c r="QVX146" s="292"/>
      <c r="QVY146" s="293"/>
      <c r="QVZ146" s="294"/>
      <c r="QWF146" s="292"/>
      <c r="QWG146" s="293"/>
      <c r="QWH146" s="294"/>
      <c r="QWN146" s="292"/>
      <c r="QWO146" s="293"/>
      <c r="QWP146" s="294"/>
      <c r="QWV146" s="292"/>
      <c r="QWW146" s="293"/>
      <c r="QWX146" s="294"/>
      <c r="QXD146" s="292"/>
      <c r="QXE146" s="293"/>
      <c r="QXF146" s="294"/>
      <c r="QXL146" s="292"/>
      <c r="QXM146" s="293"/>
      <c r="QXN146" s="294"/>
      <c r="QXT146" s="292"/>
      <c r="QXU146" s="293"/>
      <c r="QXV146" s="294"/>
      <c r="QYB146" s="292"/>
      <c r="QYC146" s="293"/>
      <c r="QYD146" s="294"/>
      <c r="QYJ146" s="292"/>
      <c r="QYK146" s="293"/>
      <c r="QYL146" s="294"/>
      <c r="QYR146" s="292"/>
      <c r="QYS146" s="293"/>
      <c r="QYT146" s="294"/>
      <c r="QYZ146" s="292"/>
      <c r="QZA146" s="293"/>
      <c r="QZB146" s="294"/>
      <c r="QZH146" s="292"/>
      <c r="QZI146" s="293"/>
      <c r="QZJ146" s="294"/>
      <c r="QZP146" s="292"/>
      <c r="QZQ146" s="293"/>
      <c r="QZR146" s="294"/>
      <c r="QZX146" s="292"/>
      <c r="QZY146" s="293"/>
      <c r="QZZ146" s="294"/>
      <c r="RAF146" s="292"/>
      <c r="RAG146" s="293"/>
      <c r="RAH146" s="294"/>
      <c r="RAN146" s="292"/>
      <c r="RAO146" s="293"/>
      <c r="RAP146" s="294"/>
      <c r="RAV146" s="292"/>
      <c r="RAW146" s="293"/>
      <c r="RAX146" s="294"/>
      <c r="RBD146" s="292"/>
      <c r="RBE146" s="293"/>
      <c r="RBF146" s="294"/>
      <c r="RBL146" s="292"/>
      <c r="RBM146" s="293"/>
      <c r="RBN146" s="294"/>
      <c r="RBT146" s="292"/>
      <c r="RBU146" s="293"/>
      <c r="RBV146" s="294"/>
      <c r="RCB146" s="292"/>
      <c r="RCC146" s="293"/>
      <c r="RCD146" s="294"/>
      <c r="RCJ146" s="292"/>
      <c r="RCK146" s="293"/>
      <c r="RCL146" s="294"/>
      <c r="RCR146" s="292"/>
      <c r="RCS146" s="293"/>
      <c r="RCT146" s="294"/>
      <c r="RCZ146" s="292"/>
      <c r="RDA146" s="293"/>
      <c r="RDB146" s="294"/>
      <c r="RDH146" s="292"/>
      <c r="RDI146" s="293"/>
      <c r="RDJ146" s="294"/>
      <c r="RDP146" s="292"/>
      <c r="RDQ146" s="293"/>
      <c r="RDR146" s="294"/>
      <c r="RDX146" s="292"/>
      <c r="RDY146" s="293"/>
      <c r="RDZ146" s="294"/>
      <c r="REF146" s="292"/>
      <c r="REG146" s="293"/>
      <c r="REH146" s="294"/>
      <c r="REN146" s="292"/>
      <c r="REO146" s="293"/>
      <c r="REP146" s="294"/>
      <c r="REV146" s="292"/>
      <c r="REW146" s="293"/>
      <c r="REX146" s="294"/>
      <c r="RFD146" s="292"/>
      <c r="RFE146" s="293"/>
      <c r="RFF146" s="294"/>
      <c r="RFL146" s="292"/>
      <c r="RFM146" s="293"/>
      <c r="RFN146" s="294"/>
      <c r="RFT146" s="292"/>
      <c r="RFU146" s="293"/>
      <c r="RFV146" s="294"/>
      <c r="RGB146" s="292"/>
      <c r="RGC146" s="293"/>
      <c r="RGD146" s="294"/>
      <c r="RGJ146" s="292"/>
      <c r="RGK146" s="293"/>
      <c r="RGL146" s="294"/>
      <c r="RGR146" s="292"/>
      <c r="RGS146" s="293"/>
      <c r="RGT146" s="294"/>
      <c r="RGZ146" s="292"/>
      <c r="RHA146" s="293"/>
      <c r="RHB146" s="294"/>
      <c r="RHH146" s="292"/>
      <c r="RHI146" s="293"/>
      <c r="RHJ146" s="294"/>
      <c r="RHP146" s="292"/>
      <c r="RHQ146" s="293"/>
      <c r="RHR146" s="294"/>
      <c r="RHX146" s="292"/>
      <c r="RHY146" s="293"/>
      <c r="RHZ146" s="294"/>
      <c r="RIF146" s="292"/>
      <c r="RIG146" s="293"/>
      <c r="RIH146" s="294"/>
      <c r="RIN146" s="292"/>
      <c r="RIO146" s="293"/>
      <c r="RIP146" s="294"/>
      <c r="RIV146" s="292"/>
      <c r="RIW146" s="293"/>
      <c r="RIX146" s="294"/>
      <c r="RJD146" s="292"/>
      <c r="RJE146" s="293"/>
      <c r="RJF146" s="294"/>
      <c r="RJL146" s="292"/>
      <c r="RJM146" s="293"/>
      <c r="RJN146" s="294"/>
      <c r="RJT146" s="292"/>
      <c r="RJU146" s="293"/>
      <c r="RJV146" s="294"/>
      <c r="RKB146" s="292"/>
      <c r="RKC146" s="293"/>
      <c r="RKD146" s="294"/>
      <c r="RKJ146" s="292"/>
      <c r="RKK146" s="293"/>
      <c r="RKL146" s="294"/>
      <c r="RKR146" s="292"/>
      <c r="RKS146" s="293"/>
      <c r="RKT146" s="294"/>
      <c r="RKZ146" s="292"/>
      <c r="RLA146" s="293"/>
      <c r="RLB146" s="294"/>
      <c r="RLH146" s="292"/>
      <c r="RLI146" s="293"/>
      <c r="RLJ146" s="294"/>
      <c r="RLP146" s="292"/>
      <c r="RLQ146" s="293"/>
      <c r="RLR146" s="294"/>
      <c r="RLX146" s="292"/>
      <c r="RLY146" s="293"/>
      <c r="RLZ146" s="294"/>
      <c r="RMF146" s="292"/>
      <c r="RMG146" s="293"/>
      <c r="RMH146" s="294"/>
      <c r="RMN146" s="292"/>
      <c r="RMO146" s="293"/>
      <c r="RMP146" s="294"/>
      <c r="RMV146" s="292"/>
      <c r="RMW146" s="293"/>
      <c r="RMX146" s="294"/>
      <c r="RND146" s="292"/>
      <c r="RNE146" s="293"/>
      <c r="RNF146" s="294"/>
      <c r="RNL146" s="292"/>
      <c r="RNM146" s="293"/>
      <c r="RNN146" s="294"/>
      <c r="RNT146" s="292"/>
      <c r="RNU146" s="293"/>
      <c r="RNV146" s="294"/>
      <c r="ROB146" s="292"/>
      <c r="ROC146" s="293"/>
      <c r="ROD146" s="294"/>
      <c r="ROJ146" s="292"/>
      <c r="ROK146" s="293"/>
      <c r="ROL146" s="294"/>
      <c r="ROR146" s="292"/>
      <c r="ROS146" s="293"/>
      <c r="ROT146" s="294"/>
      <c r="ROZ146" s="292"/>
      <c r="RPA146" s="293"/>
      <c r="RPB146" s="294"/>
      <c r="RPH146" s="292"/>
      <c r="RPI146" s="293"/>
      <c r="RPJ146" s="294"/>
      <c r="RPP146" s="292"/>
      <c r="RPQ146" s="293"/>
      <c r="RPR146" s="294"/>
      <c r="RPX146" s="292"/>
      <c r="RPY146" s="293"/>
      <c r="RPZ146" s="294"/>
      <c r="RQF146" s="292"/>
      <c r="RQG146" s="293"/>
      <c r="RQH146" s="294"/>
      <c r="RQN146" s="292"/>
      <c r="RQO146" s="293"/>
      <c r="RQP146" s="294"/>
      <c r="RQV146" s="292"/>
      <c r="RQW146" s="293"/>
      <c r="RQX146" s="294"/>
      <c r="RRD146" s="292"/>
      <c r="RRE146" s="293"/>
      <c r="RRF146" s="294"/>
      <c r="RRL146" s="292"/>
      <c r="RRM146" s="293"/>
      <c r="RRN146" s="294"/>
      <c r="RRT146" s="292"/>
      <c r="RRU146" s="293"/>
      <c r="RRV146" s="294"/>
      <c r="RSB146" s="292"/>
      <c r="RSC146" s="293"/>
      <c r="RSD146" s="294"/>
      <c r="RSJ146" s="292"/>
      <c r="RSK146" s="293"/>
      <c r="RSL146" s="294"/>
      <c r="RSR146" s="292"/>
      <c r="RSS146" s="293"/>
      <c r="RST146" s="294"/>
      <c r="RSZ146" s="292"/>
      <c r="RTA146" s="293"/>
      <c r="RTB146" s="294"/>
      <c r="RTH146" s="292"/>
      <c r="RTI146" s="293"/>
      <c r="RTJ146" s="294"/>
      <c r="RTP146" s="292"/>
      <c r="RTQ146" s="293"/>
      <c r="RTR146" s="294"/>
      <c r="RTX146" s="292"/>
      <c r="RTY146" s="293"/>
      <c r="RTZ146" s="294"/>
      <c r="RUF146" s="292"/>
      <c r="RUG146" s="293"/>
      <c r="RUH146" s="294"/>
      <c r="RUN146" s="292"/>
      <c r="RUO146" s="293"/>
      <c r="RUP146" s="294"/>
      <c r="RUV146" s="292"/>
      <c r="RUW146" s="293"/>
      <c r="RUX146" s="294"/>
      <c r="RVD146" s="292"/>
      <c r="RVE146" s="293"/>
      <c r="RVF146" s="294"/>
      <c r="RVL146" s="292"/>
      <c r="RVM146" s="293"/>
      <c r="RVN146" s="294"/>
      <c r="RVT146" s="292"/>
      <c r="RVU146" s="293"/>
      <c r="RVV146" s="294"/>
      <c r="RWB146" s="292"/>
      <c r="RWC146" s="293"/>
      <c r="RWD146" s="294"/>
      <c r="RWJ146" s="292"/>
      <c r="RWK146" s="293"/>
      <c r="RWL146" s="294"/>
      <c r="RWR146" s="292"/>
      <c r="RWS146" s="293"/>
      <c r="RWT146" s="294"/>
      <c r="RWZ146" s="292"/>
      <c r="RXA146" s="293"/>
      <c r="RXB146" s="294"/>
      <c r="RXH146" s="292"/>
      <c r="RXI146" s="293"/>
      <c r="RXJ146" s="294"/>
      <c r="RXP146" s="292"/>
      <c r="RXQ146" s="293"/>
      <c r="RXR146" s="294"/>
      <c r="RXX146" s="292"/>
      <c r="RXY146" s="293"/>
      <c r="RXZ146" s="294"/>
      <c r="RYF146" s="292"/>
      <c r="RYG146" s="293"/>
      <c r="RYH146" s="294"/>
      <c r="RYN146" s="292"/>
      <c r="RYO146" s="293"/>
      <c r="RYP146" s="294"/>
      <c r="RYV146" s="292"/>
      <c r="RYW146" s="293"/>
      <c r="RYX146" s="294"/>
      <c r="RZD146" s="292"/>
      <c r="RZE146" s="293"/>
      <c r="RZF146" s="294"/>
      <c r="RZL146" s="292"/>
      <c r="RZM146" s="293"/>
      <c r="RZN146" s="294"/>
      <c r="RZT146" s="292"/>
      <c r="RZU146" s="293"/>
      <c r="RZV146" s="294"/>
      <c r="SAB146" s="292"/>
      <c r="SAC146" s="293"/>
      <c r="SAD146" s="294"/>
      <c r="SAJ146" s="292"/>
      <c r="SAK146" s="293"/>
      <c r="SAL146" s="294"/>
      <c r="SAR146" s="292"/>
      <c r="SAS146" s="293"/>
      <c r="SAT146" s="294"/>
      <c r="SAZ146" s="292"/>
      <c r="SBA146" s="293"/>
      <c r="SBB146" s="294"/>
      <c r="SBH146" s="292"/>
      <c r="SBI146" s="293"/>
      <c r="SBJ146" s="294"/>
      <c r="SBP146" s="292"/>
      <c r="SBQ146" s="293"/>
      <c r="SBR146" s="294"/>
      <c r="SBX146" s="292"/>
      <c r="SBY146" s="293"/>
      <c r="SBZ146" s="294"/>
      <c r="SCF146" s="292"/>
      <c r="SCG146" s="293"/>
      <c r="SCH146" s="294"/>
      <c r="SCN146" s="292"/>
      <c r="SCO146" s="293"/>
      <c r="SCP146" s="294"/>
      <c r="SCV146" s="292"/>
      <c r="SCW146" s="293"/>
      <c r="SCX146" s="294"/>
      <c r="SDD146" s="292"/>
      <c r="SDE146" s="293"/>
      <c r="SDF146" s="294"/>
      <c r="SDL146" s="292"/>
      <c r="SDM146" s="293"/>
      <c r="SDN146" s="294"/>
      <c r="SDT146" s="292"/>
      <c r="SDU146" s="293"/>
      <c r="SDV146" s="294"/>
      <c r="SEB146" s="292"/>
      <c r="SEC146" s="293"/>
      <c r="SED146" s="294"/>
      <c r="SEJ146" s="292"/>
      <c r="SEK146" s="293"/>
      <c r="SEL146" s="294"/>
      <c r="SER146" s="292"/>
      <c r="SES146" s="293"/>
      <c r="SET146" s="294"/>
      <c r="SEZ146" s="292"/>
      <c r="SFA146" s="293"/>
      <c r="SFB146" s="294"/>
      <c r="SFH146" s="292"/>
      <c r="SFI146" s="293"/>
      <c r="SFJ146" s="294"/>
      <c r="SFP146" s="292"/>
      <c r="SFQ146" s="293"/>
      <c r="SFR146" s="294"/>
      <c r="SFX146" s="292"/>
      <c r="SFY146" s="293"/>
      <c r="SFZ146" s="294"/>
      <c r="SGF146" s="292"/>
      <c r="SGG146" s="293"/>
      <c r="SGH146" s="294"/>
      <c r="SGN146" s="292"/>
      <c r="SGO146" s="293"/>
      <c r="SGP146" s="294"/>
      <c r="SGV146" s="292"/>
      <c r="SGW146" s="293"/>
      <c r="SGX146" s="294"/>
      <c r="SHD146" s="292"/>
      <c r="SHE146" s="293"/>
      <c r="SHF146" s="294"/>
      <c r="SHL146" s="292"/>
      <c r="SHM146" s="293"/>
      <c r="SHN146" s="294"/>
      <c r="SHT146" s="292"/>
      <c r="SHU146" s="293"/>
      <c r="SHV146" s="294"/>
      <c r="SIB146" s="292"/>
      <c r="SIC146" s="293"/>
      <c r="SID146" s="294"/>
      <c r="SIJ146" s="292"/>
      <c r="SIK146" s="293"/>
      <c r="SIL146" s="294"/>
      <c r="SIR146" s="292"/>
      <c r="SIS146" s="293"/>
      <c r="SIT146" s="294"/>
      <c r="SIZ146" s="292"/>
      <c r="SJA146" s="293"/>
      <c r="SJB146" s="294"/>
      <c r="SJH146" s="292"/>
      <c r="SJI146" s="293"/>
      <c r="SJJ146" s="294"/>
      <c r="SJP146" s="292"/>
      <c r="SJQ146" s="293"/>
      <c r="SJR146" s="294"/>
      <c r="SJX146" s="292"/>
      <c r="SJY146" s="293"/>
      <c r="SJZ146" s="294"/>
      <c r="SKF146" s="292"/>
      <c r="SKG146" s="293"/>
      <c r="SKH146" s="294"/>
      <c r="SKN146" s="292"/>
      <c r="SKO146" s="293"/>
      <c r="SKP146" s="294"/>
      <c r="SKV146" s="292"/>
      <c r="SKW146" s="293"/>
      <c r="SKX146" s="294"/>
      <c r="SLD146" s="292"/>
      <c r="SLE146" s="293"/>
      <c r="SLF146" s="294"/>
      <c r="SLL146" s="292"/>
      <c r="SLM146" s="293"/>
      <c r="SLN146" s="294"/>
      <c r="SLT146" s="292"/>
      <c r="SLU146" s="293"/>
      <c r="SLV146" s="294"/>
      <c r="SMB146" s="292"/>
      <c r="SMC146" s="293"/>
      <c r="SMD146" s="294"/>
      <c r="SMJ146" s="292"/>
      <c r="SMK146" s="293"/>
      <c r="SML146" s="294"/>
      <c r="SMR146" s="292"/>
      <c r="SMS146" s="293"/>
      <c r="SMT146" s="294"/>
      <c r="SMZ146" s="292"/>
      <c r="SNA146" s="293"/>
      <c r="SNB146" s="294"/>
      <c r="SNH146" s="292"/>
      <c r="SNI146" s="293"/>
      <c r="SNJ146" s="294"/>
      <c r="SNP146" s="292"/>
      <c r="SNQ146" s="293"/>
      <c r="SNR146" s="294"/>
      <c r="SNX146" s="292"/>
      <c r="SNY146" s="293"/>
      <c r="SNZ146" s="294"/>
      <c r="SOF146" s="292"/>
      <c r="SOG146" s="293"/>
      <c r="SOH146" s="294"/>
      <c r="SON146" s="292"/>
      <c r="SOO146" s="293"/>
      <c r="SOP146" s="294"/>
      <c r="SOV146" s="292"/>
      <c r="SOW146" s="293"/>
      <c r="SOX146" s="294"/>
      <c r="SPD146" s="292"/>
      <c r="SPE146" s="293"/>
      <c r="SPF146" s="294"/>
      <c r="SPL146" s="292"/>
      <c r="SPM146" s="293"/>
      <c r="SPN146" s="294"/>
      <c r="SPT146" s="292"/>
      <c r="SPU146" s="293"/>
      <c r="SPV146" s="294"/>
      <c r="SQB146" s="292"/>
      <c r="SQC146" s="293"/>
      <c r="SQD146" s="294"/>
      <c r="SQJ146" s="292"/>
      <c r="SQK146" s="293"/>
      <c r="SQL146" s="294"/>
      <c r="SQR146" s="292"/>
      <c r="SQS146" s="293"/>
      <c r="SQT146" s="294"/>
      <c r="SQZ146" s="292"/>
      <c r="SRA146" s="293"/>
      <c r="SRB146" s="294"/>
      <c r="SRH146" s="292"/>
      <c r="SRI146" s="293"/>
      <c r="SRJ146" s="294"/>
      <c r="SRP146" s="292"/>
      <c r="SRQ146" s="293"/>
      <c r="SRR146" s="294"/>
      <c r="SRX146" s="292"/>
      <c r="SRY146" s="293"/>
      <c r="SRZ146" s="294"/>
      <c r="SSF146" s="292"/>
      <c r="SSG146" s="293"/>
      <c r="SSH146" s="294"/>
      <c r="SSN146" s="292"/>
      <c r="SSO146" s="293"/>
      <c r="SSP146" s="294"/>
      <c r="SSV146" s="292"/>
      <c r="SSW146" s="293"/>
      <c r="SSX146" s="294"/>
      <c r="STD146" s="292"/>
      <c r="STE146" s="293"/>
      <c r="STF146" s="294"/>
      <c r="STL146" s="292"/>
      <c r="STM146" s="293"/>
      <c r="STN146" s="294"/>
      <c r="STT146" s="292"/>
      <c r="STU146" s="293"/>
      <c r="STV146" s="294"/>
      <c r="SUB146" s="292"/>
      <c r="SUC146" s="293"/>
      <c r="SUD146" s="294"/>
      <c r="SUJ146" s="292"/>
      <c r="SUK146" s="293"/>
      <c r="SUL146" s="294"/>
      <c r="SUR146" s="292"/>
      <c r="SUS146" s="293"/>
      <c r="SUT146" s="294"/>
      <c r="SUZ146" s="292"/>
      <c r="SVA146" s="293"/>
      <c r="SVB146" s="294"/>
      <c r="SVH146" s="292"/>
      <c r="SVI146" s="293"/>
      <c r="SVJ146" s="294"/>
      <c r="SVP146" s="292"/>
      <c r="SVQ146" s="293"/>
      <c r="SVR146" s="294"/>
      <c r="SVX146" s="292"/>
      <c r="SVY146" s="293"/>
      <c r="SVZ146" s="294"/>
      <c r="SWF146" s="292"/>
      <c r="SWG146" s="293"/>
      <c r="SWH146" s="294"/>
      <c r="SWN146" s="292"/>
      <c r="SWO146" s="293"/>
      <c r="SWP146" s="294"/>
      <c r="SWV146" s="292"/>
      <c r="SWW146" s="293"/>
      <c r="SWX146" s="294"/>
      <c r="SXD146" s="292"/>
      <c r="SXE146" s="293"/>
      <c r="SXF146" s="294"/>
      <c r="SXL146" s="292"/>
      <c r="SXM146" s="293"/>
      <c r="SXN146" s="294"/>
      <c r="SXT146" s="292"/>
      <c r="SXU146" s="293"/>
      <c r="SXV146" s="294"/>
      <c r="SYB146" s="292"/>
      <c r="SYC146" s="293"/>
      <c r="SYD146" s="294"/>
      <c r="SYJ146" s="292"/>
      <c r="SYK146" s="293"/>
      <c r="SYL146" s="294"/>
      <c r="SYR146" s="292"/>
      <c r="SYS146" s="293"/>
      <c r="SYT146" s="294"/>
      <c r="SYZ146" s="292"/>
      <c r="SZA146" s="293"/>
      <c r="SZB146" s="294"/>
      <c r="SZH146" s="292"/>
      <c r="SZI146" s="293"/>
      <c r="SZJ146" s="294"/>
      <c r="SZP146" s="292"/>
      <c r="SZQ146" s="293"/>
      <c r="SZR146" s="294"/>
      <c r="SZX146" s="292"/>
      <c r="SZY146" s="293"/>
      <c r="SZZ146" s="294"/>
      <c r="TAF146" s="292"/>
      <c r="TAG146" s="293"/>
      <c r="TAH146" s="294"/>
      <c r="TAN146" s="292"/>
      <c r="TAO146" s="293"/>
      <c r="TAP146" s="294"/>
      <c r="TAV146" s="292"/>
      <c r="TAW146" s="293"/>
      <c r="TAX146" s="294"/>
      <c r="TBD146" s="292"/>
      <c r="TBE146" s="293"/>
      <c r="TBF146" s="294"/>
      <c r="TBL146" s="292"/>
      <c r="TBM146" s="293"/>
      <c r="TBN146" s="294"/>
      <c r="TBT146" s="292"/>
      <c r="TBU146" s="293"/>
      <c r="TBV146" s="294"/>
      <c r="TCB146" s="292"/>
      <c r="TCC146" s="293"/>
      <c r="TCD146" s="294"/>
      <c r="TCJ146" s="292"/>
      <c r="TCK146" s="293"/>
      <c r="TCL146" s="294"/>
      <c r="TCR146" s="292"/>
      <c r="TCS146" s="293"/>
      <c r="TCT146" s="294"/>
      <c r="TCZ146" s="292"/>
      <c r="TDA146" s="293"/>
      <c r="TDB146" s="294"/>
      <c r="TDH146" s="292"/>
      <c r="TDI146" s="293"/>
      <c r="TDJ146" s="294"/>
      <c r="TDP146" s="292"/>
      <c r="TDQ146" s="293"/>
      <c r="TDR146" s="294"/>
      <c r="TDX146" s="292"/>
      <c r="TDY146" s="293"/>
      <c r="TDZ146" s="294"/>
      <c r="TEF146" s="292"/>
      <c r="TEG146" s="293"/>
      <c r="TEH146" s="294"/>
      <c r="TEN146" s="292"/>
      <c r="TEO146" s="293"/>
      <c r="TEP146" s="294"/>
      <c r="TEV146" s="292"/>
      <c r="TEW146" s="293"/>
      <c r="TEX146" s="294"/>
      <c r="TFD146" s="292"/>
      <c r="TFE146" s="293"/>
      <c r="TFF146" s="294"/>
      <c r="TFL146" s="292"/>
      <c r="TFM146" s="293"/>
      <c r="TFN146" s="294"/>
      <c r="TFT146" s="292"/>
      <c r="TFU146" s="293"/>
      <c r="TFV146" s="294"/>
      <c r="TGB146" s="292"/>
      <c r="TGC146" s="293"/>
      <c r="TGD146" s="294"/>
      <c r="TGJ146" s="292"/>
      <c r="TGK146" s="293"/>
      <c r="TGL146" s="294"/>
      <c r="TGR146" s="292"/>
      <c r="TGS146" s="293"/>
      <c r="TGT146" s="294"/>
      <c r="TGZ146" s="292"/>
      <c r="THA146" s="293"/>
      <c r="THB146" s="294"/>
      <c r="THH146" s="292"/>
      <c r="THI146" s="293"/>
      <c r="THJ146" s="294"/>
      <c r="THP146" s="292"/>
      <c r="THQ146" s="293"/>
      <c r="THR146" s="294"/>
      <c r="THX146" s="292"/>
      <c r="THY146" s="293"/>
      <c r="THZ146" s="294"/>
      <c r="TIF146" s="292"/>
      <c r="TIG146" s="293"/>
      <c r="TIH146" s="294"/>
      <c r="TIN146" s="292"/>
      <c r="TIO146" s="293"/>
      <c r="TIP146" s="294"/>
      <c r="TIV146" s="292"/>
      <c r="TIW146" s="293"/>
      <c r="TIX146" s="294"/>
      <c r="TJD146" s="292"/>
      <c r="TJE146" s="293"/>
      <c r="TJF146" s="294"/>
      <c r="TJL146" s="292"/>
      <c r="TJM146" s="293"/>
      <c r="TJN146" s="294"/>
      <c r="TJT146" s="292"/>
      <c r="TJU146" s="293"/>
      <c r="TJV146" s="294"/>
      <c r="TKB146" s="292"/>
      <c r="TKC146" s="293"/>
      <c r="TKD146" s="294"/>
      <c r="TKJ146" s="292"/>
      <c r="TKK146" s="293"/>
      <c r="TKL146" s="294"/>
      <c r="TKR146" s="292"/>
      <c r="TKS146" s="293"/>
      <c r="TKT146" s="294"/>
      <c r="TKZ146" s="292"/>
      <c r="TLA146" s="293"/>
      <c r="TLB146" s="294"/>
      <c r="TLH146" s="292"/>
      <c r="TLI146" s="293"/>
      <c r="TLJ146" s="294"/>
      <c r="TLP146" s="292"/>
      <c r="TLQ146" s="293"/>
      <c r="TLR146" s="294"/>
      <c r="TLX146" s="292"/>
      <c r="TLY146" s="293"/>
      <c r="TLZ146" s="294"/>
      <c r="TMF146" s="292"/>
      <c r="TMG146" s="293"/>
      <c r="TMH146" s="294"/>
      <c r="TMN146" s="292"/>
      <c r="TMO146" s="293"/>
      <c r="TMP146" s="294"/>
      <c r="TMV146" s="292"/>
      <c r="TMW146" s="293"/>
      <c r="TMX146" s="294"/>
      <c r="TND146" s="292"/>
      <c r="TNE146" s="293"/>
      <c r="TNF146" s="294"/>
      <c r="TNL146" s="292"/>
      <c r="TNM146" s="293"/>
      <c r="TNN146" s="294"/>
      <c r="TNT146" s="292"/>
      <c r="TNU146" s="293"/>
      <c r="TNV146" s="294"/>
      <c r="TOB146" s="292"/>
      <c r="TOC146" s="293"/>
      <c r="TOD146" s="294"/>
      <c r="TOJ146" s="292"/>
      <c r="TOK146" s="293"/>
      <c r="TOL146" s="294"/>
      <c r="TOR146" s="292"/>
      <c r="TOS146" s="293"/>
      <c r="TOT146" s="294"/>
      <c r="TOZ146" s="292"/>
      <c r="TPA146" s="293"/>
      <c r="TPB146" s="294"/>
      <c r="TPH146" s="292"/>
      <c r="TPI146" s="293"/>
      <c r="TPJ146" s="294"/>
      <c r="TPP146" s="292"/>
      <c r="TPQ146" s="293"/>
      <c r="TPR146" s="294"/>
      <c r="TPX146" s="292"/>
      <c r="TPY146" s="293"/>
      <c r="TPZ146" s="294"/>
      <c r="TQF146" s="292"/>
      <c r="TQG146" s="293"/>
      <c r="TQH146" s="294"/>
      <c r="TQN146" s="292"/>
      <c r="TQO146" s="293"/>
      <c r="TQP146" s="294"/>
      <c r="TQV146" s="292"/>
      <c r="TQW146" s="293"/>
      <c r="TQX146" s="294"/>
      <c r="TRD146" s="292"/>
      <c r="TRE146" s="293"/>
      <c r="TRF146" s="294"/>
      <c r="TRL146" s="292"/>
      <c r="TRM146" s="293"/>
      <c r="TRN146" s="294"/>
      <c r="TRT146" s="292"/>
      <c r="TRU146" s="293"/>
      <c r="TRV146" s="294"/>
      <c r="TSB146" s="292"/>
      <c r="TSC146" s="293"/>
      <c r="TSD146" s="294"/>
      <c r="TSJ146" s="292"/>
      <c r="TSK146" s="293"/>
      <c r="TSL146" s="294"/>
      <c r="TSR146" s="292"/>
      <c r="TSS146" s="293"/>
      <c r="TST146" s="294"/>
      <c r="TSZ146" s="292"/>
      <c r="TTA146" s="293"/>
      <c r="TTB146" s="294"/>
      <c r="TTH146" s="292"/>
      <c r="TTI146" s="293"/>
      <c r="TTJ146" s="294"/>
      <c r="TTP146" s="292"/>
      <c r="TTQ146" s="293"/>
      <c r="TTR146" s="294"/>
      <c r="TTX146" s="292"/>
      <c r="TTY146" s="293"/>
      <c r="TTZ146" s="294"/>
      <c r="TUF146" s="292"/>
      <c r="TUG146" s="293"/>
      <c r="TUH146" s="294"/>
      <c r="TUN146" s="292"/>
      <c r="TUO146" s="293"/>
      <c r="TUP146" s="294"/>
      <c r="TUV146" s="292"/>
      <c r="TUW146" s="293"/>
      <c r="TUX146" s="294"/>
      <c r="TVD146" s="292"/>
      <c r="TVE146" s="293"/>
      <c r="TVF146" s="294"/>
      <c r="TVL146" s="292"/>
      <c r="TVM146" s="293"/>
      <c r="TVN146" s="294"/>
      <c r="TVT146" s="292"/>
      <c r="TVU146" s="293"/>
      <c r="TVV146" s="294"/>
      <c r="TWB146" s="292"/>
      <c r="TWC146" s="293"/>
      <c r="TWD146" s="294"/>
      <c r="TWJ146" s="292"/>
      <c r="TWK146" s="293"/>
      <c r="TWL146" s="294"/>
      <c r="TWR146" s="292"/>
      <c r="TWS146" s="293"/>
      <c r="TWT146" s="294"/>
      <c r="TWZ146" s="292"/>
      <c r="TXA146" s="293"/>
      <c r="TXB146" s="294"/>
      <c r="TXH146" s="292"/>
      <c r="TXI146" s="293"/>
      <c r="TXJ146" s="294"/>
      <c r="TXP146" s="292"/>
      <c r="TXQ146" s="293"/>
      <c r="TXR146" s="294"/>
      <c r="TXX146" s="292"/>
      <c r="TXY146" s="293"/>
      <c r="TXZ146" s="294"/>
      <c r="TYF146" s="292"/>
      <c r="TYG146" s="293"/>
      <c r="TYH146" s="294"/>
      <c r="TYN146" s="292"/>
      <c r="TYO146" s="293"/>
      <c r="TYP146" s="294"/>
      <c r="TYV146" s="292"/>
      <c r="TYW146" s="293"/>
      <c r="TYX146" s="294"/>
      <c r="TZD146" s="292"/>
      <c r="TZE146" s="293"/>
      <c r="TZF146" s="294"/>
      <c r="TZL146" s="292"/>
      <c r="TZM146" s="293"/>
      <c r="TZN146" s="294"/>
      <c r="TZT146" s="292"/>
      <c r="TZU146" s="293"/>
      <c r="TZV146" s="294"/>
      <c r="UAB146" s="292"/>
      <c r="UAC146" s="293"/>
      <c r="UAD146" s="294"/>
      <c r="UAJ146" s="292"/>
      <c r="UAK146" s="293"/>
      <c r="UAL146" s="294"/>
      <c r="UAR146" s="292"/>
      <c r="UAS146" s="293"/>
      <c r="UAT146" s="294"/>
      <c r="UAZ146" s="292"/>
      <c r="UBA146" s="293"/>
      <c r="UBB146" s="294"/>
      <c r="UBH146" s="292"/>
      <c r="UBI146" s="293"/>
      <c r="UBJ146" s="294"/>
      <c r="UBP146" s="292"/>
      <c r="UBQ146" s="293"/>
      <c r="UBR146" s="294"/>
      <c r="UBX146" s="292"/>
      <c r="UBY146" s="293"/>
      <c r="UBZ146" s="294"/>
      <c r="UCF146" s="292"/>
      <c r="UCG146" s="293"/>
      <c r="UCH146" s="294"/>
      <c r="UCN146" s="292"/>
      <c r="UCO146" s="293"/>
      <c r="UCP146" s="294"/>
      <c r="UCV146" s="292"/>
      <c r="UCW146" s="293"/>
      <c r="UCX146" s="294"/>
      <c r="UDD146" s="292"/>
      <c r="UDE146" s="293"/>
      <c r="UDF146" s="294"/>
      <c r="UDL146" s="292"/>
      <c r="UDM146" s="293"/>
      <c r="UDN146" s="294"/>
      <c r="UDT146" s="292"/>
      <c r="UDU146" s="293"/>
      <c r="UDV146" s="294"/>
      <c r="UEB146" s="292"/>
      <c r="UEC146" s="293"/>
      <c r="UED146" s="294"/>
      <c r="UEJ146" s="292"/>
      <c r="UEK146" s="293"/>
      <c r="UEL146" s="294"/>
      <c r="UER146" s="292"/>
      <c r="UES146" s="293"/>
      <c r="UET146" s="294"/>
      <c r="UEZ146" s="292"/>
      <c r="UFA146" s="293"/>
      <c r="UFB146" s="294"/>
      <c r="UFH146" s="292"/>
      <c r="UFI146" s="293"/>
      <c r="UFJ146" s="294"/>
      <c r="UFP146" s="292"/>
      <c r="UFQ146" s="293"/>
      <c r="UFR146" s="294"/>
      <c r="UFX146" s="292"/>
      <c r="UFY146" s="293"/>
      <c r="UFZ146" s="294"/>
      <c r="UGF146" s="292"/>
      <c r="UGG146" s="293"/>
      <c r="UGH146" s="294"/>
      <c r="UGN146" s="292"/>
      <c r="UGO146" s="293"/>
      <c r="UGP146" s="294"/>
      <c r="UGV146" s="292"/>
      <c r="UGW146" s="293"/>
      <c r="UGX146" s="294"/>
      <c r="UHD146" s="292"/>
      <c r="UHE146" s="293"/>
      <c r="UHF146" s="294"/>
      <c r="UHL146" s="292"/>
      <c r="UHM146" s="293"/>
      <c r="UHN146" s="294"/>
      <c r="UHT146" s="292"/>
      <c r="UHU146" s="293"/>
      <c r="UHV146" s="294"/>
      <c r="UIB146" s="292"/>
      <c r="UIC146" s="293"/>
      <c r="UID146" s="294"/>
      <c r="UIJ146" s="292"/>
      <c r="UIK146" s="293"/>
      <c r="UIL146" s="294"/>
      <c r="UIR146" s="292"/>
      <c r="UIS146" s="293"/>
      <c r="UIT146" s="294"/>
      <c r="UIZ146" s="292"/>
      <c r="UJA146" s="293"/>
      <c r="UJB146" s="294"/>
      <c r="UJH146" s="292"/>
      <c r="UJI146" s="293"/>
      <c r="UJJ146" s="294"/>
      <c r="UJP146" s="292"/>
      <c r="UJQ146" s="293"/>
      <c r="UJR146" s="294"/>
      <c r="UJX146" s="292"/>
      <c r="UJY146" s="293"/>
      <c r="UJZ146" s="294"/>
      <c r="UKF146" s="292"/>
      <c r="UKG146" s="293"/>
      <c r="UKH146" s="294"/>
      <c r="UKN146" s="292"/>
      <c r="UKO146" s="293"/>
      <c r="UKP146" s="294"/>
      <c r="UKV146" s="292"/>
      <c r="UKW146" s="293"/>
      <c r="UKX146" s="294"/>
      <c r="ULD146" s="292"/>
      <c r="ULE146" s="293"/>
      <c r="ULF146" s="294"/>
      <c r="ULL146" s="292"/>
      <c r="ULM146" s="293"/>
      <c r="ULN146" s="294"/>
      <c r="ULT146" s="292"/>
      <c r="ULU146" s="293"/>
      <c r="ULV146" s="294"/>
      <c r="UMB146" s="292"/>
      <c r="UMC146" s="293"/>
      <c r="UMD146" s="294"/>
      <c r="UMJ146" s="292"/>
      <c r="UMK146" s="293"/>
      <c r="UML146" s="294"/>
      <c r="UMR146" s="292"/>
      <c r="UMS146" s="293"/>
      <c r="UMT146" s="294"/>
      <c r="UMZ146" s="292"/>
      <c r="UNA146" s="293"/>
      <c r="UNB146" s="294"/>
      <c r="UNH146" s="292"/>
      <c r="UNI146" s="293"/>
      <c r="UNJ146" s="294"/>
      <c r="UNP146" s="292"/>
      <c r="UNQ146" s="293"/>
      <c r="UNR146" s="294"/>
      <c r="UNX146" s="292"/>
      <c r="UNY146" s="293"/>
      <c r="UNZ146" s="294"/>
      <c r="UOF146" s="292"/>
      <c r="UOG146" s="293"/>
      <c r="UOH146" s="294"/>
      <c r="UON146" s="292"/>
      <c r="UOO146" s="293"/>
      <c r="UOP146" s="294"/>
      <c r="UOV146" s="292"/>
      <c r="UOW146" s="293"/>
      <c r="UOX146" s="294"/>
      <c r="UPD146" s="292"/>
      <c r="UPE146" s="293"/>
      <c r="UPF146" s="294"/>
      <c r="UPL146" s="292"/>
      <c r="UPM146" s="293"/>
      <c r="UPN146" s="294"/>
      <c r="UPT146" s="292"/>
      <c r="UPU146" s="293"/>
      <c r="UPV146" s="294"/>
      <c r="UQB146" s="292"/>
      <c r="UQC146" s="293"/>
      <c r="UQD146" s="294"/>
      <c r="UQJ146" s="292"/>
      <c r="UQK146" s="293"/>
      <c r="UQL146" s="294"/>
      <c r="UQR146" s="292"/>
      <c r="UQS146" s="293"/>
      <c r="UQT146" s="294"/>
      <c r="UQZ146" s="292"/>
      <c r="URA146" s="293"/>
      <c r="URB146" s="294"/>
      <c r="URH146" s="292"/>
      <c r="URI146" s="293"/>
      <c r="URJ146" s="294"/>
      <c r="URP146" s="292"/>
      <c r="URQ146" s="293"/>
      <c r="URR146" s="294"/>
      <c r="URX146" s="292"/>
      <c r="URY146" s="293"/>
      <c r="URZ146" s="294"/>
      <c r="USF146" s="292"/>
      <c r="USG146" s="293"/>
      <c r="USH146" s="294"/>
      <c r="USN146" s="292"/>
      <c r="USO146" s="293"/>
      <c r="USP146" s="294"/>
      <c r="USV146" s="292"/>
      <c r="USW146" s="293"/>
      <c r="USX146" s="294"/>
      <c r="UTD146" s="292"/>
      <c r="UTE146" s="293"/>
      <c r="UTF146" s="294"/>
      <c r="UTL146" s="292"/>
      <c r="UTM146" s="293"/>
      <c r="UTN146" s="294"/>
      <c r="UTT146" s="292"/>
      <c r="UTU146" s="293"/>
      <c r="UTV146" s="294"/>
      <c r="UUB146" s="292"/>
      <c r="UUC146" s="293"/>
      <c r="UUD146" s="294"/>
      <c r="UUJ146" s="292"/>
      <c r="UUK146" s="293"/>
      <c r="UUL146" s="294"/>
      <c r="UUR146" s="292"/>
      <c r="UUS146" s="293"/>
      <c r="UUT146" s="294"/>
      <c r="UUZ146" s="292"/>
      <c r="UVA146" s="293"/>
      <c r="UVB146" s="294"/>
      <c r="UVH146" s="292"/>
      <c r="UVI146" s="293"/>
      <c r="UVJ146" s="294"/>
      <c r="UVP146" s="292"/>
      <c r="UVQ146" s="293"/>
      <c r="UVR146" s="294"/>
      <c r="UVX146" s="292"/>
      <c r="UVY146" s="293"/>
      <c r="UVZ146" s="294"/>
      <c r="UWF146" s="292"/>
      <c r="UWG146" s="293"/>
      <c r="UWH146" s="294"/>
      <c r="UWN146" s="292"/>
      <c r="UWO146" s="293"/>
      <c r="UWP146" s="294"/>
      <c r="UWV146" s="292"/>
      <c r="UWW146" s="293"/>
      <c r="UWX146" s="294"/>
      <c r="UXD146" s="292"/>
      <c r="UXE146" s="293"/>
      <c r="UXF146" s="294"/>
      <c r="UXL146" s="292"/>
      <c r="UXM146" s="293"/>
      <c r="UXN146" s="294"/>
      <c r="UXT146" s="292"/>
      <c r="UXU146" s="293"/>
      <c r="UXV146" s="294"/>
      <c r="UYB146" s="292"/>
      <c r="UYC146" s="293"/>
      <c r="UYD146" s="294"/>
      <c r="UYJ146" s="292"/>
      <c r="UYK146" s="293"/>
      <c r="UYL146" s="294"/>
      <c r="UYR146" s="292"/>
      <c r="UYS146" s="293"/>
      <c r="UYT146" s="294"/>
      <c r="UYZ146" s="292"/>
      <c r="UZA146" s="293"/>
      <c r="UZB146" s="294"/>
      <c r="UZH146" s="292"/>
      <c r="UZI146" s="293"/>
      <c r="UZJ146" s="294"/>
      <c r="UZP146" s="292"/>
      <c r="UZQ146" s="293"/>
      <c r="UZR146" s="294"/>
      <c r="UZX146" s="292"/>
      <c r="UZY146" s="293"/>
      <c r="UZZ146" s="294"/>
      <c r="VAF146" s="292"/>
      <c r="VAG146" s="293"/>
      <c r="VAH146" s="294"/>
      <c r="VAN146" s="292"/>
      <c r="VAO146" s="293"/>
      <c r="VAP146" s="294"/>
      <c r="VAV146" s="292"/>
      <c r="VAW146" s="293"/>
      <c r="VAX146" s="294"/>
      <c r="VBD146" s="292"/>
      <c r="VBE146" s="293"/>
      <c r="VBF146" s="294"/>
      <c r="VBL146" s="292"/>
      <c r="VBM146" s="293"/>
      <c r="VBN146" s="294"/>
      <c r="VBT146" s="292"/>
      <c r="VBU146" s="293"/>
      <c r="VBV146" s="294"/>
      <c r="VCB146" s="292"/>
      <c r="VCC146" s="293"/>
      <c r="VCD146" s="294"/>
      <c r="VCJ146" s="292"/>
      <c r="VCK146" s="293"/>
      <c r="VCL146" s="294"/>
      <c r="VCR146" s="292"/>
      <c r="VCS146" s="293"/>
      <c r="VCT146" s="294"/>
      <c r="VCZ146" s="292"/>
      <c r="VDA146" s="293"/>
      <c r="VDB146" s="294"/>
      <c r="VDH146" s="292"/>
      <c r="VDI146" s="293"/>
      <c r="VDJ146" s="294"/>
      <c r="VDP146" s="292"/>
      <c r="VDQ146" s="293"/>
      <c r="VDR146" s="294"/>
      <c r="VDX146" s="292"/>
      <c r="VDY146" s="293"/>
      <c r="VDZ146" s="294"/>
      <c r="VEF146" s="292"/>
      <c r="VEG146" s="293"/>
      <c r="VEH146" s="294"/>
      <c r="VEN146" s="292"/>
      <c r="VEO146" s="293"/>
      <c r="VEP146" s="294"/>
      <c r="VEV146" s="292"/>
      <c r="VEW146" s="293"/>
      <c r="VEX146" s="294"/>
      <c r="VFD146" s="292"/>
      <c r="VFE146" s="293"/>
      <c r="VFF146" s="294"/>
      <c r="VFL146" s="292"/>
      <c r="VFM146" s="293"/>
      <c r="VFN146" s="294"/>
      <c r="VFT146" s="292"/>
      <c r="VFU146" s="293"/>
      <c r="VFV146" s="294"/>
      <c r="VGB146" s="292"/>
      <c r="VGC146" s="293"/>
      <c r="VGD146" s="294"/>
      <c r="VGJ146" s="292"/>
      <c r="VGK146" s="293"/>
      <c r="VGL146" s="294"/>
      <c r="VGR146" s="292"/>
      <c r="VGS146" s="293"/>
      <c r="VGT146" s="294"/>
      <c r="VGZ146" s="292"/>
      <c r="VHA146" s="293"/>
      <c r="VHB146" s="294"/>
      <c r="VHH146" s="292"/>
      <c r="VHI146" s="293"/>
      <c r="VHJ146" s="294"/>
      <c r="VHP146" s="292"/>
      <c r="VHQ146" s="293"/>
      <c r="VHR146" s="294"/>
      <c r="VHX146" s="292"/>
      <c r="VHY146" s="293"/>
      <c r="VHZ146" s="294"/>
      <c r="VIF146" s="292"/>
      <c r="VIG146" s="293"/>
      <c r="VIH146" s="294"/>
      <c r="VIN146" s="292"/>
      <c r="VIO146" s="293"/>
      <c r="VIP146" s="294"/>
      <c r="VIV146" s="292"/>
      <c r="VIW146" s="293"/>
      <c r="VIX146" s="294"/>
      <c r="VJD146" s="292"/>
      <c r="VJE146" s="293"/>
      <c r="VJF146" s="294"/>
      <c r="VJL146" s="292"/>
      <c r="VJM146" s="293"/>
      <c r="VJN146" s="294"/>
      <c r="VJT146" s="292"/>
      <c r="VJU146" s="293"/>
      <c r="VJV146" s="294"/>
      <c r="VKB146" s="292"/>
      <c r="VKC146" s="293"/>
      <c r="VKD146" s="294"/>
      <c r="VKJ146" s="292"/>
      <c r="VKK146" s="293"/>
      <c r="VKL146" s="294"/>
      <c r="VKR146" s="292"/>
      <c r="VKS146" s="293"/>
      <c r="VKT146" s="294"/>
      <c r="VKZ146" s="292"/>
      <c r="VLA146" s="293"/>
      <c r="VLB146" s="294"/>
      <c r="VLH146" s="292"/>
      <c r="VLI146" s="293"/>
      <c r="VLJ146" s="294"/>
      <c r="VLP146" s="292"/>
      <c r="VLQ146" s="293"/>
      <c r="VLR146" s="294"/>
      <c r="VLX146" s="292"/>
      <c r="VLY146" s="293"/>
      <c r="VLZ146" s="294"/>
      <c r="VMF146" s="292"/>
      <c r="VMG146" s="293"/>
      <c r="VMH146" s="294"/>
      <c r="VMN146" s="292"/>
      <c r="VMO146" s="293"/>
      <c r="VMP146" s="294"/>
      <c r="VMV146" s="292"/>
      <c r="VMW146" s="293"/>
      <c r="VMX146" s="294"/>
      <c r="VND146" s="292"/>
      <c r="VNE146" s="293"/>
      <c r="VNF146" s="294"/>
      <c r="VNL146" s="292"/>
      <c r="VNM146" s="293"/>
      <c r="VNN146" s="294"/>
      <c r="VNT146" s="292"/>
      <c r="VNU146" s="293"/>
      <c r="VNV146" s="294"/>
      <c r="VOB146" s="292"/>
      <c r="VOC146" s="293"/>
      <c r="VOD146" s="294"/>
      <c r="VOJ146" s="292"/>
      <c r="VOK146" s="293"/>
      <c r="VOL146" s="294"/>
      <c r="VOR146" s="292"/>
      <c r="VOS146" s="293"/>
      <c r="VOT146" s="294"/>
      <c r="VOZ146" s="292"/>
      <c r="VPA146" s="293"/>
      <c r="VPB146" s="294"/>
      <c r="VPH146" s="292"/>
      <c r="VPI146" s="293"/>
      <c r="VPJ146" s="294"/>
      <c r="VPP146" s="292"/>
      <c r="VPQ146" s="293"/>
      <c r="VPR146" s="294"/>
      <c r="VPX146" s="292"/>
      <c r="VPY146" s="293"/>
      <c r="VPZ146" s="294"/>
      <c r="VQF146" s="292"/>
      <c r="VQG146" s="293"/>
      <c r="VQH146" s="294"/>
      <c r="VQN146" s="292"/>
      <c r="VQO146" s="293"/>
      <c r="VQP146" s="294"/>
      <c r="VQV146" s="292"/>
      <c r="VQW146" s="293"/>
      <c r="VQX146" s="294"/>
      <c r="VRD146" s="292"/>
      <c r="VRE146" s="293"/>
      <c r="VRF146" s="294"/>
      <c r="VRL146" s="292"/>
      <c r="VRM146" s="293"/>
      <c r="VRN146" s="294"/>
      <c r="VRT146" s="292"/>
      <c r="VRU146" s="293"/>
      <c r="VRV146" s="294"/>
      <c r="VSB146" s="292"/>
      <c r="VSC146" s="293"/>
      <c r="VSD146" s="294"/>
      <c r="VSJ146" s="292"/>
      <c r="VSK146" s="293"/>
      <c r="VSL146" s="294"/>
      <c r="VSR146" s="292"/>
      <c r="VSS146" s="293"/>
      <c r="VST146" s="294"/>
      <c r="VSZ146" s="292"/>
      <c r="VTA146" s="293"/>
      <c r="VTB146" s="294"/>
      <c r="VTH146" s="292"/>
      <c r="VTI146" s="293"/>
      <c r="VTJ146" s="294"/>
      <c r="VTP146" s="292"/>
      <c r="VTQ146" s="293"/>
      <c r="VTR146" s="294"/>
      <c r="VTX146" s="292"/>
      <c r="VTY146" s="293"/>
      <c r="VTZ146" s="294"/>
      <c r="VUF146" s="292"/>
      <c r="VUG146" s="293"/>
      <c r="VUH146" s="294"/>
      <c r="VUN146" s="292"/>
      <c r="VUO146" s="293"/>
      <c r="VUP146" s="294"/>
      <c r="VUV146" s="292"/>
      <c r="VUW146" s="293"/>
      <c r="VUX146" s="294"/>
      <c r="VVD146" s="292"/>
      <c r="VVE146" s="293"/>
      <c r="VVF146" s="294"/>
      <c r="VVL146" s="292"/>
      <c r="VVM146" s="293"/>
      <c r="VVN146" s="294"/>
      <c r="VVT146" s="292"/>
      <c r="VVU146" s="293"/>
      <c r="VVV146" s="294"/>
      <c r="VWB146" s="292"/>
      <c r="VWC146" s="293"/>
      <c r="VWD146" s="294"/>
      <c r="VWJ146" s="292"/>
      <c r="VWK146" s="293"/>
      <c r="VWL146" s="294"/>
      <c r="VWR146" s="292"/>
      <c r="VWS146" s="293"/>
      <c r="VWT146" s="294"/>
      <c r="VWZ146" s="292"/>
      <c r="VXA146" s="293"/>
      <c r="VXB146" s="294"/>
      <c r="VXH146" s="292"/>
      <c r="VXI146" s="293"/>
      <c r="VXJ146" s="294"/>
      <c r="VXP146" s="292"/>
      <c r="VXQ146" s="293"/>
      <c r="VXR146" s="294"/>
      <c r="VXX146" s="292"/>
      <c r="VXY146" s="293"/>
      <c r="VXZ146" s="294"/>
      <c r="VYF146" s="292"/>
      <c r="VYG146" s="293"/>
      <c r="VYH146" s="294"/>
      <c r="VYN146" s="292"/>
      <c r="VYO146" s="293"/>
      <c r="VYP146" s="294"/>
      <c r="VYV146" s="292"/>
      <c r="VYW146" s="293"/>
      <c r="VYX146" s="294"/>
      <c r="VZD146" s="292"/>
      <c r="VZE146" s="293"/>
      <c r="VZF146" s="294"/>
      <c r="VZL146" s="292"/>
      <c r="VZM146" s="293"/>
      <c r="VZN146" s="294"/>
      <c r="VZT146" s="292"/>
      <c r="VZU146" s="293"/>
      <c r="VZV146" s="294"/>
      <c r="WAB146" s="292"/>
      <c r="WAC146" s="293"/>
      <c r="WAD146" s="294"/>
      <c r="WAJ146" s="292"/>
      <c r="WAK146" s="293"/>
      <c r="WAL146" s="294"/>
      <c r="WAR146" s="292"/>
      <c r="WAS146" s="293"/>
      <c r="WAT146" s="294"/>
      <c r="WAZ146" s="292"/>
      <c r="WBA146" s="293"/>
      <c r="WBB146" s="294"/>
      <c r="WBH146" s="292"/>
      <c r="WBI146" s="293"/>
      <c r="WBJ146" s="294"/>
      <c r="WBP146" s="292"/>
      <c r="WBQ146" s="293"/>
      <c r="WBR146" s="294"/>
      <c r="WBX146" s="292"/>
      <c r="WBY146" s="293"/>
      <c r="WBZ146" s="294"/>
      <c r="WCF146" s="292"/>
      <c r="WCG146" s="293"/>
      <c r="WCH146" s="294"/>
      <c r="WCN146" s="292"/>
      <c r="WCO146" s="293"/>
      <c r="WCP146" s="294"/>
      <c r="WCV146" s="292"/>
      <c r="WCW146" s="293"/>
      <c r="WCX146" s="294"/>
      <c r="WDD146" s="292"/>
      <c r="WDE146" s="293"/>
      <c r="WDF146" s="294"/>
      <c r="WDL146" s="292"/>
      <c r="WDM146" s="293"/>
      <c r="WDN146" s="294"/>
      <c r="WDT146" s="292"/>
      <c r="WDU146" s="293"/>
      <c r="WDV146" s="294"/>
      <c r="WEB146" s="292"/>
      <c r="WEC146" s="293"/>
      <c r="WED146" s="294"/>
      <c r="WEJ146" s="292"/>
      <c r="WEK146" s="293"/>
      <c r="WEL146" s="294"/>
      <c r="WER146" s="292"/>
      <c r="WES146" s="293"/>
      <c r="WET146" s="294"/>
      <c r="WEZ146" s="292"/>
      <c r="WFA146" s="293"/>
      <c r="WFB146" s="294"/>
      <c r="WFH146" s="292"/>
      <c r="WFI146" s="293"/>
      <c r="WFJ146" s="294"/>
      <c r="WFP146" s="292"/>
      <c r="WFQ146" s="293"/>
      <c r="WFR146" s="294"/>
      <c r="WFX146" s="292"/>
      <c r="WFY146" s="293"/>
      <c r="WFZ146" s="294"/>
      <c r="WGF146" s="292"/>
      <c r="WGG146" s="293"/>
      <c r="WGH146" s="294"/>
      <c r="WGN146" s="292"/>
      <c r="WGO146" s="293"/>
      <c r="WGP146" s="294"/>
      <c r="WGV146" s="292"/>
      <c r="WGW146" s="293"/>
      <c r="WGX146" s="294"/>
      <c r="WHD146" s="292"/>
      <c r="WHE146" s="293"/>
      <c r="WHF146" s="294"/>
      <c r="WHL146" s="292"/>
      <c r="WHM146" s="293"/>
      <c r="WHN146" s="294"/>
      <c r="WHT146" s="292"/>
      <c r="WHU146" s="293"/>
      <c r="WHV146" s="294"/>
      <c r="WIB146" s="292"/>
      <c r="WIC146" s="293"/>
      <c r="WID146" s="294"/>
      <c r="WIJ146" s="292"/>
      <c r="WIK146" s="293"/>
      <c r="WIL146" s="294"/>
      <c r="WIR146" s="292"/>
      <c r="WIS146" s="293"/>
      <c r="WIT146" s="294"/>
      <c r="WIZ146" s="292"/>
      <c r="WJA146" s="293"/>
      <c r="WJB146" s="294"/>
      <c r="WJH146" s="292"/>
      <c r="WJI146" s="293"/>
      <c r="WJJ146" s="294"/>
      <c r="WJP146" s="292"/>
      <c r="WJQ146" s="293"/>
      <c r="WJR146" s="294"/>
      <c r="WJX146" s="292"/>
      <c r="WJY146" s="293"/>
      <c r="WJZ146" s="294"/>
      <c r="WKF146" s="292"/>
      <c r="WKG146" s="293"/>
      <c r="WKH146" s="294"/>
      <c r="WKN146" s="292"/>
      <c r="WKO146" s="293"/>
      <c r="WKP146" s="294"/>
      <c r="WKV146" s="292"/>
      <c r="WKW146" s="293"/>
      <c r="WKX146" s="294"/>
      <c r="WLD146" s="292"/>
      <c r="WLE146" s="293"/>
      <c r="WLF146" s="294"/>
      <c r="WLL146" s="292"/>
      <c r="WLM146" s="293"/>
      <c r="WLN146" s="294"/>
      <c r="WLT146" s="292"/>
      <c r="WLU146" s="293"/>
      <c r="WLV146" s="294"/>
      <c r="WMB146" s="292"/>
      <c r="WMC146" s="293"/>
      <c r="WMD146" s="294"/>
      <c r="WMJ146" s="292"/>
      <c r="WMK146" s="293"/>
      <c r="WML146" s="294"/>
      <c r="WMR146" s="292"/>
      <c r="WMS146" s="293"/>
      <c r="WMT146" s="294"/>
      <c r="WMZ146" s="292"/>
      <c r="WNA146" s="293"/>
      <c r="WNB146" s="294"/>
      <c r="WNH146" s="292"/>
      <c r="WNI146" s="293"/>
      <c r="WNJ146" s="294"/>
      <c r="WNP146" s="292"/>
      <c r="WNQ146" s="293"/>
      <c r="WNR146" s="294"/>
      <c r="WNX146" s="292"/>
      <c r="WNY146" s="293"/>
      <c r="WNZ146" s="294"/>
      <c r="WOF146" s="292"/>
      <c r="WOG146" s="293"/>
      <c r="WOH146" s="294"/>
      <c r="WON146" s="292"/>
      <c r="WOO146" s="293"/>
      <c r="WOP146" s="294"/>
      <c r="WOV146" s="292"/>
      <c r="WOW146" s="293"/>
      <c r="WOX146" s="294"/>
      <c r="WPD146" s="292"/>
      <c r="WPE146" s="293"/>
      <c r="WPF146" s="294"/>
      <c r="WPL146" s="292"/>
      <c r="WPM146" s="293"/>
      <c r="WPN146" s="294"/>
      <c r="WPT146" s="292"/>
      <c r="WPU146" s="293"/>
      <c r="WPV146" s="294"/>
      <c r="WQB146" s="292"/>
      <c r="WQC146" s="293"/>
      <c r="WQD146" s="294"/>
      <c r="WQJ146" s="292"/>
      <c r="WQK146" s="293"/>
      <c r="WQL146" s="294"/>
      <c r="WQR146" s="292"/>
      <c r="WQS146" s="293"/>
      <c r="WQT146" s="294"/>
      <c r="WQZ146" s="292"/>
      <c r="WRA146" s="293"/>
      <c r="WRB146" s="294"/>
      <c r="WRH146" s="292"/>
      <c r="WRI146" s="293"/>
      <c r="WRJ146" s="294"/>
      <c r="WRP146" s="292"/>
      <c r="WRQ146" s="293"/>
      <c r="WRR146" s="294"/>
      <c r="WRX146" s="292"/>
      <c r="WRY146" s="293"/>
      <c r="WRZ146" s="294"/>
      <c r="WSF146" s="292"/>
      <c r="WSG146" s="293"/>
      <c r="WSH146" s="294"/>
      <c r="WSN146" s="292"/>
      <c r="WSO146" s="293"/>
      <c r="WSP146" s="294"/>
      <c r="WSV146" s="292"/>
      <c r="WSW146" s="293"/>
      <c r="WSX146" s="294"/>
      <c r="WTD146" s="292"/>
      <c r="WTE146" s="293"/>
      <c r="WTF146" s="294"/>
      <c r="WTL146" s="292"/>
      <c r="WTM146" s="293"/>
      <c r="WTN146" s="294"/>
      <c r="WTT146" s="292"/>
      <c r="WTU146" s="293"/>
      <c r="WTV146" s="294"/>
      <c r="WUB146" s="292"/>
      <c r="WUC146" s="293"/>
      <c r="WUD146" s="294"/>
      <c r="WUJ146" s="292"/>
      <c r="WUK146" s="293"/>
      <c r="WUL146" s="294"/>
      <c r="WUR146" s="292"/>
      <c r="WUS146" s="293"/>
      <c r="WUT146" s="294"/>
      <c r="WUZ146" s="292"/>
      <c r="WVA146" s="293"/>
      <c r="WVB146" s="294"/>
      <c r="WVH146" s="292"/>
      <c r="WVI146" s="293"/>
      <c r="WVJ146" s="294"/>
      <c r="WVP146" s="292"/>
      <c r="WVQ146" s="293"/>
      <c r="WVR146" s="294"/>
      <c r="WVX146" s="292"/>
      <c r="WVY146" s="293"/>
      <c r="WVZ146" s="294"/>
      <c r="WWF146" s="292"/>
      <c r="WWG146" s="293"/>
      <c r="WWH146" s="294"/>
      <c r="WWN146" s="292"/>
      <c r="WWO146" s="293"/>
      <c r="WWP146" s="294"/>
      <c r="WWV146" s="292"/>
      <c r="WWW146" s="293"/>
      <c r="WWX146" s="294"/>
      <c r="WXD146" s="292"/>
      <c r="WXE146" s="293"/>
      <c r="WXF146" s="294"/>
      <c r="WXL146" s="292"/>
      <c r="WXM146" s="293"/>
      <c r="WXN146" s="294"/>
      <c r="WXT146" s="292"/>
      <c r="WXU146" s="293"/>
      <c r="WXV146" s="294"/>
      <c r="WYB146" s="292"/>
      <c r="WYC146" s="293"/>
      <c r="WYD146" s="294"/>
      <c r="WYJ146" s="292"/>
      <c r="WYK146" s="293"/>
      <c r="WYL146" s="294"/>
      <c r="WYR146" s="292"/>
      <c r="WYS146" s="293"/>
      <c r="WYT146" s="294"/>
      <c r="WYZ146" s="292"/>
      <c r="WZA146" s="293"/>
      <c r="WZB146" s="294"/>
      <c r="WZH146" s="292"/>
      <c r="WZI146" s="293"/>
      <c r="WZJ146" s="294"/>
      <c r="WZP146" s="292"/>
      <c r="WZQ146" s="293"/>
      <c r="WZR146" s="294"/>
      <c r="WZX146" s="292"/>
      <c r="WZY146" s="293"/>
      <c r="WZZ146" s="294"/>
      <c r="XAF146" s="292"/>
      <c r="XAG146" s="293"/>
      <c r="XAH146" s="294"/>
      <c r="XAN146" s="292"/>
      <c r="XAO146" s="293"/>
      <c r="XAP146" s="294"/>
      <c r="XAV146" s="292"/>
      <c r="XAW146" s="293"/>
      <c r="XAX146" s="294"/>
      <c r="XBD146" s="292"/>
      <c r="XBE146" s="293"/>
      <c r="XBF146" s="294"/>
      <c r="XBL146" s="292"/>
      <c r="XBM146" s="293"/>
      <c r="XBN146" s="294"/>
      <c r="XBT146" s="292"/>
      <c r="XBU146" s="293"/>
      <c r="XBV146" s="294"/>
      <c r="XCB146" s="292"/>
      <c r="XCC146" s="293"/>
      <c r="XCD146" s="294"/>
      <c r="XCJ146" s="292"/>
      <c r="XCK146" s="293"/>
      <c r="XCL146" s="294"/>
      <c r="XCR146" s="292"/>
      <c r="XCS146" s="293"/>
      <c r="XCT146" s="294"/>
      <c r="XCZ146" s="292"/>
      <c r="XDA146" s="293"/>
      <c r="XDB146" s="294"/>
      <c r="XDH146" s="292"/>
      <c r="XDI146" s="293"/>
      <c r="XDJ146" s="294"/>
      <c r="XDP146" s="292"/>
      <c r="XDQ146" s="293"/>
      <c r="XDR146" s="294"/>
      <c r="XDX146" s="292"/>
      <c r="XDY146" s="293"/>
      <c r="XDZ146" s="294"/>
      <c r="XEF146" s="292"/>
      <c r="XEG146" s="293"/>
      <c r="XEH146" s="294"/>
      <c r="XEN146" s="292"/>
      <c r="XEO146" s="293"/>
      <c r="XEP146" s="294"/>
      <c r="XEV146" s="292"/>
      <c r="XEW146" s="293"/>
      <c r="XEX146" s="294"/>
    </row>
    <row r="147" spans="1:16378" s="313" customFormat="1" ht="20.149999999999999" customHeight="1" x14ac:dyDescent="0.3">
      <c r="A147" s="243" t="s">
        <v>1123</v>
      </c>
      <c r="B147" s="312"/>
    </row>
    <row r="148" spans="1:16378" s="313" customFormat="1" x14ac:dyDescent="0.3">
      <c r="A148" s="243" t="s">
        <v>1124</v>
      </c>
      <c r="B148" s="312"/>
    </row>
    <row r="149" spans="1:16378" s="313" customFormat="1" x14ac:dyDescent="0.3">
      <c r="A149" s="244" t="s">
        <v>1125</v>
      </c>
      <c r="B149" s="312"/>
    </row>
    <row r="150" spans="1:16378" s="313" customFormat="1" x14ac:dyDescent="0.3">
      <c r="A150" s="7" t="s">
        <v>1356</v>
      </c>
      <c r="B150" s="312"/>
    </row>
  </sheetData>
  <mergeCells count="40">
    <mergeCell ref="A125:G125"/>
    <mergeCell ref="A126:G126"/>
    <mergeCell ref="A128:A129"/>
    <mergeCell ref="B128:B129"/>
    <mergeCell ref="C128:C129"/>
    <mergeCell ref="D128:D129"/>
    <mergeCell ref="E128:E129"/>
    <mergeCell ref="F128:G128"/>
    <mergeCell ref="A93:G93"/>
    <mergeCell ref="A94:G94"/>
    <mergeCell ref="A96:A97"/>
    <mergeCell ref="B96:B97"/>
    <mergeCell ref="C96:C97"/>
    <mergeCell ref="D96:D97"/>
    <mergeCell ref="E96:E97"/>
    <mergeCell ref="F96:G96"/>
    <mergeCell ref="A61:G61"/>
    <mergeCell ref="A62:G62"/>
    <mergeCell ref="A64:A65"/>
    <mergeCell ref="B64:B65"/>
    <mergeCell ref="C64:C65"/>
    <mergeCell ref="D64:D65"/>
    <mergeCell ref="E64:E65"/>
    <mergeCell ref="F64:G64"/>
    <mergeCell ref="A33:G33"/>
    <mergeCell ref="A34:G34"/>
    <mergeCell ref="A36:A37"/>
    <mergeCell ref="B36:B37"/>
    <mergeCell ref="C36:C37"/>
    <mergeCell ref="D36:D37"/>
    <mergeCell ref="E36:E37"/>
    <mergeCell ref="F36:G36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51181102362204722" header="0.19685039370078741" footer="0.23622047244094491"/>
  <pageSetup paperSize="9" scale="91" fitToWidth="0" fitToHeight="0" orientation="landscape" useFirstPageNumber="1" r:id="rId1"/>
  <headerFooter alignWithMargins="0">
    <oddFooter>&amp;C&amp;"Arial,Regular"&amp;10&amp;P</oddFooter>
  </headerFooter>
  <rowBreaks count="4" manualBreakCount="4">
    <brk id="32" max="7" man="1"/>
    <brk id="60" max="16383" man="1"/>
    <brk id="92" max="16383" man="1"/>
    <brk id="12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05E6-46EE-4084-8815-B45DF4519045}">
  <dimension ref="A1:XEW151"/>
  <sheetViews>
    <sheetView zoomScale="110" zoomScaleNormal="110" zoomScaleSheetLayoutView="100" zoomScalePageLayoutView="70" workbookViewId="0">
      <selection sqref="A1:G1"/>
    </sheetView>
  </sheetViews>
  <sheetFormatPr defaultRowHeight="14" x14ac:dyDescent="0.3"/>
  <cols>
    <col min="1" max="1" width="15.7265625" style="271" customWidth="1"/>
    <col min="2" max="2" width="47.26953125" style="282" customWidth="1"/>
    <col min="3" max="7" width="13.26953125" style="271" customWidth="1"/>
    <col min="8" max="255" width="9.1796875" style="271"/>
    <col min="256" max="256" width="15.7265625" style="271" customWidth="1"/>
    <col min="257" max="257" width="47.26953125" style="271" customWidth="1"/>
    <col min="258" max="263" width="13.26953125" style="271" customWidth="1"/>
    <col min="264" max="511" width="9.1796875" style="271"/>
    <col min="512" max="512" width="15.7265625" style="271" customWidth="1"/>
    <col min="513" max="513" width="47.26953125" style="271" customWidth="1"/>
    <col min="514" max="519" width="13.26953125" style="271" customWidth="1"/>
    <col min="520" max="767" width="9.1796875" style="271"/>
    <col min="768" max="768" width="15.7265625" style="271" customWidth="1"/>
    <col min="769" max="769" width="47.26953125" style="271" customWidth="1"/>
    <col min="770" max="775" width="13.26953125" style="271" customWidth="1"/>
    <col min="776" max="1023" width="9.1796875" style="271"/>
    <col min="1024" max="1024" width="15.7265625" style="271" customWidth="1"/>
    <col min="1025" max="1025" width="47.26953125" style="271" customWidth="1"/>
    <col min="1026" max="1031" width="13.26953125" style="271" customWidth="1"/>
    <col min="1032" max="1279" width="9.1796875" style="271"/>
    <col min="1280" max="1280" width="15.7265625" style="271" customWidth="1"/>
    <col min="1281" max="1281" width="47.26953125" style="271" customWidth="1"/>
    <col min="1282" max="1287" width="13.26953125" style="271" customWidth="1"/>
    <col min="1288" max="1535" width="9.1796875" style="271"/>
    <col min="1536" max="1536" width="15.7265625" style="271" customWidth="1"/>
    <col min="1537" max="1537" width="47.26953125" style="271" customWidth="1"/>
    <col min="1538" max="1543" width="13.26953125" style="271" customWidth="1"/>
    <col min="1544" max="1791" width="9.1796875" style="271"/>
    <col min="1792" max="1792" width="15.7265625" style="271" customWidth="1"/>
    <col min="1793" max="1793" width="47.26953125" style="271" customWidth="1"/>
    <col min="1794" max="1799" width="13.26953125" style="271" customWidth="1"/>
    <col min="1800" max="2047" width="9.1796875" style="271"/>
    <col min="2048" max="2048" width="15.7265625" style="271" customWidth="1"/>
    <col min="2049" max="2049" width="47.26953125" style="271" customWidth="1"/>
    <col min="2050" max="2055" width="13.26953125" style="271" customWidth="1"/>
    <col min="2056" max="2303" width="9.1796875" style="271"/>
    <col min="2304" max="2304" width="15.7265625" style="271" customWidth="1"/>
    <col min="2305" max="2305" width="47.26953125" style="271" customWidth="1"/>
    <col min="2306" max="2311" width="13.26953125" style="271" customWidth="1"/>
    <col min="2312" max="2559" width="9.1796875" style="271"/>
    <col min="2560" max="2560" width="15.7265625" style="271" customWidth="1"/>
    <col min="2561" max="2561" width="47.26953125" style="271" customWidth="1"/>
    <col min="2562" max="2567" width="13.26953125" style="271" customWidth="1"/>
    <col min="2568" max="2815" width="9.1796875" style="271"/>
    <col min="2816" max="2816" width="15.7265625" style="271" customWidth="1"/>
    <col min="2817" max="2817" width="47.26953125" style="271" customWidth="1"/>
    <col min="2818" max="2823" width="13.26953125" style="271" customWidth="1"/>
    <col min="2824" max="3071" width="9.1796875" style="271"/>
    <col min="3072" max="3072" width="15.7265625" style="271" customWidth="1"/>
    <col min="3073" max="3073" width="47.26953125" style="271" customWidth="1"/>
    <col min="3074" max="3079" width="13.26953125" style="271" customWidth="1"/>
    <col min="3080" max="3327" width="9.1796875" style="271"/>
    <col min="3328" max="3328" width="15.7265625" style="271" customWidth="1"/>
    <col min="3329" max="3329" width="47.26953125" style="271" customWidth="1"/>
    <col min="3330" max="3335" width="13.26953125" style="271" customWidth="1"/>
    <col min="3336" max="3583" width="9.1796875" style="271"/>
    <col min="3584" max="3584" width="15.7265625" style="271" customWidth="1"/>
    <col min="3585" max="3585" width="47.26953125" style="271" customWidth="1"/>
    <col min="3586" max="3591" width="13.26953125" style="271" customWidth="1"/>
    <col min="3592" max="3839" width="9.1796875" style="271"/>
    <col min="3840" max="3840" width="15.7265625" style="271" customWidth="1"/>
    <col min="3841" max="3841" width="47.26953125" style="271" customWidth="1"/>
    <col min="3842" max="3847" width="13.26953125" style="271" customWidth="1"/>
    <col min="3848" max="4095" width="9.1796875" style="271"/>
    <col min="4096" max="4096" width="15.7265625" style="271" customWidth="1"/>
    <col min="4097" max="4097" width="47.26953125" style="271" customWidth="1"/>
    <col min="4098" max="4103" width="13.26953125" style="271" customWidth="1"/>
    <col min="4104" max="4351" width="9.1796875" style="271"/>
    <col min="4352" max="4352" width="15.7265625" style="271" customWidth="1"/>
    <col min="4353" max="4353" width="47.26953125" style="271" customWidth="1"/>
    <col min="4354" max="4359" width="13.26953125" style="271" customWidth="1"/>
    <col min="4360" max="4607" width="9.1796875" style="271"/>
    <col min="4608" max="4608" width="15.7265625" style="271" customWidth="1"/>
    <col min="4609" max="4609" width="47.26953125" style="271" customWidth="1"/>
    <col min="4610" max="4615" width="13.26953125" style="271" customWidth="1"/>
    <col min="4616" max="4863" width="9.1796875" style="271"/>
    <col min="4864" max="4864" width="15.7265625" style="271" customWidth="1"/>
    <col min="4865" max="4865" width="47.26953125" style="271" customWidth="1"/>
    <col min="4866" max="4871" width="13.26953125" style="271" customWidth="1"/>
    <col min="4872" max="5119" width="9.1796875" style="271"/>
    <col min="5120" max="5120" width="15.7265625" style="271" customWidth="1"/>
    <col min="5121" max="5121" width="47.26953125" style="271" customWidth="1"/>
    <col min="5122" max="5127" width="13.26953125" style="271" customWidth="1"/>
    <col min="5128" max="5375" width="9.1796875" style="271"/>
    <col min="5376" max="5376" width="15.7265625" style="271" customWidth="1"/>
    <col min="5377" max="5377" width="47.26953125" style="271" customWidth="1"/>
    <col min="5378" max="5383" width="13.26953125" style="271" customWidth="1"/>
    <col min="5384" max="5631" width="9.1796875" style="271"/>
    <col min="5632" max="5632" width="15.7265625" style="271" customWidth="1"/>
    <col min="5633" max="5633" width="47.26953125" style="271" customWidth="1"/>
    <col min="5634" max="5639" width="13.26953125" style="271" customWidth="1"/>
    <col min="5640" max="5887" width="9.1796875" style="271"/>
    <col min="5888" max="5888" width="15.7265625" style="271" customWidth="1"/>
    <col min="5889" max="5889" width="47.26953125" style="271" customWidth="1"/>
    <col min="5890" max="5895" width="13.26953125" style="271" customWidth="1"/>
    <col min="5896" max="6143" width="9.1796875" style="271"/>
    <col min="6144" max="6144" width="15.7265625" style="271" customWidth="1"/>
    <col min="6145" max="6145" width="47.26953125" style="271" customWidth="1"/>
    <col min="6146" max="6151" width="13.26953125" style="271" customWidth="1"/>
    <col min="6152" max="6399" width="9.1796875" style="271"/>
    <col min="6400" max="6400" width="15.7265625" style="271" customWidth="1"/>
    <col min="6401" max="6401" width="47.26953125" style="271" customWidth="1"/>
    <col min="6402" max="6407" width="13.26953125" style="271" customWidth="1"/>
    <col min="6408" max="6655" width="9.1796875" style="271"/>
    <col min="6656" max="6656" width="15.7265625" style="271" customWidth="1"/>
    <col min="6657" max="6657" width="47.26953125" style="271" customWidth="1"/>
    <col min="6658" max="6663" width="13.26953125" style="271" customWidth="1"/>
    <col min="6664" max="6911" width="9.1796875" style="271"/>
    <col min="6912" max="6912" width="15.7265625" style="271" customWidth="1"/>
    <col min="6913" max="6913" width="47.26953125" style="271" customWidth="1"/>
    <col min="6914" max="6919" width="13.26953125" style="271" customWidth="1"/>
    <col min="6920" max="7167" width="9.1796875" style="271"/>
    <col min="7168" max="7168" width="15.7265625" style="271" customWidth="1"/>
    <col min="7169" max="7169" width="47.26953125" style="271" customWidth="1"/>
    <col min="7170" max="7175" width="13.26953125" style="271" customWidth="1"/>
    <col min="7176" max="7423" width="9.1796875" style="271"/>
    <col min="7424" max="7424" width="15.7265625" style="271" customWidth="1"/>
    <col min="7425" max="7425" width="47.26953125" style="271" customWidth="1"/>
    <col min="7426" max="7431" width="13.26953125" style="271" customWidth="1"/>
    <col min="7432" max="7679" width="9.1796875" style="271"/>
    <col min="7680" max="7680" width="15.7265625" style="271" customWidth="1"/>
    <col min="7681" max="7681" width="47.26953125" style="271" customWidth="1"/>
    <col min="7682" max="7687" width="13.26953125" style="271" customWidth="1"/>
    <col min="7688" max="7935" width="9.1796875" style="271"/>
    <col min="7936" max="7936" width="15.7265625" style="271" customWidth="1"/>
    <col min="7937" max="7937" width="47.26953125" style="271" customWidth="1"/>
    <col min="7938" max="7943" width="13.26953125" style="271" customWidth="1"/>
    <col min="7944" max="8191" width="9.1796875" style="271"/>
    <col min="8192" max="8192" width="15.7265625" style="271" customWidth="1"/>
    <col min="8193" max="8193" width="47.26953125" style="271" customWidth="1"/>
    <col min="8194" max="8199" width="13.26953125" style="271" customWidth="1"/>
    <col min="8200" max="8447" width="9.1796875" style="271"/>
    <col min="8448" max="8448" width="15.7265625" style="271" customWidth="1"/>
    <col min="8449" max="8449" width="47.26953125" style="271" customWidth="1"/>
    <col min="8450" max="8455" width="13.26953125" style="271" customWidth="1"/>
    <col min="8456" max="8703" width="9.1796875" style="271"/>
    <col min="8704" max="8704" width="15.7265625" style="271" customWidth="1"/>
    <col min="8705" max="8705" width="47.26953125" style="271" customWidth="1"/>
    <col min="8706" max="8711" width="13.26953125" style="271" customWidth="1"/>
    <col min="8712" max="8959" width="9.1796875" style="271"/>
    <col min="8960" max="8960" width="15.7265625" style="271" customWidth="1"/>
    <col min="8961" max="8961" width="47.26953125" style="271" customWidth="1"/>
    <col min="8962" max="8967" width="13.26953125" style="271" customWidth="1"/>
    <col min="8968" max="9215" width="9.1796875" style="271"/>
    <col min="9216" max="9216" width="15.7265625" style="271" customWidth="1"/>
    <col min="9217" max="9217" width="47.26953125" style="271" customWidth="1"/>
    <col min="9218" max="9223" width="13.26953125" style="271" customWidth="1"/>
    <col min="9224" max="9471" width="9.1796875" style="271"/>
    <col min="9472" max="9472" width="15.7265625" style="271" customWidth="1"/>
    <col min="9473" max="9473" width="47.26953125" style="271" customWidth="1"/>
    <col min="9474" max="9479" width="13.26953125" style="271" customWidth="1"/>
    <col min="9480" max="9727" width="9.1796875" style="271"/>
    <col min="9728" max="9728" width="15.7265625" style="271" customWidth="1"/>
    <col min="9729" max="9729" width="47.26953125" style="271" customWidth="1"/>
    <col min="9730" max="9735" width="13.26953125" style="271" customWidth="1"/>
    <col min="9736" max="9983" width="9.1796875" style="271"/>
    <col min="9984" max="9984" width="15.7265625" style="271" customWidth="1"/>
    <col min="9985" max="9985" width="47.26953125" style="271" customWidth="1"/>
    <col min="9986" max="9991" width="13.26953125" style="271" customWidth="1"/>
    <col min="9992" max="10239" width="9.1796875" style="271"/>
    <col min="10240" max="10240" width="15.7265625" style="271" customWidth="1"/>
    <col min="10241" max="10241" width="47.26953125" style="271" customWidth="1"/>
    <col min="10242" max="10247" width="13.26953125" style="271" customWidth="1"/>
    <col min="10248" max="10495" width="9.1796875" style="271"/>
    <col min="10496" max="10496" width="15.7265625" style="271" customWidth="1"/>
    <col min="10497" max="10497" width="47.26953125" style="271" customWidth="1"/>
    <col min="10498" max="10503" width="13.26953125" style="271" customWidth="1"/>
    <col min="10504" max="10751" width="9.1796875" style="271"/>
    <col min="10752" max="10752" width="15.7265625" style="271" customWidth="1"/>
    <col min="10753" max="10753" width="47.26953125" style="271" customWidth="1"/>
    <col min="10754" max="10759" width="13.26953125" style="271" customWidth="1"/>
    <col min="10760" max="11007" width="9.1796875" style="271"/>
    <col min="11008" max="11008" width="15.7265625" style="271" customWidth="1"/>
    <col min="11009" max="11009" width="47.26953125" style="271" customWidth="1"/>
    <col min="11010" max="11015" width="13.26953125" style="271" customWidth="1"/>
    <col min="11016" max="11263" width="9.1796875" style="271"/>
    <col min="11264" max="11264" width="15.7265625" style="271" customWidth="1"/>
    <col min="11265" max="11265" width="47.26953125" style="271" customWidth="1"/>
    <col min="11266" max="11271" width="13.26953125" style="271" customWidth="1"/>
    <col min="11272" max="11519" width="9.1796875" style="271"/>
    <col min="11520" max="11520" width="15.7265625" style="271" customWidth="1"/>
    <col min="11521" max="11521" width="47.26953125" style="271" customWidth="1"/>
    <col min="11522" max="11527" width="13.26953125" style="271" customWidth="1"/>
    <col min="11528" max="11775" width="9.1796875" style="271"/>
    <col min="11776" max="11776" width="15.7265625" style="271" customWidth="1"/>
    <col min="11777" max="11777" width="47.26953125" style="271" customWidth="1"/>
    <col min="11778" max="11783" width="13.26953125" style="271" customWidth="1"/>
    <col min="11784" max="12031" width="9.1796875" style="271"/>
    <col min="12032" max="12032" width="15.7265625" style="271" customWidth="1"/>
    <col min="12033" max="12033" width="47.26953125" style="271" customWidth="1"/>
    <col min="12034" max="12039" width="13.26953125" style="271" customWidth="1"/>
    <col min="12040" max="12287" width="9.1796875" style="271"/>
    <col min="12288" max="12288" width="15.7265625" style="271" customWidth="1"/>
    <col min="12289" max="12289" width="47.26953125" style="271" customWidth="1"/>
    <col min="12290" max="12295" width="13.26953125" style="271" customWidth="1"/>
    <col min="12296" max="12543" width="9.1796875" style="271"/>
    <col min="12544" max="12544" width="15.7265625" style="271" customWidth="1"/>
    <col min="12545" max="12545" width="47.26953125" style="271" customWidth="1"/>
    <col min="12546" max="12551" width="13.26953125" style="271" customWidth="1"/>
    <col min="12552" max="12799" width="9.1796875" style="271"/>
    <col min="12800" max="12800" width="15.7265625" style="271" customWidth="1"/>
    <col min="12801" max="12801" width="47.26953125" style="271" customWidth="1"/>
    <col min="12802" max="12807" width="13.26953125" style="271" customWidth="1"/>
    <col min="12808" max="13055" width="9.1796875" style="271"/>
    <col min="13056" max="13056" width="15.7265625" style="271" customWidth="1"/>
    <col min="13057" max="13057" width="47.26953125" style="271" customWidth="1"/>
    <col min="13058" max="13063" width="13.26953125" style="271" customWidth="1"/>
    <col min="13064" max="13311" width="9.1796875" style="271"/>
    <col min="13312" max="13312" width="15.7265625" style="271" customWidth="1"/>
    <col min="13313" max="13313" width="47.26953125" style="271" customWidth="1"/>
    <col min="13314" max="13319" width="13.26953125" style="271" customWidth="1"/>
    <col min="13320" max="13567" width="9.1796875" style="271"/>
    <col min="13568" max="13568" width="15.7265625" style="271" customWidth="1"/>
    <col min="13569" max="13569" width="47.26953125" style="271" customWidth="1"/>
    <col min="13570" max="13575" width="13.26953125" style="271" customWidth="1"/>
    <col min="13576" max="13823" width="9.1796875" style="271"/>
    <col min="13824" max="13824" width="15.7265625" style="271" customWidth="1"/>
    <col min="13825" max="13825" width="47.26953125" style="271" customWidth="1"/>
    <col min="13826" max="13831" width="13.26953125" style="271" customWidth="1"/>
    <col min="13832" max="14079" width="9.1796875" style="271"/>
    <col min="14080" max="14080" width="15.7265625" style="271" customWidth="1"/>
    <col min="14081" max="14081" width="47.26953125" style="271" customWidth="1"/>
    <col min="14082" max="14087" width="13.26953125" style="271" customWidth="1"/>
    <col min="14088" max="14335" width="9.1796875" style="271"/>
    <col min="14336" max="14336" width="15.7265625" style="271" customWidth="1"/>
    <col min="14337" max="14337" width="47.26953125" style="271" customWidth="1"/>
    <col min="14338" max="14343" width="13.26953125" style="271" customWidth="1"/>
    <col min="14344" max="14591" width="9.1796875" style="271"/>
    <col min="14592" max="14592" width="15.7265625" style="271" customWidth="1"/>
    <col min="14593" max="14593" width="47.26953125" style="271" customWidth="1"/>
    <col min="14594" max="14599" width="13.26953125" style="271" customWidth="1"/>
    <col min="14600" max="14847" width="9.1796875" style="271"/>
    <col min="14848" max="14848" width="15.7265625" style="271" customWidth="1"/>
    <col min="14849" max="14849" width="47.26953125" style="271" customWidth="1"/>
    <col min="14850" max="14855" width="13.26953125" style="271" customWidth="1"/>
    <col min="14856" max="15103" width="9.1796875" style="271"/>
    <col min="15104" max="15104" width="15.7265625" style="271" customWidth="1"/>
    <col min="15105" max="15105" width="47.26953125" style="271" customWidth="1"/>
    <col min="15106" max="15111" width="13.26953125" style="271" customWidth="1"/>
    <col min="15112" max="15359" width="9.1796875" style="271"/>
    <col min="15360" max="15360" width="15.7265625" style="271" customWidth="1"/>
    <col min="15361" max="15361" width="47.26953125" style="271" customWidth="1"/>
    <col min="15362" max="15367" width="13.26953125" style="271" customWidth="1"/>
    <col min="15368" max="15615" width="9.1796875" style="271"/>
    <col min="15616" max="15616" width="15.7265625" style="271" customWidth="1"/>
    <col min="15617" max="15617" width="47.26953125" style="271" customWidth="1"/>
    <col min="15618" max="15623" width="13.26953125" style="271" customWidth="1"/>
    <col min="15624" max="15871" width="9.1796875" style="271"/>
    <col min="15872" max="15872" width="15.7265625" style="271" customWidth="1"/>
    <col min="15873" max="15873" width="47.26953125" style="271" customWidth="1"/>
    <col min="15874" max="15879" width="13.26953125" style="271" customWidth="1"/>
    <col min="15880" max="16127" width="9.1796875" style="271"/>
    <col min="16128" max="16128" width="15.7265625" style="271" customWidth="1"/>
    <col min="16129" max="16129" width="47.26953125" style="271" customWidth="1"/>
    <col min="16130" max="16135" width="13.26953125" style="271" customWidth="1"/>
    <col min="16136" max="16382" width="9.1796875" style="271"/>
    <col min="16383" max="16384" width="8.81640625" style="271" customWidth="1"/>
  </cols>
  <sheetData>
    <row r="1" spans="1:8" ht="14.25" customHeight="1" x14ac:dyDescent="0.3">
      <c r="A1" s="428" t="s">
        <v>1369</v>
      </c>
      <c r="B1" s="428"/>
      <c r="C1" s="428"/>
      <c r="D1" s="428"/>
      <c r="E1" s="428"/>
      <c r="F1" s="428"/>
      <c r="G1" s="428"/>
    </row>
    <row r="2" spans="1:8" ht="12.75" customHeight="1" x14ac:dyDescent="0.3">
      <c r="A2" s="431" t="s">
        <v>1337</v>
      </c>
      <c r="B2" s="431"/>
      <c r="C2" s="431"/>
      <c r="D2" s="431"/>
      <c r="E2" s="431"/>
      <c r="F2" s="431"/>
      <c r="G2" s="431"/>
    </row>
    <row r="3" spans="1:8" ht="12.75" customHeight="1" x14ac:dyDescent="0.3">
      <c r="A3" s="378"/>
      <c r="B3" s="378"/>
      <c r="C3" s="378"/>
      <c r="D3" s="378"/>
      <c r="E3" s="378"/>
      <c r="F3" s="378"/>
      <c r="G3" s="378"/>
    </row>
    <row r="4" spans="1:8" s="372" customFormat="1" ht="15" customHeight="1" x14ac:dyDescent="0.3">
      <c r="A4" s="440" t="s">
        <v>1038</v>
      </c>
      <c r="B4" s="440" t="s">
        <v>1037</v>
      </c>
      <c r="C4" s="433" t="s">
        <v>1372</v>
      </c>
      <c r="D4" s="433" t="s">
        <v>90</v>
      </c>
      <c r="E4" s="433" t="s">
        <v>89</v>
      </c>
      <c r="F4" s="433" t="s">
        <v>1186</v>
      </c>
      <c r="G4" s="433"/>
      <c r="H4" s="271"/>
    </row>
    <row r="5" spans="1:8" ht="50.15" customHeight="1" x14ac:dyDescent="0.3">
      <c r="A5" s="441"/>
      <c r="B5" s="441"/>
      <c r="C5" s="433"/>
      <c r="D5" s="433"/>
      <c r="E5" s="433"/>
      <c r="F5" s="273" t="s">
        <v>88</v>
      </c>
      <c r="G5" s="273" t="s">
        <v>87</v>
      </c>
    </row>
    <row r="6" spans="1:8" x14ac:dyDescent="0.3">
      <c r="A6" s="461"/>
      <c r="B6" s="462"/>
      <c r="C6" s="463"/>
      <c r="D6" s="463"/>
      <c r="E6" s="463"/>
      <c r="F6" s="463"/>
      <c r="G6" s="464"/>
    </row>
    <row r="7" spans="1:8" x14ac:dyDescent="0.3">
      <c r="A7" s="525"/>
      <c r="B7" s="466" t="s">
        <v>1073</v>
      </c>
      <c r="C7" s="526">
        <v>1234.614</v>
      </c>
      <c r="D7" s="527">
        <v>86.467460000000003</v>
      </c>
      <c r="E7" s="528">
        <v>7.0036027454734837</v>
      </c>
      <c r="F7" s="527">
        <v>1092.377</v>
      </c>
      <c r="G7" s="529">
        <v>1376.8520000000001</v>
      </c>
      <c r="H7" s="380"/>
    </row>
    <row r="8" spans="1:8" x14ac:dyDescent="0.3">
      <c r="A8" s="277"/>
      <c r="B8" s="330"/>
      <c r="C8" s="400"/>
      <c r="D8" s="502"/>
      <c r="E8" s="501"/>
      <c r="F8" s="502"/>
      <c r="G8" s="503"/>
    </row>
    <row r="9" spans="1:8" s="279" customFormat="1" x14ac:dyDescent="0.3">
      <c r="A9" s="465" t="s">
        <v>1071</v>
      </c>
      <c r="B9" s="354" t="s">
        <v>1072</v>
      </c>
      <c r="C9" s="524">
        <v>423.58440000000002</v>
      </c>
      <c r="D9" s="511">
        <v>34.607999999999997</v>
      </c>
      <c r="E9" s="512">
        <v>8.1702725596126768</v>
      </c>
      <c r="F9" s="511">
        <v>366.65480000000002</v>
      </c>
      <c r="G9" s="513">
        <v>480.51389999999998</v>
      </c>
      <c r="H9" s="380"/>
    </row>
    <row r="10" spans="1:8" ht="27" customHeight="1" x14ac:dyDescent="0.3">
      <c r="A10" s="377" t="s">
        <v>992</v>
      </c>
      <c r="B10" s="298" t="s">
        <v>1146</v>
      </c>
      <c r="C10" s="522">
        <v>416.08710000000002</v>
      </c>
      <c r="D10" s="502">
        <v>35.769539999999999</v>
      </c>
      <c r="E10" s="501">
        <v>8.5966471923787111</v>
      </c>
      <c r="F10" s="502">
        <v>357.24680000000001</v>
      </c>
      <c r="G10" s="503">
        <v>474.92739999999998</v>
      </c>
      <c r="H10" s="380"/>
    </row>
    <row r="11" spans="1:8" x14ac:dyDescent="0.3">
      <c r="A11" s="377" t="s">
        <v>704</v>
      </c>
      <c r="B11" s="298" t="s">
        <v>990</v>
      </c>
      <c r="C11" s="522">
        <v>472.50799999999998</v>
      </c>
      <c r="D11" s="502">
        <v>122.79430000000001</v>
      </c>
      <c r="E11" s="501">
        <v>25.987771635612521</v>
      </c>
      <c r="F11" s="502">
        <v>270.51350000000002</v>
      </c>
      <c r="G11" s="503">
        <v>674.50250000000005</v>
      </c>
      <c r="H11" s="380"/>
    </row>
    <row r="12" spans="1:8" x14ac:dyDescent="0.3">
      <c r="A12" s="446"/>
      <c r="B12" s="298"/>
      <c r="C12" s="530"/>
      <c r="D12" s="502"/>
      <c r="E12" s="501"/>
      <c r="F12" s="502"/>
      <c r="G12" s="503"/>
    </row>
    <row r="13" spans="1:8" s="279" customFormat="1" ht="13.5" customHeight="1" x14ac:dyDescent="0.3">
      <c r="A13" s="445" t="s">
        <v>1068</v>
      </c>
      <c r="B13" s="354" t="s">
        <v>1069</v>
      </c>
      <c r="C13" s="524">
        <v>876.88739999999996</v>
      </c>
      <c r="D13" s="511">
        <v>109.64790000000001</v>
      </c>
      <c r="E13" s="512">
        <v>12.504216618918235</v>
      </c>
      <c r="F13" s="511">
        <v>696.51850000000002</v>
      </c>
      <c r="G13" s="513">
        <v>1057.2560000000001</v>
      </c>
      <c r="H13" s="380"/>
    </row>
    <row r="14" spans="1:8" ht="42" x14ac:dyDescent="0.3">
      <c r="A14" s="377" t="s">
        <v>987</v>
      </c>
      <c r="B14" s="298" t="s">
        <v>1145</v>
      </c>
      <c r="C14" s="332">
        <v>1095.364</v>
      </c>
      <c r="D14" s="531">
        <v>80.130470000000003</v>
      </c>
      <c r="E14" s="532">
        <f>IF(C14&lt;&gt;"",D14/C14*100,"")</f>
        <v>7.3154193491843804</v>
      </c>
      <c r="F14" s="531">
        <v>963.55110000000002</v>
      </c>
      <c r="G14" s="533">
        <v>1227.1780000000001</v>
      </c>
      <c r="H14" s="380"/>
    </row>
    <row r="15" spans="1:8" x14ac:dyDescent="0.3">
      <c r="A15" s="377" t="s">
        <v>506</v>
      </c>
      <c r="B15" s="298" t="s">
        <v>1066</v>
      </c>
      <c r="C15" s="332">
        <v>862.56050000000005</v>
      </c>
      <c r="D15" s="531">
        <v>144.70320000000001</v>
      </c>
      <c r="E15" s="532">
        <f>IF(C15&lt;&gt;"",D15/C15*100,"")</f>
        <v>16.776005856980465</v>
      </c>
      <c r="F15" s="531">
        <v>624.52610000000004</v>
      </c>
      <c r="G15" s="533">
        <v>1100.595</v>
      </c>
      <c r="H15" s="380"/>
    </row>
    <row r="16" spans="1:8" x14ac:dyDescent="0.3">
      <c r="A16" s="377" t="s">
        <v>1064</v>
      </c>
      <c r="B16" s="298" t="s">
        <v>1065</v>
      </c>
      <c r="C16" s="332">
        <v>683.13239999999996</v>
      </c>
      <c r="D16" s="531">
        <v>148.26150000000001</v>
      </c>
      <c r="E16" s="532">
        <f>IF(C16&lt;&gt;"",D16/C16*100,"")</f>
        <v>21.703186673622863</v>
      </c>
      <c r="F16" s="531">
        <v>439.24489999999997</v>
      </c>
      <c r="G16" s="533">
        <v>927.02</v>
      </c>
      <c r="H16" s="380"/>
    </row>
    <row r="17" spans="1:8" x14ac:dyDescent="0.3">
      <c r="A17" s="277"/>
      <c r="B17" s="298"/>
      <c r="C17" s="523"/>
      <c r="D17" s="534"/>
      <c r="E17" s="535"/>
      <c r="F17" s="534"/>
      <c r="G17" s="536"/>
    </row>
    <row r="18" spans="1:8" s="279" customFormat="1" x14ac:dyDescent="0.3">
      <c r="A18" s="445" t="s">
        <v>1062</v>
      </c>
      <c r="B18" s="354" t="s">
        <v>1063</v>
      </c>
      <c r="C18" s="524">
        <v>763.65930000000003</v>
      </c>
      <c r="D18" s="511">
        <v>50.625929999999997</v>
      </c>
      <c r="E18" s="512">
        <v>6.6293869530561604</v>
      </c>
      <c r="F18" s="511">
        <v>680.38049999999998</v>
      </c>
      <c r="G18" s="513">
        <v>846.93809999999996</v>
      </c>
      <c r="H18" s="380"/>
    </row>
    <row r="19" spans="1:8" x14ac:dyDescent="0.3">
      <c r="A19" s="377" t="s">
        <v>330</v>
      </c>
      <c r="B19" s="460" t="s">
        <v>977</v>
      </c>
      <c r="C19" s="332">
        <v>423.82960000000003</v>
      </c>
      <c r="D19" s="531">
        <v>48.942030000000003</v>
      </c>
      <c r="E19" s="532">
        <f t="shared" ref="E19:E29" si="0">IF(C19&lt;&gt;"",D19/C19*100,"")</f>
        <v>11.547572420614321</v>
      </c>
      <c r="F19" s="531">
        <v>343.32080000000002</v>
      </c>
      <c r="G19" s="533">
        <v>504.33839999999998</v>
      </c>
      <c r="H19" s="375"/>
    </row>
    <row r="20" spans="1:8" x14ac:dyDescent="0.3">
      <c r="A20" s="377" t="s">
        <v>443</v>
      </c>
      <c r="B20" s="460" t="s">
        <v>973</v>
      </c>
      <c r="C20" s="332">
        <v>174.2774</v>
      </c>
      <c r="D20" s="531">
        <v>79.762919999999994</v>
      </c>
      <c r="E20" s="532">
        <f t="shared" si="0"/>
        <v>45.767793184887992</v>
      </c>
      <c r="F20" s="531">
        <v>43.068710000000003</v>
      </c>
      <c r="G20" s="533">
        <v>305.48599999999999</v>
      </c>
      <c r="H20" s="375"/>
    </row>
    <row r="21" spans="1:8" x14ac:dyDescent="0.3">
      <c r="A21" s="377" t="s">
        <v>1059</v>
      </c>
      <c r="B21" s="460" t="s">
        <v>1060</v>
      </c>
      <c r="C21" s="332">
        <v>605.42999999999995</v>
      </c>
      <c r="D21" s="531">
        <v>105.378</v>
      </c>
      <c r="E21" s="532">
        <f t="shared" si="0"/>
        <v>17.405480402358656</v>
      </c>
      <c r="F21" s="531">
        <v>432.0849</v>
      </c>
      <c r="G21" s="533">
        <v>778.77499999999998</v>
      </c>
      <c r="H21" s="375"/>
    </row>
    <row r="22" spans="1:8" x14ac:dyDescent="0.3">
      <c r="A22" s="377" t="s">
        <v>571</v>
      </c>
      <c r="B22" s="460" t="s">
        <v>970</v>
      </c>
      <c r="C22" s="332">
        <v>394.55439999999999</v>
      </c>
      <c r="D22" s="531">
        <v>239.77369999999999</v>
      </c>
      <c r="E22" s="532">
        <f t="shared" si="0"/>
        <v>60.770758100784072</v>
      </c>
      <c r="F22" s="531">
        <v>0.13066620000000001</v>
      </c>
      <c r="G22" s="533">
        <v>788.97810000000004</v>
      </c>
      <c r="H22" s="375"/>
    </row>
    <row r="23" spans="1:8" x14ac:dyDescent="0.3">
      <c r="A23" s="377" t="s">
        <v>784</v>
      </c>
      <c r="B23" s="460" t="s">
        <v>964</v>
      </c>
      <c r="C23" s="332">
        <v>289.52449999999999</v>
      </c>
      <c r="D23" s="531">
        <v>67.051680000000005</v>
      </c>
      <c r="E23" s="532">
        <f t="shared" si="0"/>
        <v>23.159242136675829</v>
      </c>
      <c r="F23" s="531">
        <v>179.22559999999999</v>
      </c>
      <c r="G23" s="533">
        <v>399.82330000000002</v>
      </c>
      <c r="H23" s="375"/>
    </row>
    <row r="24" spans="1:8" ht="16" customHeight="1" x14ac:dyDescent="0.3">
      <c r="A24" s="377" t="s">
        <v>667</v>
      </c>
      <c r="B24" s="460" t="s">
        <v>947</v>
      </c>
      <c r="C24" s="332">
        <v>585.09789999999998</v>
      </c>
      <c r="D24" s="531">
        <v>323.6474</v>
      </c>
      <c r="E24" s="532">
        <f t="shared" si="0"/>
        <v>55.315084877248758</v>
      </c>
      <c r="F24" s="531">
        <v>52.703389999999999</v>
      </c>
      <c r="G24" s="533">
        <v>1117.492</v>
      </c>
      <c r="H24" s="375"/>
    </row>
    <row r="25" spans="1:8" ht="55.5" customHeight="1" x14ac:dyDescent="0.3">
      <c r="A25" s="377" t="s">
        <v>1348</v>
      </c>
      <c r="B25" s="460" t="s">
        <v>1362</v>
      </c>
      <c r="C25" s="332">
        <v>245.60409999999999</v>
      </c>
      <c r="D25" s="531">
        <v>157.41720000000001</v>
      </c>
      <c r="E25" s="532">
        <f t="shared" si="0"/>
        <v>64.093881168921868</v>
      </c>
      <c r="F25" s="531">
        <v>-13.3445</v>
      </c>
      <c r="G25" s="533">
        <v>504.55270000000002</v>
      </c>
      <c r="H25" s="375"/>
    </row>
    <row r="26" spans="1:8" x14ac:dyDescent="0.3">
      <c r="A26" s="377" t="s">
        <v>405</v>
      </c>
      <c r="B26" s="460" t="s">
        <v>921</v>
      </c>
      <c r="C26" s="332">
        <v>791.46619999999996</v>
      </c>
      <c r="D26" s="531">
        <v>155.58869999999999</v>
      </c>
      <c r="E26" s="532">
        <f t="shared" si="0"/>
        <v>19.658287365903941</v>
      </c>
      <c r="F26" s="531">
        <v>535.52539999999999</v>
      </c>
      <c r="G26" s="533">
        <v>1047.4069999999999</v>
      </c>
      <c r="H26" s="375"/>
    </row>
    <row r="27" spans="1:8" x14ac:dyDescent="0.3">
      <c r="A27" s="377" t="s">
        <v>568</v>
      </c>
      <c r="B27" s="460" t="s">
        <v>913</v>
      </c>
      <c r="C27" s="332">
        <v>460.20260000000002</v>
      </c>
      <c r="D27" s="531">
        <v>141.36089999999999</v>
      </c>
      <c r="E27" s="532">
        <f t="shared" si="0"/>
        <v>30.71710155483693</v>
      </c>
      <c r="F27" s="531">
        <v>227.66630000000001</v>
      </c>
      <c r="G27" s="533">
        <v>692.73879999999997</v>
      </c>
      <c r="H27" s="375"/>
    </row>
    <row r="28" spans="1:8" ht="25.5" customHeight="1" x14ac:dyDescent="0.3">
      <c r="A28" s="377" t="s">
        <v>305</v>
      </c>
      <c r="B28" s="460" t="s">
        <v>906</v>
      </c>
      <c r="C28" s="332">
        <v>420.17939999999999</v>
      </c>
      <c r="D28" s="531">
        <v>224.06139999999999</v>
      </c>
      <c r="E28" s="532">
        <f t="shared" si="0"/>
        <v>53.325174913382234</v>
      </c>
      <c r="F28" s="531">
        <v>51.602220000000003</v>
      </c>
      <c r="G28" s="533">
        <v>788.75660000000005</v>
      </c>
      <c r="H28" s="375"/>
    </row>
    <row r="29" spans="1:8" ht="11.25" customHeight="1" x14ac:dyDescent="0.3">
      <c r="A29" s="377" t="s">
        <v>349</v>
      </c>
      <c r="B29" s="460" t="s">
        <v>897</v>
      </c>
      <c r="C29" s="332">
        <v>1009.508</v>
      </c>
      <c r="D29" s="531">
        <v>167.49959999999999</v>
      </c>
      <c r="E29" s="532">
        <f t="shared" si="0"/>
        <v>16.592201349568303</v>
      </c>
      <c r="F29" s="531">
        <v>733.97370000000001</v>
      </c>
      <c r="G29" s="533">
        <v>1285.0419999999999</v>
      </c>
      <c r="H29" s="375"/>
    </row>
    <row r="30" spans="1:8" x14ac:dyDescent="0.3">
      <c r="A30" s="288"/>
      <c r="B30" s="367"/>
      <c r="C30" s="290"/>
      <c r="D30" s="291"/>
      <c r="E30" s="291"/>
      <c r="F30" s="291"/>
      <c r="G30" s="339"/>
    </row>
    <row r="31" spans="1:8" ht="18" customHeight="1" x14ac:dyDescent="0.3">
      <c r="A31" s="308"/>
      <c r="C31" s="308"/>
      <c r="D31" s="287"/>
      <c r="E31" s="287"/>
      <c r="F31" s="287"/>
      <c r="G31" s="287"/>
    </row>
    <row r="32" spans="1:8" ht="30" customHeight="1" x14ac:dyDescent="0.3">
      <c r="A32" s="428" t="s">
        <v>1370</v>
      </c>
      <c r="B32" s="428"/>
      <c r="C32" s="428"/>
      <c r="D32" s="428"/>
      <c r="E32" s="428"/>
      <c r="F32" s="428"/>
      <c r="G32" s="428"/>
    </row>
    <row r="33" spans="1:8" ht="12.75" customHeight="1" x14ac:dyDescent="0.3">
      <c r="A33" s="431" t="s">
        <v>1337</v>
      </c>
      <c r="B33" s="431"/>
      <c r="C33" s="431"/>
      <c r="D33" s="431"/>
      <c r="E33" s="431"/>
      <c r="F33" s="431"/>
      <c r="G33" s="431"/>
    </row>
    <row r="34" spans="1:8" ht="12.75" customHeight="1" x14ac:dyDescent="0.3">
      <c r="A34" s="378"/>
      <c r="B34" s="378"/>
      <c r="C34" s="378"/>
      <c r="D34" s="378"/>
      <c r="E34" s="378"/>
      <c r="F34" s="378"/>
      <c r="G34" s="378"/>
    </row>
    <row r="35" spans="1:8" s="372" customFormat="1" ht="15" customHeight="1" x14ac:dyDescent="0.3">
      <c r="A35" s="440" t="s">
        <v>1038</v>
      </c>
      <c r="B35" s="440" t="s">
        <v>1037</v>
      </c>
      <c r="C35" s="433" t="s">
        <v>91</v>
      </c>
      <c r="D35" s="433" t="s">
        <v>90</v>
      </c>
      <c r="E35" s="433" t="s">
        <v>89</v>
      </c>
      <c r="F35" s="433" t="s">
        <v>1186</v>
      </c>
      <c r="G35" s="433"/>
      <c r="H35" s="271"/>
    </row>
    <row r="36" spans="1:8" ht="50.15" customHeight="1" x14ac:dyDescent="0.3">
      <c r="A36" s="441"/>
      <c r="B36" s="441"/>
      <c r="C36" s="433"/>
      <c r="D36" s="433"/>
      <c r="E36" s="433"/>
      <c r="F36" s="273" t="s">
        <v>88</v>
      </c>
      <c r="G36" s="273" t="s">
        <v>87</v>
      </c>
    </row>
    <row r="37" spans="1:8" x14ac:dyDescent="0.3">
      <c r="A37" s="274"/>
      <c r="B37" s="275"/>
      <c r="C37" s="276"/>
      <c r="D37" s="381"/>
      <c r="E37" s="381"/>
      <c r="F37" s="381"/>
      <c r="G37" s="365"/>
    </row>
    <row r="38" spans="1:8" ht="28" x14ac:dyDescent="0.3">
      <c r="A38" s="377" t="s">
        <v>574</v>
      </c>
      <c r="B38" s="298" t="s">
        <v>1003</v>
      </c>
      <c r="C38" s="332">
        <v>607.45399999999995</v>
      </c>
      <c r="D38" s="332">
        <v>163.0735</v>
      </c>
      <c r="E38" s="333">
        <f t="shared" ref="E38:E51" si="1">IF(C38&lt;&gt;"",D38/C38*100,"")</f>
        <v>26.845407224250728</v>
      </c>
      <c r="F38" s="332">
        <v>339.20089999999999</v>
      </c>
      <c r="G38" s="334">
        <v>875.70709999999997</v>
      </c>
      <c r="H38" s="380"/>
    </row>
    <row r="39" spans="1:8" ht="14.25" customHeight="1" x14ac:dyDescent="0.3">
      <c r="A39" s="377" t="s">
        <v>375</v>
      </c>
      <c r="B39" s="298" t="s">
        <v>876</v>
      </c>
      <c r="C39" s="332">
        <v>565.13040000000001</v>
      </c>
      <c r="D39" s="332">
        <v>97.849059999999994</v>
      </c>
      <c r="E39" s="333">
        <f t="shared" si="1"/>
        <v>17.31442159190162</v>
      </c>
      <c r="F39" s="332">
        <v>404.17039999999997</v>
      </c>
      <c r="G39" s="334">
        <v>726.09040000000005</v>
      </c>
      <c r="H39" s="380"/>
    </row>
    <row r="40" spans="1:8" x14ac:dyDescent="0.3">
      <c r="A40" s="377" t="s">
        <v>650</v>
      </c>
      <c r="B40" s="298" t="s">
        <v>867</v>
      </c>
      <c r="C40" s="332">
        <v>1283.3869999999999</v>
      </c>
      <c r="D40" s="332">
        <v>189.90459999999999</v>
      </c>
      <c r="E40" s="333">
        <f t="shared" si="1"/>
        <v>14.797142249376064</v>
      </c>
      <c r="F40" s="332">
        <v>970.99710000000005</v>
      </c>
      <c r="G40" s="334">
        <v>1595.777</v>
      </c>
      <c r="H40" s="380"/>
    </row>
    <row r="41" spans="1:8" ht="14.15" customHeight="1" x14ac:dyDescent="0.3">
      <c r="A41" s="377" t="s">
        <v>474</v>
      </c>
      <c r="B41" s="298" t="s">
        <v>1057</v>
      </c>
      <c r="C41" s="332">
        <v>517.77030000000002</v>
      </c>
      <c r="D41" s="332">
        <v>121.49079999999999</v>
      </c>
      <c r="E41" s="333">
        <f t="shared" si="1"/>
        <v>23.464227283797463</v>
      </c>
      <c r="F41" s="332">
        <v>317.92</v>
      </c>
      <c r="G41" s="334">
        <v>717.62059999999997</v>
      </c>
      <c r="H41" s="380"/>
    </row>
    <row r="42" spans="1:8" x14ac:dyDescent="0.3">
      <c r="A42" s="377" t="s">
        <v>441</v>
      </c>
      <c r="B42" s="298" t="s">
        <v>846</v>
      </c>
      <c r="C42" s="332">
        <v>897.37519999999995</v>
      </c>
      <c r="D42" s="332">
        <v>239.8511</v>
      </c>
      <c r="E42" s="333">
        <f t="shared" si="1"/>
        <v>26.728073162708309</v>
      </c>
      <c r="F42" s="332">
        <v>502.82429999999999</v>
      </c>
      <c r="G42" s="334">
        <v>1291.9259999999999</v>
      </c>
      <c r="H42" s="380"/>
    </row>
    <row r="43" spans="1:8" ht="28" x14ac:dyDescent="0.3">
      <c r="A43" s="377" t="s">
        <v>581</v>
      </c>
      <c r="B43" s="298" t="s">
        <v>1075</v>
      </c>
      <c r="C43" s="332">
        <v>1311.213</v>
      </c>
      <c r="D43" s="332">
        <v>248.79300000000001</v>
      </c>
      <c r="E43" s="333">
        <f t="shared" si="1"/>
        <v>18.974262762800553</v>
      </c>
      <c r="F43" s="332">
        <v>901.95249999999999</v>
      </c>
      <c r="G43" s="334">
        <v>1720.473</v>
      </c>
      <c r="H43" s="380"/>
    </row>
    <row r="44" spans="1:8" ht="28" x14ac:dyDescent="0.3">
      <c r="A44" s="377" t="s">
        <v>554</v>
      </c>
      <c r="B44" s="298" t="s">
        <v>817</v>
      </c>
      <c r="C44" s="332">
        <v>911.298</v>
      </c>
      <c r="D44" s="332">
        <v>282.02339999999998</v>
      </c>
      <c r="E44" s="333">
        <f t="shared" si="1"/>
        <v>30.947439805639863</v>
      </c>
      <c r="F44" s="332">
        <v>447.37439999999998</v>
      </c>
      <c r="G44" s="334">
        <v>1375.222</v>
      </c>
      <c r="H44" s="380"/>
    </row>
    <row r="45" spans="1:8" ht="15" customHeight="1" x14ac:dyDescent="0.3">
      <c r="A45" s="377" t="s">
        <v>598</v>
      </c>
      <c r="B45" s="298" t="s">
        <v>800</v>
      </c>
      <c r="C45" s="332">
        <v>672.90030000000002</v>
      </c>
      <c r="D45" s="332">
        <v>169.9556</v>
      </c>
      <c r="E45" s="333">
        <f t="shared" si="1"/>
        <v>25.257174056840221</v>
      </c>
      <c r="F45" s="332">
        <v>393.3263</v>
      </c>
      <c r="G45" s="334">
        <v>952.47439999999995</v>
      </c>
      <c r="H45" s="380"/>
    </row>
    <row r="46" spans="1:8" ht="15" customHeight="1" x14ac:dyDescent="0.3">
      <c r="A46" s="377" t="s">
        <v>396</v>
      </c>
      <c r="B46" s="298" t="s">
        <v>786</v>
      </c>
      <c r="C46" s="332">
        <v>834.63689999999997</v>
      </c>
      <c r="D46" s="332">
        <v>185.9761</v>
      </c>
      <c r="E46" s="333">
        <f t="shared" si="1"/>
        <v>22.282276280859378</v>
      </c>
      <c r="F46" s="332">
        <v>528.70950000000005</v>
      </c>
      <c r="G46" s="334">
        <v>1140.5640000000001</v>
      </c>
      <c r="H46" s="380"/>
    </row>
    <row r="47" spans="1:8" ht="27" customHeight="1" x14ac:dyDescent="0.3">
      <c r="A47" s="377" t="s">
        <v>334</v>
      </c>
      <c r="B47" s="298" t="s">
        <v>1056</v>
      </c>
      <c r="C47" s="332">
        <v>1823.28</v>
      </c>
      <c r="D47" s="332">
        <v>629.37210000000005</v>
      </c>
      <c r="E47" s="333">
        <f t="shared" si="1"/>
        <v>34.518675134921686</v>
      </c>
      <c r="F47" s="332">
        <v>787.9742</v>
      </c>
      <c r="G47" s="334">
        <v>2858.587</v>
      </c>
      <c r="H47" s="380"/>
    </row>
    <row r="48" spans="1:8" ht="27.75" customHeight="1" x14ac:dyDescent="0.3">
      <c r="A48" s="377" t="s">
        <v>1055</v>
      </c>
      <c r="B48" s="298" t="s">
        <v>1104</v>
      </c>
      <c r="C48" s="332">
        <v>3637.873</v>
      </c>
      <c r="D48" s="332">
        <v>1186.6310000000001</v>
      </c>
      <c r="E48" s="333">
        <f t="shared" si="1"/>
        <v>32.618813246091882</v>
      </c>
      <c r="F48" s="332">
        <v>1685.885</v>
      </c>
      <c r="G48" s="334">
        <v>5589.8609999999999</v>
      </c>
      <c r="H48" s="380"/>
    </row>
    <row r="49" spans="1:8" x14ac:dyDescent="0.3">
      <c r="A49" s="377" t="s">
        <v>385</v>
      </c>
      <c r="B49" s="298" t="s">
        <v>751</v>
      </c>
      <c r="C49" s="332">
        <v>926.90989999999999</v>
      </c>
      <c r="D49" s="332">
        <v>167.7851</v>
      </c>
      <c r="E49" s="333">
        <f t="shared" si="1"/>
        <v>18.10155442292719</v>
      </c>
      <c r="F49" s="332">
        <v>650.90620000000001</v>
      </c>
      <c r="G49" s="334">
        <v>1202.914</v>
      </c>
      <c r="H49" s="380"/>
    </row>
    <row r="50" spans="1:8" x14ac:dyDescent="0.3">
      <c r="A50" s="377" t="s">
        <v>487</v>
      </c>
      <c r="B50" s="298" t="s">
        <v>730</v>
      </c>
      <c r="C50" s="332">
        <v>785.71259999999995</v>
      </c>
      <c r="D50" s="332">
        <v>83.795689999999993</v>
      </c>
      <c r="E50" s="333">
        <f t="shared" si="1"/>
        <v>10.664928881120145</v>
      </c>
      <c r="F50" s="332">
        <v>647.87009999999998</v>
      </c>
      <c r="G50" s="334">
        <v>923.55510000000004</v>
      </c>
      <c r="H50" s="380"/>
    </row>
    <row r="51" spans="1:8" ht="28" x14ac:dyDescent="0.3">
      <c r="A51" s="377" t="s">
        <v>1053</v>
      </c>
      <c r="B51" s="298" t="s">
        <v>1109</v>
      </c>
      <c r="C51" s="332">
        <v>1104.5940000000001</v>
      </c>
      <c r="D51" s="332">
        <v>235.14359999999999</v>
      </c>
      <c r="E51" s="333">
        <f t="shared" si="1"/>
        <v>21.28778537634642</v>
      </c>
      <c r="F51" s="332">
        <v>717.78650000000005</v>
      </c>
      <c r="G51" s="334">
        <v>1491.4010000000001</v>
      </c>
      <c r="H51" s="380"/>
    </row>
    <row r="52" spans="1:8" x14ac:dyDescent="0.3">
      <c r="A52" s="277"/>
      <c r="B52" s="298"/>
      <c r="C52" s="523"/>
      <c r="D52" s="511"/>
      <c r="E52" s="512"/>
      <c r="F52" s="511"/>
      <c r="G52" s="503"/>
    </row>
    <row r="53" spans="1:8" s="279" customFormat="1" ht="27" customHeight="1" x14ac:dyDescent="0.3">
      <c r="A53" s="445" t="s">
        <v>391</v>
      </c>
      <c r="B53" s="354" t="s">
        <v>1103</v>
      </c>
      <c r="C53" s="326">
        <v>4126.723</v>
      </c>
      <c r="D53" s="326">
        <v>1411.423</v>
      </c>
      <c r="E53" s="327">
        <f>IF(C53&lt;&gt;"",D53/C53*100,"")</f>
        <v>34.202029067616117</v>
      </c>
      <c r="F53" s="326">
        <v>1804.9559999999999</v>
      </c>
      <c r="G53" s="328">
        <v>6448.491</v>
      </c>
      <c r="H53" s="380"/>
    </row>
    <row r="54" spans="1:8" s="279" customFormat="1" x14ac:dyDescent="0.3">
      <c r="A54" s="459"/>
      <c r="B54" s="354"/>
      <c r="C54" s="523"/>
      <c r="D54" s="511"/>
      <c r="E54" s="512"/>
      <c r="F54" s="511"/>
      <c r="G54" s="513"/>
    </row>
    <row r="55" spans="1:8" s="279" customFormat="1" ht="27" customHeight="1" x14ac:dyDescent="0.3">
      <c r="A55" s="445" t="s">
        <v>1049</v>
      </c>
      <c r="B55" s="354" t="s">
        <v>1144</v>
      </c>
      <c r="C55" s="326">
        <v>1237.7950000000001</v>
      </c>
      <c r="D55" s="326">
        <v>60.723100000000002</v>
      </c>
      <c r="E55" s="327">
        <f>IF(C55&lt;&gt;"",D55/C55*100,"")</f>
        <v>4.9057477207453575</v>
      </c>
      <c r="F55" s="326">
        <v>1137.9069999999999</v>
      </c>
      <c r="G55" s="328">
        <v>1337.684</v>
      </c>
      <c r="H55" s="380"/>
    </row>
    <row r="56" spans="1:8" x14ac:dyDescent="0.3">
      <c r="A56" s="377" t="s">
        <v>402</v>
      </c>
      <c r="B56" s="298" t="s">
        <v>677</v>
      </c>
      <c r="C56" s="332">
        <v>1142.5350000000001</v>
      </c>
      <c r="D56" s="332">
        <v>63.307690000000001</v>
      </c>
      <c r="E56" s="333">
        <f>IF(C56&lt;&gt;"",D56/C56*100,"")</f>
        <v>5.5409847400736085</v>
      </c>
      <c r="F56" s="332">
        <v>1038.395</v>
      </c>
      <c r="G56" s="334">
        <v>1246.675</v>
      </c>
      <c r="H56" s="380"/>
    </row>
    <row r="57" spans="1:8" ht="43.5" customHeight="1" x14ac:dyDescent="0.3">
      <c r="A57" s="377" t="s">
        <v>1110</v>
      </c>
      <c r="B57" s="298" t="s">
        <v>1143</v>
      </c>
      <c r="C57" s="332">
        <v>1672.933</v>
      </c>
      <c r="D57" s="332">
        <v>208.65860000000001</v>
      </c>
      <c r="E57" s="333">
        <f>IF(C57&lt;&gt;"",D57/C57*100,"")</f>
        <v>12.472621437917718</v>
      </c>
      <c r="F57" s="332">
        <v>1329.693</v>
      </c>
      <c r="G57" s="334">
        <v>2016.172</v>
      </c>
      <c r="H57" s="380"/>
    </row>
    <row r="58" spans="1:8" ht="5.25" customHeight="1" x14ac:dyDescent="0.3">
      <c r="A58" s="288"/>
      <c r="B58" s="367"/>
      <c r="C58" s="290"/>
      <c r="D58" s="291"/>
      <c r="E58" s="291"/>
      <c r="F58" s="291"/>
      <c r="G58" s="388"/>
    </row>
    <row r="59" spans="1:8" ht="18" customHeight="1" x14ac:dyDescent="0.3">
      <c r="A59" s="308"/>
      <c r="B59" s="304"/>
      <c r="C59" s="308"/>
      <c r="D59" s="347"/>
      <c r="E59" s="347"/>
      <c r="F59" s="347"/>
      <c r="G59" s="347"/>
    </row>
    <row r="60" spans="1:8" ht="34.5" customHeight="1" x14ac:dyDescent="0.3">
      <c r="A60" s="428" t="s">
        <v>1370</v>
      </c>
      <c r="B60" s="428"/>
      <c r="C60" s="428"/>
      <c r="D60" s="428"/>
      <c r="E60" s="428"/>
      <c r="F60" s="428"/>
      <c r="G60" s="428"/>
    </row>
    <row r="61" spans="1:8" ht="12.75" customHeight="1" x14ac:dyDescent="0.3">
      <c r="A61" s="431" t="s">
        <v>1337</v>
      </c>
      <c r="B61" s="431"/>
      <c r="C61" s="431"/>
      <c r="D61" s="431"/>
      <c r="E61" s="431"/>
      <c r="F61" s="431"/>
      <c r="G61" s="431"/>
    </row>
    <row r="62" spans="1:8" ht="12.75" customHeight="1" x14ac:dyDescent="0.3">
      <c r="A62" s="378"/>
      <c r="B62" s="378"/>
      <c r="C62" s="378"/>
      <c r="D62" s="383"/>
      <c r="E62" s="383"/>
      <c r="F62" s="383"/>
      <c r="G62" s="383"/>
    </row>
    <row r="63" spans="1:8" s="372" customFormat="1" ht="15" customHeight="1" x14ac:dyDescent="0.3">
      <c r="A63" s="440" t="s">
        <v>1038</v>
      </c>
      <c r="B63" s="440" t="s">
        <v>1037</v>
      </c>
      <c r="C63" s="433" t="s">
        <v>91</v>
      </c>
      <c r="D63" s="433" t="s">
        <v>90</v>
      </c>
      <c r="E63" s="433" t="s">
        <v>89</v>
      </c>
      <c r="F63" s="433" t="s">
        <v>1186</v>
      </c>
      <c r="G63" s="433"/>
      <c r="H63" s="271"/>
    </row>
    <row r="64" spans="1:8" ht="50.15" customHeight="1" x14ac:dyDescent="0.3">
      <c r="A64" s="441"/>
      <c r="B64" s="441"/>
      <c r="C64" s="433"/>
      <c r="D64" s="433"/>
      <c r="E64" s="433"/>
      <c r="F64" s="273" t="s">
        <v>88</v>
      </c>
      <c r="G64" s="273" t="s">
        <v>87</v>
      </c>
    </row>
    <row r="65" spans="1:8" x14ac:dyDescent="0.3">
      <c r="A65" s="274"/>
      <c r="B65" s="275"/>
      <c r="C65" s="398"/>
      <c r="D65" s="276"/>
      <c r="E65" s="276"/>
      <c r="F65" s="276"/>
      <c r="G65" s="365"/>
    </row>
    <row r="66" spans="1:8" s="279" customFormat="1" x14ac:dyDescent="0.3">
      <c r="A66" s="445" t="s">
        <v>654</v>
      </c>
      <c r="B66" s="354" t="s">
        <v>1045</v>
      </c>
      <c r="C66" s="326">
        <v>674.17259999999999</v>
      </c>
      <c r="D66" s="326">
        <v>76.512680000000003</v>
      </c>
      <c r="E66" s="327">
        <f>IF(C66&lt;&gt;"",D66/C66*100,"")</f>
        <v>11.349123355057742</v>
      </c>
      <c r="F66" s="326">
        <v>548.31060000000002</v>
      </c>
      <c r="G66" s="328">
        <v>800.03470000000004</v>
      </c>
      <c r="H66" s="380"/>
    </row>
    <row r="67" spans="1:8" s="279" customFormat="1" x14ac:dyDescent="0.3">
      <c r="A67" s="465"/>
      <c r="B67" s="358"/>
      <c r="C67" s="399"/>
      <c r="D67" s="511"/>
      <c r="E67" s="512"/>
      <c r="F67" s="511"/>
      <c r="G67" s="504"/>
    </row>
    <row r="68" spans="1:8" s="279" customFormat="1" ht="28.5" customHeight="1" x14ac:dyDescent="0.3">
      <c r="A68" s="445" t="s">
        <v>1042</v>
      </c>
      <c r="B68" s="335" t="s">
        <v>1142</v>
      </c>
      <c r="C68" s="326">
        <v>684.99869999999999</v>
      </c>
      <c r="D68" s="326">
        <v>35.575189999999999</v>
      </c>
      <c r="E68" s="327">
        <f>IF(C68&lt;&gt;"",D68/C68*100,"")</f>
        <v>5.1934682503777019</v>
      </c>
      <c r="F68" s="326">
        <v>626.47820000000002</v>
      </c>
      <c r="G68" s="328">
        <v>743.51930000000004</v>
      </c>
      <c r="H68" s="380"/>
    </row>
    <row r="69" spans="1:8" ht="28" x14ac:dyDescent="0.3">
      <c r="A69" s="377" t="s">
        <v>592</v>
      </c>
      <c r="B69" s="298" t="s">
        <v>1141</v>
      </c>
      <c r="C69" s="332">
        <v>347.34710000000001</v>
      </c>
      <c r="D69" s="332">
        <v>21.484590000000001</v>
      </c>
      <c r="E69" s="333">
        <f>IF(C69&lt;&gt;"",D69/C69*100,"")</f>
        <v>6.1853373757834742</v>
      </c>
      <c r="F69" s="332">
        <v>312.00529999999998</v>
      </c>
      <c r="G69" s="334">
        <v>382.68889999999999</v>
      </c>
      <c r="H69" s="375"/>
    </row>
    <row r="70" spans="1:8" ht="28" x14ac:dyDescent="0.3">
      <c r="A70" s="377" t="s">
        <v>428</v>
      </c>
      <c r="B70" s="298" t="s">
        <v>1102</v>
      </c>
      <c r="C70" s="332">
        <v>1368.1120000000001</v>
      </c>
      <c r="D70" s="332">
        <v>103.44540000000001</v>
      </c>
      <c r="E70" s="333">
        <f>IF(C70&lt;&gt;"",D70/C70*100,"")</f>
        <v>7.5611792017027852</v>
      </c>
      <c r="F70" s="332">
        <v>1197.9459999999999</v>
      </c>
      <c r="G70" s="334">
        <v>1538.278</v>
      </c>
      <c r="H70" s="375"/>
    </row>
    <row r="71" spans="1:8" ht="27" customHeight="1" x14ac:dyDescent="0.3">
      <c r="A71" s="377" t="s">
        <v>311</v>
      </c>
      <c r="B71" s="298" t="s">
        <v>1140</v>
      </c>
      <c r="C71" s="332">
        <v>355.8723</v>
      </c>
      <c r="D71" s="332">
        <v>19.734369999999998</v>
      </c>
      <c r="E71" s="333">
        <f>IF(C71&lt;&gt;"",D71/C71*100,"")</f>
        <v>5.5453515207561814</v>
      </c>
      <c r="F71" s="332">
        <v>323.40960000000001</v>
      </c>
      <c r="G71" s="334">
        <v>388.33499999999998</v>
      </c>
      <c r="H71" s="375"/>
    </row>
    <row r="72" spans="1:8" x14ac:dyDescent="0.3">
      <c r="A72" s="447"/>
      <c r="B72" s="358"/>
      <c r="C72" s="332"/>
      <c r="D72" s="332"/>
      <c r="E72" s="333"/>
      <c r="F72" s="332"/>
      <c r="G72" s="334"/>
    </row>
    <row r="73" spans="1:8" x14ac:dyDescent="0.3">
      <c r="A73" s="447"/>
      <c r="B73" s="358"/>
      <c r="C73" s="332"/>
      <c r="D73" s="332"/>
      <c r="E73" s="333"/>
      <c r="F73" s="332"/>
      <c r="G73" s="334"/>
    </row>
    <row r="74" spans="1:8" s="279" customFormat="1" x14ac:dyDescent="0.3">
      <c r="A74" s="445" t="s">
        <v>1039</v>
      </c>
      <c r="B74" s="354" t="s">
        <v>1040</v>
      </c>
      <c r="C74" s="326">
        <v>1223.153</v>
      </c>
      <c r="D74" s="326">
        <v>182.90729999999999</v>
      </c>
      <c r="E74" s="327">
        <f t="shared" ref="E74:E80" si="2">IF(C74&lt;&gt;"",D74/C74*100,"")</f>
        <v>14.953754763304344</v>
      </c>
      <c r="F74" s="326">
        <v>922.27359999999999</v>
      </c>
      <c r="G74" s="328">
        <v>1524.0319999999999</v>
      </c>
      <c r="H74" s="380"/>
    </row>
    <row r="75" spans="1:8" ht="27.75" customHeight="1" x14ac:dyDescent="0.3">
      <c r="A75" s="377" t="s">
        <v>536</v>
      </c>
      <c r="B75" s="295" t="s">
        <v>1139</v>
      </c>
      <c r="C75" s="332">
        <v>775.30799999999999</v>
      </c>
      <c r="D75" s="332">
        <v>164.10380000000001</v>
      </c>
      <c r="E75" s="333">
        <f t="shared" si="2"/>
        <v>21.1662719848112</v>
      </c>
      <c r="F75" s="332">
        <v>505.36</v>
      </c>
      <c r="G75" s="334">
        <v>1045.2560000000001</v>
      </c>
      <c r="H75" s="380"/>
    </row>
    <row r="76" spans="1:8" x14ac:dyDescent="0.3">
      <c r="A76" s="377" t="s">
        <v>496</v>
      </c>
      <c r="B76" s="298" t="s">
        <v>525</v>
      </c>
      <c r="C76" s="332">
        <v>623.83489999999995</v>
      </c>
      <c r="D76" s="332">
        <v>146.71360000000001</v>
      </c>
      <c r="E76" s="333">
        <f t="shared" si="2"/>
        <v>23.518017347217995</v>
      </c>
      <c r="F76" s="332">
        <v>382.49360000000001</v>
      </c>
      <c r="G76" s="334">
        <v>865.17619999999999</v>
      </c>
      <c r="H76" s="380"/>
    </row>
    <row r="77" spans="1:8" x14ac:dyDescent="0.3">
      <c r="A77" s="377" t="s">
        <v>471</v>
      </c>
      <c r="B77" s="298" t="s">
        <v>493</v>
      </c>
      <c r="C77" s="332">
        <v>813.39610000000005</v>
      </c>
      <c r="D77" s="332">
        <v>248.738</v>
      </c>
      <c r="E77" s="333">
        <f t="shared" si="2"/>
        <v>30.580181045864368</v>
      </c>
      <c r="F77" s="332">
        <v>404.22640000000001</v>
      </c>
      <c r="G77" s="334">
        <v>1222.566</v>
      </c>
      <c r="H77" s="380"/>
    </row>
    <row r="78" spans="1:8" x14ac:dyDescent="0.3">
      <c r="A78" s="377" t="s">
        <v>438</v>
      </c>
      <c r="B78" s="298" t="s">
        <v>469</v>
      </c>
      <c r="C78" s="332">
        <v>5994.2179999999998</v>
      </c>
      <c r="D78" s="332">
        <v>656.25109999999995</v>
      </c>
      <c r="E78" s="333">
        <f t="shared" si="2"/>
        <v>10.948068622128858</v>
      </c>
      <c r="F78" s="332">
        <v>4914.6959999999999</v>
      </c>
      <c r="G78" s="334">
        <v>7073.74</v>
      </c>
      <c r="H78" s="380"/>
    </row>
    <row r="79" spans="1:8" ht="27" customHeight="1" x14ac:dyDescent="0.3">
      <c r="A79" s="377" t="s">
        <v>423</v>
      </c>
      <c r="B79" s="298" t="s">
        <v>1138</v>
      </c>
      <c r="C79" s="332">
        <v>1151.309</v>
      </c>
      <c r="D79" s="332">
        <v>190.66079999999999</v>
      </c>
      <c r="E79" s="333">
        <f t="shared" si="2"/>
        <v>16.560350001606867</v>
      </c>
      <c r="F79" s="332">
        <v>837.67550000000006</v>
      </c>
      <c r="G79" s="334">
        <v>1464.943</v>
      </c>
      <c r="H79" s="380"/>
    </row>
    <row r="80" spans="1:8" x14ac:dyDescent="0.3">
      <c r="A80" s="377" t="s">
        <v>325</v>
      </c>
      <c r="B80" s="298" t="s">
        <v>1115</v>
      </c>
      <c r="C80" s="332">
        <v>768.10609999999997</v>
      </c>
      <c r="D80" s="332">
        <v>208.39850000000001</v>
      </c>
      <c r="E80" s="333">
        <f t="shared" si="2"/>
        <v>27.131473112894174</v>
      </c>
      <c r="F80" s="332">
        <v>425.29410000000001</v>
      </c>
      <c r="G80" s="334">
        <v>1110.9179999999999</v>
      </c>
      <c r="H80" s="380"/>
    </row>
    <row r="81" spans="1:16377" x14ac:dyDescent="0.3">
      <c r="A81" s="277"/>
      <c r="B81" s="360"/>
      <c r="C81" s="523"/>
      <c r="D81" s="502"/>
      <c r="E81" s="501"/>
      <c r="F81" s="502"/>
      <c r="G81" s="503"/>
    </row>
    <row r="82" spans="1:16377" s="279" customFormat="1" ht="25.5" customHeight="1" x14ac:dyDescent="0.3">
      <c r="A82" s="445" t="s">
        <v>400</v>
      </c>
      <c r="B82" s="354" t="s">
        <v>1137</v>
      </c>
      <c r="C82" s="326">
        <v>450.95600000000002</v>
      </c>
      <c r="D82" s="326">
        <v>35.108609999999999</v>
      </c>
      <c r="E82" s="327">
        <f>IF(C82&lt;&gt;"",D82/C82*100,"")</f>
        <v>7.785373739344859</v>
      </c>
      <c r="F82" s="326">
        <v>393.2029</v>
      </c>
      <c r="G82" s="328">
        <v>508.709</v>
      </c>
      <c r="H82" s="380"/>
    </row>
    <row r="83" spans="1:16377" s="279" customFormat="1" x14ac:dyDescent="0.3">
      <c r="A83" s="445"/>
      <c r="B83" s="354"/>
      <c r="C83" s="524"/>
      <c r="D83" s="511"/>
      <c r="E83" s="512"/>
      <c r="F83" s="511"/>
      <c r="G83" s="513"/>
    </row>
    <row r="84" spans="1:16377" s="279" customFormat="1" ht="13.5" customHeight="1" x14ac:dyDescent="0.3">
      <c r="A84" s="445" t="s">
        <v>1033</v>
      </c>
      <c r="B84" s="354" t="s">
        <v>1034</v>
      </c>
      <c r="C84" s="326">
        <v>2744.846</v>
      </c>
      <c r="D84" s="326">
        <v>436.80239999999998</v>
      </c>
      <c r="E84" s="327">
        <f t="shared" ref="E84:E90" si="3">IF(C84&lt;&gt;"",D84/C84*100,"")</f>
        <v>15.913548519661941</v>
      </c>
      <c r="F84" s="326">
        <v>2026.3140000000001</v>
      </c>
      <c r="G84" s="328">
        <v>3463.3789999999999</v>
      </c>
      <c r="H84" s="380"/>
    </row>
    <row r="85" spans="1:16377" x14ac:dyDescent="0.3">
      <c r="A85" s="377" t="s">
        <v>301</v>
      </c>
      <c r="B85" s="298" t="s">
        <v>370</v>
      </c>
      <c r="C85" s="332">
        <v>1632.8</v>
      </c>
      <c r="D85" s="332">
        <v>587.42589999999996</v>
      </c>
      <c r="E85" s="333">
        <f t="shared" si="3"/>
        <v>35.976598481136698</v>
      </c>
      <c r="F85" s="332">
        <v>666.49469999999997</v>
      </c>
      <c r="G85" s="334">
        <v>2599.1060000000002</v>
      </c>
      <c r="H85" s="380"/>
    </row>
    <row r="86" spans="1:16377" ht="72.5" customHeight="1" x14ac:dyDescent="0.3">
      <c r="A86" s="377" t="s">
        <v>1032</v>
      </c>
      <c r="B86" s="298" t="s">
        <v>1136</v>
      </c>
      <c r="C86" s="332">
        <v>2008.4</v>
      </c>
      <c r="D86" s="332">
        <v>475.8931</v>
      </c>
      <c r="E86" s="333">
        <f t="shared" si="3"/>
        <v>23.695135431189005</v>
      </c>
      <c r="F86" s="332">
        <v>1225.5640000000001</v>
      </c>
      <c r="G86" s="334">
        <v>2791.2359999999999</v>
      </c>
      <c r="H86" s="380"/>
    </row>
    <row r="87" spans="1:16377" ht="22.5" customHeight="1" x14ac:dyDescent="0.3">
      <c r="A87" s="377" t="s">
        <v>1358</v>
      </c>
      <c r="B87" s="298" t="s">
        <v>342</v>
      </c>
      <c r="C87" s="332">
        <v>465.68950000000001</v>
      </c>
      <c r="D87" s="332">
        <v>318.46010000000001</v>
      </c>
      <c r="E87" s="333">
        <f t="shared" si="3"/>
        <v>68.384642556896807</v>
      </c>
      <c r="F87" s="332">
        <v>-58.171900000000001</v>
      </c>
      <c r="G87" s="334">
        <v>989.55079999999998</v>
      </c>
      <c r="H87" s="380"/>
    </row>
    <row r="88" spans="1:16377" x14ac:dyDescent="0.3">
      <c r="A88" s="377" t="s">
        <v>295</v>
      </c>
      <c r="B88" s="298" t="s">
        <v>323</v>
      </c>
      <c r="C88" s="332">
        <v>2054.873</v>
      </c>
      <c r="D88" s="332">
        <v>533.12549999999999</v>
      </c>
      <c r="E88" s="333">
        <f t="shared" si="3"/>
        <v>25.944450094969373</v>
      </c>
      <c r="F88" s="332">
        <v>1177.8910000000001</v>
      </c>
      <c r="G88" s="334">
        <v>2931.855</v>
      </c>
      <c r="H88" s="380"/>
    </row>
    <row r="89" spans="1:16377" ht="28" x14ac:dyDescent="0.3">
      <c r="A89" s="377" t="s">
        <v>279</v>
      </c>
      <c r="B89" s="298" t="s">
        <v>1100</v>
      </c>
      <c r="C89" s="332">
        <v>3522.76</v>
      </c>
      <c r="D89" s="332">
        <v>638.28070000000002</v>
      </c>
      <c r="E89" s="333">
        <f t="shared" si="3"/>
        <v>18.118767670803575</v>
      </c>
      <c r="F89" s="332">
        <v>2472.8000000000002</v>
      </c>
      <c r="G89" s="334">
        <v>4572.7209999999995</v>
      </c>
      <c r="H89" s="380"/>
    </row>
    <row r="90" spans="1:16377" x14ac:dyDescent="0.3">
      <c r="A90" s="377" t="s">
        <v>252</v>
      </c>
      <c r="B90" s="298" t="s">
        <v>277</v>
      </c>
      <c r="C90" s="332">
        <v>1098.7339999999999</v>
      </c>
      <c r="D90" s="332">
        <v>436.762</v>
      </c>
      <c r="E90" s="333">
        <f t="shared" si="3"/>
        <v>39.751386595845766</v>
      </c>
      <c r="F90" s="332">
        <v>380.26760000000002</v>
      </c>
      <c r="G90" s="334">
        <v>1817.2</v>
      </c>
      <c r="H90" s="380"/>
    </row>
    <row r="91" spans="1:16377" ht="5.25" customHeight="1" x14ac:dyDescent="0.3">
      <c r="A91" s="288"/>
      <c r="B91" s="367"/>
      <c r="C91" s="384"/>
      <c r="D91" s="291"/>
      <c r="E91" s="291"/>
      <c r="F91" s="291"/>
      <c r="G91" s="388"/>
    </row>
    <row r="92" spans="1:16377" s="287" customFormat="1" ht="20.149999999999999" customHeight="1" x14ac:dyDescent="0.3">
      <c r="A92" s="389" t="s">
        <v>1117</v>
      </c>
      <c r="B92" s="293"/>
      <c r="C92" s="294"/>
      <c r="G92" s="371"/>
      <c r="H92" s="293"/>
      <c r="I92" s="294"/>
      <c r="O92" s="292"/>
      <c r="P92" s="293"/>
      <c r="Q92" s="294"/>
      <c r="W92" s="292"/>
      <c r="X92" s="293"/>
      <c r="Y92" s="294"/>
      <c r="AE92" s="292"/>
      <c r="AF92" s="293"/>
      <c r="AG92" s="294"/>
      <c r="AM92" s="292"/>
      <c r="AN92" s="293"/>
      <c r="AO92" s="294"/>
      <c r="AU92" s="292"/>
      <c r="AV92" s="293"/>
      <c r="AW92" s="294"/>
      <c r="BC92" s="292"/>
      <c r="BD92" s="293"/>
      <c r="BE92" s="294"/>
      <c r="BK92" s="292"/>
      <c r="BL92" s="293"/>
      <c r="BM92" s="294"/>
      <c r="BS92" s="292"/>
      <c r="BT92" s="293"/>
      <c r="BU92" s="294"/>
      <c r="CA92" s="292"/>
      <c r="CB92" s="293"/>
      <c r="CC92" s="294"/>
      <c r="CI92" s="292"/>
      <c r="CJ92" s="293"/>
      <c r="CK92" s="294"/>
      <c r="CQ92" s="292"/>
      <c r="CR92" s="293"/>
      <c r="CS92" s="294"/>
      <c r="CY92" s="292"/>
      <c r="CZ92" s="293"/>
      <c r="DA92" s="294"/>
      <c r="DG92" s="292"/>
      <c r="DH92" s="293"/>
      <c r="DI92" s="294"/>
      <c r="DO92" s="292"/>
      <c r="DP92" s="293"/>
      <c r="DQ92" s="294"/>
      <c r="DW92" s="292"/>
      <c r="DX92" s="293"/>
      <c r="DY92" s="294"/>
      <c r="EE92" s="292"/>
      <c r="EF92" s="293"/>
      <c r="EG92" s="294"/>
      <c r="EM92" s="292"/>
      <c r="EN92" s="293"/>
      <c r="EO92" s="294"/>
      <c r="EU92" s="292"/>
      <c r="EV92" s="293"/>
      <c r="EW92" s="294"/>
      <c r="FC92" s="292"/>
      <c r="FD92" s="293"/>
      <c r="FE92" s="294"/>
      <c r="FK92" s="292"/>
      <c r="FL92" s="293"/>
      <c r="FM92" s="294"/>
      <c r="FS92" s="292"/>
      <c r="FT92" s="293"/>
      <c r="FU92" s="294"/>
      <c r="GA92" s="292"/>
      <c r="GB92" s="293"/>
      <c r="GC92" s="294"/>
      <c r="GI92" s="292"/>
      <c r="GJ92" s="293"/>
      <c r="GK92" s="294"/>
      <c r="GQ92" s="292"/>
      <c r="GR92" s="293"/>
      <c r="GS92" s="294"/>
      <c r="GY92" s="292"/>
      <c r="GZ92" s="293"/>
      <c r="HA92" s="294"/>
      <c r="HG92" s="292"/>
      <c r="HH92" s="293"/>
      <c r="HI92" s="294"/>
      <c r="HO92" s="292"/>
      <c r="HP92" s="293"/>
      <c r="HQ92" s="294"/>
      <c r="HW92" s="292"/>
      <c r="HX92" s="293"/>
      <c r="HY92" s="294"/>
      <c r="IE92" s="292"/>
      <c r="IF92" s="293"/>
      <c r="IG92" s="294"/>
      <c r="IM92" s="292"/>
      <c r="IN92" s="293"/>
      <c r="IO92" s="294"/>
      <c r="IU92" s="292"/>
      <c r="IV92" s="293"/>
      <c r="IW92" s="294"/>
      <c r="JC92" s="292"/>
      <c r="JD92" s="293"/>
      <c r="JE92" s="294"/>
      <c r="JK92" s="292"/>
      <c r="JL92" s="293"/>
      <c r="JM92" s="294"/>
      <c r="JS92" s="292"/>
      <c r="JT92" s="293"/>
      <c r="JU92" s="294"/>
      <c r="KA92" s="292"/>
      <c r="KB92" s="293"/>
      <c r="KC92" s="294"/>
      <c r="KI92" s="292"/>
      <c r="KJ92" s="293"/>
      <c r="KK92" s="294"/>
      <c r="KQ92" s="292"/>
      <c r="KR92" s="293"/>
      <c r="KS92" s="294"/>
      <c r="KY92" s="292"/>
      <c r="KZ92" s="293"/>
      <c r="LA92" s="294"/>
      <c r="LG92" s="292"/>
      <c r="LH92" s="293"/>
      <c r="LI92" s="294"/>
      <c r="LO92" s="292"/>
      <c r="LP92" s="293"/>
      <c r="LQ92" s="294"/>
      <c r="LW92" s="292"/>
      <c r="LX92" s="293"/>
      <c r="LY92" s="294"/>
      <c r="ME92" s="292"/>
      <c r="MF92" s="293"/>
      <c r="MG92" s="294"/>
      <c r="MM92" s="292"/>
      <c r="MN92" s="293"/>
      <c r="MO92" s="294"/>
      <c r="MU92" s="292"/>
      <c r="MV92" s="293"/>
      <c r="MW92" s="294"/>
      <c r="NC92" s="292"/>
      <c r="ND92" s="293"/>
      <c r="NE92" s="294"/>
      <c r="NK92" s="292"/>
      <c r="NL92" s="293"/>
      <c r="NM92" s="294"/>
      <c r="NS92" s="292"/>
      <c r="NT92" s="293"/>
      <c r="NU92" s="294"/>
      <c r="OA92" s="292"/>
      <c r="OB92" s="293"/>
      <c r="OC92" s="294"/>
      <c r="OI92" s="292"/>
      <c r="OJ92" s="293"/>
      <c r="OK92" s="294"/>
      <c r="OQ92" s="292"/>
      <c r="OR92" s="293"/>
      <c r="OS92" s="294"/>
      <c r="OY92" s="292"/>
      <c r="OZ92" s="293"/>
      <c r="PA92" s="294"/>
      <c r="PG92" s="292"/>
      <c r="PH92" s="293"/>
      <c r="PI92" s="294"/>
      <c r="PO92" s="292"/>
      <c r="PP92" s="293"/>
      <c r="PQ92" s="294"/>
      <c r="PW92" s="292"/>
      <c r="PX92" s="293"/>
      <c r="PY92" s="294"/>
      <c r="QE92" s="292"/>
      <c r="QF92" s="293"/>
      <c r="QG92" s="294"/>
      <c r="QM92" s="292"/>
      <c r="QN92" s="293"/>
      <c r="QO92" s="294"/>
      <c r="QU92" s="292"/>
      <c r="QV92" s="293"/>
      <c r="QW92" s="294"/>
      <c r="RC92" s="292"/>
      <c r="RD92" s="293"/>
      <c r="RE92" s="294"/>
      <c r="RK92" s="292"/>
      <c r="RL92" s="293"/>
      <c r="RM92" s="294"/>
      <c r="RS92" s="292"/>
      <c r="RT92" s="293"/>
      <c r="RU92" s="294"/>
      <c r="SA92" s="292"/>
      <c r="SB92" s="293"/>
      <c r="SC92" s="294"/>
      <c r="SI92" s="292"/>
      <c r="SJ92" s="293"/>
      <c r="SK92" s="294"/>
      <c r="SQ92" s="292"/>
      <c r="SR92" s="293"/>
      <c r="SS92" s="294"/>
      <c r="SY92" s="292"/>
      <c r="SZ92" s="293"/>
      <c r="TA92" s="294"/>
      <c r="TG92" s="292"/>
      <c r="TH92" s="293"/>
      <c r="TI92" s="294"/>
      <c r="TO92" s="292"/>
      <c r="TP92" s="293"/>
      <c r="TQ92" s="294"/>
      <c r="TW92" s="292"/>
      <c r="TX92" s="293"/>
      <c r="TY92" s="294"/>
      <c r="UE92" s="292"/>
      <c r="UF92" s="293"/>
      <c r="UG92" s="294"/>
      <c r="UM92" s="292"/>
      <c r="UN92" s="293"/>
      <c r="UO92" s="294"/>
      <c r="UU92" s="292"/>
      <c r="UV92" s="293"/>
      <c r="UW92" s="294"/>
      <c r="VC92" s="292"/>
      <c r="VD92" s="293"/>
      <c r="VE92" s="294"/>
      <c r="VK92" s="292"/>
      <c r="VL92" s="293"/>
      <c r="VM92" s="294"/>
      <c r="VS92" s="292"/>
      <c r="VT92" s="293"/>
      <c r="VU92" s="294"/>
      <c r="WA92" s="292"/>
      <c r="WB92" s="293"/>
      <c r="WC92" s="294"/>
      <c r="WI92" s="292"/>
      <c r="WJ92" s="293"/>
      <c r="WK92" s="294"/>
      <c r="WQ92" s="292"/>
      <c r="WR92" s="293"/>
      <c r="WS92" s="294"/>
      <c r="WY92" s="292"/>
      <c r="WZ92" s="293"/>
      <c r="XA92" s="294"/>
      <c r="XG92" s="292"/>
      <c r="XH92" s="293"/>
      <c r="XI92" s="294"/>
      <c r="XO92" s="292"/>
      <c r="XP92" s="293"/>
      <c r="XQ92" s="294"/>
      <c r="XW92" s="292"/>
      <c r="XX92" s="293"/>
      <c r="XY92" s="294"/>
      <c r="YE92" s="292"/>
      <c r="YF92" s="293"/>
      <c r="YG92" s="294"/>
      <c r="YM92" s="292"/>
      <c r="YN92" s="293"/>
      <c r="YO92" s="294"/>
      <c r="YU92" s="292"/>
      <c r="YV92" s="293"/>
      <c r="YW92" s="294"/>
      <c r="ZC92" s="292"/>
      <c r="ZD92" s="293"/>
      <c r="ZE92" s="294"/>
      <c r="ZK92" s="292"/>
      <c r="ZL92" s="293"/>
      <c r="ZM92" s="294"/>
      <c r="ZS92" s="292"/>
      <c r="ZT92" s="293"/>
      <c r="ZU92" s="294"/>
      <c r="AAA92" s="292"/>
      <c r="AAB92" s="293"/>
      <c r="AAC92" s="294"/>
      <c r="AAI92" s="292"/>
      <c r="AAJ92" s="293"/>
      <c r="AAK92" s="294"/>
      <c r="AAQ92" s="292"/>
      <c r="AAR92" s="293"/>
      <c r="AAS92" s="294"/>
      <c r="AAY92" s="292"/>
      <c r="AAZ92" s="293"/>
      <c r="ABA92" s="294"/>
      <c r="ABG92" s="292"/>
      <c r="ABH92" s="293"/>
      <c r="ABI92" s="294"/>
      <c r="ABO92" s="292"/>
      <c r="ABP92" s="293"/>
      <c r="ABQ92" s="294"/>
      <c r="ABW92" s="292"/>
      <c r="ABX92" s="293"/>
      <c r="ABY92" s="294"/>
      <c r="ACE92" s="292"/>
      <c r="ACF92" s="293"/>
      <c r="ACG92" s="294"/>
      <c r="ACM92" s="292"/>
      <c r="ACN92" s="293"/>
      <c r="ACO92" s="294"/>
      <c r="ACU92" s="292"/>
      <c r="ACV92" s="293"/>
      <c r="ACW92" s="294"/>
      <c r="ADC92" s="292"/>
      <c r="ADD92" s="293"/>
      <c r="ADE92" s="294"/>
      <c r="ADK92" s="292"/>
      <c r="ADL92" s="293"/>
      <c r="ADM92" s="294"/>
      <c r="ADS92" s="292"/>
      <c r="ADT92" s="293"/>
      <c r="ADU92" s="294"/>
      <c r="AEA92" s="292"/>
      <c r="AEB92" s="293"/>
      <c r="AEC92" s="294"/>
      <c r="AEI92" s="292"/>
      <c r="AEJ92" s="293"/>
      <c r="AEK92" s="294"/>
      <c r="AEQ92" s="292"/>
      <c r="AER92" s="293"/>
      <c r="AES92" s="294"/>
      <c r="AEY92" s="292"/>
      <c r="AEZ92" s="293"/>
      <c r="AFA92" s="294"/>
      <c r="AFG92" s="292"/>
      <c r="AFH92" s="293"/>
      <c r="AFI92" s="294"/>
      <c r="AFO92" s="292"/>
      <c r="AFP92" s="293"/>
      <c r="AFQ92" s="294"/>
      <c r="AFW92" s="292"/>
      <c r="AFX92" s="293"/>
      <c r="AFY92" s="294"/>
      <c r="AGE92" s="292"/>
      <c r="AGF92" s="293"/>
      <c r="AGG92" s="294"/>
      <c r="AGM92" s="292"/>
      <c r="AGN92" s="293"/>
      <c r="AGO92" s="294"/>
      <c r="AGU92" s="292"/>
      <c r="AGV92" s="293"/>
      <c r="AGW92" s="294"/>
      <c r="AHC92" s="292"/>
      <c r="AHD92" s="293"/>
      <c r="AHE92" s="294"/>
      <c r="AHK92" s="292"/>
      <c r="AHL92" s="293"/>
      <c r="AHM92" s="294"/>
      <c r="AHS92" s="292"/>
      <c r="AHT92" s="293"/>
      <c r="AHU92" s="294"/>
      <c r="AIA92" s="292"/>
      <c r="AIB92" s="293"/>
      <c r="AIC92" s="294"/>
      <c r="AII92" s="292"/>
      <c r="AIJ92" s="293"/>
      <c r="AIK92" s="294"/>
      <c r="AIQ92" s="292"/>
      <c r="AIR92" s="293"/>
      <c r="AIS92" s="294"/>
      <c r="AIY92" s="292"/>
      <c r="AIZ92" s="293"/>
      <c r="AJA92" s="294"/>
      <c r="AJG92" s="292"/>
      <c r="AJH92" s="293"/>
      <c r="AJI92" s="294"/>
      <c r="AJO92" s="292"/>
      <c r="AJP92" s="293"/>
      <c r="AJQ92" s="294"/>
      <c r="AJW92" s="292"/>
      <c r="AJX92" s="293"/>
      <c r="AJY92" s="294"/>
      <c r="AKE92" s="292"/>
      <c r="AKF92" s="293"/>
      <c r="AKG92" s="294"/>
      <c r="AKM92" s="292"/>
      <c r="AKN92" s="293"/>
      <c r="AKO92" s="294"/>
      <c r="AKU92" s="292"/>
      <c r="AKV92" s="293"/>
      <c r="AKW92" s="294"/>
      <c r="ALC92" s="292"/>
      <c r="ALD92" s="293"/>
      <c r="ALE92" s="294"/>
      <c r="ALK92" s="292"/>
      <c r="ALL92" s="293"/>
      <c r="ALM92" s="294"/>
      <c r="ALS92" s="292"/>
      <c r="ALT92" s="293"/>
      <c r="ALU92" s="294"/>
      <c r="AMA92" s="292"/>
      <c r="AMB92" s="293"/>
      <c r="AMC92" s="294"/>
      <c r="AMI92" s="292"/>
      <c r="AMJ92" s="293"/>
      <c r="AMK92" s="294"/>
      <c r="AMQ92" s="292"/>
      <c r="AMR92" s="293"/>
      <c r="AMS92" s="294"/>
      <c r="AMY92" s="292"/>
      <c r="AMZ92" s="293"/>
      <c r="ANA92" s="294"/>
      <c r="ANG92" s="292"/>
      <c r="ANH92" s="293"/>
      <c r="ANI92" s="294"/>
      <c r="ANO92" s="292"/>
      <c r="ANP92" s="293"/>
      <c r="ANQ92" s="294"/>
      <c r="ANW92" s="292"/>
      <c r="ANX92" s="293"/>
      <c r="ANY92" s="294"/>
      <c r="AOE92" s="292"/>
      <c r="AOF92" s="293"/>
      <c r="AOG92" s="294"/>
      <c r="AOM92" s="292"/>
      <c r="AON92" s="293"/>
      <c r="AOO92" s="294"/>
      <c r="AOU92" s="292"/>
      <c r="AOV92" s="293"/>
      <c r="AOW92" s="294"/>
      <c r="APC92" s="292"/>
      <c r="APD92" s="293"/>
      <c r="APE92" s="294"/>
      <c r="APK92" s="292"/>
      <c r="APL92" s="293"/>
      <c r="APM92" s="294"/>
      <c r="APS92" s="292"/>
      <c r="APT92" s="293"/>
      <c r="APU92" s="294"/>
      <c r="AQA92" s="292"/>
      <c r="AQB92" s="293"/>
      <c r="AQC92" s="294"/>
      <c r="AQI92" s="292"/>
      <c r="AQJ92" s="293"/>
      <c r="AQK92" s="294"/>
      <c r="AQQ92" s="292"/>
      <c r="AQR92" s="293"/>
      <c r="AQS92" s="294"/>
      <c r="AQY92" s="292"/>
      <c r="AQZ92" s="293"/>
      <c r="ARA92" s="294"/>
      <c r="ARG92" s="292"/>
      <c r="ARH92" s="293"/>
      <c r="ARI92" s="294"/>
      <c r="ARO92" s="292"/>
      <c r="ARP92" s="293"/>
      <c r="ARQ92" s="294"/>
      <c r="ARW92" s="292"/>
      <c r="ARX92" s="293"/>
      <c r="ARY92" s="294"/>
      <c r="ASE92" s="292"/>
      <c r="ASF92" s="293"/>
      <c r="ASG92" s="294"/>
      <c r="ASM92" s="292"/>
      <c r="ASN92" s="293"/>
      <c r="ASO92" s="294"/>
      <c r="ASU92" s="292"/>
      <c r="ASV92" s="293"/>
      <c r="ASW92" s="294"/>
      <c r="ATC92" s="292"/>
      <c r="ATD92" s="293"/>
      <c r="ATE92" s="294"/>
      <c r="ATK92" s="292"/>
      <c r="ATL92" s="293"/>
      <c r="ATM92" s="294"/>
      <c r="ATS92" s="292"/>
      <c r="ATT92" s="293"/>
      <c r="ATU92" s="294"/>
      <c r="AUA92" s="292"/>
      <c r="AUB92" s="293"/>
      <c r="AUC92" s="294"/>
      <c r="AUI92" s="292"/>
      <c r="AUJ92" s="293"/>
      <c r="AUK92" s="294"/>
      <c r="AUQ92" s="292"/>
      <c r="AUR92" s="293"/>
      <c r="AUS92" s="294"/>
      <c r="AUY92" s="292"/>
      <c r="AUZ92" s="293"/>
      <c r="AVA92" s="294"/>
      <c r="AVG92" s="292"/>
      <c r="AVH92" s="293"/>
      <c r="AVI92" s="294"/>
      <c r="AVO92" s="292"/>
      <c r="AVP92" s="293"/>
      <c r="AVQ92" s="294"/>
      <c r="AVW92" s="292"/>
      <c r="AVX92" s="293"/>
      <c r="AVY92" s="294"/>
      <c r="AWE92" s="292"/>
      <c r="AWF92" s="293"/>
      <c r="AWG92" s="294"/>
      <c r="AWM92" s="292"/>
      <c r="AWN92" s="293"/>
      <c r="AWO92" s="294"/>
      <c r="AWU92" s="292"/>
      <c r="AWV92" s="293"/>
      <c r="AWW92" s="294"/>
      <c r="AXC92" s="292"/>
      <c r="AXD92" s="293"/>
      <c r="AXE92" s="294"/>
      <c r="AXK92" s="292"/>
      <c r="AXL92" s="293"/>
      <c r="AXM92" s="294"/>
      <c r="AXS92" s="292"/>
      <c r="AXT92" s="293"/>
      <c r="AXU92" s="294"/>
      <c r="AYA92" s="292"/>
      <c r="AYB92" s="293"/>
      <c r="AYC92" s="294"/>
      <c r="AYI92" s="292"/>
      <c r="AYJ92" s="293"/>
      <c r="AYK92" s="294"/>
      <c r="AYQ92" s="292"/>
      <c r="AYR92" s="293"/>
      <c r="AYS92" s="294"/>
      <c r="AYY92" s="292"/>
      <c r="AYZ92" s="293"/>
      <c r="AZA92" s="294"/>
      <c r="AZG92" s="292"/>
      <c r="AZH92" s="293"/>
      <c r="AZI92" s="294"/>
      <c r="AZO92" s="292"/>
      <c r="AZP92" s="293"/>
      <c r="AZQ92" s="294"/>
      <c r="AZW92" s="292"/>
      <c r="AZX92" s="293"/>
      <c r="AZY92" s="294"/>
      <c r="BAE92" s="292"/>
      <c r="BAF92" s="293"/>
      <c r="BAG92" s="294"/>
      <c r="BAM92" s="292"/>
      <c r="BAN92" s="293"/>
      <c r="BAO92" s="294"/>
      <c r="BAU92" s="292"/>
      <c r="BAV92" s="293"/>
      <c r="BAW92" s="294"/>
      <c r="BBC92" s="292"/>
      <c r="BBD92" s="293"/>
      <c r="BBE92" s="294"/>
      <c r="BBK92" s="292"/>
      <c r="BBL92" s="293"/>
      <c r="BBM92" s="294"/>
      <c r="BBS92" s="292"/>
      <c r="BBT92" s="293"/>
      <c r="BBU92" s="294"/>
      <c r="BCA92" s="292"/>
      <c r="BCB92" s="293"/>
      <c r="BCC92" s="294"/>
      <c r="BCI92" s="292"/>
      <c r="BCJ92" s="293"/>
      <c r="BCK92" s="294"/>
      <c r="BCQ92" s="292"/>
      <c r="BCR92" s="293"/>
      <c r="BCS92" s="294"/>
      <c r="BCY92" s="292"/>
      <c r="BCZ92" s="293"/>
      <c r="BDA92" s="294"/>
      <c r="BDG92" s="292"/>
      <c r="BDH92" s="293"/>
      <c r="BDI92" s="294"/>
      <c r="BDO92" s="292"/>
      <c r="BDP92" s="293"/>
      <c r="BDQ92" s="294"/>
      <c r="BDW92" s="292"/>
      <c r="BDX92" s="293"/>
      <c r="BDY92" s="294"/>
      <c r="BEE92" s="292"/>
      <c r="BEF92" s="293"/>
      <c r="BEG92" s="294"/>
      <c r="BEM92" s="292"/>
      <c r="BEN92" s="293"/>
      <c r="BEO92" s="294"/>
      <c r="BEU92" s="292"/>
      <c r="BEV92" s="293"/>
      <c r="BEW92" s="294"/>
      <c r="BFC92" s="292"/>
      <c r="BFD92" s="293"/>
      <c r="BFE92" s="294"/>
      <c r="BFK92" s="292"/>
      <c r="BFL92" s="293"/>
      <c r="BFM92" s="294"/>
      <c r="BFS92" s="292"/>
      <c r="BFT92" s="293"/>
      <c r="BFU92" s="294"/>
      <c r="BGA92" s="292"/>
      <c r="BGB92" s="293"/>
      <c r="BGC92" s="294"/>
      <c r="BGI92" s="292"/>
      <c r="BGJ92" s="293"/>
      <c r="BGK92" s="294"/>
      <c r="BGQ92" s="292"/>
      <c r="BGR92" s="293"/>
      <c r="BGS92" s="294"/>
      <c r="BGY92" s="292"/>
      <c r="BGZ92" s="293"/>
      <c r="BHA92" s="294"/>
      <c r="BHG92" s="292"/>
      <c r="BHH92" s="293"/>
      <c r="BHI92" s="294"/>
      <c r="BHO92" s="292"/>
      <c r="BHP92" s="293"/>
      <c r="BHQ92" s="294"/>
      <c r="BHW92" s="292"/>
      <c r="BHX92" s="293"/>
      <c r="BHY92" s="294"/>
      <c r="BIE92" s="292"/>
      <c r="BIF92" s="293"/>
      <c r="BIG92" s="294"/>
      <c r="BIM92" s="292"/>
      <c r="BIN92" s="293"/>
      <c r="BIO92" s="294"/>
      <c r="BIU92" s="292"/>
      <c r="BIV92" s="293"/>
      <c r="BIW92" s="294"/>
      <c r="BJC92" s="292"/>
      <c r="BJD92" s="293"/>
      <c r="BJE92" s="294"/>
      <c r="BJK92" s="292"/>
      <c r="BJL92" s="293"/>
      <c r="BJM92" s="294"/>
      <c r="BJS92" s="292"/>
      <c r="BJT92" s="293"/>
      <c r="BJU92" s="294"/>
      <c r="BKA92" s="292"/>
      <c r="BKB92" s="293"/>
      <c r="BKC92" s="294"/>
      <c r="BKI92" s="292"/>
      <c r="BKJ92" s="293"/>
      <c r="BKK92" s="294"/>
      <c r="BKQ92" s="292"/>
      <c r="BKR92" s="293"/>
      <c r="BKS92" s="294"/>
      <c r="BKY92" s="292"/>
      <c r="BKZ92" s="293"/>
      <c r="BLA92" s="294"/>
      <c r="BLG92" s="292"/>
      <c r="BLH92" s="293"/>
      <c r="BLI92" s="294"/>
      <c r="BLO92" s="292"/>
      <c r="BLP92" s="293"/>
      <c r="BLQ92" s="294"/>
      <c r="BLW92" s="292"/>
      <c r="BLX92" s="293"/>
      <c r="BLY92" s="294"/>
      <c r="BME92" s="292"/>
      <c r="BMF92" s="293"/>
      <c r="BMG92" s="294"/>
      <c r="BMM92" s="292"/>
      <c r="BMN92" s="293"/>
      <c r="BMO92" s="294"/>
      <c r="BMU92" s="292"/>
      <c r="BMV92" s="293"/>
      <c r="BMW92" s="294"/>
      <c r="BNC92" s="292"/>
      <c r="BND92" s="293"/>
      <c r="BNE92" s="294"/>
      <c r="BNK92" s="292"/>
      <c r="BNL92" s="293"/>
      <c r="BNM92" s="294"/>
      <c r="BNS92" s="292"/>
      <c r="BNT92" s="293"/>
      <c r="BNU92" s="294"/>
      <c r="BOA92" s="292"/>
      <c r="BOB92" s="293"/>
      <c r="BOC92" s="294"/>
      <c r="BOI92" s="292"/>
      <c r="BOJ92" s="293"/>
      <c r="BOK92" s="294"/>
      <c r="BOQ92" s="292"/>
      <c r="BOR92" s="293"/>
      <c r="BOS92" s="294"/>
      <c r="BOY92" s="292"/>
      <c r="BOZ92" s="293"/>
      <c r="BPA92" s="294"/>
      <c r="BPG92" s="292"/>
      <c r="BPH92" s="293"/>
      <c r="BPI92" s="294"/>
      <c r="BPO92" s="292"/>
      <c r="BPP92" s="293"/>
      <c r="BPQ92" s="294"/>
      <c r="BPW92" s="292"/>
      <c r="BPX92" s="293"/>
      <c r="BPY92" s="294"/>
      <c r="BQE92" s="292"/>
      <c r="BQF92" s="293"/>
      <c r="BQG92" s="294"/>
      <c r="BQM92" s="292"/>
      <c r="BQN92" s="293"/>
      <c r="BQO92" s="294"/>
      <c r="BQU92" s="292"/>
      <c r="BQV92" s="293"/>
      <c r="BQW92" s="294"/>
      <c r="BRC92" s="292"/>
      <c r="BRD92" s="293"/>
      <c r="BRE92" s="294"/>
      <c r="BRK92" s="292"/>
      <c r="BRL92" s="293"/>
      <c r="BRM92" s="294"/>
      <c r="BRS92" s="292"/>
      <c r="BRT92" s="293"/>
      <c r="BRU92" s="294"/>
      <c r="BSA92" s="292"/>
      <c r="BSB92" s="293"/>
      <c r="BSC92" s="294"/>
      <c r="BSI92" s="292"/>
      <c r="BSJ92" s="293"/>
      <c r="BSK92" s="294"/>
      <c r="BSQ92" s="292"/>
      <c r="BSR92" s="293"/>
      <c r="BSS92" s="294"/>
      <c r="BSY92" s="292"/>
      <c r="BSZ92" s="293"/>
      <c r="BTA92" s="294"/>
      <c r="BTG92" s="292"/>
      <c r="BTH92" s="293"/>
      <c r="BTI92" s="294"/>
      <c r="BTO92" s="292"/>
      <c r="BTP92" s="293"/>
      <c r="BTQ92" s="294"/>
      <c r="BTW92" s="292"/>
      <c r="BTX92" s="293"/>
      <c r="BTY92" s="294"/>
      <c r="BUE92" s="292"/>
      <c r="BUF92" s="293"/>
      <c r="BUG92" s="294"/>
      <c r="BUM92" s="292"/>
      <c r="BUN92" s="293"/>
      <c r="BUO92" s="294"/>
      <c r="BUU92" s="292"/>
      <c r="BUV92" s="293"/>
      <c r="BUW92" s="294"/>
      <c r="BVC92" s="292"/>
      <c r="BVD92" s="293"/>
      <c r="BVE92" s="294"/>
      <c r="BVK92" s="292"/>
      <c r="BVL92" s="293"/>
      <c r="BVM92" s="294"/>
      <c r="BVS92" s="292"/>
      <c r="BVT92" s="293"/>
      <c r="BVU92" s="294"/>
      <c r="BWA92" s="292"/>
      <c r="BWB92" s="293"/>
      <c r="BWC92" s="294"/>
      <c r="BWI92" s="292"/>
      <c r="BWJ92" s="293"/>
      <c r="BWK92" s="294"/>
      <c r="BWQ92" s="292"/>
      <c r="BWR92" s="293"/>
      <c r="BWS92" s="294"/>
      <c r="BWY92" s="292"/>
      <c r="BWZ92" s="293"/>
      <c r="BXA92" s="294"/>
      <c r="BXG92" s="292"/>
      <c r="BXH92" s="293"/>
      <c r="BXI92" s="294"/>
      <c r="BXO92" s="292"/>
      <c r="BXP92" s="293"/>
      <c r="BXQ92" s="294"/>
      <c r="BXW92" s="292"/>
      <c r="BXX92" s="293"/>
      <c r="BXY92" s="294"/>
      <c r="BYE92" s="292"/>
      <c r="BYF92" s="293"/>
      <c r="BYG92" s="294"/>
      <c r="BYM92" s="292"/>
      <c r="BYN92" s="293"/>
      <c r="BYO92" s="294"/>
      <c r="BYU92" s="292"/>
      <c r="BYV92" s="293"/>
      <c r="BYW92" s="294"/>
      <c r="BZC92" s="292"/>
      <c r="BZD92" s="293"/>
      <c r="BZE92" s="294"/>
      <c r="BZK92" s="292"/>
      <c r="BZL92" s="293"/>
      <c r="BZM92" s="294"/>
      <c r="BZS92" s="292"/>
      <c r="BZT92" s="293"/>
      <c r="BZU92" s="294"/>
      <c r="CAA92" s="292"/>
      <c r="CAB92" s="293"/>
      <c r="CAC92" s="294"/>
      <c r="CAI92" s="292"/>
      <c r="CAJ92" s="293"/>
      <c r="CAK92" s="294"/>
      <c r="CAQ92" s="292"/>
      <c r="CAR92" s="293"/>
      <c r="CAS92" s="294"/>
      <c r="CAY92" s="292"/>
      <c r="CAZ92" s="293"/>
      <c r="CBA92" s="294"/>
      <c r="CBG92" s="292"/>
      <c r="CBH92" s="293"/>
      <c r="CBI92" s="294"/>
      <c r="CBO92" s="292"/>
      <c r="CBP92" s="293"/>
      <c r="CBQ92" s="294"/>
      <c r="CBW92" s="292"/>
      <c r="CBX92" s="293"/>
      <c r="CBY92" s="294"/>
      <c r="CCE92" s="292"/>
      <c r="CCF92" s="293"/>
      <c r="CCG92" s="294"/>
      <c r="CCM92" s="292"/>
      <c r="CCN92" s="293"/>
      <c r="CCO92" s="294"/>
      <c r="CCU92" s="292"/>
      <c r="CCV92" s="293"/>
      <c r="CCW92" s="294"/>
      <c r="CDC92" s="292"/>
      <c r="CDD92" s="293"/>
      <c r="CDE92" s="294"/>
      <c r="CDK92" s="292"/>
      <c r="CDL92" s="293"/>
      <c r="CDM92" s="294"/>
      <c r="CDS92" s="292"/>
      <c r="CDT92" s="293"/>
      <c r="CDU92" s="294"/>
      <c r="CEA92" s="292"/>
      <c r="CEB92" s="293"/>
      <c r="CEC92" s="294"/>
      <c r="CEI92" s="292"/>
      <c r="CEJ92" s="293"/>
      <c r="CEK92" s="294"/>
      <c r="CEQ92" s="292"/>
      <c r="CER92" s="293"/>
      <c r="CES92" s="294"/>
      <c r="CEY92" s="292"/>
      <c r="CEZ92" s="293"/>
      <c r="CFA92" s="294"/>
      <c r="CFG92" s="292"/>
      <c r="CFH92" s="293"/>
      <c r="CFI92" s="294"/>
      <c r="CFO92" s="292"/>
      <c r="CFP92" s="293"/>
      <c r="CFQ92" s="294"/>
      <c r="CFW92" s="292"/>
      <c r="CFX92" s="293"/>
      <c r="CFY92" s="294"/>
      <c r="CGE92" s="292"/>
      <c r="CGF92" s="293"/>
      <c r="CGG92" s="294"/>
      <c r="CGM92" s="292"/>
      <c r="CGN92" s="293"/>
      <c r="CGO92" s="294"/>
      <c r="CGU92" s="292"/>
      <c r="CGV92" s="293"/>
      <c r="CGW92" s="294"/>
      <c r="CHC92" s="292"/>
      <c r="CHD92" s="293"/>
      <c r="CHE92" s="294"/>
      <c r="CHK92" s="292"/>
      <c r="CHL92" s="293"/>
      <c r="CHM92" s="294"/>
      <c r="CHS92" s="292"/>
      <c r="CHT92" s="293"/>
      <c r="CHU92" s="294"/>
      <c r="CIA92" s="292"/>
      <c r="CIB92" s="293"/>
      <c r="CIC92" s="294"/>
      <c r="CII92" s="292"/>
      <c r="CIJ92" s="293"/>
      <c r="CIK92" s="294"/>
      <c r="CIQ92" s="292"/>
      <c r="CIR92" s="293"/>
      <c r="CIS92" s="294"/>
      <c r="CIY92" s="292"/>
      <c r="CIZ92" s="293"/>
      <c r="CJA92" s="294"/>
      <c r="CJG92" s="292"/>
      <c r="CJH92" s="293"/>
      <c r="CJI92" s="294"/>
      <c r="CJO92" s="292"/>
      <c r="CJP92" s="293"/>
      <c r="CJQ92" s="294"/>
      <c r="CJW92" s="292"/>
      <c r="CJX92" s="293"/>
      <c r="CJY92" s="294"/>
      <c r="CKE92" s="292"/>
      <c r="CKF92" s="293"/>
      <c r="CKG92" s="294"/>
      <c r="CKM92" s="292"/>
      <c r="CKN92" s="293"/>
      <c r="CKO92" s="294"/>
      <c r="CKU92" s="292"/>
      <c r="CKV92" s="293"/>
      <c r="CKW92" s="294"/>
      <c r="CLC92" s="292"/>
      <c r="CLD92" s="293"/>
      <c r="CLE92" s="294"/>
      <c r="CLK92" s="292"/>
      <c r="CLL92" s="293"/>
      <c r="CLM92" s="294"/>
      <c r="CLS92" s="292"/>
      <c r="CLT92" s="293"/>
      <c r="CLU92" s="294"/>
      <c r="CMA92" s="292"/>
      <c r="CMB92" s="293"/>
      <c r="CMC92" s="294"/>
      <c r="CMI92" s="292"/>
      <c r="CMJ92" s="293"/>
      <c r="CMK92" s="294"/>
      <c r="CMQ92" s="292"/>
      <c r="CMR92" s="293"/>
      <c r="CMS92" s="294"/>
      <c r="CMY92" s="292"/>
      <c r="CMZ92" s="293"/>
      <c r="CNA92" s="294"/>
      <c r="CNG92" s="292"/>
      <c r="CNH92" s="293"/>
      <c r="CNI92" s="294"/>
      <c r="CNO92" s="292"/>
      <c r="CNP92" s="293"/>
      <c r="CNQ92" s="294"/>
      <c r="CNW92" s="292"/>
      <c r="CNX92" s="293"/>
      <c r="CNY92" s="294"/>
      <c r="COE92" s="292"/>
      <c r="COF92" s="293"/>
      <c r="COG92" s="294"/>
      <c r="COM92" s="292"/>
      <c r="CON92" s="293"/>
      <c r="COO92" s="294"/>
      <c r="COU92" s="292"/>
      <c r="COV92" s="293"/>
      <c r="COW92" s="294"/>
      <c r="CPC92" s="292"/>
      <c r="CPD92" s="293"/>
      <c r="CPE92" s="294"/>
      <c r="CPK92" s="292"/>
      <c r="CPL92" s="293"/>
      <c r="CPM92" s="294"/>
      <c r="CPS92" s="292"/>
      <c r="CPT92" s="293"/>
      <c r="CPU92" s="294"/>
      <c r="CQA92" s="292"/>
      <c r="CQB92" s="293"/>
      <c r="CQC92" s="294"/>
      <c r="CQI92" s="292"/>
      <c r="CQJ92" s="293"/>
      <c r="CQK92" s="294"/>
      <c r="CQQ92" s="292"/>
      <c r="CQR92" s="293"/>
      <c r="CQS92" s="294"/>
      <c r="CQY92" s="292"/>
      <c r="CQZ92" s="293"/>
      <c r="CRA92" s="294"/>
      <c r="CRG92" s="292"/>
      <c r="CRH92" s="293"/>
      <c r="CRI92" s="294"/>
      <c r="CRO92" s="292"/>
      <c r="CRP92" s="293"/>
      <c r="CRQ92" s="294"/>
      <c r="CRW92" s="292"/>
      <c r="CRX92" s="293"/>
      <c r="CRY92" s="294"/>
      <c r="CSE92" s="292"/>
      <c r="CSF92" s="293"/>
      <c r="CSG92" s="294"/>
      <c r="CSM92" s="292"/>
      <c r="CSN92" s="293"/>
      <c r="CSO92" s="294"/>
      <c r="CSU92" s="292"/>
      <c r="CSV92" s="293"/>
      <c r="CSW92" s="294"/>
      <c r="CTC92" s="292"/>
      <c r="CTD92" s="293"/>
      <c r="CTE92" s="294"/>
      <c r="CTK92" s="292"/>
      <c r="CTL92" s="293"/>
      <c r="CTM92" s="294"/>
      <c r="CTS92" s="292"/>
      <c r="CTT92" s="293"/>
      <c r="CTU92" s="294"/>
      <c r="CUA92" s="292"/>
      <c r="CUB92" s="293"/>
      <c r="CUC92" s="294"/>
      <c r="CUI92" s="292"/>
      <c r="CUJ92" s="293"/>
      <c r="CUK92" s="294"/>
      <c r="CUQ92" s="292"/>
      <c r="CUR92" s="293"/>
      <c r="CUS92" s="294"/>
      <c r="CUY92" s="292"/>
      <c r="CUZ92" s="293"/>
      <c r="CVA92" s="294"/>
      <c r="CVG92" s="292"/>
      <c r="CVH92" s="293"/>
      <c r="CVI92" s="294"/>
      <c r="CVO92" s="292"/>
      <c r="CVP92" s="293"/>
      <c r="CVQ92" s="294"/>
      <c r="CVW92" s="292"/>
      <c r="CVX92" s="293"/>
      <c r="CVY92" s="294"/>
      <c r="CWE92" s="292"/>
      <c r="CWF92" s="293"/>
      <c r="CWG92" s="294"/>
      <c r="CWM92" s="292"/>
      <c r="CWN92" s="293"/>
      <c r="CWO92" s="294"/>
      <c r="CWU92" s="292"/>
      <c r="CWV92" s="293"/>
      <c r="CWW92" s="294"/>
      <c r="CXC92" s="292"/>
      <c r="CXD92" s="293"/>
      <c r="CXE92" s="294"/>
      <c r="CXK92" s="292"/>
      <c r="CXL92" s="293"/>
      <c r="CXM92" s="294"/>
      <c r="CXS92" s="292"/>
      <c r="CXT92" s="293"/>
      <c r="CXU92" s="294"/>
      <c r="CYA92" s="292"/>
      <c r="CYB92" s="293"/>
      <c r="CYC92" s="294"/>
      <c r="CYI92" s="292"/>
      <c r="CYJ92" s="293"/>
      <c r="CYK92" s="294"/>
      <c r="CYQ92" s="292"/>
      <c r="CYR92" s="293"/>
      <c r="CYS92" s="294"/>
      <c r="CYY92" s="292"/>
      <c r="CYZ92" s="293"/>
      <c r="CZA92" s="294"/>
      <c r="CZG92" s="292"/>
      <c r="CZH92" s="293"/>
      <c r="CZI92" s="294"/>
      <c r="CZO92" s="292"/>
      <c r="CZP92" s="293"/>
      <c r="CZQ92" s="294"/>
      <c r="CZW92" s="292"/>
      <c r="CZX92" s="293"/>
      <c r="CZY92" s="294"/>
      <c r="DAE92" s="292"/>
      <c r="DAF92" s="293"/>
      <c r="DAG92" s="294"/>
      <c r="DAM92" s="292"/>
      <c r="DAN92" s="293"/>
      <c r="DAO92" s="294"/>
      <c r="DAU92" s="292"/>
      <c r="DAV92" s="293"/>
      <c r="DAW92" s="294"/>
      <c r="DBC92" s="292"/>
      <c r="DBD92" s="293"/>
      <c r="DBE92" s="294"/>
      <c r="DBK92" s="292"/>
      <c r="DBL92" s="293"/>
      <c r="DBM92" s="294"/>
      <c r="DBS92" s="292"/>
      <c r="DBT92" s="293"/>
      <c r="DBU92" s="294"/>
      <c r="DCA92" s="292"/>
      <c r="DCB92" s="293"/>
      <c r="DCC92" s="294"/>
      <c r="DCI92" s="292"/>
      <c r="DCJ92" s="293"/>
      <c r="DCK92" s="294"/>
      <c r="DCQ92" s="292"/>
      <c r="DCR92" s="293"/>
      <c r="DCS92" s="294"/>
      <c r="DCY92" s="292"/>
      <c r="DCZ92" s="293"/>
      <c r="DDA92" s="294"/>
      <c r="DDG92" s="292"/>
      <c r="DDH92" s="293"/>
      <c r="DDI92" s="294"/>
      <c r="DDO92" s="292"/>
      <c r="DDP92" s="293"/>
      <c r="DDQ92" s="294"/>
      <c r="DDW92" s="292"/>
      <c r="DDX92" s="293"/>
      <c r="DDY92" s="294"/>
      <c r="DEE92" s="292"/>
      <c r="DEF92" s="293"/>
      <c r="DEG92" s="294"/>
      <c r="DEM92" s="292"/>
      <c r="DEN92" s="293"/>
      <c r="DEO92" s="294"/>
      <c r="DEU92" s="292"/>
      <c r="DEV92" s="293"/>
      <c r="DEW92" s="294"/>
      <c r="DFC92" s="292"/>
      <c r="DFD92" s="293"/>
      <c r="DFE92" s="294"/>
      <c r="DFK92" s="292"/>
      <c r="DFL92" s="293"/>
      <c r="DFM92" s="294"/>
      <c r="DFS92" s="292"/>
      <c r="DFT92" s="293"/>
      <c r="DFU92" s="294"/>
      <c r="DGA92" s="292"/>
      <c r="DGB92" s="293"/>
      <c r="DGC92" s="294"/>
      <c r="DGI92" s="292"/>
      <c r="DGJ92" s="293"/>
      <c r="DGK92" s="294"/>
      <c r="DGQ92" s="292"/>
      <c r="DGR92" s="293"/>
      <c r="DGS92" s="294"/>
      <c r="DGY92" s="292"/>
      <c r="DGZ92" s="293"/>
      <c r="DHA92" s="294"/>
      <c r="DHG92" s="292"/>
      <c r="DHH92" s="293"/>
      <c r="DHI92" s="294"/>
      <c r="DHO92" s="292"/>
      <c r="DHP92" s="293"/>
      <c r="DHQ92" s="294"/>
      <c r="DHW92" s="292"/>
      <c r="DHX92" s="293"/>
      <c r="DHY92" s="294"/>
      <c r="DIE92" s="292"/>
      <c r="DIF92" s="293"/>
      <c r="DIG92" s="294"/>
      <c r="DIM92" s="292"/>
      <c r="DIN92" s="293"/>
      <c r="DIO92" s="294"/>
      <c r="DIU92" s="292"/>
      <c r="DIV92" s="293"/>
      <c r="DIW92" s="294"/>
      <c r="DJC92" s="292"/>
      <c r="DJD92" s="293"/>
      <c r="DJE92" s="294"/>
      <c r="DJK92" s="292"/>
      <c r="DJL92" s="293"/>
      <c r="DJM92" s="294"/>
      <c r="DJS92" s="292"/>
      <c r="DJT92" s="293"/>
      <c r="DJU92" s="294"/>
      <c r="DKA92" s="292"/>
      <c r="DKB92" s="293"/>
      <c r="DKC92" s="294"/>
      <c r="DKI92" s="292"/>
      <c r="DKJ92" s="293"/>
      <c r="DKK92" s="294"/>
      <c r="DKQ92" s="292"/>
      <c r="DKR92" s="293"/>
      <c r="DKS92" s="294"/>
      <c r="DKY92" s="292"/>
      <c r="DKZ92" s="293"/>
      <c r="DLA92" s="294"/>
      <c r="DLG92" s="292"/>
      <c r="DLH92" s="293"/>
      <c r="DLI92" s="294"/>
      <c r="DLO92" s="292"/>
      <c r="DLP92" s="293"/>
      <c r="DLQ92" s="294"/>
      <c r="DLW92" s="292"/>
      <c r="DLX92" s="293"/>
      <c r="DLY92" s="294"/>
      <c r="DME92" s="292"/>
      <c r="DMF92" s="293"/>
      <c r="DMG92" s="294"/>
      <c r="DMM92" s="292"/>
      <c r="DMN92" s="293"/>
      <c r="DMO92" s="294"/>
      <c r="DMU92" s="292"/>
      <c r="DMV92" s="293"/>
      <c r="DMW92" s="294"/>
      <c r="DNC92" s="292"/>
      <c r="DND92" s="293"/>
      <c r="DNE92" s="294"/>
      <c r="DNK92" s="292"/>
      <c r="DNL92" s="293"/>
      <c r="DNM92" s="294"/>
      <c r="DNS92" s="292"/>
      <c r="DNT92" s="293"/>
      <c r="DNU92" s="294"/>
      <c r="DOA92" s="292"/>
      <c r="DOB92" s="293"/>
      <c r="DOC92" s="294"/>
      <c r="DOI92" s="292"/>
      <c r="DOJ92" s="293"/>
      <c r="DOK92" s="294"/>
      <c r="DOQ92" s="292"/>
      <c r="DOR92" s="293"/>
      <c r="DOS92" s="294"/>
      <c r="DOY92" s="292"/>
      <c r="DOZ92" s="293"/>
      <c r="DPA92" s="294"/>
      <c r="DPG92" s="292"/>
      <c r="DPH92" s="293"/>
      <c r="DPI92" s="294"/>
      <c r="DPO92" s="292"/>
      <c r="DPP92" s="293"/>
      <c r="DPQ92" s="294"/>
      <c r="DPW92" s="292"/>
      <c r="DPX92" s="293"/>
      <c r="DPY92" s="294"/>
      <c r="DQE92" s="292"/>
      <c r="DQF92" s="293"/>
      <c r="DQG92" s="294"/>
      <c r="DQM92" s="292"/>
      <c r="DQN92" s="293"/>
      <c r="DQO92" s="294"/>
      <c r="DQU92" s="292"/>
      <c r="DQV92" s="293"/>
      <c r="DQW92" s="294"/>
      <c r="DRC92" s="292"/>
      <c r="DRD92" s="293"/>
      <c r="DRE92" s="294"/>
      <c r="DRK92" s="292"/>
      <c r="DRL92" s="293"/>
      <c r="DRM92" s="294"/>
      <c r="DRS92" s="292"/>
      <c r="DRT92" s="293"/>
      <c r="DRU92" s="294"/>
      <c r="DSA92" s="292"/>
      <c r="DSB92" s="293"/>
      <c r="DSC92" s="294"/>
      <c r="DSI92" s="292"/>
      <c r="DSJ92" s="293"/>
      <c r="DSK92" s="294"/>
      <c r="DSQ92" s="292"/>
      <c r="DSR92" s="293"/>
      <c r="DSS92" s="294"/>
      <c r="DSY92" s="292"/>
      <c r="DSZ92" s="293"/>
      <c r="DTA92" s="294"/>
      <c r="DTG92" s="292"/>
      <c r="DTH92" s="293"/>
      <c r="DTI92" s="294"/>
      <c r="DTO92" s="292"/>
      <c r="DTP92" s="293"/>
      <c r="DTQ92" s="294"/>
      <c r="DTW92" s="292"/>
      <c r="DTX92" s="293"/>
      <c r="DTY92" s="294"/>
      <c r="DUE92" s="292"/>
      <c r="DUF92" s="293"/>
      <c r="DUG92" s="294"/>
      <c r="DUM92" s="292"/>
      <c r="DUN92" s="293"/>
      <c r="DUO92" s="294"/>
      <c r="DUU92" s="292"/>
      <c r="DUV92" s="293"/>
      <c r="DUW92" s="294"/>
      <c r="DVC92" s="292"/>
      <c r="DVD92" s="293"/>
      <c r="DVE92" s="294"/>
      <c r="DVK92" s="292"/>
      <c r="DVL92" s="293"/>
      <c r="DVM92" s="294"/>
      <c r="DVS92" s="292"/>
      <c r="DVT92" s="293"/>
      <c r="DVU92" s="294"/>
      <c r="DWA92" s="292"/>
      <c r="DWB92" s="293"/>
      <c r="DWC92" s="294"/>
      <c r="DWI92" s="292"/>
      <c r="DWJ92" s="293"/>
      <c r="DWK92" s="294"/>
      <c r="DWQ92" s="292"/>
      <c r="DWR92" s="293"/>
      <c r="DWS92" s="294"/>
      <c r="DWY92" s="292"/>
      <c r="DWZ92" s="293"/>
      <c r="DXA92" s="294"/>
      <c r="DXG92" s="292"/>
      <c r="DXH92" s="293"/>
      <c r="DXI92" s="294"/>
      <c r="DXO92" s="292"/>
      <c r="DXP92" s="293"/>
      <c r="DXQ92" s="294"/>
      <c r="DXW92" s="292"/>
      <c r="DXX92" s="293"/>
      <c r="DXY92" s="294"/>
      <c r="DYE92" s="292"/>
      <c r="DYF92" s="293"/>
      <c r="DYG92" s="294"/>
      <c r="DYM92" s="292"/>
      <c r="DYN92" s="293"/>
      <c r="DYO92" s="294"/>
      <c r="DYU92" s="292"/>
      <c r="DYV92" s="293"/>
      <c r="DYW92" s="294"/>
      <c r="DZC92" s="292"/>
      <c r="DZD92" s="293"/>
      <c r="DZE92" s="294"/>
      <c r="DZK92" s="292"/>
      <c r="DZL92" s="293"/>
      <c r="DZM92" s="294"/>
      <c r="DZS92" s="292"/>
      <c r="DZT92" s="293"/>
      <c r="DZU92" s="294"/>
      <c r="EAA92" s="292"/>
      <c r="EAB92" s="293"/>
      <c r="EAC92" s="294"/>
      <c r="EAI92" s="292"/>
      <c r="EAJ92" s="293"/>
      <c r="EAK92" s="294"/>
      <c r="EAQ92" s="292"/>
      <c r="EAR92" s="293"/>
      <c r="EAS92" s="294"/>
      <c r="EAY92" s="292"/>
      <c r="EAZ92" s="293"/>
      <c r="EBA92" s="294"/>
      <c r="EBG92" s="292"/>
      <c r="EBH92" s="293"/>
      <c r="EBI92" s="294"/>
      <c r="EBO92" s="292"/>
      <c r="EBP92" s="293"/>
      <c r="EBQ92" s="294"/>
      <c r="EBW92" s="292"/>
      <c r="EBX92" s="293"/>
      <c r="EBY92" s="294"/>
      <c r="ECE92" s="292"/>
      <c r="ECF92" s="293"/>
      <c r="ECG92" s="294"/>
      <c r="ECM92" s="292"/>
      <c r="ECN92" s="293"/>
      <c r="ECO92" s="294"/>
      <c r="ECU92" s="292"/>
      <c r="ECV92" s="293"/>
      <c r="ECW92" s="294"/>
      <c r="EDC92" s="292"/>
      <c r="EDD92" s="293"/>
      <c r="EDE92" s="294"/>
      <c r="EDK92" s="292"/>
      <c r="EDL92" s="293"/>
      <c r="EDM92" s="294"/>
      <c r="EDS92" s="292"/>
      <c r="EDT92" s="293"/>
      <c r="EDU92" s="294"/>
      <c r="EEA92" s="292"/>
      <c r="EEB92" s="293"/>
      <c r="EEC92" s="294"/>
      <c r="EEI92" s="292"/>
      <c r="EEJ92" s="293"/>
      <c r="EEK92" s="294"/>
      <c r="EEQ92" s="292"/>
      <c r="EER92" s="293"/>
      <c r="EES92" s="294"/>
      <c r="EEY92" s="292"/>
      <c r="EEZ92" s="293"/>
      <c r="EFA92" s="294"/>
      <c r="EFG92" s="292"/>
      <c r="EFH92" s="293"/>
      <c r="EFI92" s="294"/>
      <c r="EFO92" s="292"/>
      <c r="EFP92" s="293"/>
      <c r="EFQ92" s="294"/>
      <c r="EFW92" s="292"/>
      <c r="EFX92" s="293"/>
      <c r="EFY92" s="294"/>
      <c r="EGE92" s="292"/>
      <c r="EGF92" s="293"/>
      <c r="EGG92" s="294"/>
      <c r="EGM92" s="292"/>
      <c r="EGN92" s="293"/>
      <c r="EGO92" s="294"/>
      <c r="EGU92" s="292"/>
      <c r="EGV92" s="293"/>
      <c r="EGW92" s="294"/>
      <c r="EHC92" s="292"/>
      <c r="EHD92" s="293"/>
      <c r="EHE92" s="294"/>
      <c r="EHK92" s="292"/>
      <c r="EHL92" s="293"/>
      <c r="EHM92" s="294"/>
      <c r="EHS92" s="292"/>
      <c r="EHT92" s="293"/>
      <c r="EHU92" s="294"/>
      <c r="EIA92" s="292"/>
      <c r="EIB92" s="293"/>
      <c r="EIC92" s="294"/>
      <c r="EII92" s="292"/>
      <c r="EIJ92" s="293"/>
      <c r="EIK92" s="294"/>
      <c r="EIQ92" s="292"/>
      <c r="EIR92" s="293"/>
      <c r="EIS92" s="294"/>
      <c r="EIY92" s="292"/>
      <c r="EIZ92" s="293"/>
      <c r="EJA92" s="294"/>
      <c r="EJG92" s="292"/>
      <c r="EJH92" s="293"/>
      <c r="EJI92" s="294"/>
      <c r="EJO92" s="292"/>
      <c r="EJP92" s="293"/>
      <c r="EJQ92" s="294"/>
      <c r="EJW92" s="292"/>
      <c r="EJX92" s="293"/>
      <c r="EJY92" s="294"/>
      <c r="EKE92" s="292"/>
      <c r="EKF92" s="293"/>
      <c r="EKG92" s="294"/>
      <c r="EKM92" s="292"/>
      <c r="EKN92" s="293"/>
      <c r="EKO92" s="294"/>
      <c r="EKU92" s="292"/>
      <c r="EKV92" s="293"/>
      <c r="EKW92" s="294"/>
      <c r="ELC92" s="292"/>
      <c r="ELD92" s="293"/>
      <c r="ELE92" s="294"/>
      <c r="ELK92" s="292"/>
      <c r="ELL92" s="293"/>
      <c r="ELM92" s="294"/>
      <c r="ELS92" s="292"/>
      <c r="ELT92" s="293"/>
      <c r="ELU92" s="294"/>
      <c r="EMA92" s="292"/>
      <c r="EMB92" s="293"/>
      <c r="EMC92" s="294"/>
      <c r="EMI92" s="292"/>
      <c r="EMJ92" s="293"/>
      <c r="EMK92" s="294"/>
      <c r="EMQ92" s="292"/>
      <c r="EMR92" s="293"/>
      <c r="EMS92" s="294"/>
      <c r="EMY92" s="292"/>
      <c r="EMZ92" s="293"/>
      <c r="ENA92" s="294"/>
      <c r="ENG92" s="292"/>
      <c r="ENH92" s="293"/>
      <c r="ENI92" s="294"/>
      <c r="ENO92" s="292"/>
      <c r="ENP92" s="293"/>
      <c r="ENQ92" s="294"/>
      <c r="ENW92" s="292"/>
      <c r="ENX92" s="293"/>
      <c r="ENY92" s="294"/>
      <c r="EOE92" s="292"/>
      <c r="EOF92" s="293"/>
      <c r="EOG92" s="294"/>
      <c r="EOM92" s="292"/>
      <c r="EON92" s="293"/>
      <c r="EOO92" s="294"/>
      <c r="EOU92" s="292"/>
      <c r="EOV92" s="293"/>
      <c r="EOW92" s="294"/>
      <c r="EPC92" s="292"/>
      <c r="EPD92" s="293"/>
      <c r="EPE92" s="294"/>
      <c r="EPK92" s="292"/>
      <c r="EPL92" s="293"/>
      <c r="EPM92" s="294"/>
      <c r="EPS92" s="292"/>
      <c r="EPT92" s="293"/>
      <c r="EPU92" s="294"/>
      <c r="EQA92" s="292"/>
      <c r="EQB92" s="293"/>
      <c r="EQC92" s="294"/>
      <c r="EQI92" s="292"/>
      <c r="EQJ92" s="293"/>
      <c r="EQK92" s="294"/>
      <c r="EQQ92" s="292"/>
      <c r="EQR92" s="293"/>
      <c r="EQS92" s="294"/>
      <c r="EQY92" s="292"/>
      <c r="EQZ92" s="293"/>
      <c r="ERA92" s="294"/>
      <c r="ERG92" s="292"/>
      <c r="ERH92" s="293"/>
      <c r="ERI92" s="294"/>
      <c r="ERO92" s="292"/>
      <c r="ERP92" s="293"/>
      <c r="ERQ92" s="294"/>
      <c r="ERW92" s="292"/>
      <c r="ERX92" s="293"/>
      <c r="ERY92" s="294"/>
      <c r="ESE92" s="292"/>
      <c r="ESF92" s="293"/>
      <c r="ESG92" s="294"/>
      <c r="ESM92" s="292"/>
      <c r="ESN92" s="293"/>
      <c r="ESO92" s="294"/>
      <c r="ESU92" s="292"/>
      <c r="ESV92" s="293"/>
      <c r="ESW92" s="294"/>
      <c r="ETC92" s="292"/>
      <c r="ETD92" s="293"/>
      <c r="ETE92" s="294"/>
      <c r="ETK92" s="292"/>
      <c r="ETL92" s="293"/>
      <c r="ETM92" s="294"/>
      <c r="ETS92" s="292"/>
      <c r="ETT92" s="293"/>
      <c r="ETU92" s="294"/>
      <c r="EUA92" s="292"/>
      <c r="EUB92" s="293"/>
      <c r="EUC92" s="294"/>
      <c r="EUI92" s="292"/>
      <c r="EUJ92" s="293"/>
      <c r="EUK92" s="294"/>
      <c r="EUQ92" s="292"/>
      <c r="EUR92" s="293"/>
      <c r="EUS92" s="294"/>
      <c r="EUY92" s="292"/>
      <c r="EUZ92" s="293"/>
      <c r="EVA92" s="294"/>
      <c r="EVG92" s="292"/>
      <c r="EVH92" s="293"/>
      <c r="EVI92" s="294"/>
      <c r="EVO92" s="292"/>
      <c r="EVP92" s="293"/>
      <c r="EVQ92" s="294"/>
      <c r="EVW92" s="292"/>
      <c r="EVX92" s="293"/>
      <c r="EVY92" s="294"/>
      <c r="EWE92" s="292"/>
      <c r="EWF92" s="293"/>
      <c r="EWG92" s="294"/>
      <c r="EWM92" s="292"/>
      <c r="EWN92" s="293"/>
      <c r="EWO92" s="294"/>
      <c r="EWU92" s="292"/>
      <c r="EWV92" s="293"/>
      <c r="EWW92" s="294"/>
      <c r="EXC92" s="292"/>
      <c r="EXD92" s="293"/>
      <c r="EXE92" s="294"/>
      <c r="EXK92" s="292"/>
      <c r="EXL92" s="293"/>
      <c r="EXM92" s="294"/>
      <c r="EXS92" s="292"/>
      <c r="EXT92" s="293"/>
      <c r="EXU92" s="294"/>
      <c r="EYA92" s="292"/>
      <c r="EYB92" s="293"/>
      <c r="EYC92" s="294"/>
      <c r="EYI92" s="292"/>
      <c r="EYJ92" s="293"/>
      <c r="EYK92" s="294"/>
      <c r="EYQ92" s="292"/>
      <c r="EYR92" s="293"/>
      <c r="EYS92" s="294"/>
      <c r="EYY92" s="292"/>
      <c r="EYZ92" s="293"/>
      <c r="EZA92" s="294"/>
      <c r="EZG92" s="292"/>
      <c r="EZH92" s="293"/>
      <c r="EZI92" s="294"/>
      <c r="EZO92" s="292"/>
      <c r="EZP92" s="293"/>
      <c r="EZQ92" s="294"/>
      <c r="EZW92" s="292"/>
      <c r="EZX92" s="293"/>
      <c r="EZY92" s="294"/>
      <c r="FAE92" s="292"/>
      <c r="FAF92" s="293"/>
      <c r="FAG92" s="294"/>
      <c r="FAM92" s="292"/>
      <c r="FAN92" s="293"/>
      <c r="FAO92" s="294"/>
      <c r="FAU92" s="292"/>
      <c r="FAV92" s="293"/>
      <c r="FAW92" s="294"/>
      <c r="FBC92" s="292"/>
      <c r="FBD92" s="293"/>
      <c r="FBE92" s="294"/>
      <c r="FBK92" s="292"/>
      <c r="FBL92" s="293"/>
      <c r="FBM92" s="294"/>
      <c r="FBS92" s="292"/>
      <c r="FBT92" s="293"/>
      <c r="FBU92" s="294"/>
      <c r="FCA92" s="292"/>
      <c r="FCB92" s="293"/>
      <c r="FCC92" s="294"/>
      <c r="FCI92" s="292"/>
      <c r="FCJ92" s="293"/>
      <c r="FCK92" s="294"/>
      <c r="FCQ92" s="292"/>
      <c r="FCR92" s="293"/>
      <c r="FCS92" s="294"/>
      <c r="FCY92" s="292"/>
      <c r="FCZ92" s="293"/>
      <c r="FDA92" s="294"/>
      <c r="FDG92" s="292"/>
      <c r="FDH92" s="293"/>
      <c r="FDI92" s="294"/>
      <c r="FDO92" s="292"/>
      <c r="FDP92" s="293"/>
      <c r="FDQ92" s="294"/>
      <c r="FDW92" s="292"/>
      <c r="FDX92" s="293"/>
      <c r="FDY92" s="294"/>
      <c r="FEE92" s="292"/>
      <c r="FEF92" s="293"/>
      <c r="FEG92" s="294"/>
      <c r="FEM92" s="292"/>
      <c r="FEN92" s="293"/>
      <c r="FEO92" s="294"/>
      <c r="FEU92" s="292"/>
      <c r="FEV92" s="293"/>
      <c r="FEW92" s="294"/>
      <c r="FFC92" s="292"/>
      <c r="FFD92" s="293"/>
      <c r="FFE92" s="294"/>
      <c r="FFK92" s="292"/>
      <c r="FFL92" s="293"/>
      <c r="FFM92" s="294"/>
      <c r="FFS92" s="292"/>
      <c r="FFT92" s="293"/>
      <c r="FFU92" s="294"/>
      <c r="FGA92" s="292"/>
      <c r="FGB92" s="293"/>
      <c r="FGC92" s="294"/>
      <c r="FGI92" s="292"/>
      <c r="FGJ92" s="293"/>
      <c r="FGK92" s="294"/>
      <c r="FGQ92" s="292"/>
      <c r="FGR92" s="293"/>
      <c r="FGS92" s="294"/>
      <c r="FGY92" s="292"/>
      <c r="FGZ92" s="293"/>
      <c r="FHA92" s="294"/>
      <c r="FHG92" s="292"/>
      <c r="FHH92" s="293"/>
      <c r="FHI92" s="294"/>
      <c r="FHO92" s="292"/>
      <c r="FHP92" s="293"/>
      <c r="FHQ92" s="294"/>
      <c r="FHW92" s="292"/>
      <c r="FHX92" s="293"/>
      <c r="FHY92" s="294"/>
      <c r="FIE92" s="292"/>
      <c r="FIF92" s="293"/>
      <c r="FIG92" s="294"/>
      <c r="FIM92" s="292"/>
      <c r="FIN92" s="293"/>
      <c r="FIO92" s="294"/>
      <c r="FIU92" s="292"/>
      <c r="FIV92" s="293"/>
      <c r="FIW92" s="294"/>
      <c r="FJC92" s="292"/>
      <c r="FJD92" s="293"/>
      <c r="FJE92" s="294"/>
      <c r="FJK92" s="292"/>
      <c r="FJL92" s="293"/>
      <c r="FJM92" s="294"/>
      <c r="FJS92" s="292"/>
      <c r="FJT92" s="293"/>
      <c r="FJU92" s="294"/>
      <c r="FKA92" s="292"/>
      <c r="FKB92" s="293"/>
      <c r="FKC92" s="294"/>
      <c r="FKI92" s="292"/>
      <c r="FKJ92" s="293"/>
      <c r="FKK92" s="294"/>
      <c r="FKQ92" s="292"/>
      <c r="FKR92" s="293"/>
      <c r="FKS92" s="294"/>
      <c r="FKY92" s="292"/>
      <c r="FKZ92" s="293"/>
      <c r="FLA92" s="294"/>
      <c r="FLG92" s="292"/>
      <c r="FLH92" s="293"/>
      <c r="FLI92" s="294"/>
      <c r="FLO92" s="292"/>
      <c r="FLP92" s="293"/>
      <c r="FLQ92" s="294"/>
      <c r="FLW92" s="292"/>
      <c r="FLX92" s="293"/>
      <c r="FLY92" s="294"/>
      <c r="FME92" s="292"/>
      <c r="FMF92" s="293"/>
      <c r="FMG92" s="294"/>
      <c r="FMM92" s="292"/>
      <c r="FMN92" s="293"/>
      <c r="FMO92" s="294"/>
      <c r="FMU92" s="292"/>
      <c r="FMV92" s="293"/>
      <c r="FMW92" s="294"/>
      <c r="FNC92" s="292"/>
      <c r="FND92" s="293"/>
      <c r="FNE92" s="294"/>
      <c r="FNK92" s="292"/>
      <c r="FNL92" s="293"/>
      <c r="FNM92" s="294"/>
      <c r="FNS92" s="292"/>
      <c r="FNT92" s="293"/>
      <c r="FNU92" s="294"/>
      <c r="FOA92" s="292"/>
      <c r="FOB92" s="293"/>
      <c r="FOC92" s="294"/>
      <c r="FOI92" s="292"/>
      <c r="FOJ92" s="293"/>
      <c r="FOK92" s="294"/>
      <c r="FOQ92" s="292"/>
      <c r="FOR92" s="293"/>
      <c r="FOS92" s="294"/>
      <c r="FOY92" s="292"/>
      <c r="FOZ92" s="293"/>
      <c r="FPA92" s="294"/>
      <c r="FPG92" s="292"/>
      <c r="FPH92" s="293"/>
      <c r="FPI92" s="294"/>
      <c r="FPO92" s="292"/>
      <c r="FPP92" s="293"/>
      <c r="FPQ92" s="294"/>
      <c r="FPW92" s="292"/>
      <c r="FPX92" s="293"/>
      <c r="FPY92" s="294"/>
      <c r="FQE92" s="292"/>
      <c r="FQF92" s="293"/>
      <c r="FQG92" s="294"/>
      <c r="FQM92" s="292"/>
      <c r="FQN92" s="293"/>
      <c r="FQO92" s="294"/>
      <c r="FQU92" s="292"/>
      <c r="FQV92" s="293"/>
      <c r="FQW92" s="294"/>
      <c r="FRC92" s="292"/>
      <c r="FRD92" s="293"/>
      <c r="FRE92" s="294"/>
      <c r="FRK92" s="292"/>
      <c r="FRL92" s="293"/>
      <c r="FRM92" s="294"/>
      <c r="FRS92" s="292"/>
      <c r="FRT92" s="293"/>
      <c r="FRU92" s="294"/>
      <c r="FSA92" s="292"/>
      <c r="FSB92" s="293"/>
      <c r="FSC92" s="294"/>
      <c r="FSI92" s="292"/>
      <c r="FSJ92" s="293"/>
      <c r="FSK92" s="294"/>
      <c r="FSQ92" s="292"/>
      <c r="FSR92" s="293"/>
      <c r="FSS92" s="294"/>
      <c r="FSY92" s="292"/>
      <c r="FSZ92" s="293"/>
      <c r="FTA92" s="294"/>
      <c r="FTG92" s="292"/>
      <c r="FTH92" s="293"/>
      <c r="FTI92" s="294"/>
      <c r="FTO92" s="292"/>
      <c r="FTP92" s="293"/>
      <c r="FTQ92" s="294"/>
      <c r="FTW92" s="292"/>
      <c r="FTX92" s="293"/>
      <c r="FTY92" s="294"/>
      <c r="FUE92" s="292"/>
      <c r="FUF92" s="293"/>
      <c r="FUG92" s="294"/>
      <c r="FUM92" s="292"/>
      <c r="FUN92" s="293"/>
      <c r="FUO92" s="294"/>
      <c r="FUU92" s="292"/>
      <c r="FUV92" s="293"/>
      <c r="FUW92" s="294"/>
      <c r="FVC92" s="292"/>
      <c r="FVD92" s="293"/>
      <c r="FVE92" s="294"/>
      <c r="FVK92" s="292"/>
      <c r="FVL92" s="293"/>
      <c r="FVM92" s="294"/>
      <c r="FVS92" s="292"/>
      <c r="FVT92" s="293"/>
      <c r="FVU92" s="294"/>
      <c r="FWA92" s="292"/>
      <c r="FWB92" s="293"/>
      <c r="FWC92" s="294"/>
      <c r="FWI92" s="292"/>
      <c r="FWJ92" s="293"/>
      <c r="FWK92" s="294"/>
      <c r="FWQ92" s="292"/>
      <c r="FWR92" s="293"/>
      <c r="FWS92" s="294"/>
      <c r="FWY92" s="292"/>
      <c r="FWZ92" s="293"/>
      <c r="FXA92" s="294"/>
      <c r="FXG92" s="292"/>
      <c r="FXH92" s="293"/>
      <c r="FXI92" s="294"/>
      <c r="FXO92" s="292"/>
      <c r="FXP92" s="293"/>
      <c r="FXQ92" s="294"/>
      <c r="FXW92" s="292"/>
      <c r="FXX92" s="293"/>
      <c r="FXY92" s="294"/>
      <c r="FYE92" s="292"/>
      <c r="FYF92" s="293"/>
      <c r="FYG92" s="294"/>
      <c r="FYM92" s="292"/>
      <c r="FYN92" s="293"/>
      <c r="FYO92" s="294"/>
      <c r="FYU92" s="292"/>
      <c r="FYV92" s="293"/>
      <c r="FYW92" s="294"/>
      <c r="FZC92" s="292"/>
      <c r="FZD92" s="293"/>
      <c r="FZE92" s="294"/>
      <c r="FZK92" s="292"/>
      <c r="FZL92" s="293"/>
      <c r="FZM92" s="294"/>
      <c r="FZS92" s="292"/>
      <c r="FZT92" s="293"/>
      <c r="FZU92" s="294"/>
      <c r="GAA92" s="292"/>
      <c r="GAB92" s="293"/>
      <c r="GAC92" s="294"/>
      <c r="GAI92" s="292"/>
      <c r="GAJ92" s="293"/>
      <c r="GAK92" s="294"/>
      <c r="GAQ92" s="292"/>
      <c r="GAR92" s="293"/>
      <c r="GAS92" s="294"/>
      <c r="GAY92" s="292"/>
      <c r="GAZ92" s="293"/>
      <c r="GBA92" s="294"/>
      <c r="GBG92" s="292"/>
      <c r="GBH92" s="293"/>
      <c r="GBI92" s="294"/>
      <c r="GBO92" s="292"/>
      <c r="GBP92" s="293"/>
      <c r="GBQ92" s="294"/>
      <c r="GBW92" s="292"/>
      <c r="GBX92" s="293"/>
      <c r="GBY92" s="294"/>
      <c r="GCE92" s="292"/>
      <c r="GCF92" s="293"/>
      <c r="GCG92" s="294"/>
      <c r="GCM92" s="292"/>
      <c r="GCN92" s="293"/>
      <c r="GCO92" s="294"/>
      <c r="GCU92" s="292"/>
      <c r="GCV92" s="293"/>
      <c r="GCW92" s="294"/>
      <c r="GDC92" s="292"/>
      <c r="GDD92" s="293"/>
      <c r="GDE92" s="294"/>
      <c r="GDK92" s="292"/>
      <c r="GDL92" s="293"/>
      <c r="GDM92" s="294"/>
      <c r="GDS92" s="292"/>
      <c r="GDT92" s="293"/>
      <c r="GDU92" s="294"/>
      <c r="GEA92" s="292"/>
      <c r="GEB92" s="293"/>
      <c r="GEC92" s="294"/>
      <c r="GEI92" s="292"/>
      <c r="GEJ92" s="293"/>
      <c r="GEK92" s="294"/>
      <c r="GEQ92" s="292"/>
      <c r="GER92" s="293"/>
      <c r="GES92" s="294"/>
      <c r="GEY92" s="292"/>
      <c r="GEZ92" s="293"/>
      <c r="GFA92" s="294"/>
      <c r="GFG92" s="292"/>
      <c r="GFH92" s="293"/>
      <c r="GFI92" s="294"/>
      <c r="GFO92" s="292"/>
      <c r="GFP92" s="293"/>
      <c r="GFQ92" s="294"/>
      <c r="GFW92" s="292"/>
      <c r="GFX92" s="293"/>
      <c r="GFY92" s="294"/>
      <c r="GGE92" s="292"/>
      <c r="GGF92" s="293"/>
      <c r="GGG92" s="294"/>
      <c r="GGM92" s="292"/>
      <c r="GGN92" s="293"/>
      <c r="GGO92" s="294"/>
      <c r="GGU92" s="292"/>
      <c r="GGV92" s="293"/>
      <c r="GGW92" s="294"/>
      <c r="GHC92" s="292"/>
      <c r="GHD92" s="293"/>
      <c r="GHE92" s="294"/>
      <c r="GHK92" s="292"/>
      <c r="GHL92" s="293"/>
      <c r="GHM92" s="294"/>
      <c r="GHS92" s="292"/>
      <c r="GHT92" s="293"/>
      <c r="GHU92" s="294"/>
      <c r="GIA92" s="292"/>
      <c r="GIB92" s="293"/>
      <c r="GIC92" s="294"/>
      <c r="GII92" s="292"/>
      <c r="GIJ92" s="293"/>
      <c r="GIK92" s="294"/>
      <c r="GIQ92" s="292"/>
      <c r="GIR92" s="293"/>
      <c r="GIS92" s="294"/>
      <c r="GIY92" s="292"/>
      <c r="GIZ92" s="293"/>
      <c r="GJA92" s="294"/>
      <c r="GJG92" s="292"/>
      <c r="GJH92" s="293"/>
      <c r="GJI92" s="294"/>
      <c r="GJO92" s="292"/>
      <c r="GJP92" s="293"/>
      <c r="GJQ92" s="294"/>
      <c r="GJW92" s="292"/>
      <c r="GJX92" s="293"/>
      <c r="GJY92" s="294"/>
      <c r="GKE92" s="292"/>
      <c r="GKF92" s="293"/>
      <c r="GKG92" s="294"/>
      <c r="GKM92" s="292"/>
      <c r="GKN92" s="293"/>
      <c r="GKO92" s="294"/>
      <c r="GKU92" s="292"/>
      <c r="GKV92" s="293"/>
      <c r="GKW92" s="294"/>
      <c r="GLC92" s="292"/>
      <c r="GLD92" s="293"/>
      <c r="GLE92" s="294"/>
      <c r="GLK92" s="292"/>
      <c r="GLL92" s="293"/>
      <c r="GLM92" s="294"/>
      <c r="GLS92" s="292"/>
      <c r="GLT92" s="293"/>
      <c r="GLU92" s="294"/>
      <c r="GMA92" s="292"/>
      <c r="GMB92" s="293"/>
      <c r="GMC92" s="294"/>
      <c r="GMI92" s="292"/>
      <c r="GMJ92" s="293"/>
      <c r="GMK92" s="294"/>
      <c r="GMQ92" s="292"/>
      <c r="GMR92" s="293"/>
      <c r="GMS92" s="294"/>
      <c r="GMY92" s="292"/>
      <c r="GMZ92" s="293"/>
      <c r="GNA92" s="294"/>
      <c r="GNG92" s="292"/>
      <c r="GNH92" s="293"/>
      <c r="GNI92" s="294"/>
      <c r="GNO92" s="292"/>
      <c r="GNP92" s="293"/>
      <c r="GNQ92" s="294"/>
      <c r="GNW92" s="292"/>
      <c r="GNX92" s="293"/>
      <c r="GNY92" s="294"/>
      <c r="GOE92" s="292"/>
      <c r="GOF92" s="293"/>
      <c r="GOG92" s="294"/>
      <c r="GOM92" s="292"/>
      <c r="GON92" s="293"/>
      <c r="GOO92" s="294"/>
      <c r="GOU92" s="292"/>
      <c r="GOV92" s="293"/>
      <c r="GOW92" s="294"/>
      <c r="GPC92" s="292"/>
      <c r="GPD92" s="293"/>
      <c r="GPE92" s="294"/>
      <c r="GPK92" s="292"/>
      <c r="GPL92" s="293"/>
      <c r="GPM92" s="294"/>
      <c r="GPS92" s="292"/>
      <c r="GPT92" s="293"/>
      <c r="GPU92" s="294"/>
      <c r="GQA92" s="292"/>
      <c r="GQB92" s="293"/>
      <c r="GQC92" s="294"/>
      <c r="GQI92" s="292"/>
      <c r="GQJ92" s="293"/>
      <c r="GQK92" s="294"/>
      <c r="GQQ92" s="292"/>
      <c r="GQR92" s="293"/>
      <c r="GQS92" s="294"/>
      <c r="GQY92" s="292"/>
      <c r="GQZ92" s="293"/>
      <c r="GRA92" s="294"/>
      <c r="GRG92" s="292"/>
      <c r="GRH92" s="293"/>
      <c r="GRI92" s="294"/>
      <c r="GRO92" s="292"/>
      <c r="GRP92" s="293"/>
      <c r="GRQ92" s="294"/>
      <c r="GRW92" s="292"/>
      <c r="GRX92" s="293"/>
      <c r="GRY92" s="294"/>
      <c r="GSE92" s="292"/>
      <c r="GSF92" s="293"/>
      <c r="GSG92" s="294"/>
      <c r="GSM92" s="292"/>
      <c r="GSN92" s="293"/>
      <c r="GSO92" s="294"/>
      <c r="GSU92" s="292"/>
      <c r="GSV92" s="293"/>
      <c r="GSW92" s="294"/>
      <c r="GTC92" s="292"/>
      <c r="GTD92" s="293"/>
      <c r="GTE92" s="294"/>
      <c r="GTK92" s="292"/>
      <c r="GTL92" s="293"/>
      <c r="GTM92" s="294"/>
      <c r="GTS92" s="292"/>
      <c r="GTT92" s="293"/>
      <c r="GTU92" s="294"/>
      <c r="GUA92" s="292"/>
      <c r="GUB92" s="293"/>
      <c r="GUC92" s="294"/>
      <c r="GUI92" s="292"/>
      <c r="GUJ92" s="293"/>
      <c r="GUK92" s="294"/>
      <c r="GUQ92" s="292"/>
      <c r="GUR92" s="293"/>
      <c r="GUS92" s="294"/>
      <c r="GUY92" s="292"/>
      <c r="GUZ92" s="293"/>
      <c r="GVA92" s="294"/>
      <c r="GVG92" s="292"/>
      <c r="GVH92" s="293"/>
      <c r="GVI92" s="294"/>
      <c r="GVO92" s="292"/>
      <c r="GVP92" s="293"/>
      <c r="GVQ92" s="294"/>
      <c r="GVW92" s="292"/>
      <c r="GVX92" s="293"/>
      <c r="GVY92" s="294"/>
      <c r="GWE92" s="292"/>
      <c r="GWF92" s="293"/>
      <c r="GWG92" s="294"/>
      <c r="GWM92" s="292"/>
      <c r="GWN92" s="293"/>
      <c r="GWO92" s="294"/>
      <c r="GWU92" s="292"/>
      <c r="GWV92" s="293"/>
      <c r="GWW92" s="294"/>
      <c r="GXC92" s="292"/>
      <c r="GXD92" s="293"/>
      <c r="GXE92" s="294"/>
      <c r="GXK92" s="292"/>
      <c r="GXL92" s="293"/>
      <c r="GXM92" s="294"/>
      <c r="GXS92" s="292"/>
      <c r="GXT92" s="293"/>
      <c r="GXU92" s="294"/>
      <c r="GYA92" s="292"/>
      <c r="GYB92" s="293"/>
      <c r="GYC92" s="294"/>
      <c r="GYI92" s="292"/>
      <c r="GYJ92" s="293"/>
      <c r="GYK92" s="294"/>
      <c r="GYQ92" s="292"/>
      <c r="GYR92" s="293"/>
      <c r="GYS92" s="294"/>
      <c r="GYY92" s="292"/>
      <c r="GYZ92" s="293"/>
      <c r="GZA92" s="294"/>
      <c r="GZG92" s="292"/>
      <c r="GZH92" s="293"/>
      <c r="GZI92" s="294"/>
      <c r="GZO92" s="292"/>
      <c r="GZP92" s="293"/>
      <c r="GZQ92" s="294"/>
      <c r="GZW92" s="292"/>
      <c r="GZX92" s="293"/>
      <c r="GZY92" s="294"/>
      <c r="HAE92" s="292"/>
      <c r="HAF92" s="293"/>
      <c r="HAG92" s="294"/>
      <c r="HAM92" s="292"/>
      <c r="HAN92" s="293"/>
      <c r="HAO92" s="294"/>
      <c r="HAU92" s="292"/>
      <c r="HAV92" s="293"/>
      <c r="HAW92" s="294"/>
      <c r="HBC92" s="292"/>
      <c r="HBD92" s="293"/>
      <c r="HBE92" s="294"/>
      <c r="HBK92" s="292"/>
      <c r="HBL92" s="293"/>
      <c r="HBM92" s="294"/>
      <c r="HBS92" s="292"/>
      <c r="HBT92" s="293"/>
      <c r="HBU92" s="294"/>
      <c r="HCA92" s="292"/>
      <c r="HCB92" s="293"/>
      <c r="HCC92" s="294"/>
      <c r="HCI92" s="292"/>
      <c r="HCJ92" s="293"/>
      <c r="HCK92" s="294"/>
      <c r="HCQ92" s="292"/>
      <c r="HCR92" s="293"/>
      <c r="HCS92" s="294"/>
      <c r="HCY92" s="292"/>
      <c r="HCZ92" s="293"/>
      <c r="HDA92" s="294"/>
      <c r="HDG92" s="292"/>
      <c r="HDH92" s="293"/>
      <c r="HDI92" s="294"/>
      <c r="HDO92" s="292"/>
      <c r="HDP92" s="293"/>
      <c r="HDQ92" s="294"/>
      <c r="HDW92" s="292"/>
      <c r="HDX92" s="293"/>
      <c r="HDY92" s="294"/>
      <c r="HEE92" s="292"/>
      <c r="HEF92" s="293"/>
      <c r="HEG92" s="294"/>
      <c r="HEM92" s="292"/>
      <c r="HEN92" s="293"/>
      <c r="HEO92" s="294"/>
      <c r="HEU92" s="292"/>
      <c r="HEV92" s="293"/>
      <c r="HEW92" s="294"/>
      <c r="HFC92" s="292"/>
      <c r="HFD92" s="293"/>
      <c r="HFE92" s="294"/>
      <c r="HFK92" s="292"/>
      <c r="HFL92" s="293"/>
      <c r="HFM92" s="294"/>
      <c r="HFS92" s="292"/>
      <c r="HFT92" s="293"/>
      <c r="HFU92" s="294"/>
      <c r="HGA92" s="292"/>
      <c r="HGB92" s="293"/>
      <c r="HGC92" s="294"/>
      <c r="HGI92" s="292"/>
      <c r="HGJ92" s="293"/>
      <c r="HGK92" s="294"/>
      <c r="HGQ92" s="292"/>
      <c r="HGR92" s="293"/>
      <c r="HGS92" s="294"/>
      <c r="HGY92" s="292"/>
      <c r="HGZ92" s="293"/>
      <c r="HHA92" s="294"/>
      <c r="HHG92" s="292"/>
      <c r="HHH92" s="293"/>
      <c r="HHI92" s="294"/>
      <c r="HHO92" s="292"/>
      <c r="HHP92" s="293"/>
      <c r="HHQ92" s="294"/>
      <c r="HHW92" s="292"/>
      <c r="HHX92" s="293"/>
      <c r="HHY92" s="294"/>
      <c r="HIE92" s="292"/>
      <c r="HIF92" s="293"/>
      <c r="HIG92" s="294"/>
      <c r="HIM92" s="292"/>
      <c r="HIN92" s="293"/>
      <c r="HIO92" s="294"/>
      <c r="HIU92" s="292"/>
      <c r="HIV92" s="293"/>
      <c r="HIW92" s="294"/>
      <c r="HJC92" s="292"/>
      <c r="HJD92" s="293"/>
      <c r="HJE92" s="294"/>
      <c r="HJK92" s="292"/>
      <c r="HJL92" s="293"/>
      <c r="HJM92" s="294"/>
      <c r="HJS92" s="292"/>
      <c r="HJT92" s="293"/>
      <c r="HJU92" s="294"/>
      <c r="HKA92" s="292"/>
      <c r="HKB92" s="293"/>
      <c r="HKC92" s="294"/>
      <c r="HKI92" s="292"/>
      <c r="HKJ92" s="293"/>
      <c r="HKK92" s="294"/>
      <c r="HKQ92" s="292"/>
      <c r="HKR92" s="293"/>
      <c r="HKS92" s="294"/>
      <c r="HKY92" s="292"/>
      <c r="HKZ92" s="293"/>
      <c r="HLA92" s="294"/>
      <c r="HLG92" s="292"/>
      <c r="HLH92" s="293"/>
      <c r="HLI92" s="294"/>
      <c r="HLO92" s="292"/>
      <c r="HLP92" s="293"/>
      <c r="HLQ92" s="294"/>
      <c r="HLW92" s="292"/>
      <c r="HLX92" s="293"/>
      <c r="HLY92" s="294"/>
      <c r="HME92" s="292"/>
      <c r="HMF92" s="293"/>
      <c r="HMG92" s="294"/>
      <c r="HMM92" s="292"/>
      <c r="HMN92" s="293"/>
      <c r="HMO92" s="294"/>
      <c r="HMU92" s="292"/>
      <c r="HMV92" s="293"/>
      <c r="HMW92" s="294"/>
      <c r="HNC92" s="292"/>
      <c r="HND92" s="293"/>
      <c r="HNE92" s="294"/>
      <c r="HNK92" s="292"/>
      <c r="HNL92" s="293"/>
      <c r="HNM92" s="294"/>
      <c r="HNS92" s="292"/>
      <c r="HNT92" s="293"/>
      <c r="HNU92" s="294"/>
      <c r="HOA92" s="292"/>
      <c r="HOB92" s="293"/>
      <c r="HOC92" s="294"/>
      <c r="HOI92" s="292"/>
      <c r="HOJ92" s="293"/>
      <c r="HOK92" s="294"/>
      <c r="HOQ92" s="292"/>
      <c r="HOR92" s="293"/>
      <c r="HOS92" s="294"/>
      <c r="HOY92" s="292"/>
      <c r="HOZ92" s="293"/>
      <c r="HPA92" s="294"/>
      <c r="HPG92" s="292"/>
      <c r="HPH92" s="293"/>
      <c r="HPI92" s="294"/>
      <c r="HPO92" s="292"/>
      <c r="HPP92" s="293"/>
      <c r="HPQ92" s="294"/>
      <c r="HPW92" s="292"/>
      <c r="HPX92" s="293"/>
      <c r="HPY92" s="294"/>
      <c r="HQE92" s="292"/>
      <c r="HQF92" s="293"/>
      <c r="HQG92" s="294"/>
      <c r="HQM92" s="292"/>
      <c r="HQN92" s="293"/>
      <c r="HQO92" s="294"/>
      <c r="HQU92" s="292"/>
      <c r="HQV92" s="293"/>
      <c r="HQW92" s="294"/>
      <c r="HRC92" s="292"/>
      <c r="HRD92" s="293"/>
      <c r="HRE92" s="294"/>
      <c r="HRK92" s="292"/>
      <c r="HRL92" s="293"/>
      <c r="HRM92" s="294"/>
      <c r="HRS92" s="292"/>
      <c r="HRT92" s="293"/>
      <c r="HRU92" s="294"/>
      <c r="HSA92" s="292"/>
      <c r="HSB92" s="293"/>
      <c r="HSC92" s="294"/>
      <c r="HSI92" s="292"/>
      <c r="HSJ92" s="293"/>
      <c r="HSK92" s="294"/>
      <c r="HSQ92" s="292"/>
      <c r="HSR92" s="293"/>
      <c r="HSS92" s="294"/>
      <c r="HSY92" s="292"/>
      <c r="HSZ92" s="293"/>
      <c r="HTA92" s="294"/>
      <c r="HTG92" s="292"/>
      <c r="HTH92" s="293"/>
      <c r="HTI92" s="294"/>
      <c r="HTO92" s="292"/>
      <c r="HTP92" s="293"/>
      <c r="HTQ92" s="294"/>
      <c r="HTW92" s="292"/>
      <c r="HTX92" s="293"/>
      <c r="HTY92" s="294"/>
      <c r="HUE92" s="292"/>
      <c r="HUF92" s="293"/>
      <c r="HUG92" s="294"/>
      <c r="HUM92" s="292"/>
      <c r="HUN92" s="293"/>
      <c r="HUO92" s="294"/>
      <c r="HUU92" s="292"/>
      <c r="HUV92" s="293"/>
      <c r="HUW92" s="294"/>
      <c r="HVC92" s="292"/>
      <c r="HVD92" s="293"/>
      <c r="HVE92" s="294"/>
      <c r="HVK92" s="292"/>
      <c r="HVL92" s="293"/>
      <c r="HVM92" s="294"/>
      <c r="HVS92" s="292"/>
      <c r="HVT92" s="293"/>
      <c r="HVU92" s="294"/>
      <c r="HWA92" s="292"/>
      <c r="HWB92" s="293"/>
      <c r="HWC92" s="294"/>
      <c r="HWI92" s="292"/>
      <c r="HWJ92" s="293"/>
      <c r="HWK92" s="294"/>
      <c r="HWQ92" s="292"/>
      <c r="HWR92" s="293"/>
      <c r="HWS92" s="294"/>
      <c r="HWY92" s="292"/>
      <c r="HWZ92" s="293"/>
      <c r="HXA92" s="294"/>
      <c r="HXG92" s="292"/>
      <c r="HXH92" s="293"/>
      <c r="HXI92" s="294"/>
      <c r="HXO92" s="292"/>
      <c r="HXP92" s="293"/>
      <c r="HXQ92" s="294"/>
      <c r="HXW92" s="292"/>
      <c r="HXX92" s="293"/>
      <c r="HXY92" s="294"/>
      <c r="HYE92" s="292"/>
      <c r="HYF92" s="293"/>
      <c r="HYG92" s="294"/>
      <c r="HYM92" s="292"/>
      <c r="HYN92" s="293"/>
      <c r="HYO92" s="294"/>
      <c r="HYU92" s="292"/>
      <c r="HYV92" s="293"/>
      <c r="HYW92" s="294"/>
      <c r="HZC92" s="292"/>
      <c r="HZD92" s="293"/>
      <c r="HZE92" s="294"/>
      <c r="HZK92" s="292"/>
      <c r="HZL92" s="293"/>
      <c r="HZM92" s="294"/>
      <c r="HZS92" s="292"/>
      <c r="HZT92" s="293"/>
      <c r="HZU92" s="294"/>
      <c r="IAA92" s="292"/>
      <c r="IAB92" s="293"/>
      <c r="IAC92" s="294"/>
      <c r="IAI92" s="292"/>
      <c r="IAJ92" s="293"/>
      <c r="IAK92" s="294"/>
      <c r="IAQ92" s="292"/>
      <c r="IAR92" s="293"/>
      <c r="IAS92" s="294"/>
      <c r="IAY92" s="292"/>
      <c r="IAZ92" s="293"/>
      <c r="IBA92" s="294"/>
      <c r="IBG92" s="292"/>
      <c r="IBH92" s="293"/>
      <c r="IBI92" s="294"/>
      <c r="IBO92" s="292"/>
      <c r="IBP92" s="293"/>
      <c r="IBQ92" s="294"/>
      <c r="IBW92" s="292"/>
      <c r="IBX92" s="293"/>
      <c r="IBY92" s="294"/>
      <c r="ICE92" s="292"/>
      <c r="ICF92" s="293"/>
      <c r="ICG92" s="294"/>
      <c r="ICM92" s="292"/>
      <c r="ICN92" s="293"/>
      <c r="ICO92" s="294"/>
      <c r="ICU92" s="292"/>
      <c r="ICV92" s="293"/>
      <c r="ICW92" s="294"/>
      <c r="IDC92" s="292"/>
      <c r="IDD92" s="293"/>
      <c r="IDE92" s="294"/>
      <c r="IDK92" s="292"/>
      <c r="IDL92" s="293"/>
      <c r="IDM92" s="294"/>
      <c r="IDS92" s="292"/>
      <c r="IDT92" s="293"/>
      <c r="IDU92" s="294"/>
      <c r="IEA92" s="292"/>
      <c r="IEB92" s="293"/>
      <c r="IEC92" s="294"/>
      <c r="IEI92" s="292"/>
      <c r="IEJ92" s="293"/>
      <c r="IEK92" s="294"/>
      <c r="IEQ92" s="292"/>
      <c r="IER92" s="293"/>
      <c r="IES92" s="294"/>
      <c r="IEY92" s="292"/>
      <c r="IEZ92" s="293"/>
      <c r="IFA92" s="294"/>
      <c r="IFG92" s="292"/>
      <c r="IFH92" s="293"/>
      <c r="IFI92" s="294"/>
      <c r="IFO92" s="292"/>
      <c r="IFP92" s="293"/>
      <c r="IFQ92" s="294"/>
      <c r="IFW92" s="292"/>
      <c r="IFX92" s="293"/>
      <c r="IFY92" s="294"/>
      <c r="IGE92" s="292"/>
      <c r="IGF92" s="293"/>
      <c r="IGG92" s="294"/>
      <c r="IGM92" s="292"/>
      <c r="IGN92" s="293"/>
      <c r="IGO92" s="294"/>
      <c r="IGU92" s="292"/>
      <c r="IGV92" s="293"/>
      <c r="IGW92" s="294"/>
      <c r="IHC92" s="292"/>
      <c r="IHD92" s="293"/>
      <c r="IHE92" s="294"/>
      <c r="IHK92" s="292"/>
      <c r="IHL92" s="293"/>
      <c r="IHM92" s="294"/>
      <c r="IHS92" s="292"/>
      <c r="IHT92" s="293"/>
      <c r="IHU92" s="294"/>
      <c r="IIA92" s="292"/>
      <c r="IIB92" s="293"/>
      <c r="IIC92" s="294"/>
      <c r="III92" s="292"/>
      <c r="IIJ92" s="293"/>
      <c r="IIK92" s="294"/>
      <c r="IIQ92" s="292"/>
      <c r="IIR92" s="293"/>
      <c r="IIS92" s="294"/>
      <c r="IIY92" s="292"/>
      <c r="IIZ92" s="293"/>
      <c r="IJA92" s="294"/>
      <c r="IJG92" s="292"/>
      <c r="IJH92" s="293"/>
      <c r="IJI92" s="294"/>
      <c r="IJO92" s="292"/>
      <c r="IJP92" s="293"/>
      <c r="IJQ92" s="294"/>
      <c r="IJW92" s="292"/>
      <c r="IJX92" s="293"/>
      <c r="IJY92" s="294"/>
      <c r="IKE92" s="292"/>
      <c r="IKF92" s="293"/>
      <c r="IKG92" s="294"/>
      <c r="IKM92" s="292"/>
      <c r="IKN92" s="293"/>
      <c r="IKO92" s="294"/>
      <c r="IKU92" s="292"/>
      <c r="IKV92" s="293"/>
      <c r="IKW92" s="294"/>
      <c r="ILC92" s="292"/>
      <c r="ILD92" s="293"/>
      <c r="ILE92" s="294"/>
      <c r="ILK92" s="292"/>
      <c r="ILL92" s="293"/>
      <c r="ILM92" s="294"/>
      <c r="ILS92" s="292"/>
      <c r="ILT92" s="293"/>
      <c r="ILU92" s="294"/>
      <c r="IMA92" s="292"/>
      <c r="IMB92" s="293"/>
      <c r="IMC92" s="294"/>
      <c r="IMI92" s="292"/>
      <c r="IMJ92" s="293"/>
      <c r="IMK92" s="294"/>
      <c r="IMQ92" s="292"/>
      <c r="IMR92" s="293"/>
      <c r="IMS92" s="294"/>
      <c r="IMY92" s="292"/>
      <c r="IMZ92" s="293"/>
      <c r="INA92" s="294"/>
      <c r="ING92" s="292"/>
      <c r="INH92" s="293"/>
      <c r="INI92" s="294"/>
      <c r="INO92" s="292"/>
      <c r="INP92" s="293"/>
      <c r="INQ92" s="294"/>
      <c r="INW92" s="292"/>
      <c r="INX92" s="293"/>
      <c r="INY92" s="294"/>
      <c r="IOE92" s="292"/>
      <c r="IOF92" s="293"/>
      <c r="IOG92" s="294"/>
      <c r="IOM92" s="292"/>
      <c r="ION92" s="293"/>
      <c r="IOO92" s="294"/>
      <c r="IOU92" s="292"/>
      <c r="IOV92" s="293"/>
      <c r="IOW92" s="294"/>
      <c r="IPC92" s="292"/>
      <c r="IPD92" s="293"/>
      <c r="IPE92" s="294"/>
      <c r="IPK92" s="292"/>
      <c r="IPL92" s="293"/>
      <c r="IPM92" s="294"/>
      <c r="IPS92" s="292"/>
      <c r="IPT92" s="293"/>
      <c r="IPU92" s="294"/>
      <c r="IQA92" s="292"/>
      <c r="IQB92" s="293"/>
      <c r="IQC92" s="294"/>
      <c r="IQI92" s="292"/>
      <c r="IQJ92" s="293"/>
      <c r="IQK92" s="294"/>
      <c r="IQQ92" s="292"/>
      <c r="IQR92" s="293"/>
      <c r="IQS92" s="294"/>
      <c r="IQY92" s="292"/>
      <c r="IQZ92" s="293"/>
      <c r="IRA92" s="294"/>
      <c r="IRG92" s="292"/>
      <c r="IRH92" s="293"/>
      <c r="IRI92" s="294"/>
      <c r="IRO92" s="292"/>
      <c r="IRP92" s="293"/>
      <c r="IRQ92" s="294"/>
      <c r="IRW92" s="292"/>
      <c r="IRX92" s="293"/>
      <c r="IRY92" s="294"/>
      <c r="ISE92" s="292"/>
      <c r="ISF92" s="293"/>
      <c r="ISG92" s="294"/>
      <c r="ISM92" s="292"/>
      <c r="ISN92" s="293"/>
      <c r="ISO92" s="294"/>
      <c r="ISU92" s="292"/>
      <c r="ISV92" s="293"/>
      <c r="ISW92" s="294"/>
      <c r="ITC92" s="292"/>
      <c r="ITD92" s="293"/>
      <c r="ITE92" s="294"/>
      <c r="ITK92" s="292"/>
      <c r="ITL92" s="293"/>
      <c r="ITM92" s="294"/>
      <c r="ITS92" s="292"/>
      <c r="ITT92" s="293"/>
      <c r="ITU92" s="294"/>
      <c r="IUA92" s="292"/>
      <c r="IUB92" s="293"/>
      <c r="IUC92" s="294"/>
      <c r="IUI92" s="292"/>
      <c r="IUJ92" s="293"/>
      <c r="IUK92" s="294"/>
      <c r="IUQ92" s="292"/>
      <c r="IUR92" s="293"/>
      <c r="IUS92" s="294"/>
      <c r="IUY92" s="292"/>
      <c r="IUZ92" s="293"/>
      <c r="IVA92" s="294"/>
      <c r="IVG92" s="292"/>
      <c r="IVH92" s="293"/>
      <c r="IVI92" s="294"/>
      <c r="IVO92" s="292"/>
      <c r="IVP92" s="293"/>
      <c r="IVQ92" s="294"/>
      <c r="IVW92" s="292"/>
      <c r="IVX92" s="293"/>
      <c r="IVY92" s="294"/>
      <c r="IWE92" s="292"/>
      <c r="IWF92" s="293"/>
      <c r="IWG92" s="294"/>
      <c r="IWM92" s="292"/>
      <c r="IWN92" s="293"/>
      <c r="IWO92" s="294"/>
      <c r="IWU92" s="292"/>
      <c r="IWV92" s="293"/>
      <c r="IWW92" s="294"/>
      <c r="IXC92" s="292"/>
      <c r="IXD92" s="293"/>
      <c r="IXE92" s="294"/>
      <c r="IXK92" s="292"/>
      <c r="IXL92" s="293"/>
      <c r="IXM92" s="294"/>
      <c r="IXS92" s="292"/>
      <c r="IXT92" s="293"/>
      <c r="IXU92" s="294"/>
      <c r="IYA92" s="292"/>
      <c r="IYB92" s="293"/>
      <c r="IYC92" s="294"/>
      <c r="IYI92" s="292"/>
      <c r="IYJ92" s="293"/>
      <c r="IYK92" s="294"/>
      <c r="IYQ92" s="292"/>
      <c r="IYR92" s="293"/>
      <c r="IYS92" s="294"/>
      <c r="IYY92" s="292"/>
      <c r="IYZ92" s="293"/>
      <c r="IZA92" s="294"/>
      <c r="IZG92" s="292"/>
      <c r="IZH92" s="293"/>
      <c r="IZI92" s="294"/>
      <c r="IZO92" s="292"/>
      <c r="IZP92" s="293"/>
      <c r="IZQ92" s="294"/>
      <c r="IZW92" s="292"/>
      <c r="IZX92" s="293"/>
      <c r="IZY92" s="294"/>
      <c r="JAE92" s="292"/>
      <c r="JAF92" s="293"/>
      <c r="JAG92" s="294"/>
      <c r="JAM92" s="292"/>
      <c r="JAN92" s="293"/>
      <c r="JAO92" s="294"/>
      <c r="JAU92" s="292"/>
      <c r="JAV92" s="293"/>
      <c r="JAW92" s="294"/>
      <c r="JBC92" s="292"/>
      <c r="JBD92" s="293"/>
      <c r="JBE92" s="294"/>
      <c r="JBK92" s="292"/>
      <c r="JBL92" s="293"/>
      <c r="JBM92" s="294"/>
      <c r="JBS92" s="292"/>
      <c r="JBT92" s="293"/>
      <c r="JBU92" s="294"/>
      <c r="JCA92" s="292"/>
      <c r="JCB92" s="293"/>
      <c r="JCC92" s="294"/>
      <c r="JCI92" s="292"/>
      <c r="JCJ92" s="293"/>
      <c r="JCK92" s="294"/>
      <c r="JCQ92" s="292"/>
      <c r="JCR92" s="293"/>
      <c r="JCS92" s="294"/>
      <c r="JCY92" s="292"/>
      <c r="JCZ92" s="293"/>
      <c r="JDA92" s="294"/>
      <c r="JDG92" s="292"/>
      <c r="JDH92" s="293"/>
      <c r="JDI92" s="294"/>
      <c r="JDO92" s="292"/>
      <c r="JDP92" s="293"/>
      <c r="JDQ92" s="294"/>
      <c r="JDW92" s="292"/>
      <c r="JDX92" s="293"/>
      <c r="JDY92" s="294"/>
      <c r="JEE92" s="292"/>
      <c r="JEF92" s="293"/>
      <c r="JEG92" s="294"/>
      <c r="JEM92" s="292"/>
      <c r="JEN92" s="293"/>
      <c r="JEO92" s="294"/>
      <c r="JEU92" s="292"/>
      <c r="JEV92" s="293"/>
      <c r="JEW92" s="294"/>
      <c r="JFC92" s="292"/>
      <c r="JFD92" s="293"/>
      <c r="JFE92" s="294"/>
      <c r="JFK92" s="292"/>
      <c r="JFL92" s="293"/>
      <c r="JFM92" s="294"/>
      <c r="JFS92" s="292"/>
      <c r="JFT92" s="293"/>
      <c r="JFU92" s="294"/>
      <c r="JGA92" s="292"/>
      <c r="JGB92" s="293"/>
      <c r="JGC92" s="294"/>
      <c r="JGI92" s="292"/>
      <c r="JGJ92" s="293"/>
      <c r="JGK92" s="294"/>
      <c r="JGQ92" s="292"/>
      <c r="JGR92" s="293"/>
      <c r="JGS92" s="294"/>
      <c r="JGY92" s="292"/>
      <c r="JGZ92" s="293"/>
      <c r="JHA92" s="294"/>
      <c r="JHG92" s="292"/>
      <c r="JHH92" s="293"/>
      <c r="JHI92" s="294"/>
      <c r="JHO92" s="292"/>
      <c r="JHP92" s="293"/>
      <c r="JHQ92" s="294"/>
      <c r="JHW92" s="292"/>
      <c r="JHX92" s="293"/>
      <c r="JHY92" s="294"/>
      <c r="JIE92" s="292"/>
      <c r="JIF92" s="293"/>
      <c r="JIG92" s="294"/>
      <c r="JIM92" s="292"/>
      <c r="JIN92" s="293"/>
      <c r="JIO92" s="294"/>
      <c r="JIU92" s="292"/>
      <c r="JIV92" s="293"/>
      <c r="JIW92" s="294"/>
      <c r="JJC92" s="292"/>
      <c r="JJD92" s="293"/>
      <c r="JJE92" s="294"/>
      <c r="JJK92" s="292"/>
      <c r="JJL92" s="293"/>
      <c r="JJM92" s="294"/>
      <c r="JJS92" s="292"/>
      <c r="JJT92" s="293"/>
      <c r="JJU92" s="294"/>
      <c r="JKA92" s="292"/>
      <c r="JKB92" s="293"/>
      <c r="JKC92" s="294"/>
      <c r="JKI92" s="292"/>
      <c r="JKJ92" s="293"/>
      <c r="JKK92" s="294"/>
      <c r="JKQ92" s="292"/>
      <c r="JKR92" s="293"/>
      <c r="JKS92" s="294"/>
      <c r="JKY92" s="292"/>
      <c r="JKZ92" s="293"/>
      <c r="JLA92" s="294"/>
      <c r="JLG92" s="292"/>
      <c r="JLH92" s="293"/>
      <c r="JLI92" s="294"/>
      <c r="JLO92" s="292"/>
      <c r="JLP92" s="293"/>
      <c r="JLQ92" s="294"/>
      <c r="JLW92" s="292"/>
      <c r="JLX92" s="293"/>
      <c r="JLY92" s="294"/>
      <c r="JME92" s="292"/>
      <c r="JMF92" s="293"/>
      <c r="JMG92" s="294"/>
      <c r="JMM92" s="292"/>
      <c r="JMN92" s="293"/>
      <c r="JMO92" s="294"/>
      <c r="JMU92" s="292"/>
      <c r="JMV92" s="293"/>
      <c r="JMW92" s="294"/>
      <c r="JNC92" s="292"/>
      <c r="JND92" s="293"/>
      <c r="JNE92" s="294"/>
      <c r="JNK92" s="292"/>
      <c r="JNL92" s="293"/>
      <c r="JNM92" s="294"/>
      <c r="JNS92" s="292"/>
      <c r="JNT92" s="293"/>
      <c r="JNU92" s="294"/>
      <c r="JOA92" s="292"/>
      <c r="JOB92" s="293"/>
      <c r="JOC92" s="294"/>
      <c r="JOI92" s="292"/>
      <c r="JOJ92" s="293"/>
      <c r="JOK92" s="294"/>
      <c r="JOQ92" s="292"/>
      <c r="JOR92" s="293"/>
      <c r="JOS92" s="294"/>
      <c r="JOY92" s="292"/>
      <c r="JOZ92" s="293"/>
      <c r="JPA92" s="294"/>
      <c r="JPG92" s="292"/>
      <c r="JPH92" s="293"/>
      <c r="JPI92" s="294"/>
      <c r="JPO92" s="292"/>
      <c r="JPP92" s="293"/>
      <c r="JPQ92" s="294"/>
      <c r="JPW92" s="292"/>
      <c r="JPX92" s="293"/>
      <c r="JPY92" s="294"/>
      <c r="JQE92" s="292"/>
      <c r="JQF92" s="293"/>
      <c r="JQG92" s="294"/>
      <c r="JQM92" s="292"/>
      <c r="JQN92" s="293"/>
      <c r="JQO92" s="294"/>
      <c r="JQU92" s="292"/>
      <c r="JQV92" s="293"/>
      <c r="JQW92" s="294"/>
      <c r="JRC92" s="292"/>
      <c r="JRD92" s="293"/>
      <c r="JRE92" s="294"/>
      <c r="JRK92" s="292"/>
      <c r="JRL92" s="293"/>
      <c r="JRM92" s="294"/>
      <c r="JRS92" s="292"/>
      <c r="JRT92" s="293"/>
      <c r="JRU92" s="294"/>
      <c r="JSA92" s="292"/>
      <c r="JSB92" s="293"/>
      <c r="JSC92" s="294"/>
      <c r="JSI92" s="292"/>
      <c r="JSJ92" s="293"/>
      <c r="JSK92" s="294"/>
      <c r="JSQ92" s="292"/>
      <c r="JSR92" s="293"/>
      <c r="JSS92" s="294"/>
      <c r="JSY92" s="292"/>
      <c r="JSZ92" s="293"/>
      <c r="JTA92" s="294"/>
      <c r="JTG92" s="292"/>
      <c r="JTH92" s="293"/>
      <c r="JTI92" s="294"/>
      <c r="JTO92" s="292"/>
      <c r="JTP92" s="293"/>
      <c r="JTQ92" s="294"/>
      <c r="JTW92" s="292"/>
      <c r="JTX92" s="293"/>
      <c r="JTY92" s="294"/>
      <c r="JUE92" s="292"/>
      <c r="JUF92" s="293"/>
      <c r="JUG92" s="294"/>
      <c r="JUM92" s="292"/>
      <c r="JUN92" s="293"/>
      <c r="JUO92" s="294"/>
      <c r="JUU92" s="292"/>
      <c r="JUV92" s="293"/>
      <c r="JUW92" s="294"/>
      <c r="JVC92" s="292"/>
      <c r="JVD92" s="293"/>
      <c r="JVE92" s="294"/>
      <c r="JVK92" s="292"/>
      <c r="JVL92" s="293"/>
      <c r="JVM92" s="294"/>
      <c r="JVS92" s="292"/>
      <c r="JVT92" s="293"/>
      <c r="JVU92" s="294"/>
      <c r="JWA92" s="292"/>
      <c r="JWB92" s="293"/>
      <c r="JWC92" s="294"/>
      <c r="JWI92" s="292"/>
      <c r="JWJ92" s="293"/>
      <c r="JWK92" s="294"/>
      <c r="JWQ92" s="292"/>
      <c r="JWR92" s="293"/>
      <c r="JWS92" s="294"/>
      <c r="JWY92" s="292"/>
      <c r="JWZ92" s="293"/>
      <c r="JXA92" s="294"/>
      <c r="JXG92" s="292"/>
      <c r="JXH92" s="293"/>
      <c r="JXI92" s="294"/>
      <c r="JXO92" s="292"/>
      <c r="JXP92" s="293"/>
      <c r="JXQ92" s="294"/>
      <c r="JXW92" s="292"/>
      <c r="JXX92" s="293"/>
      <c r="JXY92" s="294"/>
      <c r="JYE92" s="292"/>
      <c r="JYF92" s="293"/>
      <c r="JYG92" s="294"/>
      <c r="JYM92" s="292"/>
      <c r="JYN92" s="293"/>
      <c r="JYO92" s="294"/>
      <c r="JYU92" s="292"/>
      <c r="JYV92" s="293"/>
      <c r="JYW92" s="294"/>
      <c r="JZC92" s="292"/>
      <c r="JZD92" s="293"/>
      <c r="JZE92" s="294"/>
      <c r="JZK92" s="292"/>
      <c r="JZL92" s="293"/>
      <c r="JZM92" s="294"/>
      <c r="JZS92" s="292"/>
      <c r="JZT92" s="293"/>
      <c r="JZU92" s="294"/>
      <c r="KAA92" s="292"/>
      <c r="KAB92" s="293"/>
      <c r="KAC92" s="294"/>
      <c r="KAI92" s="292"/>
      <c r="KAJ92" s="293"/>
      <c r="KAK92" s="294"/>
      <c r="KAQ92" s="292"/>
      <c r="KAR92" s="293"/>
      <c r="KAS92" s="294"/>
      <c r="KAY92" s="292"/>
      <c r="KAZ92" s="293"/>
      <c r="KBA92" s="294"/>
      <c r="KBG92" s="292"/>
      <c r="KBH92" s="293"/>
      <c r="KBI92" s="294"/>
      <c r="KBO92" s="292"/>
      <c r="KBP92" s="293"/>
      <c r="KBQ92" s="294"/>
      <c r="KBW92" s="292"/>
      <c r="KBX92" s="293"/>
      <c r="KBY92" s="294"/>
      <c r="KCE92" s="292"/>
      <c r="KCF92" s="293"/>
      <c r="KCG92" s="294"/>
      <c r="KCM92" s="292"/>
      <c r="KCN92" s="293"/>
      <c r="KCO92" s="294"/>
      <c r="KCU92" s="292"/>
      <c r="KCV92" s="293"/>
      <c r="KCW92" s="294"/>
      <c r="KDC92" s="292"/>
      <c r="KDD92" s="293"/>
      <c r="KDE92" s="294"/>
      <c r="KDK92" s="292"/>
      <c r="KDL92" s="293"/>
      <c r="KDM92" s="294"/>
      <c r="KDS92" s="292"/>
      <c r="KDT92" s="293"/>
      <c r="KDU92" s="294"/>
      <c r="KEA92" s="292"/>
      <c r="KEB92" s="293"/>
      <c r="KEC92" s="294"/>
      <c r="KEI92" s="292"/>
      <c r="KEJ92" s="293"/>
      <c r="KEK92" s="294"/>
      <c r="KEQ92" s="292"/>
      <c r="KER92" s="293"/>
      <c r="KES92" s="294"/>
      <c r="KEY92" s="292"/>
      <c r="KEZ92" s="293"/>
      <c r="KFA92" s="294"/>
      <c r="KFG92" s="292"/>
      <c r="KFH92" s="293"/>
      <c r="KFI92" s="294"/>
      <c r="KFO92" s="292"/>
      <c r="KFP92" s="293"/>
      <c r="KFQ92" s="294"/>
      <c r="KFW92" s="292"/>
      <c r="KFX92" s="293"/>
      <c r="KFY92" s="294"/>
      <c r="KGE92" s="292"/>
      <c r="KGF92" s="293"/>
      <c r="KGG92" s="294"/>
      <c r="KGM92" s="292"/>
      <c r="KGN92" s="293"/>
      <c r="KGO92" s="294"/>
      <c r="KGU92" s="292"/>
      <c r="KGV92" s="293"/>
      <c r="KGW92" s="294"/>
      <c r="KHC92" s="292"/>
      <c r="KHD92" s="293"/>
      <c r="KHE92" s="294"/>
      <c r="KHK92" s="292"/>
      <c r="KHL92" s="293"/>
      <c r="KHM92" s="294"/>
      <c r="KHS92" s="292"/>
      <c r="KHT92" s="293"/>
      <c r="KHU92" s="294"/>
      <c r="KIA92" s="292"/>
      <c r="KIB92" s="293"/>
      <c r="KIC92" s="294"/>
      <c r="KII92" s="292"/>
      <c r="KIJ92" s="293"/>
      <c r="KIK92" s="294"/>
      <c r="KIQ92" s="292"/>
      <c r="KIR92" s="293"/>
      <c r="KIS92" s="294"/>
      <c r="KIY92" s="292"/>
      <c r="KIZ92" s="293"/>
      <c r="KJA92" s="294"/>
      <c r="KJG92" s="292"/>
      <c r="KJH92" s="293"/>
      <c r="KJI92" s="294"/>
      <c r="KJO92" s="292"/>
      <c r="KJP92" s="293"/>
      <c r="KJQ92" s="294"/>
      <c r="KJW92" s="292"/>
      <c r="KJX92" s="293"/>
      <c r="KJY92" s="294"/>
      <c r="KKE92" s="292"/>
      <c r="KKF92" s="293"/>
      <c r="KKG92" s="294"/>
      <c r="KKM92" s="292"/>
      <c r="KKN92" s="293"/>
      <c r="KKO92" s="294"/>
      <c r="KKU92" s="292"/>
      <c r="KKV92" s="293"/>
      <c r="KKW92" s="294"/>
      <c r="KLC92" s="292"/>
      <c r="KLD92" s="293"/>
      <c r="KLE92" s="294"/>
      <c r="KLK92" s="292"/>
      <c r="KLL92" s="293"/>
      <c r="KLM92" s="294"/>
      <c r="KLS92" s="292"/>
      <c r="KLT92" s="293"/>
      <c r="KLU92" s="294"/>
      <c r="KMA92" s="292"/>
      <c r="KMB92" s="293"/>
      <c r="KMC92" s="294"/>
      <c r="KMI92" s="292"/>
      <c r="KMJ92" s="293"/>
      <c r="KMK92" s="294"/>
      <c r="KMQ92" s="292"/>
      <c r="KMR92" s="293"/>
      <c r="KMS92" s="294"/>
      <c r="KMY92" s="292"/>
      <c r="KMZ92" s="293"/>
      <c r="KNA92" s="294"/>
      <c r="KNG92" s="292"/>
      <c r="KNH92" s="293"/>
      <c r="KNI92" s="294"/>
      <c r="KNO92" s="292"/>
      <c r="KNP92" s="293"/>
      <c r="KNQ92" s="294"/>
      <c r="KNW92" s="292"/>
      <c r="KNX92" s="293"/>
      <c r="KNY92" s="294"/>
      <c r="KOE92" s="292"/>
      <c r="KOF92" s="293"/>
      <c r="KOG92" s="294"/>
      <c r="KOM92" s="292"/>
      <c r="KON92" s="293"/>
      <c r="KOO92" s="294"/>
      <c r="KOU92" s="292"/>
      <c r="KOV92" s="293"/>
      <c r="KOW92" s="294"/>
      <c r="KPC92" s="292"/>
      <c r="KPD92" s="293"/>
      <c r="KPE92" s="294"/>
      <c r="KPK92" s="292"/>
      <c r="KPL92" s="293"/>
      <c r="KPM92" s="294"/>
      <c r="KPS92" s="292"/>
      <c r="KPT92" s="293"/>
      <c r="KPU92" s="294"/>
      <c r="KQA92" s="292"/>
      <c r="KQB92" s="293"/>
      <c r="KQC92" s="294"/>
      <c r="KQI92" s="292"/>
      <c r="KQJ92" s="293"/>
      <c r="KQK92" s="294"/>
      <c r="KQQ92" s="292"/>
      <c r="KQR92" s="293"/>
      <c r="KQS92" s="294"/>
      <c r="KQY92" s="292"/>
      <c r="KQZ92" s="293"/>
      <c r="KRA92" s="294"/>
      <c r="KRG92" s="292"/>
      <c r="KRH92" s="293"/>
      <c r="KRI92" s="294"/>
      <c r="KRO92" s="292"/>
      <c r="KRP92" s="293"/>
      <c r="KRQ92" s="294"/>
      <c r="KRW92" s="292"/>
      <c r="KRX92" s="293"/>
      <c r="KRY92" s="294"/>
      <c r="KSE92" s="292"/>
      <c r="KSF92" s="293"/>
      <c r="KSG92" s="294"/>
      <c r="KSM92" s="292"/>
      <c r="KSN92" s="293"/>
      <c r="KSO92" s="294"/>
      <c r="KSU92" s="292"/>
      <c r="KSV92" s="293"/>
      <c r="KSW92" s="294"/>
      <c r="KTC92" s="292"/>
      <c r="KTD92" s="293"/>
      <c r="KTE92" s="294"/>
      <c r="KTK92" s="292"/>
      <c r="KTL92" s="293"/>
      <c r="KTM92" s="294"/>
      <c r="KTS92" s="292"/>
      <c r="KTT92" s="293"/>
      <c r="KTU92" s="294"/>
      <c r="KUA92" s="292"/>
      <c r="KUB92" s="293"/>
      <c r="KUC92" s="294"/>
      <c r="KUI92" s="292"/>
      <c r="KUJ92" s="293"/>
      <c r="KUK92" s="294"/>
      <c r="KUQ92" s="292"/>
      <c r="KUR92" s="293"/>
      <c r="KUS92" s="294"/>
      <c r="KUY92" s="292"/>
      <c r="KUZ92" s="293"/>
      <c r="KVA92" s="294"/>
      <c r="KVG92" s="292"/>
      <c r="KVH92" s="293"/>
      <c r="KVI92" s="294"/>
      <c r="KVO92" s="292"/>
      <c r="KVP92" s="293"/>
      <c r="KVQ92" s="294"/>
      <c r="KVW92" s="292"/>
      <c r="KVX92" s="293"/>
      <c r="KVY92" s="294"/>
      <c r="KWE92" s="292"/>
      <c r="KWF92" s="293"/>
      <c r="KWG92" s="294"/>
      <c r="KWM92" s="292"/>
      <c r="KWN92" s="293"/>
      <c r="KWO92" s="294"/>
      <c r="KWU92" s="292"/>
      <c r="KWV92" s="293"/>
      <c r="KWW92" s="294"/>
      <c r="KXC92" s="292"/>
      <c r="KXD92" s="293"/>
      <c r="KXE92" s="294"/>
      <c r="KXK92" s="292"/>
      <c r="KXL92" s="293"/>
      <c r="KXM92" s="294"/>
      <c r="KXS92" s="292"/>
      <c r="KXT92" s="293"/>
      <c r="KXU92" s="294"/>
      <c r="KYA92" s="292"/>
      <c r="KYB92" s="293"/>
      <c r="KYC92" s="294"/>
      <c r="KYI92" s="292"/>
      <c r="KYJ92" s="293"/>
      <c r="KYK92" s="294"/>
      <c r="KYQ92" s="292"/>
      <c r="KYR92" s="293"/>
      <c r="KYS92" s="294"/>
      <c r="KYY92" s="292"/>
      <c r="KYZ92" s="293"/>
      <c r="KZA92" s="294"/>
      <c r="KZG92" s="292"/>
      <c r="KZH92" s="293"/>
      <c r="KZI92" s="294"/>
      <c r="KZO92" s="292"/>
      <c r="KZP92" s="293"/>
      <c r="KZQ92" s="294"/>
      <c r="KZW92" s="292"/>
      <c r="KZX92" s="293"/>
      <c r="KZY92" s="294"/>
      <c r="LAE92" s="292"/>
      <c r="LAF92" s="293"/>
      <c r="LAG92" s="294"/>
      <c r="LAM92" s="292"/>
      <c r="LAN92" s="293"/>
      <c r="LAO92" s="294"/>
      <c r="LAU92" s="292"/>
      <c r="LAV92" s="293"/>
      <c r="LAW92" s="294"/>
      <c r="LBC92" s="292"/>
      <c r="LBD92" s="293"/>
      <c r="LBE92" s="294"/>
      <c r="LBK92" s="292"/>
      <c r="LBL92" s="293"/>
      <c r="LBM92" s="294"/>
      <c r="LBS92" s="292"/>
      <c r="LBT92" s="293"/>
      <c r="LBU92" s="294"/>
      <c r="LCA92" s="292"/>
      <c r="LCB92" s="293"/>
      <c r="LCC92" s="294"/>
      <c r="LCI92" s="292"/>
      <c r="LCJ92" s="293"/>
      <c r="LCK92" s="294"/>
      <c r="LCQ92" s="292"/>
      <c r="LCR92" s="293"/>
      <c r="LCS92" s="294"/>
      <c r="LCY92" s="292"/>
      <c r="LCZ92" s="293"/>
      <c r="LDA92" s="294"/>
      <c r="LDG92" s="292"/>
      <c r="LDH92" s="293"/>
      <c r="LDI92" s="294"/>
      <c r="LDO92" s="292"/>
      <c r="LDP92" s="293"/>
      <c r="LDQ92" s="294"/>
      <c r="LDW92" s="292"/>
      <c r="LDX92" s="293"/>
      <c r="LDY92" s="294"/>
      <c r="LEE92" s="292"/>
      <c r="LEF92" s="293"/>
      <c r="LEG92" s="294"/>
      <c r="LEM92" s="292"/>
      <c r="LEN92" s="293"/>
      <c r="LEO92" s="294"/>
      <c r="LEU92" s="292"/>
      <c r="LEV92" s="293"/>
      <c r="LEW92" s="294"/>
      <c r="LFC92" s="292"/>
      <c r="LFD92" s="293"/>
      <c r="LFE92" s="294"/>
      <c r="LFK92" s="292"/>
      <c r="LFL92" s="293"/>
      <c r="LFM92" s="294"/>
      <c r="LFS92" s="292"/>
      <c r="LFT92" s="293"/>
      <c r="LFU92" s="294"/>
      <c r="LGA92" s="292"/>
      <c r="LGB92" s="293"/>
      <c r="LGC92" s="294"/>
      <c r="LGI92" s="292"/>
      <c r="LGJ92" s="293"/>
      <c r="LGK92" s="294"/>
      <c r="LGQ92" s="292"/>
      <c r="LGR92" s="293"/>
      <c r="LGS92" s="294"/>
      <c r="LGY92" s="292"/>
      <c r="LGZ92" s="293"/>
      <c r="LHA92" s="294"/>
      <c r="LHG92" s="292"/>
      <c r="LHH92" s="293"/>
      <c r="LHI92" s="294"/>
      <c r="LHO92" s="292"/>
      <c r="LHP92" s="293"/>
      <c r="LHQ92" s="294"/>
      <c r="LHW92" s="292"/>
      <c r="LHX92" s="293"/>
      <c r="LHY92" s="294"/>
      <c r="LIE92" s="292"/>
      <c r="LIF92" s="293"/>
      <c r="LIG92" s="294"/>
      <c r="LIM92" s="292"/>
      <c r="LIN92" s="293"/>
      <c r="LIO92" s="294"/>
      <c r="LIU92" s="292"/>
      <c r="LIV92" s="293"/>
      <c r="LIW92" s="294"/>
      <c r="LJC92" s="292"/>
      <c r="LJD92" s="293"/>
      <c r="LJE92" s="294"/>
      <c r="LJK92" s="292"/>
      <c r="LJL92" s="293"/>
      <c r="LJM92" s="294"/>
      <c r="LJS92" s="292"/>
      <c r="LJT92" s="293"/>
      <c r="LJU92" s="294"/>
      <c r="LKA92" s="292"/>
      <c r="LKB92" s="293"/>
      <c r="LKC92" s="294"/>
      <c r="LKI92" s="292"/>
      <c r="LKJ92" s="293"/>
      <c r="LKK92" s="294"/>
      <c r="LKQ92" s="292"/>
      <c r="LKR92" s="293"/>
      <c r="LKS92" s="294"/>
      <c r="LKY92" s="292"/>
      <c r="LKZ92" s="293"/>
      <c r="LLA92" s="294"/>
      <c r="LLG92" s="292"/>
      <c r="LLH92" s="293"/>
      <c r="LLI92" s="294"/>
      <c r="LLO92" s="292"/>
      <c r="LLP92" s="293"/>
      <c r="LLQ92" s="294"/>
      <c r="LLW92" s="292"/>
      <c r="LLX92" s="293"/>
      <c r="LLY92" s="294"/>
      <c r="LME92" s="292"/>
      <c r="LMF92" s="293"/>
      <c r="LMG92" s="294"/>
      <c r="LMM92" s="292"/>
      <c r="LMN92" s="293"/>
      <c r="LMO92" s="294"/>
      <c r="LMU92" s="292"/>
      <c r="LMV92" s="293"/>
      <c r="LMW92" s="294"/>
      <c r="LNC92" s="292"/>
      <c r="LND92" s="293"/>
      <c r="LNE92" s="294"/>
      <c r="LNK92" s="292"/>
      <c r="LNL92" s="293"/>
      <c r="LNM92" s="294"/>
      <c r="LNS92" s="292"/>
      <c r="LNT92" s="293"/>
      <c r="LNU92" s="294"/>
      <c r="LOA92" s="292"/>
      <c r="LOB92" s="293"/>
      <c r="LOC92" s="294"/>
      <c r="LOI92" s="292"/>
      <c r="LOJ92" s="293"/>
      <c r="LOK92" s="294"/>
      <c r="LOQ92" s="292"/>
      <c r="LOR92" s="293"/>
      <c r="LOS92" s="294"/>
      <c r="LOY92" s="292"/>
      <c r="LOZ92" s="293"/>
      <c r="LPA92" s="294"/>
      <c r="LPG92" s="292"/>
      <c r="LPH92" s="293"/>
      <c r="LPI92" s="294"/>
      <c r="LPO92" s="292"/>
      <c r="LPP92" s="293"/>
      <c r="LPQ92" s="294"/>
      <c r="LPW92" s="292"/>
      <c r="LPX92" s="293"/>
      <c r="LPY92" s="294"/>
      <c r="LQE92" s="292"/>
      <c r="LQF92" s="293"/>
      <c r="LQG92" s="294"/>
      <c r="LQM92" s="292"/>
      <c r="LQN92" s="293"/>
      <c r="LQO92" s="294"/>
      <c r="LQU92" s="292"/>
      <c r="LQV92" s="293"/>
      <c r="LQW92" s="294"/>
      <c r="LRC92" s="292"/>
      <c r="LRD92" s="293"/>
      <c r="LRE92" s="294"/>
      <c r="LRK92" s="292"/>
      <c r="LRL92" s="293"/>
      <c r="LRM92" s="294"/>
      <c r="LRS92" s="292"/>
      <c r="LRT92" s="293"/>
      <c r="LRU92" s="294"/>
      <c r="LSA92" s="292"/>
      <c r="LSB92" s="293"/>
      <c r="LSC92" s="294"/>
      <c r="LSI92" s="292"/>
      <c r="LSJ92" s="293"/>
      <c r="LSK92" s="294"/>
      <c r="LSQ92" s="292"/>
      <c r="LSR92" s="293"/>
      <c r="LSS92" s="294"/>
      <c r="LSY92" s="292"/>
      <c r="LSZ92" s="293"/>
      <c r="LTA92" s="294"/>
      <c r="LTG92" s="292"/>
      <c r="LTH92" s="293"/>
      <c r="LTI92" s="294"/>
      <c r="LTO92" s="292"/>
      <c r="LTP92" s="293"/>
      <c r="LTQ92" s="294"/>
      <c r="LTW92" s="292"/>
      <c r="LTX92" s="293"/>
      <c r="LTY92" s="294"/>
      <c r="LUE92" s="292"/>
      <c r="LUF92" s="293"/>
      <c r="LUG92" s="294"/>
      <c r="LUM92" s="292"/>
      <c r="LUN92" s="293"/>
      <c r="LUO92" s="294"/>
      <c r="LUU92" s="292"/>
      <c r="LUV92" s="293"/>
      <c r="LUW92" s="294"/>
      <c r="LVC92" s="292"/>
      <c r="LVD92" s="293"/>
      <c r="LVE92" s="294"/>
      <c r="LVK92" s="292"/>
      <c r="LVL92" s="293"/>
      <c r="LVM92" s="294"/>
      <c r="LVS92" s="292"/>
      <c r="LVT92" s="293"/>
      <c r="LVU92" s="294"/>
      <c r="LWA92" s="292"/>
      <c r="LWB92" s="293"/>
      <c r="LWC92" s="294"/>
      <c r="LWI92" s="292"/>
      <c r="LWJ92" s="293"/>
      <c r="LWK92" s="294"/>
      <c r="LWQ92" s="292"/>
      <c r="LWR92" s="293"/>
      <c r="LWS92" s="294"/>
      <c r="LWY92" s="292"/>
      <c r="LWZ92" s="293"/>
      <c r="LXA92" s="294"/>
      <c r="LXG92" s="292"/>
      <c r="LXH92" s="293"/>
      <c r="LXI92" s="294"/>
      <c r="LXO92" s="292"/>
      <c r="LXP92" s="293"/>
      <c r="LXQ92" s="294"/>
      <c r="LXW92" s="292"/>
      <c r="LXX92" s="293"/>
      <c r="LXY92" s="294"/>
      <c r="LYE92" s="292"/>
      <c r="LYF92" s="293"/>
      <c r="LYG92" s="294"/>
      <c r="LYM92" s="292"/>
      <c r="LYN92" s="293"/>
      <c r="LYO92" s="294"/>
      <c r="LYU92" s="292"/>
      <c r="LYV92" s="293"/>
      <c r="LYW92" s="294"/>
      <c r="LZC92" s="292"/>
      <c r="LZD92" s="293"/>
      <c r="LZE92" s="294"/>
      <c r="LZK92" s="292"/>
      <c r="LZL92" s="293"/>
      <c r="LZM92" s="294"/>
      <c r="LZS92" s="292"/>
      <c r="LZT92" s="293"/>
      <c r="LZU92" s="294"/>
      <c r="MAA92" s="292"/>
      <c r="MAB92" s="293"/>
      <c r="MAC92" s="294"/>
      <c r="MAI92" s="292"/>
      <c r="MAJ92" s="293"/>
      <c r="MAK92" s="294"/>
      <c r="MAQ92" s="292"/>
      <c r="MAR92" s="293"/>
      <c r="MAS92" s="294"/>
      <c r="MAY92" s="292"/>
      <c r="MAZ92" s="293"/>
      <c r="MBA92" s="294"/>
      <c r="MBG92" s="292"/>
      <c r="MBH92" s="293"/>
      <c r="MBI92" s="294"/>
      <c r="MBO92" s="292"/>
      <c r="MBP92" s="293"/>
      <c r="MBQ92" s="294"/>
      <c r="MBW92" s="292"/>
      <c r="MBX92" s="293"/>
      <c r="MBY92" s="294"/>
      <c r="MCE92" s="292"/>
      <c r="MCF92" s="293"/>
      <c r="MCG92" s="294"/>
      <c r="MCM92" s="292"/>
      <c r="MCN92" s="293"/>
      <c r="MCO92" s="294"/>
      <c r="MCU92" s="292"/>
      <c r="MCV92" s="293"/>
      <c r="MCW92" s="294"/>
      <c r="MDC92" s="292"/>
      <c r="MDD92" s="293"/>
      <c r="MDE92" s="294"/>
      <c r="MDK92" s="292"/>
      <c r="MDL92" s="293"/>
      <c r="MDM92" s="294"/>
      <c r="MDS92" s="292"/>
      <c r="MDT92" s="293"/>
      <c r="MDU92" s="294"/>
      <c r="MEA92" s="292"/>
      <c r="MEB92" s="293"/>
      <c r="MEC92" s="294"/>
      <c r="MEI92" s="292"/>
      <c r="MEJ92" s="293"/>
      <c r="MEK92" s="294"/>
      <c r="MEQ92" s="292"/>
      <c r="MER92" s="293"/>
      <c r="MES92" s="294"/>
      <c r="MEY92" s="292"/>
      <c r="MEZ92" s="293"/>
      <c r="MFA92" s="294"/>
      <c r="MFG92" s="292"/>
      <c r="MFH92" s="293"/>
      <c r="MFI92" s="294"/>
      <c r="MFO92" s="292"/>
      <c r="MFP92" s="293"/>
      <c r="MFQ92" s="294"/>
      <c r="MFW92" s="292"/>
      <c r="MFX92" s="293"/>
      <c r="MFY92" s="294"/>
      <c r="MGE92" s="292"/>
      <c r="MGF92" s="293"/>
      <c r="MGG92" s="294"/>
      <c r="MGM92" s="292"/>
      <c r="MGN92" s="293"/>
      <c r="MGO92" s="294"/>
      <c r="MGU92" s="292"/>
      <c r="MGV92" s="293"/>
      <c r="MGW92" s="294"/>
      <c r="MHC92" s="292"/>
      <c r="MHD92" s="293"/>
      <c r="MHE92" s="294"/>
      <c r="MHK92" s="292"/>
      <c r="MHL92" s="293"/>
      <c r="MHM92" s="294"/>
      <c r="MHS92" s="292"/>
      <c r="MHT92" s="293"/>
      <c r="MHU92" s="294"/>
      <c r="MIA92" s="292"/>
      <c r="MIB92" s="293"/>
      <c r="MIC92" s="294"/>
      <c r="MII92" s="292"/>
      <c r="MIJ92" s="293"/>
      <c r="MIK92" s="294"/>
      <c r="MIQ92" s="292"/>
      <c r="MIR92" s="293"/>
      <c r="MIS92" s="294"/>
      <c r="MIY92" s="292"/>
      <c r="MIZ92" s="293"/>
      <c r="MJA92" s="294"/>
      <c r="MJG92" s="292"/>
      <c r="MJH92" s="293"/>
      <c r="MJI92" s="294"/>
      <c r="MJO92" s="292"/>
      <c r="MJP92" s="293"/>
      <c r="MJQ92" s="294"/>
      <c r="MJW92" s="292"/>
      <c r="MJX92" s="293"/>
      <c r="MJY92" s="294"/>
      <c r="MKE92" s="292"/>
      <c r="MKF92" s="293"/>
      <c r="MKG92" s="294"/>
      <c r="MKM92" s="292"/>
      <c r="MKN92" s="293"/>
      <c r="MKO92" s="294"/>
      <c r="MKU92" s="292"/>
      <c r="MKV92" s="293"/>
      <c r="MKW92" s="294"/>
      <c r="MLC92" s="292"/>
      <c r="MLD92" s="293"/>
      <c r="MLE92" s="294"/>
      <c r="MLK92" s="292"/>
      <c r="MLL92" s="293"/>
      <c r="MLM92" s="294"/>
      <c r="MLS92" s="292"/>
      <c r="MLT92" s="293"/>
      <c r="MLU92" s="294"/>
      <c r="MMA92" s="292"/>
      <c r="MMB92" s="293"/>
      <c r="MMC92" s="294"/>
      <c r="MMI92" s="292"/>
      <c r="MMJ92" s="293"/>
      <c r="MMK92" s="294"/>
      <c r="MMQ92" s="292"/>
      <c r="MMR92" s="293"/>
      <c r="MMS92" s="294"/>
      <c r="MMY92" s="292"/>
      <c r="MMZ92" s="293"/>
      <c r="MNA92" s="294"/>
      <c r="MNG92" s="292"/>
      <c r="MNH92" s="293"/>
      <c r="MNI92" s="294"/>
      <c r="MNO92" s="292"/>
      <c r="MNP92" s="293"/>
      <c r="MNQ92" s="294"/>
      <c r="MNW92" s="292"/>
      <c r="MNX92" s="293"/>
      <c r="MNY92" s="294"/>
      <c r="MOE92" s="292"/>
      <c r="MOF92" s="293"/>
      <c r="MOG92" s="294"/>
      <c r="MOM92" s="292"/>
      <c r="MON92" s="293"/>
      <c r="MOO92" s="294"/>
      <c r="MOU92" s="292"/>
      <c r="MOV92" s="293"/>
      <c r="MOW92" s="294"/>
      <c r="MPC92" s="292"/>
      <c r="MPD92" s="293"/>
      <c r="MPE92" s="294"/>
      <c r="MPK92" s="292"/>
      <c r="MPL92" s="293"/>
      <c r="MPM92" s="294"/>
      <c r="MPS92" s="292"/>
      <c r="MPT92" s="293"/>
      <c r="MPU92" s="294"/>
      <c r="MQA92" s="292"/>
      <c r="MQB92" s="293"/>
      <c r="MQC92" s="294"/>
      <c r="MQI92" s="292"/>
      <c r="MQJ92" s="293"/>
      <c r="MQK92" s="294"/>
      <c r="MQQ92" s="292"/>
      <c r="MQR92" s="293"/>
      <c r="MQS92" s="294"/>
      <c r="MQY92" s="292"/>
      <c r="MQZ92" s="293"/>
      <c r="MRA92" s="294"/>
      <c r="MRG92" s="292"/>
      <c r="MRH92" s="293"/>
      <c r="MRI92" s="294"/>
      <c r="MRO92" s="292"/>
      <c r="MRP92" s="293"/>
      <c r="MRQ92" s="294"/>
      <c r="MRW92" s="292"/>
      <c r="MRX92" s="293"/>
      <c r="MRY92" s="294"/>
      <c r="MSE92" s="292"/>
      <c r="MSF92" s="293"/>
      <c r="MSG92" s="294"/>
      <c r="MSM92" s="292"/>
      <c r="MSN92" s="293"/>
      <c r="MSO92" s="294"/>
      <c r="MSU92" s="292"/>
      <c r="MSV92" s="293"/>
      <c r="MSW92" s="294"/>
      <c r="MTC92" s="292"/>
      <c r="MTD92" s="293"/>
      <c r="MTE92" s="294"/>
      <c r="MTK92" s="292"/>
      <c r="MTL92" s="293"/>
      <c r="MTM92" s="294"/>
      <c r="MTS92" s="292"/>
      <c r="MTT92" s="293"/>
      <c r="MTU92" s="294"/>
      <c r="MUA92" s="292"/>
      <c r="MUB92" s="293"/>
      <c r="MUC92" s="294"/>
      <c r="MUI92" s="292"/>
      <c r="MUJ92" s="293"/>
      <c r="MUK92" s="294"/>
      <c r="MUQ92" s="292"/>
      <c r="MUR92" s="293"/>
      <c r="MUS92" s="294"/>
      <c r="MUY92" s="292"/>
      <c r="MUZ92" s="293"/>
      <c r="MVA92" s="294"/>
      <c r="MVG92" s="292"/>
      <c r="MVH92" s="293"/>
      <c r="MVI92" s="294"/>
      <c r="MVO92" s="292"/>
      <c r="MVP92" s="293"/>
      <c r="MVQ92" s="294"/>
      <c r="MVW92" s="292"/>
      <c r="MVX92" s="293"/>
      <c r="MVY92" s="294"/>
      <c r="MWE92" s="292"/>
      <c r="MWF92" s="293"/>
      <c r="MWG92" s="294"/>
      <c r="MWM92" s="292"/>
      <c r="MWN92" s="293"/>
      <c r="MWO92" s="294"/>
      <c r="MWU92" s="292"/>
      <c r="MWV92" s="293"/>
      <c r="MWW92" s="294"/>
      <c r="MXC92" s="292"/>
      <c r="MXD92" s="293"/>
      <c r="MXE92" s="294"/>
      <c r="MXK92" s="292"/>
      <c r="MXL92" s="293"/>
      <c r="MXM92" s="294"/>
      <c r="MXS92" s="292"/>
      <c r="MXT92" s="293"/>
      <c r="MXU92" s="294"/>
      <c r="MYA92" s="292"/>
      <c r="MYB92" s="293"/>
      <c r="MYC92" s="294"/>
      <c r="MYI92" s="292"/>
      <c r="MYJ92" s="293"/>
      <c r="MYK92" s="294"/>
      <c r="MYQ92" s="292"/>
      <c r="MYR92" s="293"/>
      <c r="MYS92" s="294"/>
      <c r="MYY92" s="292"/>
      <c r="MYZ92" s="293"/>
      <c r="MZA92" s="294"/>
      <c r="MZG92" s="292"/>
      <c r="MZH92" s="293"/>
      <c r="MZI92" s="294"/>
      <c r="MZO92" s="292"/>
      <c r="MZP92" s="293"/>
      <c r="MZQ92" s="294"/>
      <c r="MZW92" s="292"/>
      <c r="MZX92" s="293"/>
      <c r="MZY92" s="294"/>
      <c r="NAE92" s="292"/>
      <c r="NAF92" s="293"/>
      <c r="NAG92" s="294"/>
      <c r="NAM92" s="292"/>
      <c r="NAN92" s="293"/>
      <c r="NAO92" s="294"/>
      <c r="NAU92" s="292"/>
      <c r="NAV92" s="293"/>
      <c r="NAW92" s="294"/>
      <c r="NBC92" s="292"/>
      <c r="NBD92" s="293"/>
      <c r="NBE92" s="294"/>
      <c r="NBK92" s="292"/>
      <c r="NBL92" s="293"/>
      <c r="NBM92" s="294"/>
      <c r="NBS92" s="292"/>
      <c r="NBT92" s="293"/>
      <c r="NBU92" s="294"/>
      <c r="NCA92" s="292"/>
      <c r="NCB92" s="293"/>
      <c r="NCC92" s="294"/>
      <c r="NCI92" s="292"/>
      <c r="NCJ92" s="293"/>
      <c r="NCK92" s="294"/>
      <c r="NCQ92" s="292"/>
      <c r="NCR92" s="293"/>
      <c r="NCS92" s="294"/>
      <c r="NCY92" s="292"/>
      <c r="NCZ92" s="293"/>
      <c r="NDA92" s="294"/>
      <c r="NDG92" s="292"/>
      <c r="NDH92" s="293"/>
      <c r="NDI92" s="294"/>
      <c r="NDO92" s="292"/>
      <c r="NDP92" s="293"/>
      <c r="NDQ92" s="294"/>
      <c r="NDW92" s="292"/>
      <c r="NDX92" s="293"/>
      <c r="NDY92" s="294"/>
      <c r="NEE92" s="292"/>
      <c r="NEF92" s="293"/>
      <c r="NEG92" s="294"/>
      <c r="NEM92" s="292"/>
      <c r="NEN92" s="293"/>
      <c r="NEO92" s="294"/>
      <c r="NEU92" s="292"/>
      <c r="NEV92" s="293"/>
      <c r="NEW92" s="294"/>
      <c r="NFC92" s="292"/>
      <c r="NFD92" s="293"/>
      <c r="NFE92" s="294"/>
      <c r="NFK92" s="292"/>
      <c r="NFL92" s="293"/>
      <c r="NFM92" s="294"/>
      <c r="NFS92" s="292"/>
      <c r="NFT92" s="293"/>
      <c r="NFU92" s="294"/>
      <c r="NGA92" s="292"/>
      <c r="NGB92" s="293"/>
      <c r="NGC92" s="294"/>
      <c r="NGI92" s="292"/>
      <c r="NGJ92" s="293"/>
      <c r="NGK92" s="294"/>
      <c r="NGQ92" s="292"/>
      <c r="NGR92" s="293"/>
      <c r="NGS92" s="294"/>
      <c r="NGY92" s="292"/>
      <c r="NGZ92" s="293"/>
      <c r="NHA92" s="294"/>
      <c r="NHG92" s="292"/>
      <c r="NHH92" s="293"/>
      <c r="NHI92" s="294"/>
      <c r="NHO92" s="292"/>
      <c r="NHP92" s="293"/>
      <c r="NHQ92" s="294"/>
      <c r="NHW92" s="292"/>
      <c r="NHX92" s="293"/>
      <c r="NHY92" s="294"/>
      <c r="NIE92" s="292"/>
      <c r="NIF92" s="293"/>
      <c r="NIG92" s="294"/>
      <c r="NIM92" s="292"/>
      <c r="NIN92" s="293"/>
      <c r="NIO92" s="294"/>
      <c r="NIU92" s="292"/>
      <c r="NIV92" s="293"/>
      <c r="NIW92" s="294"/>
      <c r="NJC92" s="292"/>
      <c r="NJD92" s="293"/>
      <c r="NJE92" s="294"/>
      <c r="NJK92" s="292"/>
      <c r="NJL92" s="293"/>
      <c r="NJM92" s="294"/>
      <c r="NJS92" s="292"/>
      <c r="NJT92" s="293"/>
      <c r="NJU92" s="294"/>
      <c r="NKA92" s="292"/>
      <c r="NKB92" s="293"/>
      <c r="NKC92" s="294"/>
      <c r="NKI92" s="292"/>
      <c r="NKJ92" s="293"/>
      <c r="NKK92" s="294"/>
      <c r="NKQ92" s="292"/>
      <c r="NKR92" s="293"/>
      <c r="NKS92" s="294"/>
      <c r="NKY92" s="292"/>
      <c r="NKZ92" s="293"/>
      <c r="NLA92" s="294"/>
      <c r="NLG92" s="292"/>
      <c r="NLH92" s="293"/>
      <c r="NLI92" s="294"/>
      <c r="NLO92" s="292"/>
      <c r="NLP92" s="293"/>
      <c r="NLQ92" s="294"/>
      <c r="NLW92" s="292"/>
      <c r="NLX92" s="293"/>
      <c r="NLY92" s="294"/>
      <c r="NME92" s="292"/>
      <c r="NMF92" s="293"/>
      <c r="NMG92" s="294"/>
      <c r="NMM92" s="292"/>
      <c r="NMN92" s="293"/>
      <c r="NMO92" s="294"/>
      <c r="NMU92" s="292"/>
      <c r="NMV92" s="293"/>
      <c r="NMW92" s="294"/>
      <c r="NNC92" s="292"/>
      <c r="NND92" s="293"/>
      <c r="NNE92" s="294"/>
      <c r="NNK92" s="292"/>
      <c r="NNL92" s="293"/>
      <c r="NNM92" s="294"/>
      <c r="NNS92" s="292"/>
      <c r="NNT92" s="293"/>
      <c r="NNU92" s="294"/>
      <c r="NOA92" s="292"/>
      <c r="NOB92" s="293"/>
      <c r="NOC92" s="294"/>
      <c r="NOI92" s="292"/>
      <c r="NOJ92" s="293"/>
      <c r="NOK92" s="294"/>
      <c r="NOQ92" s="292"/>
      <c r="NOR92" s="293"/>
      <c r="NOS92" s="294"/>
      <c r="NOY92" s="292"/>
      <c r="NOZ92" s="293"/>
      <c r="NPA92" s="294"/>
      <c r="NPG92" s="292"/>
      <c r="NPH92" s="293"/>
      <c r="NPI92" s="294"/>
      <c r="NPO92" s="292"/>
      <c r="NPP92" s="293"/>
      <c r="NPQ92" s="294"/>
      <c r="NPW92" s="292"/>
      <c r="NPX92" s="293"/>
      <c r="NPY92" s="294"/>
      <c r="NQE92" s="292"/>
      <c r="NQF92" s="293"/>
      <c r="NQG92" s="294"/>
      <c r="NQM92" s="292"/>
      <c r="NQN92" s="293"/>
      <c r="NQO92" s="294"/>
      <c r="NQU92" s="292"/>
      <c r="NQV92" s="293"/>
      <c r="NQW92" s="294"/>
      <c r="NRC92" s="292"/>
      <c r="NRD92" s="293"/>
      <c r="NRE92" s="294"/>
      <c r="NRK92" s="292"/>
      <c r="NRL92" s="293"/>
      <c r="NRM92" s="294"/>
      <c r="NRS92" s="292"/>
      <c r="NRT92" s="293"/>
      <c r="NRU92" s="294"/>
      <c r="NSA92" s="292"/>
      <c r="NSB92" s="293"/>
      <c r="NSC92" s="294"/>
      <c r="NSI92" s="292"/>
      <c r="NSJ92" s="293"/>
      <c r="NSK92" s="294"/>
      <c r="NSQ92" s="292"/>
      <c r="NSR92" s="293"/>
      <c r="NSS92" s="294"/>
      <c r="NSY92" s="292"/>
      <c r="NSZ92" s="293"/>
      <c r="NTA92" s="294"/>
      <c r="NTG92" s="292"/>
      <c r="NTH92" s="293"/>
      <c r="NTI92" s="294"/>
      <c r="NTO92" s="292"/>
      <c r="NTP92" s="293"/>
      <c r="NTQ92" s="294"/>
      <c r="NTW92" s="292"/>
      <c r="NTX92" s="293"/>
      <c r="NTY92" s="294"/>
      <c r="NUE92" s="292"/>
      <c r="NUF92" s="293"/>
      <c r="NUG92" s="294"/>
      <c r="NUM92" s="292"/>
      <c r="NUN92" s="293"/>
      <c r="NUO92" s="294"/>
      <c r="NUU92" s="292"/>
      <c r="NUV92" s="293"/>
      <c r="NUW92" s="294"/>
      <c r="NVC92" s="292"/>
      <c r="NVD92" s="293"/>
      <c r="NVE92" s="294"/>
      <c r="NVK92" s="292"/>
      <c r="NVL92" s="293"/>
      <c r="NVM92" s="294"/>
      <c r="NVS92" s="292"/>
      <c r="NVT92" s="293"/>
      <c r="NVU92" s="294"/>
      <c r="NWA92" s="292"/>
      <c r="NWB92" s="293"/>
      <c r="NWC92" s="294"/>
      <c r="NWI92" s="292"/>
      <c r="NWJ92" s="293"/>
      <c r="NWK92" s="294"/>
      <c r="NWQ92" s="292"/>
      <c r="NWR92" s="293"/>
      <c r="NWS92" s="294"/>
      <c r="NWY92" s="292"/>
      <c r="NWZ92" s="293"/>
      <c r="NXA92" s="294"/>
      <c r="NXG92" s="292"/>
      <c r="NXH92" s="293"/>
      <c r="NXI92" s="294"/>
      <c r="NXO92" s="292"/>
      <c r="NXP92" s="293"/>
      <c r="NXQ92" s="294"/>
      <c r="NXW92" s="292"/>
      <c r="NXX92" s="293"/>
      <c r="NXY92" s="294"/>
      <c r="NYE92" s="292"/>
      <c r="NYF92" s="293"/>
      <c r="NYG92" s="294"/>
      <c r="NYM92" s="292"/>
      <c r="NYN92" s="293"/>
      <c r="NYO92" s="294"/>
      <c r="NYU92" s="292"/>
      <c r="NYV92" s="293"/>
      <c r="NYW92" s="294"/>
      <c r="NZC92" s="292"/>
      <c r="NZD92" s="293"/>
      <c r="NZE92" s="294"/>
      <c r="NZK92" s="292"/>
      <c r="NZL92" s="293"/>
      <c r="NZM92" s="294"/>
      <c r="NZS92" s="292"/>
      <c r="NZT92" s="293"/>
      <c r="NZU92" s="294"/>
      <c r="OAA92" s="292"/>
      <c r="OAB92" s="293"/>
      <c r="OAC92" s="294"/>
      <c r="OAI92" s="292"/>
      <c r="OAJ92" s="293"/>
      <c r="OAK92" s="294"/>
      <c r="OAQ92" s="292"/>
      <c r="OAR92" s="293"/>
      <c r="OAS92" s="294"/>
      <c r="OAY92" s="292"/>
      <c r="OAZ92" s="293"/>
      <c r="OBA92" s="294"/>
      <c r="OBG92" s="292"/>
      <c r="OBH92" s="293"/>
      <c r="OBI92" s="294"/>
      <c r="OBO92" s="292"/>
      <c r="OBP92" s="293"/>
      <c r="OBQ92" s="294"/>
      <c r="OBW92" s="292"/>
      <c r="OBX92" s="293"/>
      <c r="OBY92" s="294"/>
      <c r="OCE92" s="292"/>
      <c r="OCF92" s="293"/>
      <c r="OCG92" s="294"/>
      <c r="OCM92" s="292"/>
      <c r="OCN92" s="293"/>
      <c r="OCO92" s="294"/>
      <c r="OCU92" s="292"/>
      <c r="OCV92" s="293"/>
      <c r="OCW92" s="294"/>
      <c r="ODC92" s="292"/>
      <c r="ODD92" s="293"/>
      <c r="ODE92" s="294"/>
      <c r="ODK92" s="292"/>
      <c r="ODL92" s="293"/>
      <c r="ODM92" s="294"/>
      <c r="ODS92" s="292"/>
      <c r="ODT92" s="293"/>
      <c r="ODU92" s="294"/>
      <c r="OEA92" s="292"/>
      <c r="OEB92" s="293"/>
      <c r="OEC92" s="294"/>
      <c r="OEI92" s="292"/>
      <c r="OEJ92" s="293"/>
      <c r="OEK92" s="294"/>
      <c r="OEQ92" s="292"/>
      <c r="OER92" s="293"/>
      <c r="OES92" s="294"/>
      <c r="OEY92" s="292"/>
      <c r="OEZ92" s="293"/>
      <c r="OFA92" s="294"/>
      <c r="OFG92" s="292"/>
      <c r="OFH92" s="293"/>
      <c r="OFI92" s="294"/>
      <c r="OFO92" s="292"/>
      <c r="OFP92" s="293"/>
      <c r="OFQ92" s="294"/>
      <c r="OFW92" s="292"/>
      <c r="OFX92" s="293"/>
      <c r="OFY92" s="294"/>
      <c r="OGE92" s="292"/>
      <c r="OGF92" s="293"/>
      <c r="OGG92" s="294"/>
      <c r="OGM92" s="292"/>
      <c r="OGN92" s="293"/>
      <c r="OGO92" s="294"/>
      <c r="OGU92" s="292"/>
      <c r="OGV92" s="293"/>
      <c r="OGW92" s="294"/>
      <c r="OHC92" s="292"/>
      <c r="OHD92" s="293"/>
      <c r="OHE92" s="294"/>
      <c r="OHK92" s="292"/>
      <c r="OHL92" s="293"/>
      <c r="OHM92" s="294"/>
      <c r="OHS92" s="292"/>
      <c r="OHT92" s="293"/>
      <c r="OHU92" s="294"/>
      <c r="OIA92" s="292"/>
      <c r="OIB92" s="293"/>
      <c r="OIC92" s="294"/>
      <c r="OII92" s="292"/>
      <c r="OIJ92" s="293"/>
      <c r="OIK92" s="294"/>
      <c r="OIQ92" s="292"/>
      <c r="OIR92" s="293"/>
      <c r="OIS92" s="294"/>
      <c r="OIY92" s="292"/>
      <c r="OIZ92" s="293"/>
      <c r="OJA92" s="294"/>
      <c r="OJG92" s="292"/>
      <c r="OJH92" s="293"/>
      <c r="OJI92" s="294"/>
      <c r="OJO92" s="292"/>
      <c r="OJP92" s="293"/>
      <c r="OJQ92" s="294"/>
      <c r="OJW92" s="292"/>
      <c r="OJX92" s="293"/>
      <c r="OJY92" s="294"/>
      <c r="OKE92" s="292"/>
      <c r="OKF92" s="293"/>
      <c r="OKG92" s="294"/>
      <c r="OKM92" s="292"/>
      <c r="OKN92" s="293"/>
      <c r="OKO92" s="294"/>
      <c r="OKU92" s="292"/>
      <c r="OKV92" s="293"/>
      <c r="OKW92" s="294"/>
      <c r="OLC92" s="292"/>
      <c r="OLD92" s="293"/>
      <c r="OLE92" s="294"/>
      <c r="OLK92" s="292"/>
      <c r="OLL92" s="293"/>
      <c r="OLM92" s="294"/>
      <c r="OLS92" s="292"/>
      <c r="OLT92" s="293"/>
      <c r="OLU92" s="294"/>
      <c r="OMA92" s="292"/>
      <c r="OMB92" s="293"/>
      <c r="OMC92" s="294"/>
      <c r="OMI92" s="292"/>
      <c r="OMJ92" s="293"/>
      <c r="OMK92" s="294"/>
      <c r="OMQ92" s="292"/>
      <c r="OMR92" s="293"/>
      <c r="OMS92" s="294"/>
      <c r="OMY92" s="292"/>
      <c r="OMZ92" s="293"/>
      <c r="ONA92" s="294"/>
      <c r="ONG92" s="292"/>
      <c r="ONH92" s="293"/>
      <c r="ONI92" s="294"/>
      <c r="ONO92" s="292"/>
      <c r="ONP92" s="293"/>
      <c r="ONQ92" s="294"/>
      <c r="ONW92" s="292"/>
      <c r="ONX92" s="293"/>
      <c r="ONY92" s="294"/>
      <c r="OOE92" s="292"/>
      <c r="OOF92" s="293"/>
      <c r="OOG92" s="294"/>
      <c r="OOM92" s="292"/>
      <c r="OON92" s="293"/>
      <c r="OOO92" s="294"/>
      <c r="OOU92" s="292"/>
      <c r="OOV92" s="293"/>
      <c r="OOW92" s="294"/>
      <c r="OPC92" s="292"/>
      <c r="OPD92" s="293"/>
      <c r="OPE92" s="294"/>
      <c r="OPK92" s="292"/>
      <c r="OPL92" s="293"/>
      <c r="OPM92" s="294"/>
      <c r="OPS92" s="292"/>
      <c r="OPT92" s="293"/>
      <c r="OPU92" s="294"/>
      <c r="OQA92" s="292"/>
      <c r="OQB92" s="293"/>
      <c r="OQC92" s="294"/>
      <c r="OQI92" s="292"/>
      <c r="OQJ92" s="293"/>
      <c r="OQK92" s="294"/>
      <c r="OQQ92" s="292"/>
      <c r="OQR92" s="293"/>
      <c r="OQS92" s="294"/>
      <c r="OQY92" s="292"/>
      <c r="OQZ92" s="293"/>
      <c r="ORA92" s="294"/>
      <c r="ORG92" s="292"/>
      <c r="ORH92" s="293"/>
      <c r="ORI92" s="294"/>
      <c r="ORO92" s="292"/>
      <c r="ORP92" s="293"/>
      <c r="ORQ92" s="294"/>
      <c r="ORW92" s="292"/>
      <c r="ORX92" s="293"/>
      <c r="ORY92" s="294"/>
      <c r="OSE92" s="292"/>
      <c r="OSF92" s="293"/>
      <c r="OSG92" s="294"/>
      <c r="OSM92" s="292"/>
      <c r="OSN92" s="293"/>
      <c r="OSO92" s="294"/>
      <c r="OSU92" s="292"/>
      <c r="OSV92" s="293"/>
      <c r="OSW92" s="294"/>
      <c r="OTC92" s="292"/>
      <c r="OTD92" s="293"/>
      <c r="OTE92" s="294"/>
      <c r="OTK92" s="292"/>
      <c r="OTL92" s="293"/>
      <c r="OTM92" s="294"/>
      <c r="OTS92" s="292"/>
      <c r="OTT92" s="293"/>
      <c r="OTU92" s="294"/>
      <c r="OUA92" s="292"/>
      <c r="OUB92" s="293"/>
      <c r="OUC92" s="294"/>
      <c r="OUI92" s="292"/>
      <c r="OUJ92" s="293"/>
      <c r="OUK92" s="294"/>
      <c r="OUQ92" s="292"/>
      <c r="OUR92" s="293"/>
      <c r="OUS92" s="294"/>
      <c r="OUY92" s="292"/>
      <c r="OUZ92" s="293"/>
      <c r="OVA92" s="294"/>
      <c r="OVG92" s="292"/>
      <c r="OVH92" s="293"/>
      <c r="OVI92" s="294"/>
      <c r="OVO92" s="292"/>
      <c r="OVP92" s="293"/>
      <c r="OVQ92" s="294"/>
      <c r="OVW92" s="292"/>
      <c r="OVX92" s="293"/>
      <c r="OVY92" s="294"/>
      <c r="OWE92" s="292"/>
      <c r="OWF92" s="293"/>
      <c r="OWG92" s="294"/>
      <c r="OWM92" s="292"/>
      <c r="OWN92" s="293"/>
      <c r="OWO92" s="294"/>
      <c r="OWU92" s="292"/>
      <c r="OWV92" s="293"/>
      <c r="OWW92" s="294"/>
      <c r="OXC92" s="292"/>
      <c r="OXD92" s="293"/>
      <c r="OXE92" s="294"/>
      <c r="OXK92" s="292"/>
      <c r="OXL92" s="293"/>
      <c r="OXM92" s="294"/>
      <c r="OXS92" s="292"/>
      <c r="OXT92" s="293"/>
      <c r="OXU92" s="294"/>
      <c r="OYA92" s="292"/>
      <c r="OYB92" s="293"/>
      <c r="OYC92" s="294"/>
      <c r="OYI92" s="292"/>
      <c r="OYJ92" s="293"/>
      <c r="OYK92" s="294"/>
      <c r="OYQ92" s="292"/>
      <c r="OYR92" s="293"/>
      <c r="OYS92" s="294"/>
      <c r="OYY92" s="292"/>
      <c r="OYZ92" s="293"/>
      <c r="OZA92" s="294"/>
      <c r="OZG92" s="292"/>
      <c r="OZH92" s="293"/>
      <c r="OZI92" s="294"/>
      <c r="OZO92" s="292"/>
      <c r="OZP92" s="293"/>
      <c r="OZQ92" s="294"/>
      <c r="OZW92" s="292"/>
      <c r="OZX92" s="293"/>
      <c r="OZY92" s="294"/>
      <c r="PAE92" s="292"/>
      <c r="PAF92" s="293"/>
      <c r="PAG92" s="294"/>
      <c r="PAM92" s="292"/>
      <c r="PAN92" s="293"/>
      <c r="PAO92" s="294"/>
      <c r="PAU92" s="292"/>
      <c r="PAV92" s="293"/>
      <c r="PAW92" s="294"/>
      <c r="PBC92" s="292"/>
      <c r="PBD92" s="293"/>
      <c r="PBE92" s="294"/>
      <c r="PBK92" s="292"/>
      <c r="PBL92" s="293"/>
      <c r="PBM92" s="294"/>
      <c r="PBS92" s="292"/>
      <c r="PBT92" s="293"/>
      <c r="PBU92" s="294"/>
      <c r="PCA92" s="292"/>
      <c r="PCB92" s="293"/>
      <c r="PCC92" s="294"/>
      <c r="PCI92" s="292"/>
      <c r="PCJ92" s="293"/>
      <c r="PCK92" s="294"/>
      <c r="PCQ92" s="292"/>
      <c r="PCR92" s="293"/>
      <c r="PCS92" s="294"/>
      <c r="PCY92" s="292"/>
      <c r="PCZ92" s="293"/>
      <c r="PDA92" s="294"/>
      <c r="PDG92" s="292"/>
      <c r="PDH92" s="293"/>
      <c r="PDI92" s="294"/>
      <c r="PDO92" s="292"/>
      <c r="PDP92" s="293"/>
      <c r="PDQ92" s="294"/>
      <c r="PDW92" s="292"/>
      <c r="PDX92" s="293"/>
      <c r="PDY92" s="294"/>
      <c r="PEE92" s="292"/>
      <c r="PEF92" s="293"/>
      <c r="PEG92" s="294"/>
      <c r="PEM92" s="292"/>
      <c r="PEN92" s="293"/>
      <c r="PEO92" s="294"/>
      <c r="PEU92" s="292"/>
      <c r="PEV92" s="293"/>
      <c r="PEW92" s="294"/>
      <c r="PFC92" s="292"/>
      <c r="PFD92" s="293"/>
      <c r="PFE92" s="294"/>
      <c r="PFK92" s="292"/>
      <c r="PFL92" s="293"/>
      <c r="PFM92" s="294"/>
      <c r="PFS92" s="292"/>
      <c r="PFT92" s="293"/>
      <c r="PFU92" s="294"/>
      <c r="PGA92" s="292"/>
      <c r="PGB92" s="293"/>
      <c r="PGC92" s="294"/>
      <c r="PGI92" s="292"/>
      <c r="PGJ92" s="293"/>
      <c r="PGK92" s="294"/>
      <c r="PGQ92" s="292"/>
      <c r="PGR92" s="293"/>
      <c r="PGS92" s="294"/>
      <c r="PGY92" s="292"/>
      <c r="PGZ92" s="293"/>
      <c r="PHA92" s="294"/>
      <c r="PHG92" s="292"/>
      <c r="PHH92" s="293"/>
      <c r="PHI92" s="294"/>
      <c r="PHO92" s="292"/>
      <c r="PHP92" s="293"/>
      <c r="PHQ92" s="294"/>
      <c r="PHW92" s="292"/>
      <c r="PHX92" s="293"/>
      <c r="PHY92" s="294"/>
      <c r="PIE92" s="292"/>
      <c r="PIF92" s="293"/>
      <c r="PIG92" s="294"/>
      <c r="PIM92" s="292"/>
      <c r="PIN92" s="293"/>
      <c r="PIO92" s="294"/>
      <c r="PIU92" s="292"/>
      <c r="PIV92" s="293"/>
      <c r="PIW92" s="294"/>
      <c r="PJC92" s="292"/>
      <c r="PJD92" s="293"/>
      <c r="PJE92" s="294"/>
      <c r="PJK92" s="292"/>
      <c r="PJL92" s="293"/>
      <c r="PJM92" s="294"/>
      <c r="PJS92" s="292"/>
      <c r="PJT92" s="293"/>
      <c r="PJU92" s="294"/>
      <c r="PKA92" s="292"/>
      <c r="PKB92" s="293"/>
      <c r="PKC92" s="294"/>
      <c r="PKI92" s="292"/>
      <c r="PKJ92" s="293"/>
      <c r="PKK92" s="294"/>
      <c r="PKQ92" s="292"/>
      <c r="PKR92" s="293"/>
      <c r="PKS92" s="294"/>
      <c r="PKY92" s="292"/>
      <c r="PKZ92" s="293"/>
      <c r="PLA92" s="294"/>
      <c r="PLG92" s="292"/>
      <c r="PLH92" s="293"/>
      <c r="PLI92" s="294"/>
      <c r="PLO92" s="292"/>
      <c r="PLP92" s="293"/>
      <c r="PLQ92" s="294"/>
      <c r="PLW92" s="292"/>
      <c r="PLX92" s="293"/>
      <c r="PLY92" s="294"/>
      <c r="PME92" s="292"/>
      <c r="PMF92" s="293"/>
      <c r="PMG92" s="294"/>
      <c r="PMM92" s="292"/>
      <c r="PMN92" s="293"/>
      <c r="PMO92" s="294"/>
      <c r="PMU92" s="292"/>
      <c r="PMV92" s="293"/>
      <c r="PMW92" s="294"/>
      <c r="PNC92" s="292"/>
      <c r="PND92" s="293"/>
      <c r="PNE92" s="294"/>
      <c r="PNK92" s="292"/>
      <c r="PNL92" s="293"/>
      <c r="PNM92" s="294"/>
      <c r="PNS92" s="292"/>
      <c r="PNT92" s="293"/>
      <c r="PNU92" s="294"/>
      <c r="POA92" s="292"/>
      <c r="POB92" s="293"/>
      <c r="POC92" s="294"/>
      <c r="POI92" s="292"/>
      <c r="POJ92" s="293"/>
      <c r="POK92" s="294"/>
      <c r="POQ92" s="292"/>
      <c r="POR92" s="293"/>
      <c r="POS92" s="294"/>
      <c r="POY92" s="292"/>
      <c r="POZ92" s="293"/>
      <c r="PPA92" s="294"/>
      <c r="PPG92" s="292"/>
      <c r="PPH92" s="293"/>
      <c r="PPI92" s="294"/>
      <c r="PPO92" s="292"/>
      <c r="PPP92" s="293"/>
      <c r="PPQ92" s="294"/>
      <c r="PPW92" s="292"/>
      <c r="PPX92" s="293"/>
      <c r="PPY92" s="294"/>
      <c r="PQE92" s="292"/>
      <c r="PQF92" s="293"/>
      <c r="PQG92" s="294"/>
      <c r="PQM92" s="292"/>
      <c r="PQN92" s="293"/>
      <c r="PQO92" s="294"/>
      <c r="PQU92" s="292"/>
      <c r="PQV92" s="293"/>
      <c r="PQW92" s="294"/>
      <c r="PRC92" s="292"/>
      <c r="PRD92" s="293"/>
      <c r="PRE92" s="294"/>
      <c r="PRK92" s="292"/>
      <c r="PRL92" s="293"/>
      <c r="PRM92" s="294"/>
      <c r="PRS92" s="292"/>
      <c r="PRT92" s="293"/>
      <c r="PRU92" s="294"/>
      <c r="PSA92" s="292"/>
      <c r="PSB92" s="293"/>
      <c r="PSC92" s="294"/>
      <c r="PSI92" s="292"/>
      <c r="PSJ92" s="293"/>
      <c r="PSK92" s="294"/>
      <c r="PSQ92" s="292"/>
      <c r="PSR92" s="293"/>
      <c r="PSS92" s="294"/>
      <c r="PSY92" s="292"/>
      <c r="PSZ92" s="293"/>
      <c r="PTA92" s="294"/>
      <c r="PTG92" s="292"/>
      <c r="PTH92" s="293"/>
      <c r="PTI92" s="294"/>
      <c r="PTO92" s="292"/>
      <c r="PTP92" s="293"/>
      <c r="PTQ92" s="294"/>
      <c r="PTW92" s="292"/>
      <c r="PTX92" s="293"/>
      <c r="PTY92" s="294"/>
      <c r="PUE92" s="292"/>
      <c r="PUF92" s="293"/>
      <c r="PUG92" s="294"/>
      <c r="PUM92" s="292"/>
      <c r="PUN92" s="293"/>
      <c r="PUO92" s="294"/>
      <c r="PUU92" s="292"/>
      <c r="PUV92" s="293"/>
      <c r="PUW92" s="294"/>
      <c r="PVC92" s="292"/>
      <c r="PVD92" s="293"/>
      <c r="PVE92" s="294"/>
      <c r="PVK92" s="292"/>
      <c r="PVL92" s="293"/>
      <c r="PVM92" s="294"/>
      <c r="PVS92" s="292"/>
      <c r="PVT92" s="293"/>
      <c r="PVU92" s="294"/>
      <c r="PWA92" s="292"/>
      <c r="PWB92" s="293"/>
      <c r="PWC92" s="294"/>
      <c r="PWI92" s="292"/>
      <c r="PWJ92" s="293"/>
      <c r="PWK92" s="294"/>
      <c r="PWQ92" s="292"/>
      <c r="PWR92" s="293"/>
      <c r="PWS92" s="294"/>
      <c r="PWY92" s="292"/>
      <c r="PWZ92" s="293"/>
      <c r="PXA92" s="294"/>
      <c r="PXG92" s="292"/>
      <c r="PXH92" s="293"/>
      <c r="PXI92" s="294"/>
      <c r="PXO92" s="292"/>
      <c r="PXP92" s="293"/>
      <c r="PXQ92" s="294"/>
      <c r="PXW92" s="292"/>
      <c r="PXX92" s="293"/>
      <c r="PXY92" s="294"/>
      <c r="PYE92" s="292"/>
      <c r="PYF92" s="293"/>
      <c r="PYG92" s="294"/>
      <c r="PYM92" s="292"/>
      <c r="PYN92" s="293"/>
      <c r="PYO92" s="294"/>
      <c r="PYU92" s="292"/>
      <c r="PYV92" s="293"/>
      <c r="PYW92" s="294"/>
      <c r="PZC92" s="292"/>
      <c r="PZD92" s="293"/>
      <c r="PZE92" s="294"/>
      <c r="PZK92" s="292"/>
      <c r="PZL92" s="293"/>
      <c r="PZM92" s="294"/>
      <c r="PZS92" s="292"/>
      <c r="PZT92" s="293"/>
      <c r="PZU92" s="294"/>
      <c r="QAA92" s="292"/>
      <c r="QAB92" s="293"/>
      <c r="QAC92" s="294"/>
      <c r="QAI92" s="292"/>
      <c r="QAJ92" s="293"/>
      <c r="QAK92" s="294"/>
      <c r="QAQ92" s="292"/>
      <c r="QAR92" s="293"/>
      <c r="QAS92" s="294"/>
      <c r="QAY92" s="292"/>
      <c r="QAZ92" s="293"/>
      <c r="QBA92" s="294"/>
      <c r="QBG92" s="292"/>
      <c r="QBH92" s="293"/>
      <c r="QBI92" s="294"/>
      <c r="QBO92" s="292"/>
      <c r="QBP92" s="293"/>
      <c r="QBQ92" s="294"/>
      <c r="QBW92" s="292"/>
      <c r="QBX92" s="293"/>
      <c r="QBY92" s="294"/>
      <c r="QCE92" s="292"/>
      <c r="QCF92" s="293"/>
      <c r="QCG92" s="294"/>
      <c r="QCM92" s="292"/>
      <c r="QCN92" s="293"/>
      <c r="QCO92" s="294"/>
      <c r="QCU92" s="292"/>
      <c r="QCV92" s="293"/>
      <c r="QCW92" s="294"/>
      <c r="QDC92" s="292"/>
      <c r="QDD92" s="293"/>
      <c r="QDE92" s="294"/>
      <c r="QDK92" s="292"/>
      <c r="QDL92" s="293"/>
      <c r="QDM92" s="294"/>
      <c r="QDS92" s="292"/>
      <c r="QDT92" s="293"/>
      <c r="QDU92" s="294"/>
      <c r="QEA92" s="292"/>
      <c r="QEB92" s="293"/>
      <c r="QEC92" s="294"/>
      <c r="QEI92" s="292"/>
      <c r="QEJ92" s="293"/>
      <c r="QEK92" s="294"/>
      <c r="QEQ92" s="292"/>
      <c r="QER92" s="293"/>
      <c r="QES92" s="294"/>
      <c r="QEY92" s="292"/>
      <c r="QEZ92" s="293"/>
      <c r="QFA92" s="294"/>
      <c r="QFG92" s="292"/>
      <c r="QFH92" s="293"/>
      <c r="QFI92" s="294"/>
      <c r="QFO92" s="292"/>
      <c r="QFP92" s="293"/>
      <c r="QFQ92" s="294"/>
      <c r="QFW92" s="292"/>
      <c r="QFX92" s="293"/>
      <c r="QFY92" s="294"/>
      <c r="QGE92" s="292"/>
      <c r="QGF92" s="293"/>
      <c r="QGG92" s="294"/>
      <c r="QGM92" s="292"/>
      <c r="QGN92" s="293"/>
      <c r="QGO92" s="294"/>
      <c r="QGU92" s="292"/>
      <c r="QGV92" s="293"/>
      <c r="QGW92" s="294"/>
      <c r="QHC92" s="292"/>
      <c r="QHD92" s="293"/>
      <c r="QHE92" s="294"/>
      <c r="QHK92" s="292"/>
      <c r="QHL92" s="293"/>
      <c r="QHM92" s="294"/>
      <c r="QHS92" s="292"/>
      <c r="QHT92" s="293"/>
      <c r="QHU92" s="294"/>
      <c r="QIA92" s="292"/>
      <c r="QIB92" s="293"/>
      <c r="QIC92" s="294"/>
      <c r="QII92" s="292"/>
      <c r="QIJ92" s="293"/>
      <c r="QIK92" s="294"/>
      <c r="QIQ92" s="292"/>
      <c r="QIR92" s="293"/>
      <c r="QIS92" s="294"/>
      <c r="QIY92" s="292"/>
      <c r="QIZ92" s="293"/>
      <c r="QJA92" s="294"/>
      <c r="QJG92" s="292"/>
      <c r="QJH92" s="293"/>
      <c r="QJI92" s="294"/>
      <c r="QJO92" s="292"/>
      <c r="QJP92" s="293"/>
      <c r="QJQ92" s="294"/>
      <c r="QJW92" s="292"/>
      <c r="QJX92" s="293"/>
      <c r="QJY92" s="294"/>
      <c r="QKE92" s="292"/>
      <c r="QKF92" s="293"/>
      <c r="QKG92" s="294"/>
      <c r="QKM92" s="292"/>
      <c r="QKN92" s="293"/>
      <c r="QKO92" s="294"/>
      <c r="QKU92" s="292"/>
      <c r="QKV92" s="293"/>
      <c r="QKW92" s="294"/>
      <c r="QLC92" s="292"/>
      <c r="QLD92" s="293"/>
      <c r="QLE92" s="294"/>
      <c r="QLK92" s="292"/>
      <c r="QLL92" s="293"/>
      <c r="QLM92" s="294"/>
      <c r="QLS92" s="292"/>
      <c r="QLT92" s="293"/>
      <c r="QLU92" s="294"/>
      <c r="QMA92" s="292"/>
      <c r="QMB92" s="293"/>
      <c r="QMC92" s="294"/>
      <c r="QMI92" s="292"/>
      <c r="QMJ92" s="293"/>
      <c r="QMK92" s="294"/>
      <c r="QMQ92" s="292"/>
      <c r="QMR92" s="293"/>
      <c r="QMS92" s="294"/>
      <c r="QMY92" s="292"/>
      <c r="QMZ92" s="293"/>
      <c r="QNA92" s="294"/>
      <c r="QNG92" s="292"/>
      <c r="QNH92" s="293"/>
      <c r="QNI92" s="294"/>
      <c r="QNO92" s="292"/>
      <c r="QNP92" s="293"/>
      <c r="QNQ92" s="294"/>
      <c r="QNW92" s="292"/>
      <c r="QNX92" s="293"/>
      <c r="QNY92" s="294"/>
      <c r="QOE92" s="292"/>
      <c r="QOF92" s="293"/>
      <c r="QOG92" s="294"/>
      <c r="QOM92" s="292"/>
      <c r="QON92" s="293"/>
      <c r="QOO92" s="294"/>
      <c r="QOU92" s="292"/>
      <c r="QOV92" s="293"/>
      <c r="QOW92" s="294"/>
      <c r="QPC92" s="292"/>
      <c r="QPD92" s="293"/>
      <c r="QPE92" s="294"/>
      <c r="QPK92" s="292"/>
      <c r="QPL92" s="293"/>
      <c r="QPM92" s="294"/>
      <c r="QPS92" s="292"/>
      <c r="QPT92" s="293"/>
      <c r="QPU92" s="294"/>
      <c r="QQA92" s="292"/>
      <c r="QQB92" s="293"/>
      <c r="QQC92" s="294"/>
      <c r="QQI92" s="292"/>
      <c r="QQJ92" s="293"/>
      <c r="QQK92" s="294"/>
      <c r="QQQ92" s="292"/>
      <c r="QQR92" s="293"/>
      <c r="QQS92" s="294"/>
      <c r="QQY92" s="292"/>
      <c r="QQZ92" s="293"/>
      <c r="QRA92" s="294"/>
      <c r="QRG92" s="292"/>
      <c r="QRH92" s="293"/>
      <c r="QRI92" s="294"/>
      <c r="QRO92" s="292"/>
      <c r="QRP92" s="293"/>
      <c r="QRQ92" s="294"/>
      <c r="QRW92" s="292"/>
      <c r="QRX92" s="293"/>
      <c r="QRY92" s="294"/>
      <c r="QSE92" s="292"/>
      <c r="QSF92" s="293"/>
      <c r="QSG92" s="294"/>
      <c r="QSM92" s="292"/>
      <c r="QSN92" s="293"/>
      <c r="QSO92" s="294"/>
      <c r="QSU92" s="292"/>
      <c r="QSV92" s="293"/>
      <c r="QSW92" s="294"/>
      <c r="QTC92" s="292"/>
      <c r="QTD92" s="293"/>
      <c r="QTE92" s="294"/>
      <c r="QTK92" s="292"/>
      <c r="QTL92" s="293"/>
      <c r="QTM92" s="294"/>
      <c r="QTS92" s="292"/>
      <c r="QTT92" s="293"/>
      <c r="QTU92" s="294"/>
      <c r="QUA92" s="292"/>
      <c r="QUB92" s="293"/>
      <c r="QUC92" s="294"/>
      <c r="QUI92" s="292"/>
      <c r="QUJ92" s="293"/>
      <c r="QUK92" s="294"/>
      <c r="QUQ92" s="292"/>
      <c r="QUR92" s="293"/>
      <c r="QUS92" s="294"/>
      <c r="QUY92" s="292"/>
      <c r="QUZ92" s="293"/>
      <c r="QVA92" s="294"/>
      <c r="QVG92" s="292"/>
      <c r="QVH92" s="293"/>
      <c r="QVI92" s="294"/>
      <c r="QVO92" s="292"/>
      <c r="QVP92" s="293"/>
      <c r="QVQ92" s="294"/>
      <c r="QVW92" s="292"/>
      <c r="QVX92" s="293"/>
      <c r="QVY92" s="294"/>
      <c r="QWE92" s="292"/>
      <c r="QWF92" s="293"/>
      <c r="QWG92" s="294"/>
      <c r="QWM92" s="292"/>
      <c r="QWN92" s="293"/>
      <c r="QWO92" s="294"/>
      <c r="QWU92" s="292"/>
      <c r="QWV92" s="293"/>
      <c r="QWW92" s="294"/>
      <c r="QXC92" s="292"/>
      <c r="QXD92" s="293"/>
      <c r="QXE92" s="294"/>
      <c r="QXK92" s="292"/>
      <c r="QXL92" s="293"/>
      <c r="QXM92" s="294"/>
      <c r="QXS92" s="292"/>
      <c r="QXT92" s="293"/>
      <c r="QXU92" s="294"/>
      <c r="QYA92" s="292"/>
      <c r="QYB92" s="293"/>
      <c r="QYC92" s="294"/>
      <c r="QYI92" s="292"/>
      <c r="QYJ92" s="293"/>
      <c r="QYK92" s="294"/>
      <c r="QYQ92" s="292"/>
      <c r="QYR92" s="293"/>
      <c r="QYS92" s="294"/>
      <c r="QYY92" s="292"/>
      <c r="QYZ92" s="293"/>
      <c r="QZA92" s="294"/>
      <c r="QZG92" s="292"/>
      <c r="QZH92" s="293"/>
      <c r="QZI92" s="294"/>
      <c r="QZO92" s="292"/>
      <c r="QZP92" s="293"/>
      <c r="QZQ92" s="294"/>
      <c r="QZW92" s="292"/>
      <c r="QZX92" s="293"/>
      <c r="QZY92" s="294"/>
      <c r="RAE92" s="292"/>
      <c r="RAF92" s="293"/>
      <c r="RAG92" s="294"/>
      <c r="RAM92" s="292"/>
      <c r="RAN92" s="293"/>
      <c r="RAO92" s="294"/>
      <c r="RAU92" s="292"/>
      <c r="RAV92" s="293"/>
      <c r="RAW92" s="294"/>
      <c r="RBC92" s="292"/>
      <c r="RBD92" s="293"/>
      <c r="RBE92" s="294"/>
      <c r="RBK92" s="292"/>
      <c r="RBL92" s="293"/>
      <c r="RBM92" s="294"/>
      <c r="RBS92" s="292"/>
      <c r="RBT92" s="293"/>
      <c r="RBU92" s="294"/>
      <c r="RCA92" s="292"/>
      <c r="RCB92" s="293"/>
      <c r="RCC92" s="294"/>
      <c r="RCI92" s="292"/>
      <c r="RCJ92" s="293"/>
      <c r="RCK92" s="294"/>
      <c r="RCQ92" s="292"/>
      <c r="RCR92" s="293"/>
      <c r="RCS92" s="294"/>
      <c r="RCY92" s="292"/>
      <c r="RCZ92" s="293"/>
      <c r="RDA92" s="294"/>
      <c r="RDG92" s="292"/>
      <c r="RDH92" s="293"/>
      <c r="RDI92" s="294"/>
      <c r="RDO92" s="292"/>
      <c r="RDP92" s="293"/>
      <c r="RDQ92" s="294"/>
      <c r="RDW92" s="292"/>
      <c r="RDX92" s="293"/>
      <c r="RDY92" s="294"/>
      <c r="REE92" s="292"/>
      <c r="REF92" s="293"/>
      <c r="REG92" s="294"/>
      <c r="REM92" s="292"/>
      <c r="REN92" s="293"/>
      <c r="REO92" s="294"/>
      <c r="REU92" s="292"/>
      <c r="REV92" s="293"/>
      <c r="REW92" s="294"/>
      <c r="RFC92" s="292"/>
      <c r="RFD92" s="293"/>
      <c r="RFE92" s="294"/>
      <c r="RFK92" s="292"/>
      <c r="RFL92" s="293"/>
      <c r="RFM92" s="294"/>
      <c r="RFS92" s="292"/>
      <c r="RFT92" s="293"/>
      <c r="RFU92" s="294"/>
      <c r="RGA92" s="292"/>
      <c r="RGB92" s="293"/>
      <c r="RGC92" s="294"/>
      <c r="RGI92" s="292"/>
      <c r="RGJ92" s="293"/>
      <c r="RGK92" s="294"/>
      <c r="RGQ92" s="292"/>
      <c r="RGR92" s="293"/>
      <c r="RGS92" s="294"/>
      <c r="RGY92" s="292"/>
      <c r="RGZ92" s="293"/>
      <c r="RHA92" s="294"/>
      <c r="RHG92" s="292"/>
      <c r="RHH92" s="293"/>
      <c r="RHI92" s="294"/>
      <c r="RHO92" s="292"/>
      <c r="RHP92" s="293"/>
      <c r="RHQ92" s="294"/>
      <c r="RHW92" s="292"/>
      <c r="RHX92" s="293"/>
      <c r="RHY92" s="294"/>
      <c r="RIE92" s="292"/>
      <c r="RIF92" s="293"/>
      <c r="RIG92" s="294"/>
      <c r="RIM92" s="292"/>
      <c r="RIN92" s="293"/>
      <c r="RIO92" s="294"/>
      <c r="RIU92" s="292"/>
      <c r="RIV92" s="293"/>
      <c r="RIW92" s="294"/>
      <c r="RJC92" s="292"/>
      <c r="RJD92" s="293"/>
      <c r="RJE92" s="294"/>
      <c r="RJK92" s="292"/>
      <c r="RJL92" s="293"/>
      <c r="RJM92" s="294"/>
      <c r="RJS92" s="292"/>
      <c r="RJT92" s="293"/>
      <c r="RJU92" s="294"/>
      <c r="RKA92" s="292"/>
      <c r="RKB92" s="293"/>
      <c r="RKC92" s="294"/>
      <c r="RKI92" s="292"/>
      <c r="RKJ92" s="293"/>
      <c r="RKK92" s="294"/>
      <c r="RKQ92" s="292"/>
      <c r="RKR92" s="293"/>
      <c r="RKS92" s="294"/>
      <c r="RKY92" s="292"/>
      <c r="RKZ92" s="293"/>
      <c r="RLA92" s="294"/>
      <c r="RLG92" s="292"/>
      <c r="RLH92" s="293"/>
      <c r="RLI92" s="294"/>
      <c r="RLO92" s="292"/>
      <c r="RLP92" s="293"/>
      <c r="RLQ92" s="294"/>
      <c r="RLW92" s="292"/>
      <c r="RLX92" s="293"/>
      <c r="RLY92" s="294"/>
      <c r="RME92" s="292"/>
      <c r="RMF92" s="293"/>
      <c r="RMG92" s="294"/>
      <c r="RMM92" s="292"/>
      <c r="RMN92" s="293"/>
      <c r="RMO92" s="294"/>
      <c r="RMU92" s="292"/>
      <c r="RMV92" s="293"/>
      <c r="RMW92" s="294"/>
      <c r="RNC92" s="292"/>
      <c r="RND92" s="293"/>
      <c r="RNE92" s="294"/>
      <c r="RNK92" s="292"/>
      <c r="RNL92" s="293"/>
      <c r="RNM92" s="294"/>
      <c r="RNS92" s="292"/>
      <c r="RNT92" s="293"/>
      <c r="RNU92" s="294"/>
      <c r="ROA92" s="292"/>
      <c r="ROB92" s="293"/>
      <c r="ROC92" s="294"/>
      <c r="ROI92" s="292"/>
      <c r="ROJ92" s="293"/>
      <c r="ROK92" s="294"/>
      <c r="ROQ92" s="292"/>
      <c r="ROR92" s="293"/>
      <c r="ROS92" s="294"/>
      <c r="ROY92" s="292"/>
      <c r="ROZ92" s="293"/>
      <c r="RPA92" s="294"/>
      <c r="RPG92" s="292"/>
      <c r="RPH92" s="293"/>
      <c r="RPI92" s="294"/>
      <c r="RPO92" s="292"/>
      <c r="RPP92" s="293"/>
      <c r="RPQ92" s="294"/>
      <c r="RPW92" s="292"/>
      <c r="RPX92" s="293"/>
      <c r="RPY92" s="294"/>
      <c r="RQE92" s="292"/>
      <c r="RQF92" s="293"/>
      <c r="RQG92" s="294"/>
      <c r="RQM92" s="292"/>
      <c r="RQN92" s="293"/>
      <c r="RQO92" s="294"/>
      <c r="RQU92" s="292"/>
      <c r="RQV92" s="293"/>
      <c r="RQW92" s="294"/>
      <c r="RRC92" s="292"/>
      <c r="RRD92" s="293"/>
      <c r="RRE92" s="294"/>
      <c r="RRK92" s="292"/>
      <c r="RRL92" s="293"/>
      <c r="RRM92" s="294"/>
      <c r="RRS92" s="292"/>
      <c r="RRT92" s="293"/>
      <c r="RRU92" s="294"/>
      <c r="RSA92" s="292"/>
      <c r="RSB92" s="293"/>
      <c r="RSC92" s="294"/>
      <c r="RSI92" s="292"/>
      <c r="RSJ92" s="293"/>
      <c r="RSK92" s="294"/>
      <c r="RSQ92" s="292"/>
      <c r="RSR92" s="293"/>
      <c r="RSS92" s="294"/>
      <c r="RSY92" s="292"/>
      <c r="RSZ92" s="293"/>
      <c r="RTA92" s="294"/>
      <c r="RTG92" s="292"/>
      <c r="RTH92" s="293"/>
      <c r="RTI92" s="294"/>
      <c r="RTO92" s="292"/>
      <c r="RTP92" s="293"/>
      <c r="RTQ92" s="294"/>
      <c r="RTW92" s="292"/>
      <c r="RTX92" s="293"/>
      <c r="RTY92" s="294"/>
      <c r="RUE92" s="292"/>
      <c r="RUF92" s="293"/>
      <c r="RUG92" s="294"/>
      <c r="RUM92" s="292"/>
      <c r="RUN92" s="293"/>
      <c r="RUO92" s="294"/>
      <c r="RUU92" s="292"/>
      <c r="RUV92" s="293"/>
      <c r="RUW92" s="294"/>
      <c r="RVC92" s="292"/>
      <c r="RVD92" s="293"/>
      <c r="RVE92" s="294"/>
      <c r="RVK92" s="292"/>
      <c r="RVL92" s="293"/>
      <c r="RVM92" s="294"/>
      <c r="RVS92" s="292"/>
      <c r="RVT92" s="293"/>
      <c r="RVU92" s="294"/>
      <c r="RWA92" s="292"/>
      <c r="RWB92" s="293"/>
      <c r="RWC92" s="294"/>
      <c r="RWI92" s="292"/>
      <c r="RWJ92" s="293"/>
      <c r="RWK92" s="294"/>
      <c r="RWQ92" s="292"/>
      <c r="RWR92" s="293"/>
      <c r="RWS92" s="294"/>
      <c r="RWY92" s="292"/>
      <c r="RWZ92" s="293"/>
      <c r="RXA92" s="294"/>
      <c r="RXG92" s="292"/>
      <c r="RXH92" s="293"/>
      <c r="RXI92" s="294"/>
      <c r="RXO92" s="292"/>
      <c r="RXP92" s="293"/>
      <c r="RXQ92" s="294"/>
      <c r="RXW92" s="292"/>
      <c r="RXX92" s="293"/>
      <c r="RXY92" s="294"/>
      <c r="RYE92" s="292"/>
      <c r="RYF92" s="293"/>
      <c r="RYG92" s="294"/>
      <c r="RYM92" s="292"/>
      <c r="RYN92" s="293"/>
      <c r="RYO92" s="294"/>
      <c r="RYU92" s="292"/>
      <c r="RYV92" s="293"/>
      <c r="RYW92" s="294"/>
      <c r="RZC92" s="292"/>
      <c r="RZD92" s="293"/>
      <c r="RZE92" s="294"/>
      <c r="RZK92" s="292"/>
      <c r="RZL92" s="293"/>
      <c r="RZM92" s="294"/>
      <c r="RZS92" s="292"/>
      <c r="RZT92" s="293"/>
      <c r="RZU92" s="294"/>
      <c r="SAA92" s="292"/>
      <c r="SAB92" s="293"/>
      <c r="SAC92" s="294"/>
      <c r="SAI92" s="292"/>
      <c r="SAJ92" s="293"/>
      <c r="SAK92" s="294"/>
      <c r="SAQ92" s="292"/>
      <c r="SAR92" s="293"/>
      <c r="SAS92" s="294"/>
      <c r="SAY92" s="292"/>
      <c r="SAZ92" s="293"/>
      <c r="SBA92" s="294"/>
      <c r="SBG92" s="292"/>
      <c r="SBH92" s="293"/>
      <c r="SBI92" s="294"/>
      <c r="SBO92" s="292"/>
      <c r="SBP92" s="293"/>
      <c r="SBQ92" s="294"/>
      <c r="SBW92" s="292"/>
      <c r="SBX92" s="293"/>
      <c r="SBY92" s="294"/>
      <c r="SCE92" s="292"/>
      <c r="SCF92" s="293"/>
      <c r="SCG92" s="294"/>
      <c r="SCM92" s="292"/>
      <c r="SCN92" s="293"/>
      <c r="SCO92" s="294"/>
      <c r="SCU92" s="292"/>
      <c r="SCV92" s="293"/>
      <c r="SCW92" s="294"/>
      <c r="SDC92" s="292"/>
      <c r="SDD92" s="293"/>
      <c r="SDE92" s="294"/>
      <c r="SDK92" s="292"/>
      <c r="SDL92" s="293"/>
      <c r="SDM92" s="294"/>
      <c r="SDS92" s="292"/>
      <c r="SDT92" s="293"/>
      <c r="SDU92" s="294"/>
      <c r="SEA92" s="292"/>
      <c r="SEB92" s="293"/>
      <c r="SEC92" s="294"/>
      <c r="SEI92" s="292"/>
      <c r="SEJ92" s="293"/>
      <c r="SEK92" s="294"/>
      <c r="SEQ92" s="292"/>
      <c r="SER92" s="293"/>
      <c r="SES92" s="294"/>
      <c r="SEY92" s="292"/>
      <c r="SEZ92" s="293"/>
      <c r="SFA92" s="294"/>
      <c r="SFG92" s="292"/>
      <c r="SFH92" s="293"/>
      <c r="SFI92" s="294"/>
      <c r="SFO92" s="292"/>
      <c r="SFP92" s="293"/>
      <c r="SFQ92" s="294"/>
      <c r="SFW92" s="292"/>
      <c r="SFX92" s="293"/>
      <c r="SFY92" s="294"/>
      <c r="SGE92" s="292"/>
      <c r="SGF92" s="293"/>
      <c r="SGG92" s="294"/>
      <c r="SGM92" s="292"/>
      <c r="SGN92" s="293"/>
      <c r="SGO92" s="294"/>
      <c r="SGU92" s="292"/>
      <c r="SGV92" s="293"/>
      <c r="SGW92" s="294"/>
      <c r="SHC92" s="292"/>
      <c r="SHD92" s="293"/>
      <c r="SHE92" s="294"/>
      <c r="SHK92" s="292"/>
      <c r="SHL92" s="293"/>
      <c r="SHM92" s="294"/>
      <c r="SHS92" s="292"/>
      <c r="SHT92" s="293"/>
      <c r="SHU92" s="294"/>
      <c r="SIA92" s="292"/>
      <c r="SIB92" s="293"/>
      <c r="SIC92" s="294"/>
      <c r="SII92" s="292"/>
      <c r="SIJ92" s="293"/>
      <c r="SIK92" s="294"/>
      <c r="SIQ92" s="292"/>
      <c r="SIR92" s="293"/>
      <c r="SIS92" s="294"/>
      <c r="SIY92" s="292"/>
      <c r="SIZ92" s="293"/>
      <c r="SJA92" s="294"/>
      <c r="SJG92" s="292"/>
      <c r="SJH92" s="293"/>
      <c r="SJI92" s="294"/>
      <c r="SJO92" s="292"/>
      <c r="SJP92" s="293"/>
      <c r="SJQ92" s="294"/>
      <c r="SJW92" s="292"/>
      <c r="SJX92" s="293"/>
      <c r="SJY92" s="294"/>
      <c r="SKE92" s="292"/>
      <c r="SKF92" s="293"/>
      <c r="SKG92" s="294"/>
      <c r="SKM92" s="292"/>
      <c r="SKN92" s="293"/>
      <c r="SKO92" s="294"/>
      <c r="SKU92" s="292"/>
      <c r="SKV92" s="293"/>
      <c r="SKW92" s="294"/>
      <c r="SLC92" s="292"/>
      <c r="SLD92" s="293"/>
      <c r="SLE92" s="294"/>
      <c r="SLK92" s="292"/>
      <c r="SLL92" s="293"/>
      <c r="SLM92" s="294"/>
      <c r="SLS92" s="292"/>
      <c r="SLT92" s="293"/>
      <c r="SLU92" s="294"/>
      <c r="SMA92" s="292"/>
      <c r="SMB92" s="293"/>
      <c r="SMC92" s="294"/>
      <c r="SMI92" s="292"/>
      <c r="SMJ92" s="293"/>
      <c r="SMK92" s="294"/>
      <c r="SMQ92" s="292"/>
      <c r="SMR92" s="293"/>
      <c r="SMS92" s="294"/>
      <c r="SMY92" s="292"/>
      <c r="SMZ92" s="293"/>
      <c r="SNA92" s="294"/>
      <c r="SNG92" s="292"/>
      <c r="SNH92" s="293"/>
      <c r="SNI92" s="294"/>
      <c r="SNO92" s="292"/>
      <c r="SNP92" s="293"/>
      <c r="SNQ92" s="294"/>
      <c r="SNW92" s="292"/>
      <c r="SNX92" s="293"/>
      <c r="SNY92" s="294"/>
      <c r="SOE92" s="292"/>
      <c r="SOF92" s="293"/>
      <c r="SOG92" s="294"/>
      <c r="SOM92" s="292"/>
      <c r="SON92" s="293"/>
      <c r="SOO92" s="294"/>
      <c r="SOU92" s="292"/>
      <c r="SOV92" s="293"/>
      <c r="SOW92" s="294"/>
      <c r="SPC92" s="292"/>
      <c r="SPD92" s="293"/>
      <c r="SPE92" s="294"/>
      <c r="SPK92" s="292"/>
      <c r="SPL92" s="293"/>
      <c r="SPM92" s="294"/>
      <c r="SPS92" s="292"/>
      <c r="SPT92" s="293"/>
      <c r="SPU92" s="294"/>
      <c r="SQA92" s="292"/>
      <c r="SQB92" s="293"/>
      <c r="SQC92" s="294"/>
      <c r="SQI92" s="292"/>
      <c r="SQJ92" s="293"/>
      <c r="SQK92" s="294"/>
      <c r="SQQ92" s="292"/>
      <c r="SQR92" s="293"/>
      <c r="SQS92" s="294"/>
      <c r="SQY92" s="292"/>
      <c r="SQZ92" s="293"/>
      <c r="SRA92" s="294"/>
      <c r="SRG92" s="292"/>
      <c r="SRH92" s="293"/>
      <c r="SRI92" s="294"/>
      <c r="SRO92" s="292"/>
      <c r="SRP92" s="293"/>
      <c r="SRQ92" s="294"/>
      <c r="SRW92" s="292"/>
      <c r="SRX92" s="293"/>
      <c r="SRY92" s="294"/>
      <c r="SSE92" s="292"/>
      <c r="SSF92" s="293"/>
      <c r="SSG92" s="294"/>
      <c r="SSM92" s="292"/>
      <c r="SSN92" s="293"/>
      <c r="SSO92" s="294"/>
      <c r="SSU92" s="292"/>
      <c r="SSV92" s="293"/>
      <c r="SSW92" s="294"/>
      <c r="STC92" s="292"/>
      <c r="STD92" s="293"/>
      <c r="STE92" s="294"/>
      <c r="STK92" s="292"/>
      <c r="STL92" s="293"/>
      <c r="STM92" s="294"/>
      <c r="STS92" s="292"/>
      <c r="STT92" s="293"/>
      <c r="STU92" s="294"/>
      <c r="SUA92" s="292"/>
      <c r="SUB92" s="293"/>
      <c r="SUC92" s="294"/>
      <c r="SUI92" s="292"/>
      <c r="SUJ92" s="293"/>
      <c r="SUK92" s="294"/>
      <c r="SUQ92" s="292"/>
      <c r="SUR92" s="293"/>
      <c r="SUS92" s="294"/>
      <c r="SUY92" s="292"/>
      <c r="SUZ92" s="293"/>
      <c r="SVA92" s="294"/>
      <c r="SVG92" s="292"/>
      <c r="SVH92" s="293"/>
      <c r="SVI92" s="294"/>
      <c r="SVO92" s="292"/>
      <c r="SVP92" s="293"/>
      <c r="SVQ92" s="294"/>
      <c r="SVW92" s="292"/>
      <c r="SVX92" s="293"/>
      <c r="SVY92" s="294"/>
      <c r="SWE92" s="292"/>
      <c r="SWF92" s="293"/>
      <c r="SWG92" s="294"/>
      <c r="SWM92" s="292"/>
      <c r="SWN92" s="293"/>
      <c r="SWO92" s="294"/>
      <c r="SWU92" s="292"/>
      <c r="SWV92" s="293"/>
      <c r="SWW92" s="294"/>
      <c r="SXC92" s="292"/>
      <c r="SXD92" s="293"/>
      <c r="SXE92" s="294"/>
      <c r="SXK92" s="292"/>
      <c r="SXL92" s="293"/>
      <c r="SXM92" s="294"/>
      <c r="SXS92" s="292"/>
      <c r="SXT92" s="293"/>
      <c r="SXU92" s="294"/>
      <c r="SYA92" s="292"/>
      <c r="SYB92" s="293"/>
      <c r="SYC92" s="294"/>
      <c r="SYI92" s="292"/>
      <c r="SYJ92" s="293"/>
      <c r="SYK92" s="294"/>
      <c r="SYQ92" s="292"/>
      <c r="SYR92" s="293"/>
      <c r="SYS92" s="294"/>
      <c r="SYY92" s="292"/>
      <c r="SYZ92" s="293"/>
      <c r="SZA92" s="294"/>
      <c r="SZG92" s="292"/>
      <c r="SZH92" s="293"/>
      <c r="SZI92" s="294"/>
      <c r="SZO92" s="292"/>
      <c r="SZP92" s="293"/>
      <c r="SZQ92" s="294"/>
      <c r="SZW92" s="292"/>
      <c r="SZX92" s="293"/>
      <c r="SZY92" s="294"/>
      <c r="TAE92" s="292"/>
      <c r="TAF92" s="293"/>
      <c r="TAG92" s="294"/>
      <c r="TAM92" s="292"/>
      <c r="TAN92" s="293"/>
      <c r="TAO92" s="294"/>
      <c r="TAU92" s="292"/>
      <c r="TAV92" s="293"/>
      <c r="TAW92" s="294"/>
      <c r="TBC92" s="292"/>
      <c r="TBD92" s="293"/>
      <c r="TBE92" s="294"/>
      <c r="TBK92" s="292"/>
      <c r="TBL92" s="293"/>
      <c r="TBM92" s="294"/>
      <c r="TBS92" s="292"/>
      <c r="TBT92" s="293"/>
      <c r="TBU92" s="294"/>
      <c r="TCA92" s="292"/>
      <c r="TCB92" s="293"/>
      <c r="TCC92" s="294"/>
      <c r="TCI92" s="292"/>
      <c r="TCJ92" s="293"/>
      <c r="TCK92" s="294"/>
      <c r="TCQ92" s="292"/>
      <c r="TCR92" s="293"/>
      <c r="TCS92" s="294"/>
      <c r="TCY92" s="292"/>
      <c r="TCZ92" s="293"/>
      <c r="TDA92" s="294"/>
      <c r="TDG92" s="292"/>
      <c r="TDH92" s="293"/>
      <c r="TDI92" s="294"/>
      <c r="TDO92" s="292"/>
      <c r="TDP92" s="293"/>
      <c r="TDQ92" s="294"/>
      <c r="TDW92" s="292"/>
      <c r="TDX92" s="293"/>
      <c r="TDY92" s="294"/>
      <c r="TEE92" s="292"/>
      <c r="TEF92" s="293"/>
      <c r="TEG92" s="294"/>
      <c r="TEM92" s="292"/>
      <c r="TEN92" s="293"/>
      <c r="TEO92" s="294"/>
      <c r="TEU92" s="292"/>
      <c r="TEV92" s="293"/>
      <c r="TEW92" s="294"/>
      <c r="TFC92" s="292"/>
      <c r="TFD92" s="293"/>
      <c r="TFE92" s="294"/>
      <c r="TFK92" s="292"/>
      <c r="TFL92" s="293"/>
      <c r="TFM92" s="294"/>
      <c r="TFS92" s="292"/>
      <c r="TFT92" s="293"/>
      <c r="TFU92" s="294"/>
      <c r="TGA92" s="292"/>
      <c r="TGB92" s="293"/>
      <c r="TGC92" s="294"/>
      <c r="TGI92" s="292"/>
      <c r="TGJ92" s="293"/>
      <c r="TGK92" s="294"/>
      <c r="TGQ92" s="292"/>
      <c r="TGR92" s="293"/>
      <c r="TGS92" s="294"/>
      <c r="TGY92" s="292"/>
      <c r="TGZ92" s="293"/>
      <c r="THA92" s="294"/>
      <c r="THG92" s="292"/>
      <c r="THH92" s="293"/>
      <c r="THI92" s="294"/>
      <c r="THO92" s="292"/>
      <c r="THP92" s="293"/>
      <c r="THQ92" s="294"/>
      <c r="THW92" s="292"/>
      <c r="THX92" s="293"/>
      <c r="THY92" s="294"/>
      <c r="TIE92" s="292"/>
      <c r="TIF92" s="293"/>
      <c r="TIG92" s="294"/>
      <c r="TIM92" s="292"/>
      <c r="TIN92" s="293"/>
      <c r="TIO92" s="294"/>
      <c r="TIU92" s="292"/>
      <c r="TIV92" s="293"/>
      <c r="TIW92" s="294"/>
      <c r="TJC92" s="292"/>
      <c r="TJD92" s="293"/>
      <c r="TJE92" s="294"/>
      <c r="TJK92" s="292"/>
      <c r="TJL92" s="293"/>
      <c r="TJM92" s="294"/>
      <c r="TJS92" s="292"/>
      <c r="TJT92" s="293"/>
      <c r="TJU92" s="294"/>
      <c r="TKA92" s="292"/>
      <c r="TKB92" s="293"/>
      <c r="TKC92" s="294"/>
      <c r="TKI92" s="292"/>
      <c r="TKJ92" s="293"/>
      <c r="TKK92" s="294"/>
      <c r="TKQ92" s="292"/>
      <c r="TKR92" s="293"/>
      <c r="TKS92" s="294"/>
      <c r="TKY92" s="292"/>
      <c r="TKZ92" s="293"/>
      <c r="TLA92" s="294"/>
      <c r="TLG92" s="292"/>
      <c r="TLH92" s="293"/>
      <c r="TLI92" s="294"/>
      <c r="TLO92" s="292"/>
      <c r="TLP92" s="293"/>
      <c r="TLQ92" s="294"/>
      <c r="TLW92" s="292"/>
      <c r="TLX92" s="293"/>
      <c r="TLY92" s="294"/>
      <c r="TME92" s="292"/>
      <c r="TMF92" s="293"/>
      <c r="TMG92" s="294"/>
      <c r="TMM92" s="292"/>
      <c r="TMN92" s="293"/>
      <c r="TMO92" s="294"/>
      <c r="TMU92" s="292"/>
      <c r="TMV92" s="293"/>
      <c r="TMW92" s="294"/>
      <c r="TNC92" s="292"/>
      <c r="TND92" s="293"/>
      <c r="TNE92" s="294"/>
      <c r="TNK92" s="292"/>
      <c r="TNL92" s="293"/>
      <c r="TNM92" s="294"/>
      <c r="TNS92" s="292"/>
      <c r="TNT92" s="293"/>
      <c r="TNU92" s="294"/>
      <c r="TOA92" s="292"/>
      <c r="TOB92" s="293"/>
      <c r="TOC92" s="294"/>
      <c r="TOI92" s="292"/>
      <c r="TOJ92" s="293"/>
      <c r="TOK92" s="294"/>
      <c r="TOQ92" s="292"/>
      <c r="TOR92" s="293"/>
      <c r="TOS92" s="294"/>
      <c r="TOY92" s="292"/>
      <c r="TOZ92" s="293"/>
      <c r="TPA92" s="294"/>
      <c r="TPG92" s="292"/>
      <c r="TPH92" s="293"/>
      <c r="TPI92" s="294"/>
      <c r="TPO92" s="292"/>
      <c r="TPP92" s="293"/>
      <c r="TPQ92" s="294"/>
      <c r="TPW92" s="292"/>
      <c r="TPX92" s="293"/>
      <c r="TPY92" s="294"/>
      <c r="TQE92" s="292"/>
      <c r="TQF92" s="293"/>
      <c r="TQG92" s="294"/>
      <c r="TQM92" s="292"/>
      <c r="TQN92" s="293"/>
      <c r="TQO92" s="294"/>
      <c r="TQU92" s="292"/>
      <c r="TQV92" s="293"/>
      <c r="TQW92" s="294"/>
      <c r="TRC92" s="292"/>
      <c r="TRD92" s="293"/>
      <c r="TRE92" s="294"/>
      <c r="TRK92" s="292"/>
      <c r="TRL92" s="293"/>
      <c r="TRM92" s="294"/>
      <c r="TRS92" s="292"/>
      <c r="TRT92" s="293"/>
      <c r="TRU92" s="294"/>
      <c r="TSA92" s="292"/>
      <c r="TSB92" s="293"/>
      <c r="TSC92" s="294"/>
      <c r="TSI92" s="292"/>
      <c r="TSJ92" s="293"/>
      <c r="TSK92" s="294"/>
      <c r="TSQ92" s="292"/>
      <c r="TSR92" s="293"/>
      <c r="TSS92" s="294"/>
      <c r="TSY92" s="292"/>
      <c r="TSZ92" s="293"/>
      <c r="TTA92" s="294"/>
      <c r="TTG92" s="292"/>
      <c r="TTH92" s="293"/>
      <c r="TTI92" s="294"/>
      <c r="TTO92" s="292"/>
      <c r="TTP92" s="293"/>
      <c r="TTQ92" s="294"/>
      <c r="TTW92" s="292"/>
      <c r="TTX92" s="293"/>
      <c r="TTY92" s="294"/>
      <c r="TUE92" s="292"/>
      <c r="TUF92" s="293"/>
      <c r="TUG92" s="294"/>
      <c r="TUM92" s="292"/>
      <c r="TUN92" s="293"/>
      <c r="TUO92" s="294"/>
      <c r="TUU92" s="292"/>
      <c r="TUV92" s="293"/>
      <c r="TUW92" s="294"/>
      <c r="TVC92" s="292"/>
      <c r="TVD92" s="293"/>
      <c r="TVE92" s="294"/>
      <c r="TVK92" s="292"/>
      <c r="TVL92" s="293"/>
      <c r="TVM92" s="294"/>
      <c r="TVS92" s="292"/>
      <c r="TVT92" s="293"/>
      <c r="TVU92" s="294"/>
      <c r="TWA92" s="292"/>
      <c r="TWB92" s="293"/>
      <c r="TWC92" s="294"/>
      <c r="TWI92" s="292"/>
      <c r="TWJ92" s="293"/>
      <c r="TWK92" s="294"/>
      <c r="TWQ92" s="292"/>
      <c r="TWR92" s="293"/>
      <c r="TWS92" s="294"/>
      <c r="TWY92" s="292"/>
      <c r="TWZ92" s="293"/>
      <c r="TXA92" s="294"/>
      <c r="TXG92" s="292"/>
      <c r="TXH92" s="293"/>
      <c r="TXI92" s="294"/>
      <c r="TXO92" s="292"/>
      <c r="TXP92" s="293"/>
      <c r="TXQ92" s="294"/>
      <c r="TXW92" s="292"/>
      <c r="TXX92" s="293"/>
      <c r="TXY92" s="294"/>
      <c r="TYE92" s="292"/>
      <c r="TYF92" s="293"/>
      <c r="TYG92" s="294"/>
      <c r="TYM92" s="292"/>
      <c r="TYN92" s="293"/>
      <c r="TYO92" s="294"/>
      <c r="TYU92" s="292"/>
      <c r="TYV92" s="293"/>
      <c r="TYW92" s="294"/>
      <c r="TZC92" s="292"/>
      <c r="TZD92" s="293"/>
      <c r="TZE92" s="294"/>
      <c r="TZK92" s="292"/>
      <c r="TZL92" s="293"/>
      <c r="TZM92" s="294"/>
      <c r="TZS92" s="292"/>
      <c r="TZT92" s="293"/>
      <c r="TZU92" s="294"/>
      <c r="UAA92" s="292"/>
      <c r="UAB92" s="293"/>
      <c r="UAC92" s="294"/>
      <c r="UAI92" s="292"/>
      <c r="UAJ92" s="293"/>
      <c r="UAK92" s="294"/>
      <c r="UAQ92" s="292"/>
      <c r="UAR92" s="293"/>
      <c r="UAS92" s="294"/>
      <c r="UAY92" s="292"/>
      <c r="UAZ92" s="293"/>
      <c r="UBA92" s="294"/>
      <c r="UBG92" s="292"/>
      <c r="UBH92" s="293"/>
      <c r="UBI92" s="294"/>
      <c r="UBO92" s="292"/>
      <c r="UBP92" s="293"/>
      <c r="UBQ92" s="294"/>
      <c r="UBW92" s="292"/>
      <c r="UBX92" s="293"/>
      <c r="UBY92" s="294"/>
      <c r="UCE92" s="292"/>
      <c r="UCF92" s="293"/>
      <c r="UCG92" s="294"/>
      <c r="UCM92" s="292"/>
      <c r="UCN92" s="293"/>
      <c r="UCO92" s="294"/>
      <c r="UCU92" s="292"/>
      <c r="UCV92" s="293"/>
      <c r="UCW92" s="294"/>
      <c r="UDC92" s="292"/>
      <c r="UDD92" s="293"/>
      <c r="UDE92" s="294"/>
      <c r="UDK92" s="292"/>
      <c r="UDL92" s="293"/>
      <c r="UDM92" s="294"/>
      <c r="UDS92" s="292"/>
      <c r="UDT92" s="293"/>
      <c r="UDU92" s="294"/>
      <c r="UEA92" s="292"/>
      <c r="UEB92" s="293"/>
      <c r="UEC92" s="294"/>
      <c r="UEI92" s="292"/>
      <c r="UEJ92" s="293"/>
      <c r="UEK92" s="294"/>
      <c r="UEQ92" s="292"/>
      <c r="UER92" s="293"/>
      <c r="UES92" s="294"/>
      <c r="UEY92" s="292"/>
      <c r="UEZ92" s="293"/>
      <c r="UFA92" s="294"/>
      <c r="UFG92" s="292"/>
      <c r="UFH92" s="293"/>
      <c r="UFI92" s="294"/>
      <c r="UFO92" s="292"/>
      <c r="UFP92" s="293"/>
      <c r="UFQ92" s="294"/>
      <c r="UFW92" s="292"/>
      <c r="UFX92" s="293"/>
      <c r="UFY92" s="294"/>
      <c r="UGE92" s="292"/>
      <c r="UGF92" s="293"/>
      <c r="UGG92" s="294"/>
      <c r="UGM92" s="292"/>
      <c r="UGN92" s="293"/>
      <c r="UGO92" s="294"/>
      <c r="UGU92" s="292"/>
      <c r="UGV92" s="293"/>
      <c r="UGW92" s="294"/>
      <c r="UHC92" s="292"/>
      <c r="UHD92" s="293"/>
      <c r="UHE92" s="294"/>
      <c r="UHK92" s="292"/>
      <c r="UHL92" s="293"/>
      <c r="UHM92" s="294"/>
      <c r="UHS92" s="292"/>
      <c r="UHT92" s="293"/>
      <c r="UHU92" s="294"/>
      <c r="UIA92" s="292"/>
      <c r="UIB92" s="293"/>
      <c r="UIC92" s="294"/>
      <c r="UII92" s="292"/>
      <c r="UIJ92" s="293"/>
      <c r="UIK92" s="294"/>
      <c r="UIQ92" s="292"/>
      <c r="UIR92" s="293"/>
      <c r="UIS92" s="294"/>
      <c r="UIY92" s="292"/>
      <c r="UIZ92" s="293"/>
      <c r="UJA92" s="294"/>
      <c r="UJG92" s="292"/>
      <c r="UJH92" s="293"/>
      <c r="UJI92" s="294"/>
      <c r="UJO92" s="292"/>
      <c r="UJP92" s="293"/>
      <c r="UJQ92" s="294"/>
      <c r="UJW92" s="292"/>
      <c r="UJX92" s="293"/>
      <c r="UJY92" s="294"/>
      <c r="UKE92" s="292"/>
      <c r="UKF92" s="293"/>
      <c r="UKG92" s="294"/>
      <c r="UKM92" s="292"/>
      <c r="UKN92" s="293"/>
      <c r="UKO92" s="294"/>
      <c r="UKU92" s="292"/>
      <c r="UKV92" s="293"/>
      <c r="UKW92" s="294"/>
      <c r="ULC92" s="292"/>
      <c r="ULD92" s="293"/>
      <c r="ULE92" s="294"/>
      <c r="ULK92" s="292"/>
      <c r="ULL92" s="293"/>
      <c r="ULM92" s="294"/>
      <c r="ULS92" s="292"/>
      <c r="ULT92" s="293"/>
      <c r="ULU92" s="294"/>
      <c r="UMA92" s="292"/>
      <c r="UMB92" s="293"/>
      <c r="UMC92" s="294"/>
      <c r="UMI92" s="292"/>
      <c r="UMJ92" s="293"/>
      <c r="UMK92" s="294"/>
      <c r="UMQ92" s="292"/>
      <c r="UMR92" s="293"/>
      <c r="UMS92" s="294"/>
      <c r="UMY92" s="292"/>
      <c r="UMZ92" s="293"/>
      <c r="UNA92" s="294"/>
      <c r="UNG92" s="292"/>
      <c r="UNH92" s="293"/>
      <c r="UNI92" s="294"/>
      <c r="UNO92" s="292"/>
      <c r="UNP92" s="293"/>
      <c r="UNQ92" s="294"/>
      <c r="UNW92" s="292"/>
      <c r="UNX92" s="293"/>
      <c r="UNY92" s="294"/>
      <c r="UOE92" s="292"/>
      <c r="UOF92" s="293"/>
      <c r="UOG92" s="294"/>
      <c r="UOM92" s="292"/>
      <c r="UON92" s="293"/>
      <c r="UOO92" s="294"/>
      <c r="UOU92" s="292"/>
      <c r="UOV92" s="293"/>
      <c r="UOW92" s="294"/>
      <c r="UPC92" s="292"/>
      <c r="UPD92" s="293"/>
      <c r="UPE92" s="294"/>
      <c r="UPK92" s="292"/>
      <c r="UPL92" s="293"/>
      <c r="UPM92" s="294"/>
      <c r="UPS92" s="292"/>
      <c r="UPT92" s="293"/>
      <c r="UPU92" s="294"/>
      <c r="UQA92" s="292"/>
      <c r="UQB92" s="293"/>
      <c r="UQC92" s="294"/>
      <c r="UQI92" s="292"/>
      <c r="UQJ92" s="293"/>
      <c r="UQK92" s="294"/>
      <c r="UQQ92" s="292"/>
      <c r="UQR92" s="293"/>
      <c r="UQS92" s="294"/>
      <c r="UQY92" s="292"/>
      <c r="UQZ92" s="293"/>
      <c r="URA92" s="294"/>
      <c r="URG92" s="292"/>
      <c r="URH92" s="293"/>
      <c r="URI92" s="294"/>
      <c r="URO92" s="292"/>
      <c r="URP92" s="293"/>
      <c r="URQ92" s="294"/>
      <c r="URW92" s="292"/>
      <c r="URX92" s="293"/>
      <c r="URY92" s="294"/>
      <c r="USE92" s="292"/>
      <c r="USF92" s="293"/>
      <c r="USG92" s="294"/>
      <c r="USM92" s="292"/>
      <c r="USN92" s="293"/>
      <c r="USO92" s="294"/>
      <c r="USU92" s="292"/>
      <c r="USV92" s="293"/>
      <c r="USW92" s="294"/>
      <c r="UTC92" s="292"/>
      <c r="UTD92" s="293"/>
      <c r="UTE92" s="294"/>
      <c r="UTK92" s="292"/>
      <c r="UTL92" s="293"/>
      <c r="UTM92" s="294"/>
      <c r="UTS92" s="292"/>
      <c r="UTT92" s="293"/>
      <c r="UTU92" s="294"/>
      <c r="UUA92" s="292"/>
      <c r="UUB92" s="293"/>
      <c r="UUC92" s="294"/>
      <c r="UUI92" s="292"/>
      <c r="UUJ92" s="293"/>
      <c r="UUK92" s="294"/>
      <c r="UUQ92" s="292"/>
      <c r="UUR92" s="293"/>
      <c r="UUS92" s="294"/>
      <c r="UUY92" s="292"/>
      <c r="UUZ92" s="293"/>
      <c r="UVA92" s="294"/>
      <c r="UVG92" s="292"/>
      <c r="UVH92" s="293"/>
      <c r="UVI92" s="294"/>
      <c r="UVO92" s="292"/>
      <c r="UVP92" s="293"/>
      <c r="UVQ92" s="294"/>
      <c r="UVW92" s="292"/>
      <c r="UVX92" s="293"/>
      <c r="UVY92" s="294"/>
      <c r="UWE92" s="292"/>
      <c r="UWF92" s="293"/>
      <c r="UWG92" s="294"/>
      <c r="UWM92" s="292"/>
      <c r="UWN92" s="293"/>
      <c r="UWO92" s="294"/>
      <c r="UWU92" s="292"/>
      <c r="UWV92" s="293"/>
      <c r="UWW92" s="294"/>
      <c r="UXC92" s="292"/>
      <c r="UXD92" s="293"/>
      <c r="UXE92" s="294"/>
      <c r="UXK92" s="292"/>
      <c r="UXL92" s="293"/>
      <c r="UXM92" s="294"/>
      <c r="UXS92" s="292"/>
      <c r="UXT92" s="293"/>
      <c r="UXU92" s="294"/>
      <c r="UYA92" s="292"/>
      <c r="UYB92" s="293"/>
      <c r="UYC92" s="294"/>
      <c r="UYI92" s="292"/>
      <c r="UYJ92" s="293"/>
      <c r="UYK92" s="294"/>
      <c r="UYQ92" s="292"/>
      <c r="UYR92" s="293"/>
      <c r="UYS92" s="294"/>
      <c r="UYY92" s="292"/>
      <c r="UYZ92" s="293"/>
      <c r="UZA92" s="294"/>
      <c r="UZG92" s="292"/>
      <c r="UZH92" s="293"/>
      <c r="UZI92" s="294"/>
      <c r="UZO92" s="292"/>
      <c r="UZP92" s="293"/>
      <c r="UZQ92" s="294"/>
      <c r="UZW92" s="292"/>
      <c r="UZX92" s="293"/>
      <c r="UZY92" s="294"/>
      <c r="VAE92" s="292"/>
      <c r="VAF92" s="293"/>
      <c r="VAG92" s="294"/>
      <c r="VAM92" s="292"/>
      <c r="VAN92" s="293"/>
      <c r="VAO92" s="294"/>
      <c r="VAU92" s="292"/>
      <c r="VAV92" s="293"/>
      <c r="VAW92" s="294"/>
      <c r="VBC92" s="292"/>
      <c r="VBD92" s="293"/>
      <c r="VBE92" s="294"/>
      <c r="VBK92" s="292"/>
      <c r="VBL92" s="293"/>
      <c r="VBM92" s="294"/>
      <c r="VBS92" s="292"/>
      <c r="VBT92" s="293"/>
      <c r="VBU92" s="294"/>
      <c r="VCA92" s="292"/>
      <c r="VCB92" s="293"/>
      <c r="VCC92" s="294"/>
      <c r="VCI92" s="292"/>
      <c r="VCJ92" s="293"/>
      <c r="VCK92" s="294"/>
      <c r="VCQ92" s="292"/>
      <c r="VCR92" s="293"/>
      <c r="VCS92" s="294"/>
      <c r="VCY92" s="292"/>
      <c r="VCZ92" s="293"/>
      <c r="VDA92" s="294"/>
      <c r="VDG92" s="292"/>
      <c r="VDH92" s="293"/>
      <c r="VDI92" s="294"/>
      <c r="VDO92" s="292"/>
      <c r="VDP92" s="293"/>
      <c r="VDQ92" s="294"/>
      <c r="VDW92" s="292"/>
      <c r="VDX92" s="293"/>
      <c r="VDY92" s="294"/>
      <c r="VEE92" s="292"/>
      <c r="VEF92" s="293"/>
      <c r="VEG92" s="294"/>
      <c r="VEM92" s="292"/>
      <c r="VEN92" s="293"/>
      <c r="VEO92" s="294"/>
      <c r="VEU92" s="292"/>
      <c r="VEV92" s="293"/>
      <c r="VEW92" s="294"/>
      <c r="VFC92" s="292"/>
      <c r="VFD92" s="293"/>
      <c r="VFE92" s="294"/>
      <c r="VFK92" s="292"/>
      <c r="VFL92" s="293"/>
      <c r="VFM92" s="294"/>
      <c r="VFS92" s="292"/>
      <c r="VFT92" s="293"/>
      <c r="VFU92" s="294"/>
      <c r="VGA92" s="292"/>
      <c r="VGB92" s="293"/>
      <c r="VGC92" s="294"/>
      <c r="VGI92" s="292"/>
      <c r="VGJ92" s="293"/>
      <c r="VGK92" s="294"/>
      <c r="VGQ92" s="292"/>
      <c r="VGR92" s="293"/>
      <c r="VGS92" s="294"/>
      <c r="VGY92" s="292"/>
      <c r="VGZ92" s="293"/>
      <c r="VHA92" s="294"/>
      <c r="VHG92" s="292"/>
      <c r="VHH92" s="293"/>
      <c r="VHI92" s="294"/>
      <c r="VHO92" s="292"/>
      <c r="VHP92" s="293"/>
      <c r="VHQ92" s="294"/>
      <c r="VHW92" s="292"/>
      <c r="VHX92" s="293"/>
      <c r="VHY92" s="294"/>
      <c r="VIE92" s="292"/>
      <c r="VIF92" s="293"/>
      <c r="VIG92" s="294"/>
      <c r="VIM92" s="292"/>
      <c r="VIN92" s="293"/>
      <c r="VIO92" s="294"/>
      <c r="VIU92" s="292"/>
      <c r="VIV92" s="293"/>
      <c r="VIW92" s="294"/>
      <c r="VJC92" s="292"/>
      <c r="VJD92" s="293"/>
      <c r="VJE92" s="294"/>
      <c r="VJK92" s="292"/>
      <c r="VJL92" s="293"/>
      <c r="VJM92" s="294"/>
      <c r="VJS92" s="292"/>
      <c r="VJT92" s="293"/>
      <c r="VJU92" s="294"/>
      <c r="VKA92" s="292"/>
      <c r="VKB92" s="293"/>
      <c r="VKC92" s="294"/>
      <c r="VKI92" s="292"/>
      <c r="VKJ92" s="293"/>
      <c r="VKK92" s="294"/>
      <c r="VKQ92" s="292"/>
      <c r="VKR92" s="293"/>
      <c r="VKS92" s="294"/>
      <c r="VKY92" s="292"/>
      <c r="VKZ92" s="293"/>
      <c r="VLA92" s="294"/>
      <c r="VLG92" s="292"/>
      <c r="VLH92" s="293"/>
      <c r="VLI92" s="294"/>
      <c r="VLO92" s="292"/>
      <c r="VLP92" s="293"/>
      <c r="VLQ92" s="294"/>
      <c r="VLW92" s="292"/>
      <c r="VLX92" s="293"/>
      <c r="VLY92" s="294"/>
      <c r="VME92" s="292"/>
      <c r="VMF92" s="293"/>
      <c r="VMG92" s="294"/>
      <c r="VMM92" s="292"/>
      <c r="VMN92" s="293"/>
      <c r="VMO92" s="294"/>
      <c r="VMU92" s="292"/>
      <c r="VMV92" s="293"/>
      <c r="VMW92" s="294"/>
      <c r="VNC92" s="292"/>
      <c r="VND92" s="293"/>
      <c r="VNE92" s="294"/>
      <c r="VNK92" s="292"/>
      <c r="VNL92" s="293"/>
      <c r="VNM92" s="294"/>
      <c r="VNS92" s="292"/>
      <c r="VNT92" s="293"/>
      <c r="VNU92" s="294"/>
      <c r="VOA92" s="292"/>
      <c r="VOB92" s="293"/>
      <c r="VOC92" s="294"/>
      <c r="VOI92" s="292"/>
      <c r="VOJ92" s="293"/>
      <c r="VOK92" s="294"/>
      <c r="VOQ92" s="292"/>
      <c r="VOR92" s="293"/>
      <c r="VOS92" s="294"/>
      <c r="VOY92" s="292"/>
      <c r="VOZ92" s="293"/>
      <c r="VPA92" s="294"/>
      <c r="VPG92" s="292"/>
      <c r="VPH92" s="293"/>
      <c r="VPI92" s="294"/>
      <c r="VPO92" s="292"/>
      <c r="VPP92" s="293"/>
      <c r="VPQ92" s="294"/>
      <c r="VPW92" s="292"/>
      <c r="VPX92" s="293"/>
      <c r="VPY92" s="294"/>
      <c r="VQE92" s="292"/>
      <c r="VQF92" s="293"/>
      <c r="VQG92" s="294"/>
      <c r="VQM92" s="292"/>
      <c r="VQN92" s="293"/>
      <c r="VQO92" s="294"/>
      <c r="VQU92" s="292"/>
      <c r="VQV92" s="293"/>
      <c r="VQW92" s="294"/>
      <c r="VRC92" s="292"/>
      <c r="VRD92" s="293"/>
      <c r="VRE92" s="294"/>
      <c r="VRK92" s="292"/>
      <c r="VRL92" s="293"/>
      <c r="VRM92" s="294"/>
      <c r="VRS92" s="292"/>
      <c r="VRT92" s="293"/>
      <c r="VRU92" s="294"/>
      <c r="VSA92" s="292"/>
      <c r="VSB92" s="293"/>
      <c r="VSC92" s="294"/>
      <c r="VSI92" s="292"/>
      <c r="VSJ92" s="293"/>
      <c r="VSK92" s="294"/>
      <c r="VSQ92" s="292"/>
      <c r="VSR92" s="293"/>
      <c r="VSS92" s="294"/>
      <c r="VSY92" s="292"/>
      <c r="VSZ92" s="293"/>
      <c r="VTA92" s="294"/>
      <c r="VTG92" s="292"/>
      <c r="VTH92" s="293"/>
      <c r="VTI92" s="294"/>
      <c r="VTO92" s="292"/>
      <c r="VTP92" s="293"/>
      <c r="VTQ92" s="294"/>
      <c r="VTW92" s="292"/>
      <c r="VTX92" s="293"/>
      <c r="VTY92" s="294"/>
      <c r="VUE92" s="292"/>
      <c r="VUF92" s="293"/>
      <c r="VUG92" s="294"/>
      <c r="VUM92" s="292"/>
      <c r="VUN92" s="293"/>
      <c r="VUO92" s="294"/>
      <c r="VUU92" s="292"/>
      <c r="VUV92" s="293"/>
      <c r="VUW92" s="294"/>
      <c r="VVC92" s="292"/>
      <c r="VVD92" s="293"/>
      <c r="VVE92" s="294"/>
      <c r="VVK92" s="292"/>
      <c r="VVL92" s="293"/>
      <c r="VVM92" s="294"/>
      <c r="VVS92" s="292"/>
      <c r="VVT92" s="293"/>
      <c r="VVU92" s="294"/>
      <c r="VWA92" s="292"/>
      <c r="VWB92" s="293"/>
      <c r="VWC92" s="294"/>
      <c r="VWI92" s="292"/>
      <c r="VWJ92" s="293"/>
      <c r="VWK92" s="294"/>
      <c r="VWQ92" s="292"/>
      <c r="VWR92" s="293"/>
      <c r="VWS92" s="294"/>
      <c r="VWY92" s="292"/>
      <c r="VWZ92" s="293"/>
      <c r="VXA92" s="294"/>
      <c r="VXG92" s="292"/>
      <c r="VXH92" s="293"/>
      <c r="VXI92" s="294"/>
      <c r="VXO92" s="292"/>
      <c r="VXP92" s="293"/>
      <c r="VXQ92" s="294"/>
      <c r="VXW92" s="292"/>
      <c r="VXX92" s="293"/>
      <c r="VXY92" s="294"/>
      <c r="VYE92" s="292"/>
      <c r="VYF92" s="293"/>
      <c r="VYG92" s="294"/>
      <c r="VYM92" s="292"/>
      <c r="VYN92" s="293"/>
      <c r="VYO92" s="294"/>
      <c r="VYU92" s="292"/>
      <c r="VYV92" s="293"/>
      <c r="VYW92" s="294"/>
      <c r="VZC92" s="292"/>
      <c r="VZD92" s="293"/>
      <c r="VZE92" s="294"/>
      <c r="VZK92" s="292"/>
      <c r="VZL92" s="293"/>
      <c r="VZM92" s="294"/>
      <c r="VZS92" s="292"/>
      <c r="VZT92" s="293"/>
      <c r="VZU92" s="294"/>
      <c r="WAA92" s="292"/>
      <c r="WAB92" s="293"/>
      <c r="WAC92" s="294"/>
      <c r="WAI92" s="292"/>
      <c r="WAJ92" s="293"/>
      <c r="WAK92" s="294"/>
      <c r="WAQ92" s="292"/>
      <c r="WAR92" s="293"/>
      <c r="WAS92" s="294"/>
      <c r="WAY92" s="292"/>
      <c r="WAZ92" s="293"/>
      <c r="WBA92" s="294"/>
      <c r="WBG92" s="292"/>
      <c r="WBH92" s="293"/>
      <c r="WBI92" s="294"/>
      <c r="WBO92" s="292"/>
      <c r="WBP92" s="293"/>
      <c r="WBQ92" s="294"/>
      <c r="WBW92" s="292"/>
      <c r="WBX92" s="293"/>
      <c r="WBY92" s="294"/>
      <c r="WCE92" s="292"/>
      <c r="WCF92" s="293"/>
      <c r="WCG92" s="294"/>
      <c r="WCM92" s="292"/>
      <c r="WCN92" s="293"/>
      <c r="WCO92" s="294"/>
      <c r="WCU92" s="292"/>
      <c r="WCV92" s="293"/>
      <c r="WCW92" s="294"/>
      <c r="WDC92" s="292"/>
      <c r="WDD92" s="293"/>
      <c r="WDE92" s="294"/>
      <c r="WDK92" s="292"/>
      <c r="WDL92" s="293"/>
      <c r="WDM92" s="294"/>
      <c r="WDS92" s="292"/>
      <c r="WDT92" s="293"/>
      <c r="WDU92" s="294"/>
      <c r="WEA92" s="292"/>
      <c r="WEB92" s="293"/>
      <c r="WEC92" s="294"/>
      <c r="WEI92" s="292"/>
      <c r="WEJ92" s="293"/>
      <c r="WEK92" s="294"/>
      <c r="WEQ92" s="292"/>
      <c r="WER92" s="293"/>
      <c r="WES92" s="294"/>
      <c r="WEY92" s="292"/>
      <c r="WEZ92" s="293"/>
      <c r="WFA92" s="294"/>
      <c r="WFG92" s="292"/>
      <c r="WFH92" s="293"/>
      <c r="WFI92" s="294"/>
      <c r="WFO92" s="292"/>
      <c r="WFP92" s="293"/>
      <c r="WFQ92" s="294"/>
      <c r="WFW92" s="292"/>
      <c r="WFX92" s="293"/>
      <c r="WFY92" s="294"/>
      <c r="WGE92" s="292"/>
      <c r="WGF92" s="293"/>
      <c r="WGG92" s="294"/>
      <c r="WGM92" s="292"/>
      <c r="WGN92" s="293"/>
      <c r="WGO92" s="294"/>
      <c r="WGU92" s="292"/>
      <c r="WGV92" s="293"/>
      <c r="WGW92" s="294"/>
      <c r="WHC92" s="292"/>
      <c r="WHD92" s="293"/>
      <c r="WHE92" s="294"/>
      <c r="WHK92" s="292"/>
      <c r="WHL92" s="293"/>
      <c r="WHM92" s="294"/>
      <c r="WHS92" s="292"/>
      <c r="WHT92" s="293"/>
      <c r="WHU92" s="294"/>
      <c r="WIA92" s="292"/>
      <c r="WIB92" s="293"/>
      <c r="WIC92" s="294"/>
      <c r="WII92" s="292"/>
      <c r="WIJ92" s="293"/>
      <c r="WIK92" s="294"/>
      <c r="WIQ92" s="292"/>
      <c r="WIR92" s="293"/>
      <c r="WIS92" s="294"/>
      <c r="WIY92" s="292"/>
      <c r="WIZ92" s="293"/>
      <c r="WJA92" s="294"/>
      <c r="WJG92" s="292"/>
      <c r="WJH92" s="293"/>
      <c r="WJI92" s="294"/>
      <c r="WJO92" s="292"/>
      <c r="WJP92" s="293"/>
      <c r="WJQ92" s="294"/>
      <c r="WJW92" s="292"/>
      <c r="WJX92" s="293"/>
      <c r="WJY92" s="294"/>
      <c r="WKE92" s="292"/>
      <c r="WKF92" s="293"/>
      <c r="WKG92" s="294"/>
      <c r="WKM92" s="292"/>
      <c r="WKN92" s="293"/>
      <c r="WKO92" s="294"/>
      <c r="WKU92" s="292"/>
      <c r="WKV92" s="293"/>
      <c r="WKW92" s="294"/>
      <c r="WLC92" s="292"/>
      <c r="WLD92" s="293"/>
      <c r="WLE92" s="294"/>
      <c r="WLK92" s="292"/>
      <c r="WLL92" s="293"/>
      <c r="WLM92" s="294"/>
      <c r="WLS92" s="292"/>
      <c r="WLT92" s="293"/>
      <c r="WLU92" s="294"/>
      <c r="WMA92" s="292"/>
      <c r="WMB92" s="293"/>
      <c r="WMC92" s="294"/>
      <c r="WMI92" s="292"/>
      <c r="WMJ92" s="293"/>
      <c r="WMK92" s="294"/>
      <c r="WMQ92" s="292"/>
      <c r="WMR92" s="293"/>
      <c r="WMS92" s="294"/>
      <c r="WMY92" s="292"/>
      <c r="WMZ92" s="293"/>
      <c r="WNA92" s="294"/>
      <c r="WNG92" s="292"/>
      <c r="WNH92" s="293"/>
      <c r="WNI92" s="294"/>
      <c r="WNO92" s="292"/>
      <c r="WNP92" s="293"/>
      <c r="WNQ92" s="294"/>
      <c r="WNW92" s="292"/>
      <c r="WNX92" s="293"/>
      <c r="WNY92" s="294"/>
      <c r="WOE92" s="292"/>
      <c r="WOF92" s="293"/>
      <c r="WOG92" s="294"/>
      <c r="WOM92" s="292"/>
      <c r="WON92" s="293"/>
      <c r="WOO92" s="294"/>
      <c r="WOU92" s="292"/>
      <c r="WOV92" s="293"/>
      <c r="WOW92" s="294"/>
      <c r="WPC92" s="292"/>
      <c r="WPD92" s="293"/>
      <c r="WPE92" s="294"/>
      <c r="WPK92" s="292"/>
      <c r="WPL92" s="293"/>
      <c r="WPM92" s="294"/>
      <c r="WPS92" s="292"/>
      <c r="WPT92" s="293"/>
      <c r="WPU92" s="294"/>
      <c r="WQA92" s="292"/>
      <c r="WQB92" s="293"/>
      <c r="WQC92" s="294"/>
      <c r="WQI92" s="292"/>
      <c r="WQJ92" s="293"/>
      <c r="WQK92" s="294"/>
      <c r="WQQ92" s="292"/>
      <c r="WQR92" s="293"/>
      <c r="WQS92" s="294"/>
      <c r="WQY92" s="292"/>
      <c r="WQZ92" s="293"/>
      <c r="WRA92" s="294"/>
      <c r="WRG92" s="292"/>
      <c r="WRH92" s="293"/>
      <c r="WRI92" s="294"/>
      <c r="WRO92" s="292"/>
      <c r="WRP92" s="293"/>
      <c r="WRQ92" s="294"/>
      <c r="WRW92" s="292"/>
      <c r="WRX92" s="293"/>
      <c r="WRY92" s="294"/>
      <c r="WSE92" s="292"/>
      <c r="WSF92" s="293"/>
      <c r="WSG92" s="294"/>
      <c r="WSM92" s="292"/>
      <c r="WSN92" s="293"/>
      <c r="WSO92" s="294"/>
      <c r="WSU92" s="292"/>
      <c r="WSV92" s="293"/>
      <c r="WSW92" s="294"/>
      <c r="WTC92" s="292"/>
      <c r="WTD92" s="293"/>
      <c r="WTE92" s="294"/>
      <c r="WTK92" s="292"/>
      <c r="WTL92" s="293"/>
      <c r="WTM92" s="294"/>
      <c r="WTS92" s="292"/>
      <c r="WTT92" s="293"/>
      <c r="WTU92" s="294"/>
      <c r="WUA92" s="292"/>
      <c r="WUB92" s="293"/>
      <c r="WUC92" s="294"/>
      <c r="WUI92" s="292"/>
      <c r="WUJ92" s="293"/>
      <c r="WUK92" s="294"/>
      <c r="WUQ92" s="292"/>
      <c r="WUR92" s="293"/>
      <c r="WUS92" s="294"/>
      <c r="WUY92" s="292"/>
      <c r="WUZ92" s="293"/>
      <c r="WVA92" s="294"/>
      <c r="WVG92" s="292"/>
      <c r="WVH92" s="293"/>
      <c r="WVI92" s="294"/>
      <c r="WVO92" s="292"/>
      <c r="WVP92" s="293"/>
      <c r="WVQ92" s="294"/>
      <c r="WVW92" s="292"/>
      <c r="WVX92" s="293"/>
      <c r="WVY92" s="294"/>
      <c r="WWE92" s="292"/>
      <c r="WWF92" s="293"/>
      <c r="WWG92" s="294"/>
      <c r="WWM92" s="292"/>
      <c r="WWN92" s="293"/>
      <c r="WWO92" s="294"/>
      <c r="WWU92" s="292"/>
      <c r="WWV92" s="293"/>
      <c r="WWW92" s="294"/>
      <c r="WXC92" s="292"/>
      <c r="WXD92" s="293"/>
      <c r="WXE92" s="294"/>
      <c r="WXK92" s="292"/>
      <c r="WXL92" s="293"/>
      <c r="WXM92" s="294"/>
      <c r="WXS92" s="292"/>
      <c r="WXT92" s="293"/>
      <c r="WXU92" s="294"/>
      <c r="WYA92" s="292"/>
      <c r="WYB92" s="293"/>
      <c r="WYC92" s="294"/>
      <c r="WYI92" s="292"/>
      <c r="WYJ92" s="293"/>
      <c r="WYK92" s="294"/>
      <c r="WYQ92" s="292"/>
      <c r="WYR92" s="293"/>
      <c r="WYS92" s="294"/>
      <c r="WYY92" s="292"/>
      <c r="WYZ92" s="293"/>
      <c r="WZA92" s="294"/>
      <c r="WZG92" s="292"/>
      <c r="WZH92" s="293"/>
      <c r="WZI92" s="294"/>
      <c r="WZO92" s="292"/>
      <c r="WZP92" s="293"/>
      <c r="WZQ92" s="294"/>
      <c r="WZW92" s="292"/>
      <c r="WZX92" s="293"/>
      <c r="WZY92" s="294"/>
      <c r="XAE92" s="292"/>
      <c r="XAF92" s="293"/>
      <c r="XAG92" s="294"/>
      <c r="XAM92" s="292"/>
      <c r="XAN92" s="293"/>
      <c r="XAO92" s="294"/>
      <c r="XAU92" s="292"/>
      <c r="XAV92" s="293"/>
      <c r="XAW92" s="294"/>
      <c r="XBC92" s="292"/>
      <c r="XBD92" s="293"/>
      <c r="XBE92" s="294"/>
      <c r="XBK92" s="292"/>
      <c r="XBL92" s="293"/>
      <c r="XBM92" s="294"/>
      <c r="XBS92" s="292"/>
      <c r="XBT92" s="293"/>
      <c r="XBU92" s="294"/>
      <c r="XCA92" s="292"/>
      <c r="XCB92" s="293"/>
      <c r="XCC92" s="294"/>
      <c r="XCI92" s="292"/>
      <c r="XCJ92" s="293"/>
      <c r="XCK92" s="294"/>
      <c r="XCQ92" s="292"/>
      <c r="XCR92" s="293"/>
      <c r="XCS92" s="294"/>
      <c r="XCY92" s="292"/>
      <c r="XCZ92" s="293"/>
      <c r="XDA92" s="294"/>
      <c r="XDG92" s="292"/>
      <c r="XDH92" s="293"/>
      <c r="XDI92" s="294"/>
      <c r="XDO92" s="292"/>
      <c r="XDP92" s="293"/>
      <c r="XDQ92" s="294"/>
      <c r="XDW92" s="292"/>
      <c r="XDX92" s="293"/>
      <c r="XDY92" s="294"/>
      <c r="XEE92" s="292"/>
      <c r="XEF92" s="293"/>
      <c r="XEG92" s="294"/>
      <c r="XEM92" s="292"/>
      <c r="XEN92" s="293"/>
      <c r="XEO92" s="294"/>
      <c r="XEU92" s="292"/>
      <c r="XEV92" s="293"/>
      <c r="XEW92" s="294"/>
    </row>
    <row r="93" spans="1:16377" ht="40.5" customHeight="1" x14ac:dyDescent="0.3">
      <c r="A93" s="435" t="s">
        <v>1370</v>
      </c>
      <c r="B93" s="436"/>
      <c r="C93" s="436"/>
      <c r="D93" s="436"/>
      <c r="E93" s="436"/>
      <c r="F93" s="436"/>
      <c r="G93" s="437"/>
    </row>
    <row r="94" spans="1:16377" ht="12.75" customHeight="1" x14ac:dyDescent="0.3">
      <c r="A94" s="438" t="s">
        <v>1337</v>
      </c>
      <c r="B94" s="431"/>
      <c r="C94" s="431"/>
      <c r="D94" s="431"/>
      <c r="E94" s="431"/>
      <c r="F94" s="431"/>
      <c r="G94" s="439"/>
    </row>
    <row r="95" spans="1:16377" ht="12.75" customHeight="1" x14ac:dyDescent="0.3">
      <c r="A95" s="390"/>
      <c r="B95" s="378"/>
      <c r="C95" s="378"/>
      <c r="D95" s="378"/>
      <c r="E95" s="378"/>
      <c r="F95" s="378"/>
      <c r="G95" s="391"/>
    </row>
    <row r="96" spans="1:16377" s="372" customFormat="1" ht="15" customHeight="1" x14ac:dyDescent="0.3">
      <c r="A96" s="440" t="s">
        <v>1038</v>
      </c>
      <c r="B96" s="440" t="s">
        <v>1037</v>
      </c>
      <c r="C96" s="433" t="s">
        <v>91</v>
      </c>
      <c r="D96" s="433" t="s">
        <v>90</v>
      </c>
      <c r="E96" s="433" t="s">
        <v>89</v>
      </c>
      <c r="F96" s="433" t="s">
        <v>1186</v>
      </c>
      <c r="G96" s="433"/>
      <c r="H96" s="271"/>
    </row>
    <row r="97" spans="1:8" ht="50.15" customHeight="1" x14ac:dyDescent="0.3">
      <c r="A97" s="441"/>
      <c r="B97" s="441"/>
      <c r="C97" s="433"/>
      <c r="D97" s="433"/>
      <c r="E97" s="433"/>
      <c r="F97" s="273" t="s">
        <v>88</v>
      </c>
      <c r="G97" s="273" t="s">
        <v>87</v>
      </c>
    </row>
    <row r="98" spans="1:8" x14ac:dyDescent="0.3">
      <c r="A98" s="461"/>
      <c r="B98" s="462"/>
      <c r="C98" s="463"/>
      <c r="D98" s="463"/>
      <c r="E98" s="463"/>
      <c r="F98" s="463"/>
      <c r="G98" s="464"/>
    </row>
    <row r="99" spans="1:8" s="279" customFormat="1" x14ac:dyDescent="0.3">
      <c r="A99" s="445" t="s">
        <v>1027</v>
      </c>
      <c r="B99" s="354" t="s">
        <v>1028</v>
      </c>
      <c r="C99" s="326">
        <v>1412.221</v>
      </c>
      <c r="D99" s="326">
        <v>133.45650000000001</v>
      </c>
      <c r="E99" s="327">
        <f>IF(C99&lt;&gt;"",D99/C99*100,"")</f>
        <v>9.4501143942768167</v>
      </c>
      <c r="F99" s="326">
        <v>1192.6880000000001</v>
      </c>
      <c r="G99" s="328">
        <v>1631.7550000000001</v>
      </c>
      <c r="H99" s="380"/>
    </row>
    <row r="100" spans="1:8" ht="29.5" customHeight="1" x14ac:dyDescent="0.3">
      <c r="A100" s="377" t="s">
        <v>1135</v>
      </c>
      <c r="B100" s="298" t="s">
        <v>1134</v>
      </c>
      <c r="C100" s="332">
        <v>1356.175</v>
      </c>
      <c r="D100" s="332">
        <v>144.1045</v>
      </c>
      <c r="E100" s="333">
        <f>IF(C100&lt;&gt;"",D100/C100*100,"")</f>
        <v>10.625804191936881</v>
      </c>
      <c r="F100" s="332">
        <v>1119.125</v>
      </c>
      <c r="G100" s="334">
        <v>1593.2239999999999</v>
      </c>
      <c r="H100" s="380"/>
    </row>
    <row r="101" spans="1:8" ht="28" x14ac:dyDescent="0.3">
      <c r="A101" s="377" t="s">
        <v>209</v>
      </c>
      <c r="B101" s="298" t="s">
        <v>1133</v>
      </c>
      <c r="C101" s="332">
        <v>1954.6510000000001</v>
      </c>
      <c r="D101" s="332">
        <v>432.4871</v>
      </c>
      <c r="E101" s="333">
        <f>IF(C101&lt;&gt;"",D101/C101*100,"")</f>
        <v>22.126052169927011</v>
      </c>
      <c r="F101" s="332">
        <v>1243.2170000000001</v>
      </c>
      <c r="G101" s="334">
        <v>2666.085</v>
      </c>
      <c r="H101" s="380"/>
    </row>
    <row r="102" spans="1:8" ht="28" x14ac:dyDescent="0.3">
      <c r="A102" s="377" t="s">
        <v>1026</v>
      </c>
      <c r="B102" s="298" t="s">
        <v>1132</v>
      </c>
      <c r="C102" s="332">
        <v>1168.146</v>
      </c>
      <c r="D102" s="332">
        <v>278.1773</v>
      </c>
      <c r="E102" s="333">
        <f>IF(C102&lt;&gt;"",D102/C102*100,"")</f>
        <v>23.813572960914133</v>
      </c>
      <c r="F102" s="332">
        <v>710.54949999999997</v>
      </c>
      <c r="G102" s="334">
        <v>1625.7429999999999</v>
      </c>
      <c r="H102" s="380"/>
    </row>
    <row r="103" spans="1:8" x14ac:dyDescent="0.3">
      <c r="A103" s="446"/>
      <c r="B103" s="298"/>
      <c r="C103" s="520"/>
      <c r="D103" s="502"/>
      <c r="E103" s="501"/>
      <c r="F103" s="502"/>
      <c r="G103" s="503"/>
    </row>
    <row r="104" spans="1:8" s="279" customFormat="1" x14ac:dyDescent="0.3">
      <c r="A104" s="445" t="s">
        <v>192</v>
      </c>
      <c r="B104" s="354" t="s">
        <v>1025</v>
      </c>
      <c r="C104" s="326">
        <v>1033.713</v>
      </c>
      <c r="D104" s="326">
        <v>433.7124</v>
      </c>
      <c r="E104" s="327">
        <f>IF(C104&lt;&gt;"",D104/C104*100,"")</f>
        <v>41.956752019177472</v>
      </c>
      <c r="F104" s="326">
        <v>320.2636</v>
      </c>
      <c r="G104" s="328">
        <v>1747.163</v>
      </c>
      <c r="H104" s="380"/>
    </row>
    <row r="105" spans="1:8" x14ac:dyDescent="0.3">
      <c r="A105" s="459"/>
      <c r="B105" s="392"/>
      <c r="C105" s="521"/>
      <c r="D105" s="502"/>
      <c r="E105" s="501"/>
      <c r="F105" s="502"/>
      <c r="G105" s="513"/>
    </row>
    <row r="106" spans="1:8" ht="25.5" customHeight="1" x14ac:dyDescent="0.3">
      <c r="A106" s="445" t="s">
        <v>1023</v>
      </c>
      <c r="B106" s="354" t="s">
        <v>1121</v>
      </c>
      <c r="C106" s="326">
        <v>3542.8969999999999</v>
      </c>
      <c r="D106" s="326">
        <v>1213.479</v>
      </c>
      <c r="E106" s="327">
        <f t="shared" ref="E106:E113" si="4">IF(C106&lt;&gt;"",D106/C106*100,"")</f>
        <v>34.251038062918568</v>
      </c>
      <c r="F106" s="326">
        <v>1546.7449999999999</v>
      </c>
      <c r="G106" s="328">
        <v>5539.049</v>
      </c>
      <c r="H106" s="380"/>
    </row>
    <row r="107" spans="1:8" ht="40.5" customHeight="1" x14ac:dyDescent="0.3">
      <c r="A107" s="377" t="s">
        <v>1022</v>
      </c>
      <c r="B107" s="460" t="s">
        <v>1267</v>
      </c>
      <c r="C107" s="332">
        <v>2354.6</v>
      </c>
      <c r="D107" s="332">
        <v>374.18529999999998</v>
      </c>
      <c r="E107" s="333">
        <f t="shared" si="4"/>
        <v>15.891671621506836</v>
      </c>
      <c r="F107" s="332">
        <v>1739.0719999999999</v>
      </c>
      <c r="G107" s="334">
        <v>2970.1280000000002</v>
      </c>
      <c r="H107" s="375"/>
    </row>
    <row r="108" spans="1:8" ht="28" x14ac:dyDescent="0.3">
      <c r="A108" s="377" t="s">
        <v>1190</v>
      </c>
      <c r="B108" s="460" t="s">
        <v>1270</v>
      </c>
      <c r="C108" s="332">
        <v>2630.1610000000001</v>
      </c>
      <c r="D108" s="332">
        <v>572.0249</v>
      </c>
      <c r="E108" s="333">
        <f t="shared" si="4"/>
        <v>21.748664815575928</v>
      </c>
      <c r="F108" s="332">
        <v>1689.19</v>
      </c>
      <c r="G108" s="334">
        <v>3571.1320000000001</v>
      </c>
      <c r="H108" s="375"/>
    </row>
    <row r="109" spans="1:8" ht="28" x14ac:dyDescent="0.3">
      <c r="A109" s="377" t="s">
        <v>1191</v>
      </c>
      <c r="B109" s="460" t="s">
        <v>1272</v>
      </c>
      <c r="C109" s="332">
        <v>5021.5870000000004</v>
      </c>
      <c r="D109" s="332">
        <v>3129.5880000000002</v>
      </c>
      <c r="E109" s="333">
        <f t="shared" si="4"/>
        <v>62.322688026713472</v>
      </c>
      <c r="F109" s="332">
        <v>-126.5322</v>
      </c>
      <c r="G109" s="334">
        <v>10169.709999999999</v>
      </c>
      <c r="H109" s="375"/>
    </row>
    <row r="110" spans="1:8" x14ac:dyDescent="0.3">
      <c r="A110" s="377" t="s">
        <v>1192</v>
      </c>
      <c r="B110" s="460" t="s">
        <v>1275</v>
      </c>
      <c r="C110" s="332">
        <v>7582.5529999999999</v>
      </c>
      <c r="D110" s="332">
        <v>2208.2649999999999</v>
      </c>
      <c r="E110" s="333">
        <f t="shared" si="4"/>
        <v>29.12297480808904</v>
      </c>
      <c r="F110" s="332">
        <v>3949.9960000000001</v>
      </c>
      <c r="G110" s="334">
        <v>11215.11</v>
      </c>
      <c r="H110" s="375"/>
    </row>
    <row r="111" spans="1:8" s="279" customFormat="1" x14ac:dyDescent="0.3">
      <c r="A111" s="377" t="s">
        <v>1193</v>
      </c>
      <c r="B111" s="460" t="s">
        <v>1276</v>
      </c>
      <c r="C111" s="332">
        <v>979.4271</v>
      </c>
      <c r="D111" s="332">
        <v>233.2441</v>
      </c>
      <c r="E111" s="333">
        <f t="shared" si="4"/>
        <v>23.814340036129284</v>
      </c>
      <c r="F111" s="332">
        <v>595.74450000000002</v>
      </c>
      <c r="G111" s="334">
        <v>1363.11</v>
      </c>
      <c r="H111" s="375"/>
    </row>
    <row r="112" spans="1:8" ht="30.5" customHeight="1" x14ac:dyDescent="0.3">
      <c r="A112" s="377" t="s">
        <v>1194</v>
      </c>
      <c r="B112" s="460" t="s">
        <v>1280</v>
      </c>
      <c r="C112" s="332">
        <v>2361.94</v>
      </c>
      <c r="D112" s="332">
        <v>365.48349999999999</v>
      </c>
      <c r="E112" s="333">
        <f t="shared" si="4"/>
        <v>15.473868938245678</v>
      </c>
      <c r="F112" s="332">
        <v>1760.7249999999999</v>
      </c>
      <c r="G112" s="334">
        <v>2963.154</v>
      </c>
      <c r="H112" s="375"/>
    </row>
    <row r="113" spans="1:8" x14ac:dyDescent="0.3">
      <c r="A113" s="377" t="s">
        <v>1195</v>
      </c>
      <c r="B113" s="460" t="s">
        <v>1281</v>
      </c>
      <c r="C113" s="332">
        <v>997.31420000000003</v>
      </c>
      <c r="D113" s="332">
        <v>134.29730000000001</v>
      </c>
      <c r="E113" s="333">
        <f t="shared" si="4"/>
        <v>13.465896705371286</v>
      </c>
      <c r="F113" s="332">
        <v>776.39750000000004</v>
      </c>
      <c r="G113" s="334">
        <v>1218.231</v>
      </c>
      <c r="H113" s="375"/>
    </row>
    <row r="114" spans="1:8" ht="27.75" customHeight="1" x14ac:dyDescent="0.3">
      <c r="A114" s="377"/>
      <c r="B114" s="298"/>
      <c r="C114" s="522"/>
      <c r="D114" s="502"/>
      <c r="E114" s="501"/>
      <c r="F114" s="502"/>
      <c r="G114" s="513"/>
      <c r="H114" s="385"/>
    </row>
    <row r="115" spans="1:8" ht="40.5" customHeight="1" x14ac:dyDescent="0.3">
      <c r="A115" s="445" t="s">
        <v>1020</v>
      </c>
      <c r="B115" s="354" t="s">
        <v>1131</v>
      </c>
      <c r="C115" s="326">
        <v>2100.123</v>
      </c>
      <c r="D115" s="326">
        <v>336.24369999999999</v>
      </c>
      <c r="E115" s="327">
        <f t="shared" ref="E115:E123" si="5">IF(C115&lt;&gt;"",D115/C115*100,"")</f>
        <v>16.010666994266526</v>
      </c>
      <c r="F115" s="326">
        <v>1547.008</v>
      </c>
      <c r="G115" s="328">
        <v>2653.2379999999998</v>
      </c>
      <c r="H115" s="385"/>
    </row>
    <row r="116" spans="1:8" ht="12.75" customHeight="1" x14ac:dyDescent="0.3">
      <c r="A116" s="377" t="s">
        <v>1019</v>
      </c>
      <c r="B116" s="460" t="s">
        <v>1285</v>
      </c>
      <c r="C116" s="332">
        <v>585.53049999999996</v>
      </c>
      <c r="D116" s="332">
        <v>108.6061</v>
      </c>
      <c r="E116" s="333">
        <f t="shared" si="5"/>
        <v>18.548324980509129</v>
      </c>
      <c r="F116" s="332">
        <v>406.87529999999998</v>
      </c>
      <c r="G116" s="334">
        <v>764.18560000000002</v>
      </c>
      <c r="H116" s="375"/>
    </row>
    <row r="117" spans="1:8" x14ac:dyDescent="0.3">
      <c r="A117" s="377" t="s">
        <v>1017</v>
      </c>
      <c r="B117" s="460" t="s">
        <v>1018</v>
      </c>
      <c r="C117" s="332">
        <v>378.26510000000002</v>
      </c>
      <c r="D117" s="332">
        <v>83.280140000000003</v>
      </c>
      <c r="E117" s="333">
        <f t="shared" si="5"/>
        <v>22.016342506882079</v>
      </c>
      <c r="F117" s="332">
        <v>241.27070000000001</v>
      </c>
      <c r="G117" s="334">
        <v>515.2595</v>
      </c>
      <c r="H117" s="375"/>
    </row>
    <row r="118" spans="1:8" ht="28" x14ac:dyDescent="0.3">
      <c r="A118" s="377" t="s">
        <v>135</v>
      </c>
      <c r="B118" s="460" t="s">
        <v>1344</v>
      </c>
      <c r="C118" s="332">
        <v>1305.9559999999999</v>
      </c>
      <c r="D118" s="332">
        <v>333.83170000000001</v>
      </c>
      <c r="E118" s="333">
        <f t="shared" si="5"/>
        <v>25.56224712011737</v>
      </c>
      <c r="F118" s="332">
        <v>756.80889999999999</v>
      </c>
      <c r="G118" s="334">
        <v>1855.104</v>
      </c>
      <c r="H118" s="375"/>
    </row>
    <row r="119" spans="1:8" x14ac:dyDescent="0.3">
      <c r="A119" s="377" t="s">
        <v>1196</v>
      </c>
      <c r="B119" s="460" t="s">
        <v>1290</v>
      </c>
      <c r="C119" s="332">
        <v>145.28120000000001</v>
      </c>
      <c r="D119" s="332">
        <v>18.339500000000001</v>
      </c>
      <c r="E119" s="333">
        <f t="shared" si="5"/>
        <v>12.623450246831661</v>
      </c>
      <c r="F119" s="332">
        <v>115.113</v>
      </c>
      <c r="G119" s="334">
        <v>175.4494</v>
      </c>
      <c r="H119" s="375"/>
    </row>
    <row r="120" spans="1:8" x14ac:dyDescent="0.3">
      <c r="A120" s="377" t="s">
        <v>1197</v>
      </c>
      <c r="B120" s="460" t="s">
        <v>1292</v>
      </c>
      <c r="C120" s="332">
        <v>216.7371</v>
      </c>
      <c r="D120" s="332">
        <v>98.611260000000001</v>
      </c>
      <c r="E120" s="333">
        <f t="shared" si="5"/>
        <v>45.498098848789617</v>
      </c>
      <c r="F120" s="332">
        <v>54.523269999999997</v>
      </c>
      <c r="G120" s="334">
        <v>378.95089999999999</v>
      </c>
      <c r="H120" s="375"/>
    </row>
    <row r="121" spans="1:8" ht="46" customHeight="1" x14ac:dyDescent="0.3">
      <c r="A121" s="377" t="s">
        <v>1347</v>
      </c>
      <c r="B121" s="460" t="s">
        <v>1293</v>
      </c>
      <c r="C121" s="332">
        <v>1965.634</v>
      </c>
      <c r="D121" s="332">
        <v>838.31179999999995</v>
      </c>
      <c r="E121" s="333">
        <f t="shared" si="5"/>
        <v>42.648417762411519</v>
      </c>
      <c r="F121" s="332">
        <v>586.62509999999997</v>
      </c>
      <c r="G121" s="334">
        <v>3344.6419999999998</v>
      </c>
      <c r="H121" s="375"/>
    </row>
    <row r="122" spans="1:8" ht="14" customHeight="1" x14ac:dyDescent="0.3">
      <c r="A122" s="377" t="s">
        <v>120</v>
      </c>
      <c r="B122" s="460" t="s">
        <v>1294</v>
      </c>
      <c r="C122" s="332">
        <v>3744.4409999999998</v>
      </c>
      <c r="D122" s="332">
        <v>676.48620000000005</v>
      </c>
      <c r="E122" s="333">
        <f t="shared" si="5"/>
        <v>18.066413651597131</v>
      </c>
      <c r="F122" s="332">
        <v>2631.6320000000001</v>
      </c>
      <c r="G122" s="334">
        <v>4857.2489999999998</v>
      </c>
      <c r="H122" s="375"/>
    </row>
    <row r="123" spans="1:8" ht="18.5" customHeight="1" x14ac:dyDescent="0.3">
      <c r="A123" s="377" t="s">
        <v>96</v>
      </c>
      <c r="B123" s="460" t="s">
        <v>1297</v>
      </c>
      <c r="C123" s="332">
        <v>3841.663</v>
      </c>
      <c r="D123" s="332">
        <v>1000.816</v>
      </c>
      <c r="E123" s="333">
        <f t="shared" si="5"/>
        <v>26.051634409369068</v>
      </c>
      <c r="F123" s="332">
        <v>2195.3380000000002</v>
      </c>
      <c r="G123" s="334">
        <v>5487.9889999999996</v>
      </c>
      <c r="H123" s="375"/>
    </row>
    <row r="124" spans="1:8" s="372" customFormat="1" ht="15" customHeight="1" x14ac:dyDescent="0.3">
      <c r="A124" s="393"/>
      <c r="B124" s="505"/>
      <c r="C124" s="394"/>
      <c r="D124" s="394"/>
      <c r="E124" s="394"/>
      <c r="F124" s="394"/>
      <c r="G124" s="395"/>
      <c r="H124" s="271"/>
    </row>
    <row r="125" spans="1:8" ht="50.15" customHeight="1" x14ac:dyDescent="0.3">
      <c r="A125" s="428" t="s">
        <v>1370</v>
      </c>
      <c r="B125" s="428"/>
      <c r="C125" s="428"/>
      <c r="D125" s="428"/>
      <c r="E125" s="428"/>
      <c r="F125" s="428"/>
      <c r="G125" s="428"/>
    </row>
    <row r="126" spans="1:8" ht="12.75" customHeight="1" x14ac:dyDescent="0.3">
      <c r="A126" s="431" t="s">
        <v>1337</v>
      </c>
      <c r="B126" s="431"/>
      <c r="C126" s="431"/>
      <c r="D126" s="431"/>
      <c r="E126" s="431"/>
      <c r="F126" s="431"/>
      <c r="G126" s="431"/>
    </row>
    <row r="127" spans="1:8" x14ac:dyDescent="0.3">
      <c r="A127" s="378"/>
      <c r="B127" s="378"/>
      <c r="C127" s="378"/>
      <c r="D127" s="378"/>
      <c r="E127" s="378"/>
      <c r="F127" s="378"/>
      <c r="G127" s="378"/>
      <c r="H127" s="380"/>
    </row>
    <row r="128" spans="1:8" ht="20" customHeight="1" x14ac:dyDescent="0.3">
      <c r="A128" s="440" t="s">
        <v>1038</v>
      </c>
      <c r="B128" s="440" t="s">
        <v>1037</v>
      </c>
      <c r="C128" s="433" t="s">
        <v>91</v>
      </c>
      <c r="D128" s="433" t="s">
        <v>90</v>
      </c>
      <c r="E128" s="433" t="s">
        <v>89</v>
      </c>
      <c r="F128" s="433" t="s">
        <v>1186</v>
      </c>
      <c r="G128" s="433"/>
    </row>
    <row r="129" spans="1:8" ht="39.5" customHeight="1" x14ac:dyDescent="0.3">
      <c r="A129" s="441"/>
      <c r="B129" s="441"/>
      <c r="C129" s="433"/>
      <c r="D129" s="433"/>
      <c r="E129" s="433"/>
      <c r="F129" s="273" t="s">
        <v>88</v>
      </c>
      <c r="G129" s="273" t="s">
        <v>87</v>
      </c>
      <c r="H129" s="380"/>
    </row>
    <row r="130" spans="1:8" ht="8.5" customHeight="1" x14ac:dyDescent="0.3">
      <c r="A130" s="506"/>
      <c r="B130" s="396"/>
      <c r="C130" s="507"/>
      <c r="D130" s="508"/>
      <c r="E130" s="508"/>
      <c r="F130" s="508"/>
      <c r="G130" s="509"/>
      <c r="H130" s="380"/>
    </row>
    <row r="131" spans="1:8" ht="20.5" customHeight="1" x14ac:dyDescent="0.3">
      <c r="A131" s="445" t="s">
        <v>54</v>
      </c>
      <c r="B131" s="354" t="s">
        <v>1015</v>
      </c>
      <c r="C131" s="326">
        <v>789.74220000000003</v>
      </c>
      <c r="D131" s="326">
        <v>50.020719999999997</v>
      </c>
      <c r="E131" s="327">
        <f>IF(C131&lt;&gt;"",D131/C131*100,"")</f>
        <v>6.3338036133816829</v>
      </c>
      <c r="F131" s="326">
        <v>707.45889999999997</v>
      </c>
      <c r="G131" s="328">
        <v>872.02539999999999</v>
      </c>
      <c r="H131" s="380"/>
    </row>
    <row r="132" spans="1:8" x14ac:dyDescent="0.3">
      <c r="A132" s="377"/>
      <c r="B132" s="330"/>
      <c r="C132" s="510"/>
      <c r="D132" s="511"/>
      <c r="E132" s="512"/>
      <c r="F132" s="511"/>
      <c r="G132" s="513"/>
    </row>
    <row r="133" spans="1:8" s="279" customFormat="1" ht="28" x14ac:dyDescent="0.3">
      <c r="A133" s="445" t="s">
        <v>1013</v>
      </c>
      <c r="B133" s="354" t="s">
        <v>1014</v>
      </c>
      <c r="C133" s="326">
        <v>1536.96</v>
      </c>
      <c r="D133" s="326">
        <v>137.25229999999999</v>
      </c>
      <c r="E133" s="327">
        <f>IF(C133&lt;&gt;"",D133/C133*100,"")</f>
        <v>8.930115292525505</v>
      </c>
      <c r="F133" s="326">
        <v>1311.182</v>
      </c>
      <c r="G133" s="328">
        <v>1762.7380000000001</v>
      </c>
      <c r="H133" s="380"/>
    </row>
    <row r="134" spans="1:8" ht="28" x14ac:dyDescent="0.3">
      <c r="A134" s="377" t="s">
        <v>22</v>
      </c>
      <c r="B134" s="298" t="s">
        <v>1130</v>
      </c>
      <c r="C134" s="502">
        <v>1610.3109999999999</v>
      </c>
      <c r="D134" s="514">
        <v>144.0669</v>
      </c>
      <c r="E134" s="333">
        <f>IF(C134&lt;&gt;"",D134/C134*100,"")</f>
        <v>8.9465264784255965</v>
      </c>
      <c r="F134" s="515">
        <v>1373.3240000000001</v>
      </c>
      <c r="G134" s="516">
        <v>1847.299</v>
      </c>
    </row>
    <row r="135" spans="1:8" s="279" customFormat="1" ht="28" customHeight="1" x14ac:dyDescent="0.3">
      <c r="A135" s="377" t="s">
        <v>1012</v>
      </c>
      <c r="B135" s="298" t="s">
        <v>1129</v>
      </c>
      <c r="C135" s="502">
        <v>1044.547</v>
      </c>
      <c r="D135" s="514">
        <v>106.1534</v>
      </c>
      <c r="E135" s="333">
        <f>IF(C135&lt;&gt;"",D135/C135*100,"")</f>
        <v>10.162625520919596</v>
      </c>
      <c r="F135" s="515">
        <v>869.92639999999994</v>
      </c>
      <c r="G135" s="516">
        <v>1219.1679999999999</v>
      </c>
      <c r="H135" s="380"/>
    </row>
    <row r="136" spans="1:8" x14ac:dyDescent="0.3">
      <c r="A136" s="517"/>
      <c r="B136" s="518"/>
      <c r="C136" s="519"/>
      <c r="D136" s="502"/>
      <c r="E136" s="501"/>
      <c r="F136" s="502"/>
      <c r="G136" s="503"/>
      <c r="H136" s="380"/>
    </row>
    <row r="137" spans="1:8" x14ac:dyDescent="0.3">
      <c r="A137" s="445" t="s">
        <v>1008</v>
      </c>
      <c r="B137" s="354" t="s">
        <v>1009</v>
      </c>
      <c r="C137" s="326">
        <v>1851.1010000000001</v>
      </c>
      <c r="D137" s="326">
        <v>1094.0329999999999</v>
      </c>
      <c r="E137" s="327">
        <f>IF(C137&lt;&gt;"",D137/C137*100,"")</f>
        <v>59.10174539368731</v>
      </c>
      <c r="F137" s="326">
        <v>51.435740000000003</v>
      </c>
      <c r="G137" s="328">
        <v>3650.7660000000001</v>
      </c>
      <c r="H137" s="380"/>
    </row>
    <row r="138" spans="1:8" x14ac:dyDescent="0.3">
      <c r="A138" s="377" t="s">
        <v>1200</v>
      </c>
      <c r="B138" s="460" t="s">
        <v>1309</v>
      </c>
      <c r="C138" s="332">
        <v>174.559</v>
      </c>
      <c r="D138" s="332">
        <v>89.031959999999998</v>
      </c>
      <c r="E138" s="333">
        <f>IF(C138&lt;&gt;"",D138/C138*100,"")</f>
        <v>51.003935632078559</v>
      </c>
      <c r="F138" s="332">
        <v>28.102920000000001</v>
      </c>
      <c r="G138" s="334">
        <v>321.01499999999999</v>
      </c>
      <c r="H138" s="380"/>
    </row>
    <row r="139" spans="1:8" ht="28" x14ac:dyDescent="0.3">
      <c r="A139" s="377" t="s">
        <v>1201</v>
      </c>
      <c r="B139" s="460" t="s">
        <v>1311</v>
      </c>
      <c r="C139" s="332">
        <v>496.63369999999998</v>
      </c>
      <c r="D139" s="332">
        <v>31.348649999999999</v>
      </c>
      <c r="E139" s="333">
        <f>IF(C139&lt;&gt;"",D139/C139*100,"")</f>
        <v>6.3122277042415771</v>
      </c>
      <c r="F139" s="332">
        <v>445.06569999999999</v>
      </c>
      <c r="G139" s="334">
        <v>548.20169999999996</v>
      </c>
      <c r="H139" s="380"/>
    </row>
    <row r="140" spans="1:8" x14ac:dyDescent="0.3">
      <c r="A140" s="377" t="s">
        <v>1202</v>
      </c>
      <c r="B140" s="460" t="s">
        <v>1312</v>
      </c>
      <c r="C140" s="332">
        <v>3554.2420000000002</v>
      </c>
      <c r="D140" s="332">
        <v>2212.7269999999999</v>
      </c>
      <c r="E140" s="333">
        <f>IF(C140&lt;&gt;"",D140/C140*100,"")</f>
        <v>62.255946556255871</v>
      </c>
      <c r="F140" s="332">
        <v>-85.655540000000002</v>
      </c>
      <c r="G140" s="334">
        <v>7194.14</v>
      </c>
      <c r="H140" s="380"/>
    </row>
    <row r="141" spans="1:8" ht="28" x14ac:dyDescent="0.3">
      <c r="A141" s="377" t="s">
        <v>1203</v>
      </c>
      <c r="B141" s="460" t="s">
        <v>1315</v>
      </c>
      <c r="C141" s="332">
        <v>405.85359999999997</v>
      </c>
      <c r="D141" s="332">
        <v>91.628720000000001</v>
      </c>
      <c r="E141" s="333">
        <f>IF(C141&lt;&gt;"",D141/C141*100,"")</f>
        <v>22.576791237037199</v>
      </c>
      <c r="F141" s="332">
        <v>255.1259</v>
      </c>
      <c r="G141" s="334">
        <v>556.58119999999997</v>
      </c>
      <c r="H141" s="380"/>
    </row>
    <row r="142" spans="1:8" x14ac:dyDescent="0.3">
      <c r="A142" s="377"/>
      <c r="B142" s="298"/>
      <c r="C142" s="519"/>
      <c r="D142" s="502"/>
      <c r="E142" s="501"/>
      <c r="F142" s="502"/>
      <c r="G142" s="503"/>
    </row>
    <row r="143" spans="1:8" s="279" customFormat="1" ht="42" x14ac:dyDescent="0.3">
      <c r="A143" s="445" t="s">
        <v>1006</v>
      </c>
      <c r="B143" s="335" t="s">
        <v>1074</v>
      </c>
      <c r="C143" s="326">
        <v>501.2824</v>
      </c>
      <c r="D143" s="326">
        <v>24.15222</v>
      </c>
      <c r="E143" s="327">
        <f>IF(C143&lt;&gt;"",D143/C143*100,"")</f>
        <v>4.8180865715612597</v>
      </c>
      <c r="F143" s="326">
        <v>461.55239999999998</v>
      </c>
      <c r="G143" s="328">
        <v>541.01239999999996</v>
      </c>
    </row>
    <row r="144" spans="1:8" s="313" customFormat="1" ht="29.5" customHeight="1" x14ac:dyDescent="0.3">
      <c r="A144" s="377" t="s">
        <v>1004</v>
      </c>
      <c r="B144" s="397" t="s">
        <v>1128</v>
      </c>
      <c r="C144" s="332">
        <v>348.36439999999999</v>
      </c>
      <c r="D144" s="332">
        <v>25.03228</v>
      </c>
      <c r="E144" s="333">
        <f>IF(C144&lt;&gt;"",D144/C144*100,"")</f>
        <v>7.18565961389855</v>
      </c>
      <c r="F144" s="332">
        <v>307.18680000000001</v>
      </c>
      <c r="G144" s="334">
        <v>389.5421</v>
      </c>
    </row>
    <row r="145" spans="1:7" s="313" customFormat="1" x14ac:dyDescent="0.3">
      <c r="A145" s="377" t="s">
        <v>6</v>
      </c>
      <c r="B145" s="397" t="s">
        <v>1097</v>
      </c>
      <c r="C145" s="332">
        <v>539.66869999999994</v>
      </c>
      <c r="D145" s="332">
        <v>29.418780000000002</v>
      </c>
      <c r="E145" s="333">
        <f>IF(C145&lt;&gt;"",D145/C145*100,"")</f>
        <v>5.4512666752768881</v>
      </c>
      <c r="F145" s="332">
        <v>491.27530000000002</v>
      </c>
      <c r="G145" s="334">
        <v>588.06209999999999</v>
      </c>
    </row>
    <row r="146" spans="1:7" s="313" customFormat="1" x14ac:dyDescent="0.3">
      <c r="A146" s="288"/>
      <c r="B146" s="367"/>
      <c r="C146" s="290"/>
      <c r="D146" s="291"/>
      <c r="E146" s="291"/>
      <c r="F146" s="291"/>
      <c r="G146" s="339"/>
    </row>
    <row r="147" spans="1:7" s="313" customFormat="1" ht="8.5" customHeight="1" x14ac:dyDescent="0.3">
      <c r="A147" s="302"/>
      <c r="B147" s="302"/>
      <c r="C147" s="386"/>
      <c r="D147" s="376"/>
      <c r="E147" s="376"/>
      <c r="F147" s="376"/>
      <c r="G147" s="376"/>
    </row>
    <row r="148" spans="1:7" s="313" customFormat="1" x14ac:dyDescent="0.3">
      <c r="A148" s="243" t="s">
        <v>1127</v>
      </c>
      <c r="B148" s="312"/>
    </row>
    <row r="149" spans="1:7" x14ac:dyDescent="0.3">
      <c r="A149" s="243" t="s">
        <v>1126</v>
      </c>
      <c r="B149" s="312"/>
      <c r="C149" s="313"/>
      <c r="D149" s="313"/>
      <c r="E149" s="313"/>
      <c r="F149" s="313"/>
      <c r="G149" s="313"/>
    </row>
    <row r="150" spans="1:7" x14ac:dyDescent="0.3">
      <c r="A150" s="244" t="s">
        <v>1125</v>
      </c>
      <c r="B150" s="312"/>
      <c r="C150" s="313"/>
      <c r="D150" s="313"/>
      <c r="E150" s="313"/>
      <c r="F150" s="313"/>
      <c r="G150" s="313"/>
    </row>
    <row r="151" spans="1:7" x14ac:dyDescent="0.3">
      <c r="A151" s="245" t="s">
        <v>1356</v>
      </c>
      <c r="B151" s="312"/>
      <c r="C151" s="313"/>
      <c r="D151" s="313"/>
      <c r="E151" s="313"/>
      <c r="F151" s="313"/>
      <c r="G151" s="313"/>
    </row>
  </sheetData>
  <mergeCells count="40">
    <mergeCell ref="A125:G125"/>
    <mergeCell ref="A126:G126"/>
    <mergeCell ref="A128:A129"/>
    <mergeCell ref="B128:B129"/>
    <mergeCell ref="C128:C129"/>
    <mergeCell ref="D128:D129"/>
    <mergeCell ref="E128:E129"/>
    <mergeCell ref="F128:G128"/>
    <mergeCell ref="A93:G93"/>
    <mergeCell ref="A94:G94"/>
    <mergeCell ref="A96:A97"/>
    <mergeCell ref="B96:B97"/>
    <mergeCell ref="C96:C97"/>
    <mergeCell ref="D96:D97"/>
    <mergeCell ref="E96:E97"/>
    <mergeCell ref="F96:G96"/>
    <mergeCell ref="A60:G60"/>
    <mergeCell ref="A61:G61"/>
    <mergeCell ref="A63:A64"/>
    <mergeCell ref="B63:B64"/>
    <mergeCell ref="C63:C64"/>
    <mergeCell ref="D63:D64"/>
    <mergeCell ref="E63:E64"/>
    <mergeCell ref="F63:G63"/>
    <mergeCell ref="A32:G32"/>
    <mergeCell ref="A33:G33"/>
    <mergeCell ref="A35:A36"/>
    <mergeCell ref="B35:B36"/>
    <mergeCell ref="C35:C36"/>
    <mergeCell ref="D35:D36"/>
    <mergeCell ref="E35:E36"/>
    <mergeCell ref="F35:G35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23622047244094491" header="0.31496062992125984" footer="0.23622047244094491"/>
  <pageSetup paperSize="9" scale="90" orientation="landscape" useFirstPageNumber="1" r:id="rId1"/>
  <headerFooter>
    <oddFooter>&amp;C&amp;"Arial,Regular"&amp;10&amp;P</oddFooter>
  </headerFooter>
  <rowBreaks count="4" manualBreakCount="4">
    <brk id="31" max="16383" man="1"/>
    <brk id="59" max="16383" man="1"/>
    <brk id="92" max="16383" man="1"/>
    <brk id="1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95FB9-AE11-492D-976E-340B809C549B}">
  <dimension ref="A1:R153"/>
  <sheetViews>
    <sheetView zoomScale="115" zoomScaleNormal="115" zoomScaleSheetLayoutView="85" zoomScalePageLayoutView="70" workbookViewId="0">
      <selection activeCell="A33" sqref="A33:G33"/>
    </sheetView>
  </sheetViews>
  <sheetFormatPr defaultRowHeight="14" x14ac:dyDescent="0.35"/>
  <cols>
    <col min="1" max="1" width="15.7265625" style="315" customWidth="1"/>
    <col min="2" max="2" width="47.26953125" style="304" customWidth="1"/>
    <col min="3" max="7" width="13.26953125" style="315" customWidth="1"/>
    <col min="8" max="253" width="9.1796875" style="315"/>
    <col min="254" max="254" width="15.7265625" style="315" customWidth="1"/>
    <col min="255" max="255" width="47.26953125" style="315" customWidth="1"/>
    <col min="256" max="261" width="13.26953125" style="315" customWidth="1"/>
    <col min="262" max="509" width="9.1796875" style="315"/>
    <col min="510" max="510" width="15.7265625" style="315" customWidth="1"/>
    <col min="511" max="511" width="47.26953125" style="315" customWidth="1"/>
    <col min="512" max="517" width="13.26953125" style="315" customWidth="1"/>
    <col min="518" max="765" width="9.1796875" style="315"/>
    <col min="766" max="766" width="15.7265625" style="315" customWidth="1"/>
    <col min="767" max="767" width="47.26953125" style="315" customWidth="1"/>
    <col min="768" max="773" width="13.26953125" style="315" customWidth="1"/>
    <col min="774" max="1021" width="9.1796875" style="315"/>
    <col min="1022" max="1022" width="15.7265625" style="315" customWidth="1"/>
    <col min="1023" max="1023" width="47.26953125" style="315" customWidth="1"/>
    <col min="1024" max="1029" width="13.26953125" style="315" customWidth="1"/>
    <col min="1030" max="1277" width="9.1796875" style="315"/>
    <col min="1278" max="1278" width="15.7265625" style="315" customWidth="1"/>
    <col min="1279" max="1279" width="47.26953125" style="315" customWidth="1"/>
    <col min="1280" max="1285" width="13.26953125" style="315" customWidth="1"/>
    <col min="1286" max="1533" width="9.1796875" style="315"/>
    <col min="1534" max="1534" width="15.7265625" style="315" customWidth="1"/>
    <col min="1535" max="1535" width="47.26953125" style="315" customWidth="1"/>
    <col min="1536" max="1541" width="13.26953125" style="315" customWidth="1"/>
    <col min="1542" max="1789" width="9.1796875" style="315"/>
    <col min="1790" max="1790" width="15.7265625" style="315" customWidth="1"/>
    <col min="1791" max="1791" width="47.26953125" style="315" customWidth="1"/>
    <col min="1792" max="1797" width="13.26953125" style="315" customWidth="1"/>
    <col min="1798" max="2045" width="9.1796875" style="315"/>
    <col min="2046" max="2046" width="15.7265625" style="315" customWidth="1"/>
    <col min="2047" max="2047" width="47.26953125" style="315" customWidth="1"/>
    <col min="2048" max="2053" width="13.26953125" style="315" customWidth="1"/>
    <col min="2054" max="2301" width="9.1796875" style="315"/>
    <col min="2302" max="2302" width="15.7265625" style="315" customWidth="1"/>
    <col min="2303" max="2303" width="47.26953125" style="315" customWidth="1"/>
    <col min="2304" max="2309" width="13.26953125" style="315" customWidth="1"/>
    <col min="2310" max="2557" width="9.1796875" style="315"/>
    <col min="2558" max="2558" width="15.7265625" style="315" customWidth="1"/>
    <col min="2559" max="2559" width="47.26953125" style="315" customWidth="1"/>
    <col min="2560" max="2565" width="13.26953125" style="315" customWidth="1"/>
    <col min="2566" max="2813" width="9.1796875" style="315"/>
    <col min="2814" max="2814" width="15.7265625" style="315" customWidth="1"/>
    <col min="2815" max="2815" width="47.26953125" style="315" customWidth="1"/>
    <col min="2816" max="2821" width="13.26953125" style="315" customWidth="1"/>
    <col min="2822" max="3069" width="9.1796875" style="315"/>
    <col min="3070" max="3070" width="15.7265625" style="315" customWidth="1"/>
    <col min="3071" max="3071" width="47.26953125" style="315" customWidth="1"/>
    <col min="3072" max="3077" width="13.26953125" style="315" customWidth="1"/>
    <col min="3078" max="3325" width="9.1796875" style="315"/>
    <col min="3326" max="3326" width="15.7265625" style="315" customWidth="1"/>
    <col min="3327" max="3327" width="47.26953125" style="315" customWidth="1"/>
    <col min="3328" max="3333" width="13.26953125" style="315" customWidth="1"/>
    <col min="3334" max="3581" width="9.1796875" style="315"/>
    <col min="3582" max="3582" width="15.7265625" style="315" customWidth="1"/>
    <col min="3583" max="3583" width="47.26953125" style="315" customWidth="1"/>
    <col min="3584" max="3589" width="13.26953125" style="315" customWidth="1"/>
    <col min="3590" max="3837" width="9.1796875" style="315"/>
    <col min="3838" max="3838" width="15.7265625" style="315" customWidth="1"/>
    <col min="3839" max="3839" width="47.26953125" style="315" customWidth="1"/>
    <col min="3840" max="3845" width="13.26953125" style="315" customWidth="1"/>
    <col min="3846" max="4093" width="9.1796875" style="315"/>
    <col min="4094" max="4094" width="15.7265625" style="315" customWidth="1"/>
    <col min="4095" max="4095" width="47.26953125" style="315" customWidth="1"/>
    <col min="4096" max="4101" width="13.26953125" style="315" customWidth="1"/>
    <col min="4102" max="4349" width="9.1796875" style="315"/>
    <col min="4350" max="4350" width="15.7265625" style="315" customWidth="1"/>
    <col min="4351" max="4351" width="47.26953125" style="315" customWidth="1"/>
    <col min="4352" max="4357" width="13.26953125" style="315" customWidth="1"/>
    <col min="4358" max="4605" width="9.1796875" style="315"/>
    <col min="4606" max="4606" width="15.7265625" style="315" customWidth="1"/>
    <col min="4607" max="4607" width="47.26953125" style="315" customWidth="1"/>
    <col min="4608" max="4613" width="13.26953125" style="315" customWidth="1"/>
    <col min="4614" max="4861" width="9.1796875" style="315"/>
    <col min="4862" max="4862" width="15.7265625" style="315" customWidth="1"/>
    <col min="4863" max="4863" width="47.26953125" style="315" customWidth="1"/>
    <col min="4864" max="4869" width="13.26953125" style="315" customWidth="1"/>
    <col min="4870" max="5117" width="9.1796875" style="315"/>
    <col min="5118" max="5118" width="15.7265625" style="315" customWidth="1"/>
    <col min="5119" max="5119" width="47.26953125" style="315" customWidth="1"/>
    <col min="5120" max="5125" width="13.26953125" style="315" customWidth="1"/>
    <col min="5126" max="5373" width="9.1796875" style="315"/>
    <col min="5374" max="5374" width="15.7265625" style="315" customWidth="1"/>
    <col min="5375" max="5375" width="47.26953125" style="315" customWidth="1"/>
    <col min="5376" max="5381" width="13.26953125" style="315" customWidth="1"/>
    <col min="5382" max="5629" width="9.1796875" style="315"/>
    <col min="5630" max="5630" width="15.7265625" style="315" customWidth="1"/>
    <col min="5631" max="5631" width="47.26953125" style="315" customWidth="1"/>
    <col min="5632" max="5637" width="13.26953125" style="315" customWidth="1"/>
    <col min="5638" max="5885" width="9.1796875" style="315"/>
    <col min="5886" max="5886" width="15.7265625" style="315" customWidth="1"/>
    <col min="5887" max="5887" width="47.26953125" style="315" customWidth="1"/>
    <col min="5888" max="5893" width="13.26953125" style="315" customWidth="1"/>
    <col min="5894" max="6141" width="9.1796875" style="315"/>
    <col min="6142" max="6142" width="15.7265625" style="315" customWidth="1"/>
    <col min="6143" max="6143" width="47.26953125" style="315" customWidth="1"/>
    <col min="6144" max="6149" width="13.26953125" style="315" customWidth="1"/>
    <col min="6150" max="6397" width="9.1796875" style="315"/>
    <col min="6398" max="6398" width="15.7265625" style="315" customWidth="1"/>
    <col min="6399" max="6399" width="47.26953125" style="315" customWidth="1"/>
    <col min="6400" max="6405" width="13.26953125" style="315" customWidth="1"/>
    <col min="6406" max="6653" width="9.1796875" style="315"/>
    <col min="6654" max="6654" width="15.7265625" style="315" customWidth="1"/>
    <col min="6655" max="6655" width="47.26953125" style="315" customWidth="1"/>
    <col min="6656" max="6661" width="13.26953125" style="315" customWidth="1"/>
    <col min="6662" max="6909" width="9.1796875" style="315"/>
    <col min="6910" max="6910" width="15.7265625" style="315" customWidth="1"/>
    <col min="6911" max="6911" width="47.26953125" style="315" customWidth="1"/>
    <col min="6912" max="6917" width="13.26953125" style="315" customWidth="1"/>
    <col min="6918" max="7165" width="9.1796875" style="315"/>
    <col min="7166" max="7166" width="15.7265625" style="315" customWidth="1"/>
    <col min="7167" max="7167" width="47.26953125" style="315" customWidth="1"/>
    <col min="7168" max="7173" width="13.26953125" style="315" customWidth="1"/>
    <col min="7174" max="7421" width="9.1796875" style="315"/>
    <col min="7422" max="7422" width="15.7265625" style="315" customWidth="1"/>
    <col min="7423" max="7423" width="47.26953125" style="315" customWidth="1"/>
    <col min="7424" max="7429" width="13.26953125" style="315" customWidth="1"/>
    <col min="7430" max="7677" width="9.1796875" style="315"/>
    <col min="7678" max="7678" width="15.7265625" style="315" customWidth="1"/>
    <col min="7679" max="7679" width="47.26953125" style="315" customWidth="1"/>
    <col min="7680" max="7685" width="13.26953125" style="315" customWidth="1"/>
    <col min="7686" max="7933" width="9.1796875" style="315"/>
    <col min="7934" max="7934" width="15.7265625" style="315" customWidth="1"/>
    <col min="7935" max="7935" width="47.26953125" style="315" customWidth="1"/>
    <col min="7936" max="7941" width="13.26953125" style="315" customWidth="1"/>
    <col min="7942" max="8189" width="9.1796875" style="315"/>
    <col min="8190" max="8190" width="15.7265625" style="315" customWidth="1"/>
    <col min="8191" max="8191" width="47.26953125" style="315" customWidth="1"/>
    <col min="8192" max="8197" width="13.26953125" style="315" customWidth="1"/>
    <col min="8198" max="8445" width="9.1796875" style="315"/>
    <col min="8446" max="8446" width="15.7265625" style="315" customWidth="1"/>
    <col min="8447" max="8447" width="47.26953125" style="315" customWidth="1"/>
    <col min="8448" max="8453" width="13.26953125" style="315" customWidth="1"/>
    <col min="8454" max="8701" width="9.1796875" style="315"/>
    <col min="8702" max="8702" width="15.7265625" style="315" customWidth="1"/>
    <col min="8703" max="8703" width="47.26953125" style="315" customWidth="1"/>
    <col min="8704" max="8709" width="13.26953125" style="315" customWidth="1"/>
    <col min="8710" max="8957" width="9.1796875" style="315"/>
    <col min="8958" max="8958" width="15.7265625" style="315" customWidth="1"/>
    <col min="8959" max="8959" width="47.26953125" style="315" customWidth="1"/>
    <col min="8960" max="8965" width="13.26953125" style="315" customWidth="1"/>
    <col min="8966" max="9213" width="9.1796875" style="315"/>
    <col min="9214" max="9214" width="15.7265625" style="315" customWidth="1"/>
    <col min="9215" max="9215" width="47.26953125" style="315" customWidth="1"/>
    <col min="9216" max="9221" width="13.26953125" style="315" customWidth="1"/>
    <col min="9222" max="9469" width="9.1796875" style="315"/>
    <col min="9470" max="9470" width="15.7265625" style="315" customWidth="1"/>
    <col min="9471" max="9471" width="47.26953125" style="315" customWidth="1"/>
    <col min="9472" max="9477" width="13.26953125" style="315" customWidth="1"/>
    <col min="9478" max="9725" width="9.1796875" style="315"/>
    <col min="9726" max="9726" width="15.7265625" style="315" customWidth="1"/>
    <col min="9727" max="9727" width="47.26953125" style="315" customWidth="1"/>
    <col min="9728" max="9733" width="13.26953125" style="315" customWidth="1"/>
    <col min="9734" max="9981" width="9.1796875" style="315"/>
    <col min="9982" max="9982" width="15.7265625" style="315" customWidth="1"/>
    <col min="9983" max="9983" width="47.26953125" style="315" customWidth="1"/>
    <col min="9984" max="9989" width="13.26953125" style="315" customWidth="1"/>
    <col min="9990" max="10237" width="9.1796875" style="315"/>
    <col min="10238" max="10238" width="15.7265625" style="315" customWidth="1"/>
    <col min="10239" max="10239" width="47.26953125" style="315" customWidth="1"/>
    <col min="10240" max="10245" width="13.26953125" style="315" customWidth="1"/>
    <col min="10246" max="10493" width="9.1796875" style="315"/>
    <col min="10494" max="10494" width="15.7265625" style="315" customWidth="1"/>
    <col min="10495" max="10495" width="47.26953125" style="315" customWidth="1"/>
    <col min="10496" max="10501" width="13.26953125" style="315" customWidth="1"/>
    <col min="10502" max="10749" width="9.1796875" style="315"/>
    <col min="10750" max="10750" width="15.7265625" style="315" customWidth="1"/>
    <col min="10751" max="10751" width="47.26953125" style="315" customWidth="1"/>
    <col min="10752" max="10757" width="13.26953125" style="315" customWidth="1"/>
    <col min="10758" max="11005" width="9.1796875" style="315"/>
    <col min="11006" max="11006" width="15.7265625" style="315" customWidth="1"/>
    <col min="11007" max="11007" width="47.26953125" style="315" customWidth="1"/>
    <col min="11008" max="11013" width="13.26953125" style="315" customWidth="1"/>
    <col min="11014" max="11261" width="9.1796875" style="315"/>
    <col min="11262" max="11262" width="15.7265625" style="315" customWidth="1"/>
    <col min="11263" max="11263" width="47.26953125" style="315" customWidth="1"/>
    <col min="11264" max="11269" width="13.26953125" style="315" customWidth="1"/>
    <col min="11270" max="11517" width="9.1796875" style="315"/>
    <col min="11518" max="11518" width="15.7265625" style="315" customWidth="1"/>
    <col min="11519" max="11519" width="47.26953125" style="315" customWidth="1"/>
    <col min="11520" max="11525" width="13.26953125" style="315" customWidth="1"/>
    <col min="11526" max="11773" width="9.1796875" style="315"/>
    <col min="11774" max="11774" width="15.7265625" style="315" customWidth="1"/>
    <col min="11775" max="11775" width="47.26953125" style="315" customWidth="1"/>
    <col min="11776" max="11781" width="13.26953125" style="315" customWidth="1"/>
    <col min="11782" max="12029" width="9.1796875" style="315"/>
    <col min="12030" max="12030" width="15.7265625" style="315" customWidth="1"/>
    <col min="12031" max="12031" width="47.26953125" style="315" customWidth="1"/>
    <col min="12032" max="12037" width="13.26953125" style="315" customWidth="1"/>
    <col min="12038" max="12285" width="9.1796875" style="315"/>
    <col min="12286" max="12286" width="15.7265625" style="315" customWidth="1"/>
    <col min="12287" max="12287" width="47.26953125" style="315" customWidth="1"/>
    <col min="12288" max="12293" width="13.26953125" style="315" customWidth="1"/>
    <col min="12294" max="12541" width="9.1796875" style="315"/>
    <col min="12542" max="12542" width="15.7265625" style="315" customWidth="1"/>
    <col min="12543" max="12543" width="47.26953125" style="315" customWidth="1"/>
    <col min="12544" max="12549" width="13.26953125" style="315" customWidth="1"/>
    <col min="12550" max="12797" width="9.1796875" style="315"/>
    <col min="12798" max="12798" width="15.7265625" style="315" customWidth="1"/>
    <col min="12799" max="12799" width="47.26953125" style="315" customWidth="1"/>
    <col min="12800" max="12805" width="13.26953125" style="315" customWidth="1"/>
    <col min="12806" max="13053" width="9.1796875" style="315"/>
    <col min="13054" max="13054" width="15.7265625" style="315" customWidth="1"/>
    <col min="13055" max="13055" width="47.26953125" style="315" customWidth="1"/>
    <col min="13056" max="13061" width="13.26953125" style="315" customWidth="1"/>
    <col min="13062" max="13309" width="9.1796875" style="315"/>
    <col min="13310" max="13310" width="15.7265625" style="315" customWidth="1"/>
    <col min="13311" max="13311" width="47.26953125" style="315" customWidth="1"/>
    <col min="13312" max="13317" width="13.26953125" style="315" customWidth="1"/>
    <col min="13318" max="13565" width="9.1796875" style="315"/>
    <col min="13566" max="13566" width="15.7265625" style="315" customWidth="1"/>
    <col min="13567" max="13567" width="47.26953125" style="315" customWidth="1"/>
    <col min="13568" max="13573" width="13.26953125" style="315" customWidth="1"/>
    <col min="13574" max="13821" width="9.1796875" style="315"/>
    <col min="13822" max="13822" width="15.7265625" style="315" customWidth="1"/>
    <col min="13823" max="13823" width="47.26953125" style="315" customWidth="1"/>
    <col min="13824" max="13829" width="13.26953125" style="315" customWidth="1"/>
    <col min="13830" max="14077" width="9.1796875" style="315"/>
    <col min="14078" max="14078" width="15.7265625" style="315" customWidth="1"/>
    <col min="14079" max="14079" width="47.26953125" style="315" customWidth="1"/>
    <col min="14080" max="14085" width="13.26953125" style="315" customWidth="1"/>
    <col min="14086" max="14333" width="9.1796875" style="315"/>
    <col min="14334" max="14334" width="15.7265625" style="315" customWidth="1"/>
    <col min="14335" max="14335" width="47.26953125" style="315" customWidth="1"/>
    <col min="14336" max="14341" width="13.26953125" style="315" customWidth="1"/>
    <col min="14342" max="14589" width="9.1796875" style="315"/>
    <col min="14590" max="14590" width="15.7265625" style="315" customWidth="1"/>
    <col min="14591" max="14591" width="47.26953125" style="315" customWidth="1"/>
    <col min="14592" max="14597" width="13.26953125" style="315" customWidth="1"/>
    <col min="14598" max="14845" width="9.1796875" style="315"/>
    <col min="14846" max="14846" width="15.7265625" style="315" customWidth="1"/>
    <col min="14847" max="14847" width="47.26953125" style="315" customWidth="1"/>
    <col min="14848" max="14853" width="13.26953125" style="315" customWidth="1"/>
    <col min="14854" max="15101" width="9.1796875" style="315"/>
    <col min="15102" max="15102" width="15.7265625" style="315" customWidth="1"/>
    <col min="15103" max="15103" width="47.26953125" style="315" customWidth="1"/>
    <col min="15104" max="15109" width="13.26953125" style="315" customWidth="1"/>
    <col min="15110" max="15357" width="9.1796875" style="315"/>
    <col min="15358" max="15358" width="15.7265625" style="315" customWidth="1"/>
    <col min="15359" max="15359" width="47.26953125" style="315" customWidth="1"/>
    <col min="15360" max="15365" width="13.26953125" style="315" customWidth="1"/>
    <col min="15366" max="15613" width="9.1796875" style="315"/>
    <col min="15614" max="15614" width="15.7265625" style="315" customWidth="1"/>
    <col min="15615" max="15615" width="47.26953125" style="315" customWidth="1"/>
    <col min="15616" max="15621" width="13.26953125" style="315" customWidth="1"/>
    <col min="15622" max="15869" width="9.1796875" style="315"/>
    <col min="15870" max="15870" width="15.7265625" style="315" customWidth="1"/>
    <col min="15871" max="15871" width="47.26953125" style="315" customWidth="1"/>
    <col min="15872" max="15877" width="13.26953125" style="315" customWidth="1"/>
    <col min="15878" max="16125" width="9.1796875" style="315"/>
    <col min="16126" max="16126" width="15.7265625" style="315" customWidth="1"/>
    <col min="16127" max="16127" width="47.26953125" style="315" customWidth="1"/>
    <col min="16128" max="16133" width="13.26953125" style="315" customWidth="1"/>
    <col min="16134" max="16382" width="9.1796875" style="315"/>
    <col min="16383" max="16384" width="8.81640625" style="315" customWidth="1"/>
  </cols>
  <sheetData>
    <row r="1" spans="1:18" ht="28.5" customHeight="1" x14ac:dyDescent="0.3">
      <c r="A1" s="428" t="s">
        <v>1383</v>
      </c>
      <c r="B1" s="428"/>
      <c r="C1" s="428"/>
      <c r="D1" s="428"/>
      <c r="E1" s="428"/>
      <c r="F1" s="428"/>
      <c r="G1" s="428"/>
      <c r="J1" s="537"/>
      <c r="K1" s="537"/>
      <c r="L1" s="537"/>
      <c r="M1" s="537"/>
      <c r="N1" s="537"/>
      <c r="O1" s="537"/>
      <c r="P1" s="537"/>
      <c r="Q1" s="537"/>
      <c r="R1" s="537"/>
    </row>
    <row r="2" spans="1:18" ht="12.75" customHeight="1" x14ac:dyDescent="0.35">
      <c r="A2" s="453" t="s">
        <v>1337</v>
      </c>
      <c r="B2" s="453"/>
      <c r="C2" s="453"/>
      <c r="D2" s="453"/>
      <c r="E2" s="453"/>
      <c r="F2" s="453"/>
      <c r="G2" s="453"/>
      <c r="J2" s="538"/>
      <c r="K2" s="538"/>
      <c r="L2" s="538"/>
      <c r="M2" s="538"/>
      <c r="N2" s="538"/>
      <c r="O2" s="538"/>
      <c r="P2" s="538"/>
      <c r="Q2" s="538"/>
      <c r="R2" s="538"/>
    </row>
    <row r="3" spans="1:18" s="323" customFormat="1" ht="12.75" customHeight="1" x14ac:dyDescent="0.35">
      <c r="A3" s="539"/>
      <c r="B3" s="539"/>
      <c r="C3" s="539"/>
      <c r="D3" s="539"/>
      <c r="E3" s="539"/>
      <c r="F3" s="539"/>
      <c r="G3" s="539"/>
      <c r="H3" s="315"/>
    </row>
    <row r="4" spans="1:18" s="323" customFormat="1" ht="15" customHeight="1" x14ac:dyDescent="0.35">
      <c r="A4" s="432" t="s">
        <v>1038</v>
      </c>
      <c r="B4" s="432" t="s">
        <v>1037</v>
      </c>
      <c r="C4" s="433" t="s">
        <v>1372</v>
      </c>
      <c r="D4" s="433" t="s">
        <v>90</v>
      </c>
      <c r="E4" s="433" t="s">
        <v>89</v>
      </c>
      <c r="F4" s="433" t="s">
        <v>1186</v>
      </c>
      <c r="G4" s="433"/>
      <c r="H4" s="315"/>
    </row>
    <row r="5" spans="1:18" ht="50.15" customHeight="1" x14ac:dyDescent="0.35">
      <c r="A5" s="432"/>
      <c r="B5" s="432"/>
      <c r="C5" s="433"/>
      <c r="D5" s="433"/>
      <c r="E5" s="433"/>
      <c r="F5" s="273" t="s">
        <v>88</v>
      </c>
      <c r="G5" s="273" t="s">
        <v>87</v>
      </c>
    </row>
    <row r="6" spans="1:18" x14ac:dyDescent="0.35">
      <c r="A6" s="461"/>
      <c r="B6" s="462"/>
      <c r="C6" s="463"/>
      <c r="D6" s="463"/>
      <c r="E6" s="463"/>
      <c r="F6" s="463"/>
      <c r="G6" s="463"/>
    </row>
    <row r="7" spans="1:18" x14ac:dyDescent="0.35">
      <c r="A7" s="525"/>
      <c r="B7" s="466" t="s">
        <v>1073</v>
      </c>
      <c r="C7" s="556">
        <v>1147.317</v>
      </c>
      <c r="D7" s="556">
        <v>75.687460000000002</v>
      </c>
      <c r="E7" s="540">
        <f>IF(C7&lt;&gt;"",D7/C7*100,"")</f>
        <v>6.5969091367076409</v>
      </c>
      <c r="F7" s="556">
        <v>1022.812</v>
      </c>
      <c r="G7" s="556">
        <v>1271.8219999999999</v>
      </c>
      <c r="H7" s="541"/>
    </row>
    <row r="8" spans="1:18" x14ac:dyDescent="0.35">
      <c r="A8" s="277"/>
      <c r="B8" s="330"/>
      <c r="C8" s="557"/>
      <c r="D8" s="557"/>
      <c r="E8" s="553"/>
      <c r="F8" s="557"/>
      <c r="G8" s="557"/>
    </row>
    <row r="9" spans="1:18" s="322" customFormat="1" x14ac:dyDescent="0.35">
      <c r="A9" s="465" t="s">
        <v>1071</v>
      </c>
      <c r="B9" s="354" t="s">
        <v>1072</v>
      </c>
      <c r="C9" s="556">
        <v>410.20710000000003</v>
      </c>
      <c r="D9" s="556">
        <v>35.069389999999999</v>
      </c>
      <c r="E9" s="540">
        <f>IF(C9&lt;&gt;"",D9/C9*100,"")</f>
        <v>8.5491913718704513</v>
      </c>
      <c r="F9" s="556">
        <v>352.51859999999999</v>
      </c>
      <c r="G9" s="556">
        <v>467.89569999999998</v>
      </c>
      <c r="H9" s="541"/>
    </row>
    <row r="10" spans="1:18" ht="27" customHeight="1" x14ac:dyDescent="0.35">
      <c r="A10" s="377" t="s">
        <v>992</v>
      </c>
      <c r="B10" s="304" t="s">
        <v>1146</v>
      </c>
      <c r="C10" s="558">
        <v>98</v>
      </c>
      <c r="D10" s="558">
        <v>19.5</v>
      </c>
      <c r="E10" s="554">
        <v>11.1</v>
      </c>
      <c r="F10" s="558">
        <v>1.8</v>
      </c>
      <c r="G10" s="558">
        <v>0.1</v>
      </c>
      <c r="H10" s="541"/>
    </row>
    <row r="11" spans="1:18" x14ac:dyDescent="0.35">
      <c r="A11" s="377" t="s">
        <v>704</v>
      </c>
      <c r="B11" s="304" t="s">
        <v>990</v>
      </c>
      <c r="C11" s="558">
        <v>20</v>
      </c>
      <c r="D11" s="558">
        <v>9.3000000000000007</v>
      </c>
      <c r="E11" s="554">
        <v>2.2999999999999998</v>
      </c>
      <c r="F11" s="558">
        <v>0.9</v>
      </c>
      <c r="G11" s="558" t="s">
        <v>1101</v>
      </c>
      <c r="H11" s="541"/>
    </row>
    <row r="12" spans="1:18" x14ac:dyDescent="0.35">
      <c r="A12" s="446"/>
      <c r="B12" s="298"/>
      <c r="C12" s="558"/>
      <c r="D12" s="558"/>
      <c r="E12" s="554"/>
      <c r="F12" s="558"/>
      <c r="G12" s="558"/>
    </row>
    <row r="13" spans="1:18" s="322" customFormat="1" ht="13.5" customHeight="1" x14ac:dyDescent="0.35">
      <c r="A13" s="445" t="s">
        <v>1068</v>
      </c>
      <c r="B13" s="297" t="s">
        <v>1069</v>
      </c>
      <c r="C13" s="556">
        <v>861.78769999999997</v>
      </c>
      <c r="D13" s="556">
        <v>115.2564</v>
      </c>
      <c r="E13" s="540">
        <f>IF(C13&lt;&gt;"",D13/C13*100,"")</f>
        <v>13.374105942797746</v>
      </c>
      <c r="F13" s="556">
        <v>672.19290000000001</v>
      </c>
      <c r="G13" s="556">
        <v>1051.3820000000001</v>
      </c>
      <c r="H13" s="541"/>
    </row>
    <row r="14" spans="1:18" ht="42" x14ac:dyDescent="0.35">
      <c r="A14" s="377" t="s">
        <v>987</v>
      </c>
      <c r="B14" s="304" t="s">
        <v>1145</v>
      </c>
      <c r="C14" s="514">
        <v>1018.724</v>
      </c>
      <c r="D14" s="514">
        <v>72.524209999999997</v>
      </c>
      <c r="E14" s="542">
        <f>IF(C14&lt;&gt;"",D14/C14*100,"")</f>
        <v>7.1191225493853096</v>
      </c>
      <c r="F14" s="514">
        <v>899.42250000000001</v>
      </c>
      <c r="G14" s="514">
        <v>1138.0250000000001</v>
      </c>
      <c r="H14" s="541"/>
    </row>
    <row r="15" spans="1:18" x14ac:dyDescent="0.35">
      <c r="A15" s="377" t="s">
        <v>506</v>
      </c>
      <c r="B15" s="304" t="s">
        <v>1066</v>
      </c>
      <c r="C15" s="514">
        <v>855.89729999999997</v>
      </c>
      <c r="D15" s="514">
        <v>152.01570000000001</v>
      </c>
      <c r="E15" s="542">
        <f>IF(C15&lt;&gt;"",D15/C15*100,"")</f>
        <v>17.760974359891076</v>
      </c>
      <c r="F15" s="514">
        <v>605.83410000000003</v>
      </c>
      <c r="G15" s="514">
        <v>1105.96</v>
      </c>
      <c r="H15" s="541"/>
    </row>
    <row r="16" spans="1:18" x14ac:dyDescent="0.35">
      <c r="A16" s="377" t="s">
        <v>1064</v>
      </c>
      <c r="B16" s="304" t="s">
        <v>1065</v>
      </c>
      <c r="C16" s="514">
        <v>696.77329999999995</v>
      </c>
      <c r="D16" s="514">
        <v>162.34309999999999</v>
      </c>
      <c r="E16" s="542">
        <f>IF(C16&lt;&gt;"",D16/C16*100,"")</f>
        <v>23.299271082861527</v>
      </c>
      <c r="F16" s="514">
        <v>429.72179999999997</v>
      </c>
      <c r="G16" s="514">
        <v>963.82489999999996</v>
      </c>
      <c r="H16" s="541"/>
    </row>
    <row r="17" spans="1:8" x14ac:dyDescent="0.35">
      <c r="A17" s="277"/>
      <c r="B17" s="298"/>
      <c r="C17" s="559"/>
      <c r="D17" s="559"/>
      <c r="E17" s="555"/>
      <c r="F17" s="559"/>
      <c r="G17" s="559"/>
    </row>
    <row r="18" spans="1:8" s="322" customFormat="1" x14ac:dyDescent="0.35">
      <c r="A18" s="445" t="s">
        <v>1062</v>
      </c>
      <c r="B18" s="297" t="s">
        <v>1063</v>
      </c>
      <c r="C18" s="556">
        <v>804.33219999999994</v>
      </c>
      <c r="D18" s="556">
        <v>54.295140000000004</v>
      </c>
      <c r="E18" s="540">
        <f t="shared" ref="E18:E29" si="0">IF(C18&lt;&gt;"",D18/C18*100,"")</f>
        <v>6.7503377335881884</v>
      </c>
      <c r="F18" s="556">
        <v>715.01769999999999</v>
      </c>
      <c r="G18" s="556">
        <v>893.64679999999998</v>
      </c>
    </row>
    <row r="19" spans="1:8" x14ac:dyDescent="0.35">
      <c r="A19" s="377" t="s">
        <v>330</v>
      </c>
      <c r="B19" s="460" t="s">
        <v>977</v>
      </c>
      <c r="C19" s="514">
        <v>466.65629999999999</v>
      </c>
      <c r="D19" s="514">
        <v>53.302959999999999</v>
      </c>
      <c r="E19" s="542">
        <f t="shared" si="0"/>
        <v>11.422316595747233</v>
      </c>
      <c r="F19" s="514">
        <v>378.97379999999998</v>
      </c>
      <c r="G19" s="514">
        <v>554.33870000000002</v>
      </c>
      <c r="H19" s="543"/>
    </row>
    <row r="20" spans="1:8" x14ac:dyDescent="0.35">
      <c r="A20" s="377" t="s">
        <v>443</v>
      </c>
      <c r="B20" s="460" t="s">
        <v>973</v>
      </c>
      <c r="C20" s="514">
        <v>194.64619999999999</v>
      </c>
      <c r="D20" s="514">
        <v>90.454800000000006</v>
      </c>
      <c r="E20" s="542">
        <f t="shared" si="0"/>
        <v>46.471392711493984</v>
      </c>
      <c r="F20" s="514">
        <v>45.849589999999999</v>
      </c>
      <c r="G20" s="514">
        <v>343.44279999999998</v>
      </c>
      <c r="H20" s="543"/>
    </row>
    <row r="21" spans="1:8" x14ac:dyDescent="0.35">
      <c r="A21" s="377" t="s">
        <v>1059</v>
      </c>
      <c r="B21" s="460" t="s">
        <v>1060</v>
      </c>
      <c r="C21" s="514">
        <v>711.39030000000002</v>
      </c>
      <c r="D21" s="514">
        <v>94.853200000000001</v>
      </c>
      <c r="E21" s="542">
        <f t="shared" si="0"/>
        <v>13.333496394314063</v>
      </c>
      <c r="F21" s="514">
        <v>555.35839999999996</v>
      </c>
      <c r="G21" s="514">
        <v>867.4221</v>
      </c>
      <c r="H21" s="543"/>
    </row>
    <row r="22" spans="1:8" x14ac:dyDescent="0.35">
      <c r="A22" s="377" t="s">
        <v>571</v>
      </c>
      <c r="B22" s="460" t="s">
        <v>970</v>
      </c>
      <c r="C22" s="514">
        <v>538.23130000000003</v>
      </c>
      <c r="D22" s="514">
        <v>418.53609999999998</v>
      </c>
      <c r="E22" s="542">
        <f t="shared" si="0"/>
        <v>77.7613825134287</v>
      </c>
      <c r="F22" s="514">
        <v>-150.2535</v>
      </c>
      <c r="G22" s="514">
        <v>1226.7159999999999</v>
      </c>
      <c r="H22" s="543"/>
    </row>
    <row r="23" spans="1:8" x14ac:dyDescent="0.35">
      <c r="A23" s="377" t="s">
        <v>784</v>
      </c>
      <c r="B23" s="460" t="s">
        <v>964</v>
      </c>
      <c r="C23" s="514">
        <v>292.58089999999999</v>
      </c>
      <c r="D23" s="514">
        <v>51.093089999999997</v>
      </c>
      <c r="E23" s="542">
        <f t="shared" si="0"/>
        <v>17.462893169034615</v>
      </c>
      <c r="F23" s="514">
        <v>208.53370000000001</v>
      </c>
      <c r="G23" s="514">
        <v>376.62819999999999</v>
      </c>
      <c r="H23" s="543"/>
    </row>
    <row r="24" spans="1:8" ht="15" customHeight="1" x14ac:dyDescent="0.35">
      <c r="A24" s="377" t="s">
        <v>667</v>
      </c>
      <c r="B24" s="460" t="s">
        <v>947</v>
      </c>
      <c r="C24" s="514">
        <v>601.3125</v>
      </c>
      <c r="D24" s="514">
        <v>267.51920000000001</v>
      </c>
      <c r="E24" s="542">
        <f t="shared" si="0"/>
        <v>44.489213179503174</v>
      </c>
      <c r="F24" s="514">
        <v>161.24799999999999</v>
      </c>
      <c r="G24" s="514">
        <v>1041.377</v>
      </c>
      <c r="H24" s="543"/>
    </row>
    <row r="25" spans="1:8" ht="56.5" customHeight="1" x14ac:dyDescent="0.35">
      <c r="A25" s="377" t="s">
        <v>1348</v>
      </c>
      <c r="B25" s="460" t="s">
        <v>1362</v>
      </c>
      <c r="C25" s="514">
        <v>242.93889999999999</v>
      </c>
      <c r="D25" s="514">
        <v>159.339</v>
      </c>
      <c r="E25" s="542">
        <f t="shared" si="0"/>
        <v>65.588096430830973</v>
      </c>
      <c r="F25" s="514">
        <v>-19.17108</v>
      </c>
      <c r="G25" s="514">
        <v>505.04880000000003</v>
      </c>
      <c r="H25" s="543"/>
    </row>
    <row r="26" spans="1:8" x14ac:dyDescent="0.35">
      <c r="A26" s="377" t="s">
        <v>405</v>
      </c>
      <c r="B26" s="460" t="s">
        <v>921</v>
      </c>
      <c r="C26" s="514">
        <v>624.50130000000001</v>
      </c>
      <c r="D26" s="514">
        <v>133.2963</v>
      </c>
      <c r="E26" s="542">
        <f t="shared" si="0"/>
        <v>21.34443915489047</v>
      </c>
      <c r="F26" s="514">
        <v>405.23129999999998</v>
      </c>
      <c r="G26" s="514">
        <v>843.77139999999997</v>
      </c>
      <c r="H26" s="543"/>
    </row>
    <row r="27" spans="1:8" x14ac:dyDescent="0.35">
      <c r="A27" s="377" t="s">
        <v>568</v>
      </c>
      <c r="B27" s="460" t="s">
        <v>913</v>
      </c>
      <c r="C27" s="514">
        <v>664.66949999999997</v>
      </c>
      <c r="D27" s="514">
        <v>129.27189999999999</v>
      </c>
      <c r="E27" s="542">
        <f t="shared" si="0"/>
        <v>19.449049490009696</v>
      </c>
      <c r="F27" s="514">
        <v>452.01949999999999</v>
      </c>
      <c r="G27" s="514">
        <v>877.31939999999997</v>
      </c>
      <c r="H27" s="543"/>
    </row>
    <row r="28" spans="1:8" ht="25.5" customHeight="1" x14ac:dyDescent="0.35">
      <c r="A28" s="377" t="s">
        <v>305</v>
      </c>
      <c r="B28" s="460" t="s">
        <v>906</v>
      </c>
      <c r="C28" s="514">
        <v>278.5616</v>
      </c>
      <c r="D28" s="514">
        <v>124.9432</v>
      </c>
      <c r="E28" s="542">
        <f t="shared" si="0"/>
        <v>44.852987633614973</v>
      </c>
      <c r="F28" s="514">
        <v>73.032210000000006</v>
      </c>
      <c r="G28" s="514">
        <v>484.09109999999998</v>
      </c>
      <c r="H28" s="543"/>
    </row>
    <row r="29" spans="1:8" ht="18.5" customHeight="1" x14ac:dyDescent="0.35">
      <c r="A29" s="377" t="s">
        <v>349</v>
      </c>
      <c r="B29" s="460" t="s">
        <v>897</v>
      </c>
      <c r="C29" s="514">
        <v>847.74080000000004</v>
      </c>
      <c r="D29" s="514">
        <v>175.0213</v>
      </c>
      <c r="E29" s="542">
        <f t="shared" si="0"/>
        <v>20.645614791691045</v>
      </c>
      <c r="F29" s="514">
        <v>559.8338</v>
      </c>
      <c r="G29" s="514">
        <v>1135.6479999999999</v>
      </c>
      <c r="H29" s="543"/>
    </row>
    <row r="30" spans="1:8" ht="5.25" customHeight="1" x14ac:dyDescent="0.35">
      <c r="A30" s="448"/>
      <c r="B30" s="367"/>
      <c r="C30" s="560"/>
      <c r="D30" s="560"/>
      <c r="E30" s="560"/>
      <c r="F30" s="560"/>
      <c r="G30" s="560"/>
    </row>
    <row r="31" spans="1:8" s="319" customFormat="1" ht="20.149999999999999" customHeight="1" x14ac:dyDescent="0.35">
      <c r="A31" s="451" t="s">
        <v>1153</v>
      </c>
      <c r="B31" s="397"/>
      <c r="C31" s="318"/>
    </row>
    <row r="32" spans="1:8" ht="18" customHeight="1" x14ac:dyDescent="0.35">
      <c r="A32" s="544"/>
      <c r="C32" s="458"/>
      <c r="D32" s="458"/>
      <c r="E32" s="458"/>
      <c r="F32" s="458"/>
      <c r="G32" s="458"/>
    </row>
    <row r="33" spans="1:8" ht="25.5" customHeight="1" x14ac:dyDescent="0.3">
      <c r="A33" s="428" t="s">
        <v>1384</v>
      </c>
      <c r="B33" s="428"/>
      <c r="C33" s="428"/>
      <c r="D33" s="428"/>
      <c r="E33" s="428"/>
      <c r="F33" s="428"/>
      <c r="G33" s="428"/>
    </row>
    <row r="34" spans="1:8" ht="12.75" customHeight="1" x14ac:dyDescent="0.35">
      <c r="A34" s="453" t="s">
        <v>1337</v>
      </c>
      <c r="B34" s="453"/>
      <c r="C34" s="453"/>
      <c r="D34" s="453"/>
      <c r="E34" s="453"/>
      <c r="F34" s="453"/>
      <c r="G34" s="453"/>
    </row>
    <row r="35" spans="1:8" s="323" customFormat="1" ht="12.75" customHeight="1" x14ac:dyDescent="0.35">
      <c r="A35" s="539"/>
      <c r="B35" s="539"/>
      <c r="C35" s="539"/>
      <c r="D35" s="539"/>
      <c r="E35" s="539"/>
      <c r="F35" s="539"/>
      <c r="G35" s="539"/>
    </row>
    <row r="36" spans="1:8" s="323" customFormat="1" ht="15" customHeight="1" x14ac:dyDescent="0.35">
      <c r="A36" s="432" t="s">
        <v>1038</v>
      </c>
      <c r="B36" s="432" t="s">
        <v>1037</v>
      </c>
      <c r="C36" s="433" t="s">
        <v>91</v>
      </c>
      <c r="D36" s="433" t="s">
        <v>90</v>
      </c>
      <c r="E36" s="433" t="s">
        <v>89</v>
      </c>
      <c r="F36" s="433" t="s">
        <v>1186</v>
      </c>
      <c r="G36" s="433"/>
    </row>
    <row r="37" spans="1:8" ht="50.15" customHeight="1" x14ac:dyDescent="0.35">
      <c r="A37" s="432"/>
      <c r="B37" s="432"/>
      <c r="C37" s="433"/>
      <c r="D37" s="433"/>
      <c r="E37" s="433"/>
      <c r="F37" s="273" t="s">
        <v>88</v>
      </c>
      <c r="G37" s="273" t="s">
        <v>87</v>
      </c>
    </row>
    <row r="38" spans="1:8" x14ac:dyDescent="0.35">
      <c r="A38" s="461"/>
      <c r="B38" s="462"/>
      <c r="C38" s="463"/>
      <c r="D38" s="545"/>
      <c r="E38" s="545"/>
      <c r="F38" s="545"/>
      <c r="G38" s="463"/>
    </row>
    <row r="39" spans="1:8" ht="28" x14ac:dyDescent="0.35">
      <c r="A39" s="377" t="s">
        <v>574</v>
      </c>
      <c r="B39" s="304" t="s">
        <v>1003</v>
      </c>
      <c r="C39" s="514">
        <v>487.56479999999999</v>
      </c>
      <c r="D39" s="514">
        <v>103.27719999999999</v>
      </c>
      <c r="E39" s="542">
        <f t="shared" ref="E39:E52" si="1">IF(C39&lt;&gt;"",D39/C39*100,"")</f>
        <v>21.182251056680055</v>
      </c>
      <c r="F39" s="514">
        <v>317.67559999999997</v>
      </c>
      <c r="G39" s="514">
        <v>657.45389999999998</v>
      </c>
      <c r="H39" s="543"/>
    </row>
    <row r="40" spans="1:8" ht="14.25" customHeight="1" x14ac:dyDescent="0.35">
      <c r="A40" s="377" t="s">
        <v>375</v>
      </c>
      <c r="B40" s="304" t="s">
        <v>876</v>
      </c>
      <c r="C40" s="514">
        <v>640.21699999999998</v>
      </c>
      <c r="D40" s="514">
        <v>126.85939999999999</v>
      </c>
      <c r="E40" s="542">
        <f t="shared" si="1"/>
        <v>19.815062705301482</v>
      </c>
      <c r="F40" s="514">
        <v>431.53539999999998</v>
      </c>
      <c r="G40" s="514">
        <v>848.89859999999999</v>
      </c>
      <c r="H40" s="543"/>
    </row>
    <row r="41" spans="1:8" x14ac:dyDescent="0.35">
      <c r="A41" s="377" t="s">
        <v>650</v>
      </c>
      <c r="B41" s="304" t="s">
        <v>867</v>
      </c>
      <c r="C41" s="514">
        <v>1329.9649999999999</v>
      </c>
      <c r="D41" s="514">
        <v>207.50720000000001</v>
      </c>
      <c r="E41" s="542">
        <f t="shared" si="1"/>
        <v>15.60245570372153</v>
      </c>
      <c r="F41" s="514">
        <v>988.61950000000002</v>
      </c>
      <c r="G41" s="514">
        <v>1671.3109999999999</v>
      </c>
      <c r="H41" s="543"/>
    </row>
    <row r="42" spans="1:8" ht="14.15" customHeight="1" x14ac:dyDescent="0.35">
      <c r="A42" s="377" t="s">
        <v>474</v>
      </c>
      <c r="B42" s="304" t="s">
        <v>1057</v>
      </c>
      <c r="C42" s="514">
        <v>460.13830000000002</v>
      </c>
      <c r="D42" s="514">
        <v>117.67440000000001</v>
      </c>
      <c r="E42" s="542">
        <f t="shared" si="1"/>
        <v>25.573702515091657</v>
      </c>
      <c r="F42" s="514">
        <v>266.5659</v>
      </c>
      <c r="G42" s="514">
        <v>653.71069999999997</v>
      </c>
      <c r="H42" s="543"/>
    </row>
    <row r="43" spans="1:8" x14ac:dyDescent="0.35">
      <c r="A43" s="377" t="s">
        <v>441</v>
      </c>
      <c r="B43" s="304" t="s">
        <v>846</v>
      </c>
      <c r="C43" s="514">
        <v>820.8098</v>
      </c>
      <c r="D43" s="514">
        <v>284.06020000000001</v>
      </c>
      <c r="E43" s="542">
        <f t="shared" si="1"/>
        <v>34.607310975088261</v>
      </c>
      <c r="F43" s="514">
        <v>353.53559999999999</v>
      </c>
      <c r="G43" s="514">
        <v>1288.0840000000001</v>
      </c>
      <c r="H43" s="543"/>
    </row>
    <row r="44" spans="1:8" ht="28" x14ac:dyDescent="0.35">
      <c r="A44" s="377" t="s">
        <v>581</v>
      </c>
      <c r="B44" s="304" t="s">
        <v>1075</v>
      </c>
      <c r="C44" s="514">
        <v>1844.856</v>
      </c>
      <c r="D44" s="514">
        <v>318.15109999999999</v>
      </c>
      <c r="E44" s="542">
        <f t="shared" si="1"/>
        <v>17.245308034881855</v>
      </c>
      <c r="F44" s="514">
        <v>1321.5029999999999</v>
      </c>
      <c r="G44" s="514">
        <v>2368.2089999999998</v>
      </c>
      <c r="H44" s="543"/>
    </row>
    <row r="45" spans="1:8" ht="28" x14ac:dyDescent="0.35">
      <c r="A45" s="377" t="s">
        <v>554</v>
      </c>
      <c r="B45" s="304" t="s">
        <v>817</v>
      </c>
      <c r="C45" s="514">
        <v>1138.7760000000001</v>
      </c>
      <c r="D45" s="514">
        <v>398.36079999999998</v>
      </c>
      <c r="E45" s="542">
        <f t="shared" si="1"/>
        <v>34.981488896850649</v>
      </c>
      <c r="F45" s="514">
        <v>483.47969999999998</v>
      </c>
      <c r="G45" s="514">
        <v>1794.0730000000001</v>
      </c>
      <c r="H45" s="543"/>
    </row>
    <row r="46" spans="1:8" ht="15" customHeight="1" x14ac:dyDescent="0.35">
      <c r="A46" s="377" t="s">
        <v>598</v>
      </c>
      <c r="B46" s="304" t="s">
        <v>800</v>
      </c>
      <c r="C46" s="514">
        <v>616.65660000000003</v>
      </c>
      <c r="D46" s="514">
        <v>146.48589999999999</v>
      </c>
      <c r="E46" s="542">
        <f t="shared" si="1"/>
        <v>23.754858052277392</v>
      </c>
      <c r="F46" s="514">
        <v>375.68979999999999</v>
      </c>
      <c r="G46" s="514">
        <v>857.62329999999997</v>
      </c>
      <c r="H46" s="543"/>
    </row>
    <row r="47" spans="1:8" ht="15" customHeight="1" x14ac:dyDescent="0.35">
      <c r="A47" s="377" t="s">
        <v>396</v>
      </c>
      <c r="B47" s="304" t="s">
        <v>786</v>
      </c>
      <c r="C47" s="514">
        <v>870.25580000000002</v>
      </c>
      <c r="D47" s="514">
        <v>226.57910000000001</v>
      </c>
      <c r="E47" s="542">
        <f t="shared" si="1"/>
        <v>26.035919553767982</v>
      </c>
      <c r="F47" s="514">
        <v>497.53699999999998</v>
      </c>
      <c r="G47" s="514">
        <v>1242.9749999999999</v>
      </c>
      <c r="H47" s="543"/>
    </row>
    <row r="48" spans="1:8" ht="27" customHeight="1" x14ac:dyDescent="0.35">
      <c r="A48" s="377" t="s">
        <v>334</v>
      </c>
      <c r="B48" s="304" t="s">
        <v>1056</v>
      </c>
      <c r="C48" s="514">
        <v>1530.3910000000001</v>
      </c>
      <c r="D48" s="514">
        <v>351.16899999999998</v>
      </c>
      <c r="E48" s="542">
        <f t="shared" si="1"/>
        <v>22.946358152916474</v>
      </c>
      <c r="F48" s="514">
        <v>952.72400000000005</v>
      </c>
      <c r="G48" s="514">
        <v>2108.058</v>
      </c>
      <c r="H48" s="543"/>
    </row>
    <row r="49" spans="1:8" ht="27.75" customHeight="1" x14ac:dyDescent="0.35">
      <c r="A49" s="377" t="s">
        <v>1055</v>
      </c>
      <c r="B49" s="304" t="s">
        <v>1104</v>
      </c>
      <c r="C49" s="514">
        <v>3726.0830000000001</v>
      </c>
      <c r="D49" s="514">
        <v>1167.192</v>
      </c>
      <c r="E49" s="542">
        <f t="shared" si="1"/>
        <v>31.324906074287661</v>
      </c>
      <c r="F49" s="514">
        <v>1806.0719999999999</v>
      </c>
      <c r="G49" s="514">
        <v>5646.0929999999998</v>
      </c>
      <c r="H49" s="543"/>
    </row>
    <row r="50" spans="1:8" x14ac:dyDescent="0.35">
      <c r="A50" s="377" t="s">
        <v>385</v>
      </c>
      <c r="B50" s="304" t="s">
        <v>751</v>
      </c>
      <c r="C50" s="514">
        <v>885.56020000000001</v>
      </c>
      <c r="D50" s="514">
        <v>156.38919999999999</v>
      </c>
      <c r="E50" s="542">
        <f t="shared" si="1"/>
        <v>17.659917417246167</v>
      </c>
      <c r="F50" s="514">
        <v>628.30269999999996</v>
      </c>
      <c r="G50" s="514">
        <v>1142.818</v>
      </c>
      <c r="H50" s="543"/>
    </row>
    <row r="51" spans="1:8" x14ac:dyDescent="0.35">
      <c r="A51" s="377" t="s">
        <v>487</v>
      </c>
      <c r="B51" s="304" t="s">
        <v>730</v>
      </c>
      <c r="C51" s="514">
        <v>886.75599999999997</v>
      </c>
      <c r="D51" s="514">
        <v>94.48603</v>
      </c>
      <c r="E51" s="542">
        <f t="shared" si="1"/>
        <v>10.655245636905756</v>
      </c>
      <c r="F51" s="514">
        <v>731.32809999999995</v>
      </c>
      <c r="G51" s="514">
        <v>1042.184</v>
      </c>
      <c r="H51" s="543"/>
    </row>
    <row r="52" spans="1:8" ht="28" x14ac:dyDescent="0.35">
      <c r="A52" s="377" t="s">
        <v>1053</v>
      </c>
      <c r="B52" s="304" t="s">
        <v>1109</v>
      </c>
      <c r="C52" s="514">
        <v>1063.0709999999999</v>
      </c>
      <c r="D52" s="514">
        <v>224.60380000000001</v>
      </c>
      <c r="E52" s="542">
        <f t="shared" si="1"/>
        <v>21.127826833767454</v>
      </c>
      <c r="F52" s="514">
        <v>693.6019</v>
      </c>
      <c r="G52" s="514">
        <v>1432.5409999999999</v>
      </c>
      <c r="H52" s="543"/>
    </row>
    <row r="53" spans="1:8" x14ac:dyDescent="0.35">
      <c r="A53" s="277"/>
      <c r="B53" s="298"/>
      <c r="C53" s="559"/>
      <c r="D53" s="511"/>
      <c r="E53" s="512"/>
      <c r="F53" s="511"/>
      <c r="G53" s="558"/>
    </row>
    <row r="54" spans="1:8" s="322" customFormat="1" ht="27" customHeight="1" x14ac:dyDescent="0.35">
      <c r="A54" s="445" t="s">
        <v>391</v>
      </c>
      <c r="B54" s="354" t="s">
        <v>1103</v>
      </c>
      <c r="C54" s="556">
        <v>4151.4489999999996</v>
      </c>
      <c r="D54" s="556">
        <v>1454.942</v>
      </c>
      <c r="E54" s="540">
        <f>IF(C54&lt;&gt;"",D54/C54*100,"")</f>
        <v>35.046606618556559</v>
      </c>
      <c r="F54" s="556">
        <v>1758.0940000000001</v>
      </c>
      <c r="G54" s="556">
        <v>6544.8040000000001</v>
      </c>
    </row>
    <row r="55" spans="1:8" s="322" customFormat="1" x14ac:dyDescent="0.35">
      <c r="A55" s="459"/>
      <c r="B55" s="354"/>
      <c r="C55" s="561"/>
      <c r="D55" s="511"/>
      <c r="E55" s="512"/>
      <c r="F55" s="511"/>
      <c r="G55" s="562"/>
    </row>
    <row r="56" spans="1:8" s="322" customFormat="1" ht="27" customHeight="1" x14ac:dyDescent="0.35">
      <c r="A56" s="445" t="s">
        <v>1049</v>
      </c>
      <c r="B56" s="354" t="s">
        <v>1150</v>
      </c>
      <c r="C56" s="556">
        <v>1089.413</v>
      </c>
      <c r="D56" s="556">
        <v>67.119309999999999</v>
      </c>
      <c r="E56" s="540">
        <f>IF(C56&lt;&gt;"",D56/C56*100,"")</f>
        <v>6.1610527871431673</v>
      </c>
      <c r="F56" s="556">
        <v>979.00300000000004</v>
      </c>
      <c r="G56" s="556">
        <v>1199.8230000000001</v>
      </c>
    </row>
    <row r="57" spans="1:8" x14ac:dyDescent="0.35">
      <c r="A57" s="377" t="s">
        <v>402</v>
      </c>
      <c r="B57" s="298" t="s">
        <v>677</v>
      </c>
      <c r="C57" s="514">
        <v>1086.248</v>
      </c>
      <c r="D57" s="514">
        <v>69.41713</v>
      </c>
      <c r="E57" s="542">
        <f>IF(C57&lt;&gt;"",D57/C57*100,"")</f>
        <v>6.3905415706173905</v>
      </c>
      <c r="F57" s="514">
        <v>972.05790000000002</v>
      </c>
      <c r="G57" s="514">
        <v>1200.4380000000001</v>
      </c>
    </row>
    <row r="58" spans="1:8" ht="45.5" customHeight="1" x14ac:dyDescent="0.35">
      <c r="A58" s="377" t="s">
        <v>1110</v>
      </c>
      <c r="B58" s="298" t="s">
        <v>1143</v>
      </c>
      <c r="C58" s="514">
        <v>1103.1400000000001</v>
      </c>
      <c r="D58" s="514">
        <v>195.5087</v>
      </c>
      <c r="E58" s="542">
        <f>IF(C58&lt;&gt;"",D58/C58*100,"")</f>
        <v>17.722927280308934</v>
      </c>
      <c r="F58" s="514">
        <v>781.53139999999996</v>
      </c>
      <c r="G58" s="514">
        <v>1424.748</v>
      </c>
    </row>
    <row r="59" spans="1:8" ht="5.25" customHeight="1" x14ac:dyDescent="0.35">
      <c r="A59" s="448"/>
      <c r="B59" s="367"/>
      <c r="C59" s="316"/>
      <c r="D59" s="317"/>
      <c r="E59" s="317"/>
      <c r="F59" s="317"/>
      <c r="G59" s="382"/>
    </row>
    <row r="60" spans="1:8" ht="18" customHeight="1" x14ac:dyDescent="0.35">
      <c r="A60" s="458"/>
      <c r="B60" s="298"/>
      <c r="C60" s="458"/>
      <c r="D60" s="458"/>
      <c r="E60" s="458"/>
      <c r="F60" s="458"/>
      <c r="G60" s="458"/>
    </row>
    <row r="61" spans="1:8" ht="29" customHeight="1" x14ac:dyDescent="0.3">
      <c r="A61" s="428" t="s">
        <v>1384</v>
      </c>
      <c r="B61" s="428"/>
      <c r="C61" s="428"/>
      <c r="D61" s="428"/>
      <c r="E61" s="428"/>
      <c r="F61" s="428"/>
      <c r="G61" s="428"/>
    </row>
    <row r="62" spans="1:8" ht="12.75" customHeight="1" x14ac:dyDescent="0.35">
      <c r="A62" s="453" t="s">
        <v>1337</v>
      </c>
      <c r="B62" s="453"/>
      <c r="C62" s="453"/>
      <c r="D62" s="453"/>
      <c r="E62" s="453"/>
      <c r="F62" s="453"/>
      <c r="G62" s="453"/>
    </row>
    <row r="63" spans="1:8" s="323" customFormat="1" ht="12.75" customHeight="1" x14ac:dyDescent="0.35">
      <c r="A63" s="539"/>
      <c r="B63" s="539"/>
      <c r="C63" s="539"/>
      <c r="D63" s="539"/>
      <c r="E63" s="539"/>
      <c r="F63" s="539"/>
      <c r="G63" s="539"/>
    </row>
    <row r="64" spans="1:8" s="323" customFormat="1" ht="15" customHeight="1" x14ac:dyDescent="0.35">
      <c r="A64" s="432" t="s">
        <v>1038</v>
      </c>
      <c r="B64" s="432" t="s">
        <v>1037</v>
      </c>
      <c r="C64" s="433" t="s">
        <v>91</v>
      </c>
      <c r="D64" s="433" t="s">
        <v>90</v>
      </c>
      <c r="E64" s="433" t="s">
        <v>89</v>
      </c>
      <c r="F64" s="433" t="s">
        <v>1186</v>
      </c>
      <c r="G64" s="433"/>
    </row>
    <row r="65" spans="1:7" ht="50.15" customHeight="1" x14ac:dyDescent="0.35">
      <c r="A65" s="432"/>
      <c r="B65" s="432"/>
      <c r="C65" s="433"/>
      <c r="D65" s="433"/>
      <c r="E65" s="433"/>
      <c r="F65" s="273" t="s">
        <v>88</v>
      </c>
      <c r="G65" s="273" t="s">
        <v>87</v>
      </c>
    </row>
    <row r="66" spans="1:7" x14ac:dyDescent="0.35">
      <c r="A66" s="461"/>
      <c r="B66" s="462"/>
      <c r="C66" s="463"/>
      <c r="D66" s="463"/>
      <c r="E66" s="463"/>
      <c r="F66" s="463"/>
      <c r="G66" s="463"/>
    </row>
    <row r="67" spans="1:7" s="322" customFormat="1" x14ac:dyDescent="0.35">
      <c r="A67" s="445" t="s">
        <v>654</v>
      </c>
      <c r="B67" s="354" t="s">
        <v>1045</v>
      </c>
      <c r="C67" s="556">
        <v>614.61220000000003</v>
      </c>
      <c r="D67" s="556">
        <v>74.227080000000001</v>
      </c>
      <c r="E67" s="540">
        <f>IF(C67&lt;&gt;"",D67/C67*100,"")</f>
        <v>12.077059322935666</v>
      </c>
      <c r="F67" s="556">
        <v>492.51</v>
      </c>
      <c r="G67" s="556">
        <v>736.71450000000004</v>
      </c>
    </row>
    <row r="68" spans="1:7" s="322" customFormat="1" x14ac:dyDescent="0.35">
      <c r="A68" s="465"/>
      <c r="B68" s="358"/>
      <c r="C68" s="563"/>
      <c r="D68" s="511"/>
      <c r="E68" s="512"/>
      <c r="F68" s="511"/>
      <c r="G68" s="557"/>
    </row>
    <row r="69" spans="1:7" s="322" customFormat="1" ht="28.5" customHeight="1" x14ac:dyDescent="0.35">
      <c r="A69" s="445" t="s">
        <v>1042</v>
      </c>
      <c r="B69" s="335" t="s">
        <v>1142</v>
      </c>
      <c r="C69" s="556">
        <v>875.3442</v>
      </c>
      <c r="D69" s="556">
        <v>55.191580000000002</v>
      </c>
      <c r="E69" s="540">
        <f>IF(C69&lt;&gt;"",D69/C69*100,"")</f>
        <v>6.3051288853002054</v>
      </c>
      <c r="F69" s="556">
        <v>784.55499999999995</v>
      </c>
      <c r="G69" s="556">
        <v>966.13340000000005</v>
      </c>
    </row>
    <row r="70" spans="1:7" ht="28" x14ac:dyDescent="0.35">
      <c r="A70" s="377" t="s">
        <v>592</v>
      </c>
      <c r="B70" s="298" t="s">
        <v>1141</v>
      </c>
      <c r="C70" s="514">
        <v>378.399</v>
      </c>
      <c r="D70" s="514">
        <v>21.365649999999999</v>
      </c>
      <c r="E70" s="542">
        <f>IF(C70&lt;&gt;"",D70/C70*100,"")</f>
        <v>5.6463283465336849</v>
      </c>
      <c r="F70" s="514">
        <v>343.25290000000001</v>
      </c>
      <c r="G70" s="514">
        <v>413.54509999999999</v>
      </c>
    </row>
    <row r="71" spans="1:7" ht="28" x14ac:dyDescent="0.35">
      <c r="A71" s="377" t="s">
        <v>428</v>
      </c>
      <c r="B71" s="298" t="s">
        <v>1102</v>
      </c>
      <c r="C71" s="514">
        <v>1608.855</v>
      </c>
      <c r="D71" s="514">
        <v>139.33170000000001</v>
      </c>
      <c r="E71" s="542">
        <f>IF(C71&lt;&gt;"",D71/C71*100,"")</f>
        <v>8.6603018917180243</v>
      </c>
      <c r="F71" s="514">
        <v>1379.6569999999999</v>
      </c>
      <c r="G71" s="514">
        <v>1838.0530000000001</v>
      </c>
    </row>
    <row r="72" spans="1:7" ht="27" customHeight="1" x14ac:dyDescent="0.35">
      <c r="A72" s="377" t="s">
        <v>311</v>
      </c>
      <c r="B72" s="298" t="s">
        <v>1140</v>
      </c>
      <c r="C72" s="514">
        <v>422.86900000000003</v>
      </c>
      <c r="D72" s="514">
        <v>23.749860000000002</v>
      </c>
      <c r="E72" s="542">
        <f>IF(C72&lt;&gt;"",D72/C72*100,"")</f>
        <v>5.6163634600786532</v>
      </c>
      <c r="F72" s="514">
        <v>383.80090000000001</v>
      </c>
      <c r="G72" s="514">
        <v>461.93709999999999</v>
      </c>
    </row>
    <row r="73" spans="1:7" x14ac:dyDescent="0.35">
      <c r="A73" s="447"/>
      <c r="B73" s="358"/>
      <c r="C73" s="564"/>
      <c r="D73" s="502"/>
      <c r="E73" s="501"/>
      <c r="F73" s="502"/>
      <c r="G73" s="562"/>
    </row>
    <row r="74" spans="1:7" s="322" customFormat="1" x14ac:dyDescent="0.35">
      <c r="A74" s="445" t="s">
        <v>1039</v>
      </c>
      <c r="B74" s="354" t="s">
        <v>1040</v>
      </c>
      <c r="C74" s="556">
        <v>908.94090000000006</v>
      </c>
      <c r="D74" s="556">
        <v>226.6797</v>
      </c>
      <c r="E74" s="540">
        <f t="shared" ref="E74:E80" si="2">IF(C74&lt;&gt;"",D74/C74*100,"")</f>
        <v>24.938882164946037</v>
      </c>
      <c r="F74" s="556">
        <v>536.05669999999998</v>
      </c>
      <c r="G74" s="556">
        <v>1281.825</v>
      </c>
    </row>
    <row r="75" spans="1:7" ht="27.75" customHeight="1" x14ac:dyDescent="0.35">
      <c r="A75" s="377" t="s">
        <v>536</v>
      </c>
      <c r="B75" s="295" t="s">
        <v>1139</v>
      </c>
      <c r="C75" s="514">
        <v>724.87819999999999</v>
      </c>
      <c r="D75" s="514">
        <v>133.9836</v>
      </c>
      <c r="E75" s="542">
        <f t="shared" si="2"/>
        <v>18.483601796826004</v>
      </c>
      <c r="F75" s="514">
        <v>504.47750000000002</v>
      </c>
      <c r="G75" s="514">
        <v>945.27890000000002</v>
      </c>
    </row>
    <row r="76" spans="1:7" x14ac:dyDescent="0.35">
      <c r="A76" s="377" t="s">
        <v>496</v>
      </c>
      <c r="B76" s="298" t="s">
        <v>525</v>
      </c>
      <c r="C76" s="514">
        <v>626.89520000000005</v>
      </c>
      <c r="D76" s="514">
        <v>144.28880000000001</v>
      </c>
      <c r="E76" s="542">
        <f t="shared" si="2"/>
        <v>23.016414864876936</v>
      </c>
      <c r="F76" s="514">
        <v>389.54259999999999</v>
      </c>
      <c r="G76" s="514">
        <v>864.24770000000001</v>
      </c>
    </row>
    <row r="77" spans="1:7" x14ac:dyDescent="0.35">
      <c r="A77" s="377" t="s">
        <v>471</v>
      </c>
      <c r="B77" s="298" t="s">
        <v>493</v>
      </c>
      <c r="C77" s="514">
        <v>849.49770000000001</v>
      </c>
      <c r="D77" s="514">
        <v>284.87790000000001</v>
      </c>
      <c r="E77" s="542">
        <f t="shared" si="2"/>
        <v>33.53486419092129</v>
      </c>
      <c r="F77" s="514">
        <v>380.87849999999997</v>
      </c>
      <c r="G77" s="514">
        <v>1318.117</v>
      </c>
    </row>
    <row r="78" spans="1:7" x14ac:dyDescent="0.35">
      <c r="A78" s="377" t="s">
        <v>438</v>
      </c>
      <c r="B78" s="298" t="s">
        <v>469</v>
      </c>
      <c r="C78" s="514">
        <v>7433.2790000000005</v>
      </c>
      <c r="D78" s="514">
        <v>1330.7360000000001</v>
      </c>
      <c r="E78" s="542">
        <f t="shared" si="2"/>
        <v>17.902408883078383</v>
      </c>
      <c r="F78" s="514">
        <v>5244.241</v>
      </c>
      <c r="G78" s="514">
        <v>9622.3160000000007</v>
      </c>
    </row>
    <row r="79" spans="1:7" ht="27" customHeight="1" x14ac:dyDescent="0.35">
      <c r="A79" s="377" t="s">
        <v>423</v>
      </c>
      <c r="B79" s="298" t="s">
        <v>1138</v>
      </c>
      <c r="C79" s="514">
        <v>687.2242</v>
      </c>
      <c r="D79" s="514">
        <v>261.2099</v>
      </c>
      <c r="E79" s="542">
        <f t="shared" si="2"/>
        <v>38.00941526797223</v>
      </c>
      <c r="F79" s="514">
        <v>257.53829999999999</v>
      </c>
      <c r="G79" s="514">
        <v>1116.9100000000001</v>
      </c>
    </row>
    <row r="80" spans="1:7" x14ac:dyDescent="0.35">
      <c r="A80" s="377" t="s">
        <v>325</v>
      </c>
      <c r="B80" s="298" t="s">
        <v>1115</v>
      </c>
      <c r="C80" s="514">
        <v>799.65920000000006</v>
      </c>
      <c r="D80" s="514">
        <v>156.816</v>
      </c>
      <c r="E80" s="542">
        <f t="shared" si="2"/>
        <v>19.610354010808603</v>
      </c>
      <c r="F80" s="514">
        <v>541.69960000000003</v>
      </c>
      <c r="G80" s="514">
        <v>1057.6189999999999</v>
      </c>
    </row>
    <row r="81" spans="1:7" x14ac:dyDescent="0.35">
      <c r="A81" s="277"/>
      <c r="B81" s="360"/>
      <c r="C81" s="559"/>
      <c r="D81" s="502"/>
      <c r="E81" s="501"/>
      <c r="F81" s="502"/>
      <c r="G81" s="558"/>
    </row>
    <row r="82" spans="1:7" s="322" customFormat="1" ht="25.5" customHeight="1" x14ac:dyDescent="0.35">
      <c r="A82" s="445" t="s">
        <v>400</v>
      </c>
      <c r="B82" s="354" t="s">
        <v>1137</v>
      </c>
      <c r="C82" s="562">
        <v>185</v>
      </c>
      <c r="D82" s="511">
        <v>13.9</v>
      </c>
      <c r="E82" s="512">
        <v>5.5</v>
      </c>
      <c r="F82" s="511">
        <v>1.5</v>
      </c>
      <c r="G82" s="562">
        <v>0.6</v>
      </c>
    </row>
    <row r="83" spans="1:7" s="322" customFormat="1" ht="12.75" customHeight="1" x14ac:dyDescent="0.35">
      <c r="A83" s="445"/>
      <c r="B83" s="354"/>
      <c r="C83" s="565"/>
      <c r="D83" s="511"/>
      <c r="E83" s="512"/>
      <c r="F83" s="511"/>
      <c r="G83" s="562"/>
    </row>
    <row r="84" spans="1:7" s="322" customFormat="1" ht="13.5" customHeight="1" x14ac:dyDescent="0.35">
      <c r="A84" s="445" t="s">
        <v>1033</v>
      </c>
      <c r="B84" s="354" t="s">
        <v>1034</v>
      </c>
      <c r="C84" s="556">
        <v>2567.8629999999998</v>
      </c>
      <c r="D84" s="556">
        <v>409.69499999999999</v>
      </c>
      <c r="E84" s="540">
        <f t="shared" ref="E84:E90" si="3">IF(C84&lt;&gt;"",D84/C84*100,"")</f>
        <v>15.954706306372266</v>
      </c>
      <c r="F84" s="556">
        <v>1893.922</v>
      </c>
      <c r="G84" s="556">
        <v>3241.8040000000001</v>
      </c>
    </row>
    <row r="85" spans="1:7" x14ac:dyDescent="0.35">
      <c r="A85" s="377" t="s">
        <v>301</v>
      </c>
      <c r="B85" s="298" t="s">
        <v>370</v>
      </c>
      <c r="C85" s="514">
        <v>1415.586</v>
      </c>
      <c r="D85" s="514">
        <v>507.36169999999998</v>
      </c>
      <c r="E85" s="542">
        <f t="shared" si="3"/>
        <v>35.841107498943899</v>
      </c>
      <c r="F85" s="514">
        <v>580.98479999999995</v>
      </c>
      <c r="G85" s="514">
        <v>2250.1869999999999</v>
      </c>
    </row>
    <row r="86" spans="1:7" ht="70" x14ac:dyDescent="0.35">
      <c r="A86" s="377" t="s">
        <v>1032</v>
      </c>
      <c r="B86" s="298" t="s">
        <v>1136</v>
      </c>
      <c r="C86" s="514">
        <v>2192.2489999999998</v>
      </c>
      <c r="D86" s="514">
        <v>487.18740000000003</v>
      </c>
      <c r="E86" s="542">
        <f t="shared" si="3"/>
        <v>22.223178115259721</v>
      </c>
      <c r="F86" s="514">
        <v>1390.8340000000001</v>
      </c>
      <c r="G86" s="514">
        <v>2993.6640000000002</v>
      </c>
    </row>
    <row r="87" spans="1:7" ht="16.5" x14ac:dyDescent="0.35">
      <c r="A87" s="377" t="s">
        <v>1358</v>
      </c>
      <c r="B87" s="298" t="s">
        <v>342</v>
      </c>
      <c r="C87" s="514">
        <v>436.27460000000002</v>
      </c>
      <c r="D87" s="514">
        <v>299.40350000000001</v>
      </c>
      <c r="E87" s="542">
        <f t="shared" si="3"/>
        <v>68.627304913006625</v>
      </c>
      <c r="F87" s="514">
        <v>-56.239060000000002</v>
      </c>
      <c r="G87" s="514">
        <v>928.78830000000005</v>
      </c>
    </row>
    <row r="88" spans="1:7" x14ac:dyDescent="0.35">
      <c r="A88" s="377" t="s">
        <v>295</v>
      </c>
      <c r="B88" s="298" t="s">
        <v>323</v>
      </c>
      <c r="C88" s="514">
        <v>1718.9380000000001</v>
      </c>
      <c r="D88" s="514">
        <v>393.53199999999998</v>
      </c>
      <c r="E88" s="542">
        <f t="shared" si="3"/>
        <v>22.893903095981351</v>
      </c>
      <c r="F88" s="514">
        <v>1071.5840000000001</v>
      </c>
      <c r="G88" s="514">
        <v>2366.2910000000002</v>
      </c>
    </row>
    <row r="89" spans="1:7" ht="28" x14ac:dyDescent="0.35">
      <c r="A89" s="377" t="s">
        <v>279</v>
      </c>
      <c r="B89" s="304" t="s">
        <v>1100</v>
      </c>
      <c r="C89" s="514">
        <v>3346.7220000000002</v>
      </c>
      <c r="D89" s="514">
        <v>617.68050000000005</v>
      </c>
      <c r="E89" s="542">
        <f t="shared" si="3"/>
        <v>18.456283491727131</v>
      </c>
      <c r="F89" s="514">
        <v>2330.6480000000001</v>
      </c>
      <c r="G89" s="514">
        <v>4362.7960000000003</v>
      </c>
    </row>
    <row r="90" spans="1:7" x14ac:dyDescent="0.35">
      <c r="A90" s="377" t="s">
        <v>252</v>
      </c>
      <c r="B90" s="304" t="s">
        <v>277</v>
      </c>
      <c r="C90" s="514">
        <v>1081.3599999999999</v>
      </c>
      <c r="D90" s="514">
        <v>453.18849999999998</v>
      </c>
      <c r="E90" s="542">
        <f t="shared" si="3"/>
        <v>41.909123696086411</v>
      </c>
      <c r="F90" s="514">
        <v>335.87299999999999</v>
      </c>
      <c r="G90" s="514">
        <v>1826.847</v>
      </c>
    </row>
    <row r="91" spans="1:7" ht="5.25" customHeight="1" x14ac:dyDescent="0.35">
      <c r="A91" s="448"/>
      <c r="B91" s="367"/>
      <c r="C91" s="316"/>
      <c r="D91" s="317"/>
      <c r="E91" s="317"/>
      <c r="F91" s="317"/>
      <c r="G91" s="382"/>
    </row>
    <row r="92" spans="1:7" ht="15" customHeight="1" x14ac:dyDescent="0.35">
      <c r="A92" s="546"/>
      <c r="B92" s="468"/>
      <c r="C92" s="458"/>
      <c r="D92" s="458"/>
      <c r="E92" s="458"/>
      <c r="F92" s="458"/>
      <c r="G92" s="458"/>
    </row>
    <row r="93" spans="1:7" ht="15" customHeight="1" x14ac:dyDescent="0.35">
      <c r="A93" s="546"/>
      <c r="B93" s="468"/>
      <c r="C93" s="458"/>
      <c r="D93" s="458"/>
      <c r="E93" s="458"/>
      <c r="F93" s="458"/>
      <c r="G93" s="458"/>
    </row>
    <row r="94" spans="1:7" ht="28" customHeight="1" x14ac:dyDescent="0.3">
      <c r="A94" s="428" t="s">
        <v>1384</v>
      </c>
      <c r="B94" s="428"/>
      <c r="C94" s="428"/>
      <c r="D94" s="428"/>
      <c r="E94" s="428"/>
      <c r="F94" s="428"/>
      <c r="G94" s="428"/>
    </row>
    <row r="95" spans="1:7" ht="12.75" customHeight="1" x14ac:dyDescent="0.35">
      <c r="A95" s="453" t="s">
        <v>1337</v>
      </c>
      <c r="B95" s="453"/>
      <c r="C95" s="453"/>
      <c r="D95" s="453"/>
      <c r="E95" s="453"/>
      <c r="F95" s="453"/>
      <c r="G95" s="453"/>
    </row>
    <row r="96" spans="1:7" s="323" customFormat="1" ht="12.75" customHeight="1" x14ac:dyDescent="0.35">
      <c r="A96" s="539"/>
      <c r="B96" s="539"/>
      <c r="C96" s="539"/>
      <c r="D96" s="539"/>
      <c r="E96" s="539"/>
      <c r="F96" s="539"/>
      <c r="G96" s="539"/>
    </row>
    <row r="97" spans="1:8" s="323" customFormat="1" ht="15" customHeight="1" x14ac:dyDescent="0.35">
      <c r="A97" s="432" t="s">
        <v>1038</v>
      </c>
      <c r="B97" s="432" t="s">
        <v>1037</v>
      </c>
      <c r="C97" s="433" t="s">
        <v>91</v>
      </c>
      <c r="D97" s="433" t="s">
        <v>90</v>
      </c>
      <c r="E97" s="433" t="s">
        <v>89</v>
      </c>
      <c r="F97" s="433" t="s">
        <v>1186</v>
      </c>
      <c r="G97" s="433"/>
    </row>
    <row r="98" spans="1:8" ht="50.15" customHeight="1" x14ac:dyDescent="0.35">
      <c r="A98" s="432"/>
      <c r="B98" s="432"/>
      <c r="C98" s="433"/>
      <c r="D98" s="433"/>
      <c r="E98" s="433"/>
      <c r="F98" s="273" t="s">
        <v>88</v>
      </c>
      <c r="G98" s="273" t="s">
        <v>87</v>
      </c>
    </row>
    <row r="99" spans="1:8" x14ac:dyDescent="0.35">
      <c r="A99" s="461"/>
      <c r="B99" s="462"/>
      <c r="C99" s="463"/>
      <c r="D99" s="463"/>
      <c r="E99" s="463"/>
      <c r="F99" s="463"/>
      <c r="G99" s="463"/>
    </row>
    <row r="100" spans="1:8" s="322" customFormat="1" x14ac:dyDescent="0.35">
      <c r="A100" s="445" t="s">
        <v>1027</v>
      </c>
      <c r="B100" s="354" t="s">
        <v>1028</v>
      </c>
      <c r="C100" s="556">
        <v>1434.5509999999999</v>
      </c>
      <c r="D100" s="556">
        <v>121.312</v>
      </c>
      <c r="E100" s="540">
        <f>IF(C100&lt;&gt;"",D100/C100*100,"")</f>
        <v>8.4564438629229635</v>
      </c>
      <c r="F100" s="556">
        <v>1234.9939999999999</v>
      </c>
      <c r="G100" s="556">
        <v>1634.107</v>
      </c>
    </row>
    <row r="101" spans="1:8" ht="12.75" customHeight="1" x14ac:dyDescent="0.35">
      <c r="A101" s="377" t="s">
        <v>1135</v>
      </c>
      <c r="B101" s="298" t="s">
        <v>1134</v>
      </c>
      <c r="C101" s="514">
        <v>1401.335</v>
      </c>
      <c r="D101" s="514">
        <v>129.9323</v>
      </c>
      <c r="E101" s="542">
        <f>IF(C101&lt;&gt;"",D101/C101*100,"")</f>
        <v>9.2720370218398873</v>
      </c>
      <c r="F101" s="514">
        <v>1187.598</v>
      </c>
      <c r="G101" s="514">
        <v>1615.0709999999999</v>
      </c>
    </row>
    <row r="102" spans="1:8" ht="28" x14ac:dyDescent="0.35">
      <c r="A102" s="377" t="s">
        <v>209</v>
      </c>
      <c r="B102" s="298" t="s">
        <v>1133</v>
      </c>
      <c r="C102" s="514">
        <v>1850.653</v>
      </c>
      <c r="D102" s="514">
        <v>449.89400000000001</v>
      </c>
      <c r="E102" s="542">
        <f>IF(C102&lt;&gt;"",D102/C102*100,"")</f>
        <v>24.310013816744686</v>
      </c>
      <c r="F102" s="514">
        <v>1110.586</v>
      </c>
      <c r="G102" s="514">
        <v>2590.721</v>
      </c>
    </row>
    <row r="103" spans="1:8" ht="28" x14ac:dyDescent="0.35">
      <c r="A103" s="377" t="s">
        <v>1026</v>
      </c>
      <c r="B103" s="298" t="s">
        <v>1132</v>
      </c>
      <c r="C103" s="514">
        <v>1206.876</v>
      </c>
      <c r="D103" s="514">
        <v>261.88139999999999</v>
      </c>
      <c r="E103" s="542">
        <f>IF(C103&lt;&gt;"",D103/C103*100,"")</f>
        <v>21.699114076342557</v>
      </c>
      <c r="F103" s="514">
        <v>776.08550000000002</v>
      </c>
      <c r="G103" s="514">
        <v>1637.6659999999999</v>
      </c>
    </row>
    <row r="104" spans="1:8" x14ac:dyDescent="0.35">
      <c r="A104" s="446"/>
      <c r="B104" s="298"/>
      <c r="C104" s="566"/>
      <c r="D104" s="502"/>
      <c r="E104" s="501"/>
      <c r="F104" s="502"/>
      <c r="G104" s="558"/>
    </row>
    <row r="105" spans="1:8" s="322" customFormat="1" x14ac:dyDescent="0.35">
      <c r="A105" s="445" t="s">
        <v>192</v>
      </c>
      <c r="B105" s="354" t="s">
        <v>1025</v>
      </c>
      <c r="C105" s="562">
        <v>62</v>
      </c>
      <c r="D105" s="511">
        <v>13.5</v>
      </c>
      <c r="E105" s="512">
        <v>9.5</v>
      </c>
      <c r="F105" s="511">
        <v>1.8</v>
      </c>
      <c r="G105" s="562">
        <v>0.6</v>
      </c>
    </row>
    <row r="106" spans="1:8" x14ac:dyDescent="0.35">
      <c r="A106" s="459"/>
      <c r="B106" s="392"/>
      <c r="C106" s="561"/>
      <c r="D106" s="502"/>
      <c r="E106" s="501"/>
      <c r="F106" s="502"/>
      <c r="G106" s="562"/>
    </row>
    <row r="107" spans="1:8" ht="25.5" customHeight="1" x14ac:dyDescent="0.35">
      <c r="A107" s="445" t="s">
        <v>1023</v>
      </c>
      <c r="B107" s="354" t="s">
        <v>1121</v>
      </c>
      <c r="C107" s="556">
        <v>3408.9059999999999</v>
      </c>
      <c r="D107" s="556">
        <v>1098.386</v>
      </c>
      <c r="E107" s="540">
        <f t="shared" ref="E107:E113" si="4">IF(C107&lt;&gt;"",D107/C107*100,"")</f>
        <v>32.221070337521773</v>
      </c>
      <c r="F107" s="556">
        <v>1602.08</v>
      </c>
      <c r="G107" s="556">
        <v>5215.7309999999998</v>
      </c>
    </row>
    <row r="108" spans="1:8" ht="40.5" customHeight="1" x14ac:dyDescent="0.35">
      <c r="A108" s="377" t="s">
        <v>1022</v>
      </c>
      <c r="B108" s="460" t="s">
        <v>1267</v>
      </c>
      <c r="C108" s="514">
        <v>2995.5549999999998</v>
      </c>
      <c r="D108" s="514">
        <v>717.79409999999996</v>
      </c>
      <c r="E108" s="542">
        <f t="shared" si="4"/>
        <v>23.961973657636065</v>
      </c>
      <c r="F108" s="514">
        <v>1814.796</v>
      </c>
      <c r="G108" s="514">
        <v>4176.3140000000003</v>
      </c>
      <c r="H108" s="543"/>
    </row>
    <row r="109" spans="1:8" ht="28" x14ac:dyDescent="0.35">
      <c r="A109" s="377" t="s">
        <v>1190</v>
      </c>
      <c r="B109" s="460" t="s">
        <v>1270</v>
      </c>
      <c r="C109" s="514">
        <v>3635.2539999999999</v>
      </c>
      <c r="D109" s="514">
        <v>2098.9459999999999</v>
      </c>
      <c r="E109" s="542">
        <f t="shared" si="4"/>
        <v>57.738633944148056</v>
      </c>
      <c r="F109" s="514">
        <v>182.52330000000001</v>
      </c>
      <c r="G109" s="514">
        <v>7087.9840000000004</v>
      </c>
      <c r="H109" s="543"/>
    </row>
    <row r="110" spans="1:8" ht="28" x14ac:dyDescent="0.35">
      <c r="A110" s="377" t="s">
        <v>1191</v>
      </c>
      <c r="B110" s="460" t="s">
        <v>1272</v>
      </c>
      <c r="C110" s="514">
        <v>9117.3459999999995</v>
      </c>
      <c r="D110" s="514">
        <v>2870.317</v>
      </c>
      <c r="E110" s="542">
        <f t="shared" si="4"/>
        <v>31.481935642236241</v>
      </c>
      <c r="F110" s="514">
        <v>4395.7240000000002</v>
      </c>
      <c r="G110" s="514">
        <v>13838.97</v>
      </c>
      <c r="H110" s="543"/>
    </row>
    <row r="111" spans="1:8" x14ac:dyDescent="0.35">
      <c r="A111" s="377" t="s">
        <v>1192</v>
      </c>
      <c r="B111" s="460" t="s">
        <v>1275</v>
      </c>
      <c r="C111" s="514">
        <v>949.80219999999997</v>
      </c>
      <c r="D111" s="514">
        <v>150.58750000000001</v>
      </c>
      <c r="E111" s="542">
        <f t="shared" si="4"/>
        <v>15.854616887600386</v>
      </c>
      <c r="F111" s="514">
        <v>702.08820000000003</v>
      </c>
      <c r="G111" s="514">
        <v>1197.5160000000001</v>
      </c>
      <c r="H111" s="543"/>
    </row>
    <row r="112" spans="1:8" x14ac:dyDescent="0.35">
      <c r="A112" s="377" t="s">
        <v>1193</v>
      </c>
      <c r="B112" s="460" t="s">
        <v>1276</v>
      </c>
      <c r="C112" s="514">
        <v>1919.307</v>
      </c>
      <c r="D112" s="514">
        <v>310.00400000000002</v>
      </c>
      <c r="E112" s="542">
        <f t="shared" si="4"/>
        <v>16.151871482779985</v>
      </c>
      <c r="F112" s="514">
        <v>1409.355</v>
      </c>
      <c r="G112" s="514">
        <v>2429.2579999999998</v>
      </c>
      <c r="H112" s="543"/>
    </row>
    <row r="113" spans="1:8" ht="28" x14ac:dyDescent="0.35">
      <c r="A113" s="377" t="s">
        <v>1194</v>
      </c>
      <c r="B113" s="460" t="s">
        <v>1280</v>
      </c>
      <c r="C113" s="514">
        <v>952.75900000000001</v>
      </c>
      <c r="D113" s="514">
        <v>153.12119999999999</v>
      </c>
      <c r="E113" s="542">
        <f t="shared" si="4"/>
        <v>16.071346479015151</v>
      </c>
      <c r="F113" s="514">
        <v>700.87729999999999</v>
      </c>
      <c r="G113" s="514">
        <v>1204.6410000000001</v>
      </c>
      <c r="H113" s="543"/>
    </row>
    <row r="114" spans="1:8" x14ac:dyDescent="0.35">
      <c r="A114" s="377" t="s">
        <v>1195</v>
      </c>
      <c r="B114" s="460" t="s">
        <v>1281</v>
      </c>
      <c r="C114" s="514"/>
      <c r="D114" s="514"/>
      <c r="E114" s="542"/>
      <c r="F114" s="514"/>
      <c r="G114" s="514"/>
      <c r="H114" s="543"/>
    </row>
    <row r="115" spans="1:8" x14ac:dyDescent="0.35">
      <c r="A115" s="377"/>
      <c r="B115" s="460"/>
      <c r="C115" s="514"/>
      <c r="D115" s="514"/>
      <c r="E115" s="542"/>
      <c r="F115" s="514"/>
      <c r="G115" s="514"/>
      <c r="H115" s="543"/>
    </row>
    <row r="116" spans="1:8" s="322" customFormat="1" ht="28" x14ac:dyDescent="0.35">
      <c r="A116" s="445" t="s">
        <v>1020</v>
      </c>
      <c r="B116" s="354" t="s">
        <v>1148</v>
      </c>
      <c r="C116" s="556">
        <v>1710.8520000000001</v>
      </c>
      <c r="D116" s="556">
        <v>289.93669999999997</v>
      </c>
      <c r="E116" s="540">
        <f t="shared" ref="E116:E124" si="5">IF(C116&lt;&gt;"",D116/C116*100,"")</f>
        <v>16.946918845113426</v>
      </c>
      <c r="F116" s="556">
        <v>1233.9110000000001</v>
      </c>
      <c r="G116" s="556">
        <v>2187.7930000000001</v>
      </c>
    </row>
    <row r="117" spans="1:8" ht="15.5" customHeight="1" x14ac:dyDescent="0.35">
      <c r="A117" s="377" t="s">
        <v>1019</v>
      </c>
      <c r="B117" s="460" t="s">
        <v>1285</v>
      </c>
      <c r="C117" s="514">
        <v>607.00250000000005</v>
      </c>
      <c r="D117" s="514">
        <v>121.724</v>
      </c>
      <c r="E117" s="542">
        <f t="shared" si="5"/>
        <v>20.053294673415678</v>
      </c>
      <c r="F117" s="514">
        <v>406.76859999999999</v>
      </c>
      <c r="G117" s="514">
        <v>807.2364</v>
      </c>
      <c r="H117" s="543"/>
    </row>
    <row r="118" spans="1:8" x14ac:dyDescent="0.35">
      <c r="A118" s="377" t="s">
        <v>1017</v>
      </c>
      <c r="B118" s="460" t="s">
        <v>1018</v>
      </c>
      <c r="C118" s="514">
        <v>301.05160000000001</v>
      </c>
      <c r="D118" s="514">
        <v>71.812939999999998</v>
      </c>
      <c r="E118" s="542">
        <f t="shared" si="5"/>
        <v>23.854030338985076</v>
      </c>
      <c r="F118" s="514">
        <v>182.9205</v>
      </c>
      <c r="G118" s="514">
        <v>419.18259999999998</v>
      </c>
      <c r="H118" s="543"/>
    </row>
    <row r="119" spans="1:8" ht="27.75" customHeight="1" x14ac:dyDescent="0.35">
      <c r="A119" s="377" t="s">
        <v>135</v>
      </c>
      <c r="B119" s="460" t="s">
        <v>1344</v>
      </c>
      <c r="C119" s="514">
        <v>866.11009999999999</v>
      </c>
      <c r="D119" s="514">
        <v>302.30450000000002</v>
      </c>
      <c r="E119" s="542">
        <f t="shared" si="5"/>
        <v>34.903703351340667</v>
      </c>
      <c r="F119" s="514">
        <v>368.82440000000003</v>
      </c>
      <c r="G119" s="514">
        <v>1363.396</v>
      </c>
      <c r="H119" s="543"/>
    </row>
    <row r="120" spans="1:8" ht="16.5" customHeight="1" x14ac:dyDescent="0.35">
      <c r="A120" s="377" t="s">
        <v>1196</v>
      </c>
      <c r="B120" s="460" t="s">
        <v>1290</v>
      </c>
      <c r="C120" s="514">
        <v>141.2731</v>
      </c>
      <c r="D120" s="514">
        <v>19.253740000000001</v>
      </c>
      <c r="E120" s="542">
        <f t="shared" si="5"/>
        <v>13.628737530357867</v>
      </c>
      <c r="F120" s="514">
        <v>109.601</v>
      </c>
      <c r="G120" s="514">
        <v>172.9451</v>
      </c>
      <c r="H120" s="543"/>
    </row>
    <row r="121" spans="1:8" ht="12.75" customHeight="1" x14ac:dyDescent="0.35">
      <c r="A121" s="377" t="s">
        <v>1197</v>
      </c>
      <c r="B121" s="460" t="s">
        <v>1292</v>
      </c>
      <c r="C121" s="514">
        <v>287.9409</v>
      </c>
      <c r="D121" s="514">
        <v>135.9982</v>
      </c>
      <c r="E121" s="542">
        <f t="shared" si="5"/>
        <v>47.231289476416862</v>
      </c>
      <c r="F121" s="514">
        <v>64.226110000000006</v>
      </c>
      <c r="G121" s="514">
        <v>511.65570000000002</v>
      </c>
      <c r="H121" s="543"/>
    </row>
    <row r="122" spans="1:8" ht="56" x14ac:dyDescent="0.35">
      <c r="A122" s="377" t="s">
        <v>1347</v>
      </c>
      <c r="B122" s="460" t="s">
        <v>1293</v>
      </c>
      <c r="C122" s="514">
        <v>1521.2929999999999</v>
      </c>
      <c r="D122" s="514">
        <v>543.91430000000003</v>
      </c>
      <c r="E122" s="542">
        <f t="shared" si="5"/>
        <v>35.753421595971325</v>
      </c>
      <c r="F122" s="514">
        <v>626.56320000000005</v>
      </c>
      <c r="G122" s="514">
        <v>2416.0230000000001</v>
      </c>
      <c r="H122" s="543"/>
    </row>
    <row r="123" spans="1:8" x14ac:dyDescent="0.35">
      <c r="A123" s="377" t="s">
        <v>120</v>
      </c>
      <c r="B123" s="460" t="s">
        <v>1294</v>
      </c>
      <c r="C123" s="514">
        <v>3823.6579999999999</v>
      </c>
      <c r="D123" s="514">
        <v>723.33169999999996</v>
      </c>
      <c r="E123" s="542">
        <f t="shared" si="5"/>
        <v>18.917269797664957</v>
      </c>
      <c r="F123" s="514">
        <v>2633.79</v>
      </c>
      <c r="G123" s="514">
        <v>5013.5259999999998</v>
      </c>
      <c r="H123" s="543"/>
    </row>
    <row r="124" spans="1:8" ht="12.75" customHeight="1" x14ac:dyDescent="0.35">
      <c r="A124" s="377" t="s">
        <v>96</v>
      </c>
      <c r="B124" s="460" t="s">
        <v>1297</v>
      </c>
      <c r="C124" s="514">
        <v>3531.652</v>
      </c>
      <c r="D124" s="514">
        <v>961.72180000000003</v>
      </c>
      <c r="E124" s="542">
        <f t="shared" si="5"/>
        <v>27.231499592825116</v>
      </c>
      <c r="F124" s="514">
        <v>1949.636</v>
      </c>
      <c r="G124" s="514">
        <v>5113.6679999999997</v>
      </c>
      <c r="H124" s="543"/>
    </row>
    <row r="125" spans="1:8" ht="12.75" customHeight="1" x14ac:dyDescent="0.35">
      <c r="A125" s="547"/>
      <c r="B125" s="367"/>
      <c r="C125" s="337"/>
      <c r="D125" s="337"/>
      <c r="E125" s="337"/>
      <c r="F125" s="337"/>
      <c r="G125" s="337"/>
      <c r="H125" s="543"/>
    </row>
    <row r="127" spans="1:8" ht="30.5" customHeight="1" x14ac:dyDescent="0.3">
      <c r="A127" s="428" t="s">
        <v>1384</v>
      </c>
      <c r="B127" s="428"/>
      <c r="C127" s="428"/>
      <c r="D127" s="428"/>
      <c r="E127" s="428"/>
      <c r="F127" s="428"/>
      <c r="G127" s="428"/>
    </row>
    <row r="128" spans="1:8" ht="12" customHeight="1" x14ac:dyDescent="0.35">
      <c r="A128" s="453" t="s">
        <v>1337</v>
      </c>
      <c r="B128" s="453"/>
      <c r="C128" s="453"/>
      <c r="D128" s="453"/>
      <c r="E128" s="453"/>
      <c r="F128" s="453"/>
      <c r="G128" s="453"/>
    </row>
    <row r="129" spans="1:7" s="323" customFormat="1" ht="12" customHeight="1" x14ac:dyDescent="0.35">
      <c r="A129" s="539"/>
      <c r="B129" s="539"/>
      <c r="C129" s="539"/>
      <c r="D129" s="539"/>
      <c r="E129" s="539"/>
      <c r="F129" s="539"/>
      <c r="G129" s="539"/>
    </row>
    <row r="130" spans="1:7" s="323" customFormat="1" ht="15" customHeight="1" x14ac:dyDescent="0.35">
      <c r="A130" s="432" t="s">
        <v>1038</v>
      </c>
      <c r="B130" s="432" t="s">
        <v>1037</v>
      </c>
      <c r="C130" s="433" t="s">
        <v>91</v>
      </c>
      <c r="D130" s="433" t="s">
        <v>90</v>
      </c>
      <c r="E130" s="433" t="s">
        <v>89</v>
      </c>
      <c r="F130" s="433" t="s">
        <v>1186</v>
      </c>
      <c r="G130" s="433"/>
    </row>
    <row r="131" spans="1:7" ht="50.15" customHeight="1" x14ac:dyDescent="0.35">
      <c r="A131" s="432"/>
      <c r="B131" s="432"/>
      <c r="C131" s="433"/>
      <c r="D131" s="433"/>
      <c r="E131" s="433"/>
      <c r="F131" s="273" t="s">
        <v>88</v>
      </c>
      <c r="G131" s="273" t="s">
        <v>87</v>
      </c>
    </row>
    <row r="132" spans="1:7" x14ac:dyDescent="0.35">
      <c r="A132" s="377"/>
      <c r="B132" s="295"/>
      <c r="C132" s="548"/>
      <c r="D132" s="549"/>
      <c r="E132" s="366"/>
      <c r="F132" s="366"/>
      <c r="G132" s="366"/>
    </row>
    <row r="133" spans="1:7" x14ac:dyDescent="0.35">
      <c r="A133" s="445" t="s">
        <v>54</v>
      </c>
      <c r="B133" s="354" t="s">
        <v>1015</v>
      </c>
      <c r="C133" s="562">
        <v>231</v>
      </c>
      <c r="D133" s="511">
        <v>17.7</v>
      </c>
      <c r="E133" s="512">
        <v>12.3</v>
      </c>
      <c r="F133" s="511">
        <v>2.7</v>
      </c>
      <c r="G133" s="511">
        <v>1.7</v>
      </c>
    </row>
    <row r="134" spans="1:7" ht="11.25" customHeight="1" x14ac:dyDescent="0.35">
      <c r="A134" s="377"/>
      <c r="B134" s="330"/>
      <c r="C134" s="563"/>
      <c r="D134" s="511"/>
      <c r="E134" s="512"/>
      <c r="F134" s="511"/>
      <c r="G134" s="511"/>
    </row>
    <row r="135" spans="1:7" ht="28" x14ac:dyDescent="0.35">
      <c r="A135" s="445" t="s">
        <v>1013</v>
      </c>
      <c r="B135" s="354" t="s">
        <v>1014</v>
      </c>
      <c r="C135" s="556">
        <v>1405.1310000000001</v>
      </c>
      <c r="D135" s="556">
        <v>136.73869999999999</v>
      </c>
      <c r="E135" s="540">
        <f>IF(C135&lt;&gt;"",D135/C135*100,"")</f>
        <v>9.7313844758958403</v>
      </c>
      <c r="F135" s="556">
        <v>1180.1980000000001</v>
      </c>
      <c r="G135" s="556">
        <v>1630.0630000000001</v>
      </c>
    </row>
    <row r="136" spans="1:7" ht="27" customHeight="1" x14ac:dyDescent="0.35">
      <c r="A136" s="377" t="s">
        <v>22</v>
      </c>
      <c r="B136" s="298" t="s">
        <v>1130</v>
      </c>
      <c r="C136" s="514">
        <v>1418.1110000000001</v>
      </c>
      <c r="D136" s="514">
        <v>140.7655</v>
      </c>
      <c r="E136" s="542">
        <f>IF(C136&lt;&gt;"",D136/C136*100,"")</f>
        <v>9.9262681130038466</v>
      </c>
      <c r="F136" s="514">
        <v>1186.5540000000001</v>
      </c>
      <c r="G136" s="514">
        <v>1649.6669999999999</v>
      </c>
    </row>
    <row r="137" spans="1:7" ht="28.5" customHeight="1" x14ac:dyDescent="0.35">
      <c r="A137" s="377" t="s">
        <v>1012</v>
      </c>
      <c r="B137" s="298" t="s">
        <v>1129</v>
      </c>
      <c r="C137" s="514">
        <v>984.07219999999995</v>
      </c>
      <c r="D137" s="514">
        <v>94.146150000000006</v>
      </c>
      <c r="E137" s="542">
        <f>IF(C137&lt;&gt;"",D137/C137*100,"")</f>
        <v>9.5669962021079353</v>
      </c>
      <c r="F137" s="514">
        <v>829.20339999999999</v>
      </c>
      <c r="G137" s="514">
        <v>1138.941</v>
      </c>
    </row>
    <row r="138" spans="1:7" x14ac:dyDescent="0.35">
      <c r="A138" s="517"/>
      <c r="B138" s="518"/>
      <c r="C138" s="559"/>
      <c r="D138" s="502"/>
      <c r="E138" s="501"/>
      <c r="F138" s="502"/>
      <c r="G138" s="502"/>
    </row>
    <row r="139" spans="1:7" s="322" customFormat="1" x14ac:dyDescent="0.35">
      <c r="A139" s="445" t="s">
        <v>1008</v>
      </c>
      <c r="B139" s="354" t="s">
        <v>1009</v>
      </c>
      <c r="C139" s="556">
        <v>1913.4970000000001</v>
      </c>
      <c r="D139" s="556">
        <v>1174.816</v>
      </c>
      <c r="E139" s="540">
        <f>IF(C139&lt;&gt;"",D139/C139*100,"")</f>
        <v>61.396281258867923</v>
      </c>
      <c r="F139" s="556">
        <v>-19.054189999999998</v>
      </c>
      <c r="G139" s="556">
        <v>3846.049</v>
      </c>
    </row>
    <row r="140" spans="1:7" s="322" customFormat="1" x14ac:dyDescent="0.35">
      <c r="A140" s="377" t="s">
        <v>1200</v>
      </c>
      <c r="B140" s="460" t="s">
        <v>1309</v>
      </c>
      <c r="C140" s="514">
        <v>105.9603</v>
      </c>
      <c r="D140" s="514">
        <v>53.104849999999999</v>
      </c>
      <c r="E140" s="542">
        <f>IF(C140&lt;&gt;"",D140/C140*100,"")</f>
        <v>50.117685586016648</v>
      </c>
      <c r="F140" s="514">
        <v>18.60369</v>
      </c>
      <c r="G140" s="514">
        <v>193.3168</v>
      </c>
    </row>
    <row r="141" spans="1:7" s="322" customFormat="1" ht="28" x14ac:dyDescent="0.35">
      <c r="A141" s="377" t="s">
        <v>1201</v>
      </c>
      <c r="B141" s="460" t="s">
        <v>1311</v>
      </c>
      <c r="C141" s="514">
        <v>426.83300000000003</v>
      </c>
      <c r="D141" s="514">
        <v>35.214799999999997</v>
      </c>
      <c r="E141" s="542">
        <f>IF(C141&lt;&gt;"",D141/C141*100,"")</f>
        <v>8.2502524406500903</v>
      </c>
      <c r="F141" s="514">
        <v>368.90530000000001</v>
      </c>
      <c r="G141" s="514">
        <v>484.76080000000002</v>
      </c>
    </row>
    <row r="142" spans="1:7" s="322" customFormat="1" x14ac:dyDescent="0.35">
      <c r="A142" s="377" t="s">
        <v>1202</v>
      </c>
      <c r="B142" s="460" t="s">
        <v>1312</v>
      </c>
      <c r="C142" s="514">
        <v>3877.38</v>
      </c>
      <c r="D142" s="514">
        <v>2511.902</v>
      </c>
      <c r="E142" s="542">
        <f>IF(C142&lt;&gt;"",D142/C142*100,"")</f>
        <v>64.783487819094333</v>
      </c>
      <c r="F142" s="514">
        <v>-254.6557</v>
      </c>
      <c r="G142" s="514">
        <v>8009.415</v>
      </c>
    </row>
    <row r="143" spans="1:7" s="322" customFormat="1" ht="28" x14ac:dyDescent="0.35">
      <c r="A143" s="377" t="s">
        <v>1203</v>
      </c>
      <c r="B143" s="460" t="s">
        <v>1315</v>
      </c>
      <c r="C143" s="514">
        <v>405.65620000000001</v>
      </c>
      <c r="D143" s="514">
        <v>74.686329999999998</v>
      </c>
      <c r="E143" s="542">
        <f>IF(C143&lt;&gt;"",D143/C143*100,"")</f>
        <v>18.411238383636192</v>
      </c>
      <c r="F143" s="514">
        <v>282.79840000000002</v>
      </c>
      <c r="G143" s="514">
        <v>528.51390000000004</v>
      </c>
    </row>
    <row r="144" spans="1:7" x14ac:dyDescent="0.35">
      <c r="A144" s="377"/>
      <c r="B144" s="298"/>
      <c r="C144" s="559"/>
      <c r="D144" s="558"/>
      <c r="E144" s="501"/>
      <c r="F144" s="502"/>
      <c r="G144" s="502"/>
    </row>
    <row r="145" spans="1:7" s="322" customFormat="1" ht="25.5" customHeight="1" x14ac:dyDescent="0.35">
      <c r="A145" s="445" t="s">
        <v>1006</v>
      </c>
      <c r="B145" s="302" t="s">
        <v>1152</v>
      </c>
      <c r="C145" s="556">
        <v>402.3723</v>
      </c>
      <c r="D145" s="556">
        <v>21.769020000000001</v>
      </c>
      <c r="E145" s="540">
        <f>IF(C145&lt;&gt;"",D145/C145*100,"")</f>
        <v>5.4101686423245345</v>
      </c>
      <c r="F145" s="556">
        <v>366.56270000000001</v>
      </c>
      <c r="G145" s="556">
        <v>438.18200000000002</v>
      </c>
    </row>
    <row r="146" spans="1:7" ht="28" x14ac:dyDescent="0.35">
      <c r="A146" s="377" t="s">
        <v>1004</v>
      </c>
      <c r="B146" s="397" t="s">
        <v>1128</v>
      </c>
      <c r="C146" s="514">
        <v>346.72039999999998</v>
      </c>
      <c r="D146" s="514">
        <v>25.697310000000002</v>
      </c>
      <c r="E146" s="542">
        <f>IF(C146&lt;&gt;"",D146/C146*100,"")</f>
        <v>7.4115367887208263</v>
      </c>
      <c r="F146" s="514">
        <v>304.44869999999997</v>
      </c>
      <c r="G146" s="514">
        <v>388.99200000000002</v>
      </c>
    </row>
    <row r="147" spans="1:7" x14ac:dyDescent="0.35">
      <c r="A147" s="377" t="s">
        <v>6</v>
      </c>
      <c r="B147" s="397" t="s">
        <v>1097</v>
      </c>
      <c r="C147" s="514">
        <v>433.72039999999998</v>
      </c>
      <c r="D147" s="514">
        <v>30.35408</v>
      </c>
      <c r="E147" s="542">
        <f>IF(C147&lt;&gt;"",D147/C147*100,"")</f>
        <v>6.9985363842696824</v>
      </c>
      <c r="F147" s="514">
        <v>383.7885</v>
      </c>
      <c r="G147" s="514">
        <v>483.6524</v>
      </c>
    </row>
    <row r="148" spans="1:7" ht="5.25" customHeight="1" x14ac:dyDescent="0.35">
      <c r="A148" s="448"/>
      <c r="B148" s="367"/>
      <c r="C148" s="316"/>
      <c r="D148" s="317"/>
      <c r="E148" s="317"/>
      <c r="F148" s="317"/>
      <c r="G148" s="317"/>
    </row>
    <row r="149" spans="1:7" s="322" customFormat="1" ht="6.75" customHeight="1" x14ac:dyDescent="0.35">
      <c r="A149" s="335"/>
      <c r="B149" s="335"/>
      <c r="C149" s="548"/>
      <c r="D149" s="363"/>
      <c r="E149" s="363"/>
      <c r="F149" s="363"/>
      <c r="G149" s="363"/>
    </row>
    <row r="150" spans="1:7" s="551" customFormat="1" ht="11" customHeight="1" x14ac:dyDescent="0.35">
      <c r="A150" s="245" t="s">
        <v>1127</v>
      </c>
      <c r="B150" s="550"/>
    </row>
    <row r="151" spans="1:7" s="551" customFormat="1" x14ac:dyDescent="0.35">
      <c r="A151" s="245" t="s">
        <v>1126</v>
      </c>
      <c r="B151" s="550"/>
    </row>
    <row r="152" spans="1:7" s="551" customFormat="1" x14ac:dyDescent="0.35">
      <c r="A152" s="552" t="s">
        <v>1385</v>
      </c>
      <c r="B152" s="550"/>
    </row>
    <row r="153" spans="1:7" s="551" customFormat="1" x14ac:dyDescent="0.35">
      <c r="A153" s="245" t="s">
        <v>1356</v>
      </c>
      <c r="B153" s="550"/>
    </row>
  </sheetData>
  <mergeCells count="42">
    <mergeCell ref="A127:G127"/>
    <mergeCell ref="A128:G128"/>
    <mergeCell ref="A130:A131"/>
    <mergeCell ref="B130:B131"/>
    <mergeCell ref="C130:C131"/>
    <mergeCell ref="D130:D131"/>
    <mergeCell ref="E130:E131"/>
    <mergeCell ref="F130:G130"/>
    <mergeCell ref="A94:G94"/>
    <mergeCell ref="A95:G95"/>
    <mergeCell ref="A97:A98"/>
    <mergeCell ref="B97:B98"/>
    <mergeCell ref="C97:C98"/>
    <mergeCell ref="D97:D98"/>
    <mergeCell ref="E97:E98"/>
    <mergeCell ref="F97:G97"/>
    <mergeCell ref="A61:G61"/>
    <mergeCell ref="A62:G62"/>
    <mergeCell ref="A64:A65"/>
    <mergeCell ref="B64:B65"/>
    <mergeCell ref="C64:C65"/>
    <mergeCell ref="D64:D65"/>
    <mergeCell ref="E64:E65"/>
    <mergeCell ref="F64:G64"/>
    <mergeCell ref="A33:G33"/>
    <mergeCell ref="A34:G34"/>
    <mergeCell ref="A36:A37"/>
    <mergeCell ref="B36:B37"/>
    <mergeCell ref="C36:C37"/>
    <mergeCell ref="D36:D37"/>
    <mergeCell ref="E36:E37"/>
    <mergeCell ref="F36:G36"/>
    <mergeCell ref="A1:G1"/>
    <mergeCell ref="J1:R1"/>
    <mergeCell ref="A2:G2"/>
    <mergeCell ref="J2:R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23622047244094491" header="0.31496062992125984" footer="0.23622047244094491"/>
  <pageSetup paperSize="9" scale="90" orientation="landscape" useFirstPageNumber="1" r:id="rId1"/>
  <headerFooter>
    <oddFooter>&amp;C&amp;"Arial,Regular"&amp;10&amp;P</oddFooter>
  </headerFooter>
  <rowBreaks count="4" manualBreakCount="4">
    <brk id="32" max="16383" man="1"/>
    <brk id="60" max="16383" man="1"/>
    <brk id="92" max="8" man="1"/>
    <brk id="12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F03C-F91F-4CAA-8D6E-185B538CAA2C}">
  <dimension ref="A1:XEW153"/>
  <sheetViews>
    <sheetView zoomScale="80" zoomScaleNormal="80" zoomScaleSheetLayoutView="85" zoomScalePageLayoutView="70" workbookViewId="0">
      <selection activeCell="B6" sqref="B6"/>
    </sheetView>
  </sheetViews>
  <sheetFormatPr defaultRowHeight="14" x14ac:dyDescent="0.3"/>
  <cols>
    <col min="1" max="1" width="15.7265625" style="271" customWidth="1"/>
    <col min="2" max="2" width="43.26953125" style="271" customWidth="1"/>
    <col min="3" max="7" width="13.26953125" style="271" customWidth="1"/>
    <col min="8" max="255" width="9.1796875" style="271"/>
    <col min="256" max="256" width="15.7265625" style="271" customWidth="1"/>
    <col min="257" max="257" width="43.1796875" style="271" customWidth="1"/>
    <col min="258" max="263" width="13.26953125" style="271" customWidth="1"/>
    <col min="264" max="511" width="9.1796875" style="271"/>
    <col min="512" max="512" width="15.7265625" style="271" customWidth="1"/>
    <col min="513" max="513" width="43.1796875" style="271" customWidth="1"/>
    <col min="514" max="519" width="13.26953125" style="271" customWidth="1"/>
    <col min="520" max="767" width="9.1796875" style="271"/>
    <col min="768" max="768" width="15.7265625" style="271" customWidth="1"/>
    <col min="769" max="769" width="43.1796875" style="271" customWidth="1"/>
    <col min="770" max="775" width="13.26953125" style="271" customWidth="1"/>
    <col min="776" max="1023" width="9.1796875" style="271"/>
    <col min="1024" max="1024" width="15.7265625" style="271" customWidth="1"/>
    <col min="1025" max="1025" width="43.1796875" style="271" customWidth="1"/>
    <col min="1026" max="1031" width="13.26953125" style="271" customWidth="1"/>
    <col min="1032" max="1279" width="9.1796875" style="271"/>
    <col min="1280" max="1280" width="15.7265625" style="271" customWidth="1"/>
    <col min="1281" max="1281" width="43.1796875" style="271" customWidth="1"/>
    <col min="1282" max="1287" width="13.26953125" style="271" customWidth="1"/>
    <col min="1288" max="1535" width="9.1796875" style="271"/>
    <col min="1536" max="1536" width="15.7265625" style="271" customWidth="1"/>
    <col min="1537" max="1537" width="43.1796875" style="271" customWidth="1"/>
    <col min="1538" max="1543" width="13.26953125" style="271" customWidth="1"/>
    <col min="1544" max="1791" width="9.1796875" style="271"/>
    <col min="1792" max="1792" width="15.7265625" style="271" customWidth="1"/>
    <col min="1793" max="1793" width="43.1796875" style="271" customWidth="1"/>
    <col min="1794" max="1799" width="13.26953125" style="271" customWidth="1"/>
    <col min="1800" max="2047" width="9.1796875" style="271"/>
    <col min="2048" max="2048" width="15.7265625" style="271" customWidth="1"/>
    <col min="2049" max="2049" width="43.1796875" style="271" customWidth="1"/>
    <col min="2050" max="2055" width="13.26953125" style="271" customWidth="1"/>
    <col min="2056" max="2303" width="9.1796875" style="271"/>
    <col min="2304" max="2304" width="15.7265625" style="271" customWidth="1"/>
    <col min="2305" max="2305" width="43.1796875" style="271" customWidth="1"/>
    <col min="2306" max="2311" width="13.26953125" style="271" customWidth="1"/>
    <col min="2312" max="2559" width="9.1796875" style="271"/>
    <col min="2560" max="2560" width="15.7265625" style="271" customWidth="1"/>
    <col min="2561" max="2561" width="43.1796875" style="271" customWidth="1"/>
    <col min="2562" max="2567" width="13.26953125" style="271" customWidth="1"/>
    <col min="2568" max="2815" width="9.1796875" style="271"/>
    <col min="2816" max="2816" width="15.7265625" style="271" customWidth="1"/>
    <col min="2817" max="2817" width="43.1796875" style="271" customWidth="1"/>
    <col min="2818" max="2823" width="13.26953125" style="271" customWidth="1"/>
    <col min="2824" max="3071" width="9.1796875" style="271"/>
    <col min="3072" max="3072" width="15.7265625" style="271" customWidth="1"/>
    <col min="3073" max="3073" width="43.1796875" style="271" customWidth="1"/>
    <col min="3074" max="3079" width="13.26953125" style="271" customWidth="1"/>
    <col min="3080" max="3327" width="9.1796875" style="271"/>
    <col min="3328" max="3328" width="15.7265625" style="271" customWidth="1"/>
    <col min="3329" max="3329" width="43.1796875" style="271" customWidth="1"/>
    <col min="3330" max="3335" width="13.26953125" style="271" customWidth="1"/>
    <col min="3336" max="3583" width="9.1796875" style="271"/>
    <col min="3584" max="3584" width="15.7265625" style="271" customWidth="1"/>
    <col min="3585" max="3585" width="43.1796875" style="271" customWidth="1"/>
    <col min="3586" max="3591" width="13.26953125" style="271" customWidth="1"/>
    <col min="3592" max="3839" width="9.1796875" style="271"/>
    <col min="3840" max="3840" width="15.7265625" style="271" customWidth="1"/>
    <col min="3841" max="3841" width="43.1796875" style="271" customWidth="1"/>
    <col min="3842" max="3847" width="13.26953125" style="271" customWidth="1"/>
    <col min="3848" max="4095" width="9.1796875" style="271"/>
    <col min="4096" max="4096" width="15.7265625" style="271" customWidth="1"/>
    <col min="4097" max="4097" width="43.1796875" style="271" customWidth="1"/>
    <col min="4098" max="4103" width="13.26953125" style="271" customWidth="1"/>
    <col min="4104" max="4351" width="9.1796875" style="271"/>
    <col min="4352" max="4352" width="15.7265625" style="271" customWidth="1"/>
    <col min="4353" max="4353" width="43.1796875" style="271" customWidth="1"/>
    <col min="4354" max="4359" width="13.26953125" style="271" customWidth="1"/>
    <col min="4360" max="4607" width="9.1796875" style="271"/>
    <col min="4608" max="4608" width="15.7265625" style="271" customWidth="1"/>
    <col min="4609" max="4609" width="43.1796875" style="271" customWidth="1"/>
    <col min="4610" max="4615" width="13.26953125" style="271" customWidth="1"/>
    <col min="4616" max="4863" width="9.1796875" style="271"/>
    <col min="4864" max="4864" width="15.7265625" style="271" customWidth="1"/>
    <col min="4865" max="4865" width="43.1796875" style="271" customWidth="1"/>
    <col min="4866" max="4871" width="13.26953125" style="271" customWidth="1"/>
    <col min="4872" max="5119" width="9.1796875" style="271"/>
    <col min="5120" max="5120" width="15.7265625" style="271" customWidth="1"/>
    <col min="5121" max="5121" width="43.1796875" style="271" customWidth="1"/>
    <col min="5122" max="5127" width="13.26953125" style="271" customWidth="1"/>
    <col min="5128" max="5375" width="9.1796875" style="271"/>
    <col min="5376" max="5376" width="15.7265625" style="271" customWidth="1"/>
    <col min="5377" max="5377" width="43.1796875" style="271" customWidth="1"/>
    <col min="5378" max="5383" width="13.26953125" style="271" customWidth="1"/>
    <col min="5384" max="5631" width="9.1796875" style="271"/>
    <col min="5632" max="5632" width="15.7265625" style="271" customWidth="1"/>
    <col min="5633" max="5633" width="43.1796875" style="271" customWidth="1"/>
    <col min="5634" max="5639" width="13.26953125" style="271" customWidth="1"/>
    <col min="5640" max="5887" width="9.1796875" style="271"/>
    <col min="5888" max="5888" width="15.7265625" style="271" customWidth="1"/>
    <col min="5889" max="5889" width="43.1796875" style="271" customWidth="1"/>
    <col min="5890" max="5895" width="13.26953125" style="271" customWidth="1"/>
    <col min="5896" max="6143" width="9.1796875" style="271"/>
    <col min="6144" max="6144" width="15.7265625" style="271" customWidth="1"/>
    <col min="6145" max="6145" width="43.1796875" style="271" customWidth="1"/>
    <col min="6146" max="6151" width="13.26953125" style="271" customWidth="1"/>
    <col min="6152" max="6399" width="9.1796875" style="271"/>
    <col min="6400" max="6400" width="15.7265625" style="271" customWidth="1"/>
    <col min="6401" max="6401" width="43.1796875" style="271" customWidth="1"/>
    <col min="6402" max="6407" width="13.26953125" style="271" customWidth="1"/>
    <col min="6408" max="6655" width="9.1796875" style="271"/>
    <col min="6656" max="6656" width="15.7265625" style="271" customWidth="1"/>
    <col min="6657" max="6657" width="43.1796875" style="271" customWidth="1"/>
    <col min="6658" max="6663" width="13.26953125" style="271" customWidth="1"/>
    <col min="6664" max="6911" width="9.1796875" style="271"/>
    <col min="6912" max="6912" width="15.7265625" style="271" customWidth="1"/>
    <col min="6913" max="6913" width="43.1796875" style="271" customWidth="1"/>
    <col min="6914" max="6919" width="13.26953125" style="271" customWidth="1"/>
    <col min="6920" max="7167" width="9.1796875" style="271"/>
    <col min="7168" max="7168" width="15.7265625" style="271" customWidth="1"/>
    <col min="7169" max="7169" width="43.1796875" style="271" customWidth="1"/>
    <col min="7170" max="7175" width="13.26953125" style="271" customWidth="1"/>
    <col min="7176" max="7423" width="9.1796875" style="271"/>
    <col min="7424" max="7424" width="15.7265625" style="271" customWidth="1"/>
    <col min="7425" max="7425" width="43.1796875" style="271" customWidth="1"/>
    <col min="7426" max="7431" width="13.26953125" style="271" customWidth="1"/>
    <col min="7432" max="7679" width="9.1796875" style="271"/>
    <col min="7680" max="7680" width="15.7265625" style="271" customWidth="1"/>
    <col min="7681" max="7681" width="43.1796875" style="271" customWidth="1"/>
    <col min="7682" max="7687" width="13.26953125" style="271" customWidth="1"/>
    <col min="7688" max="7935" width="9.1796875" style="271"/>
    <col min="7936" max="7936" width="15.7265625" style="271" customWidth="1"/>
    <col min="7937" max="7937" width="43.1796875" style="271" customWidth="1"/>
    <col min="7938" max="7943" width="13.26953125" style="271" customWidth="1"/>
    <col min="7944" max="8191" width="9.1796875" style="271"/>
    <col min="8192" max="8192" width="15.7265625" style="271" customWidth="1"/>
    <col min="8193" max="8193" width="43.1796875" style="271" customWidth="1"/>
    <col min="8194" max="8199" width="13.26953125" style="271" customWidth="1"/>
    <col min="8200" max="8447" width="9.1796875" style="271"/>
    <col min="8448" max="8448" width="15.7265625" style="271" customWidth="1"/>
    <col min="8449" max="8449" width="43.1796875" style="271" customWidth="1"/>
    <col min="8450" max="8455" width="13.26953125" style="271" customWidth="1"/>
    <col min="8456" max="8703" width="9.1796875" style="271"/>
    <col min="8704" max="8704" width="15.7265625" style="271" customWidth="1"/>
    <col min="8705" max="8705" width="43.1796875" style="271" customWidth="1"/>
    <col min="8706" max="8711" width="13.26953125" style="271" customWidth="1"/>
    <col min="8712" max="8959" width="9.1796875" style="271"/>
    <col min="8960" max="8960" width="15.7265625" style="271" customWidth="1"/>
    <col min="8961" max="8961" width="43.1796875" style="271" customWidth="1"/>
    <col min="8962" max="8967" width="13.26953125" style="271" customWidth="1"/>
    <col min="8968" max="9215" width="9.1796875" style="271"/>
    <col min="9216" max="9216" width="15.7265625" style="271" customWidth="1"/>
    <col min="9217" max="9217" width="43.1796875" style="271" customWidth="1"/>
    <col min="9218" max="9223" width="13.26953125" style="271" customWidth="1"/>
    <col min="9224" max="9471" width="9.1796875" style="271"/>
    <col min="9472" max="9472" width="15.7265625" style="271" customWidth="1"/>
    <col min="9473" max="9473" width="43.1796875" style="271" customWidth="1"/>
    <col min="9474" max="9479" width="13.26953125" style="271" customWidth="1"/>
    <col min="9480" max="9727" width="9.1796875" style="271"/>
    <col min="9728" max="9728" width="15.7265625" style="271" customWidth="1"/>
    <col min="9729" max="9729" width="43.1796875" style="271" customWidth="1"/>
    <col min="9730" max="9735" width="13.26953125" style="271" customWidth="1"/>
    <col min="9736" max="9983" width="9.1796875" style="271"/>
    <col min="9984" max="9984" width="15.7265625" style="271" customWidth="1"/>
    <col min="9985" max="9985" width="43.1796875" style="271" customWidth="1"/>
    <col min="9986" max="9991" width="13.26953125" style="271" customWidth="1"/>
    <col min="9992" max="10239" width="9.1796875" style="271"/>
    <col min="10240" max="10240" width="15.7265625" style="271" customWidth="1"/>
    <col min="10241" max="10241" width="43.1796875" style="271" customWidth="1"/>
    <col min="10242" max="10247" width="13.26953125" style="271" customWidth="1"/>
    <col min="10248" max="10495" width="9.1796875" style="271"/>
    <col min="10496" max="10496" width="15.7265625" style="271" customWidth="1"/>
    <col min="10497" max="10497" width="43.1796875" style="271" customWidth="1"/>
    <col min="10498" max="10503" width="13.26953125" style="271" customWidth="1"/>
    <col min="10504" max="10751" width="9.1796875" style="271"/>
    <col min="10752" max="10752" width="15.7265625" style="271" customWidth="1"/>
    <col min="10753" max="10753" width="43.1796875" style="271" customWidth="1"/>
    <col min="10754" max="10759" width="13.26953125" style="271" customWidth="1"/>
    <col min="10760" max="11007" width="9.1796875" style="271"/>
    <col min="11008" max="11008" width="15.7265625" style="271" customWidth="1"/>
    <col min="11009" max="11009" width="43.1796875" style="271" customWidth="1"/>
    <col min="11010" max="11015" width="13.26953125" style="271" customWidth="1"/>
    <col min="11016" max="11263" width="9.1796875" style="271"/>
    <col min="11264" max="11264" width="15.7265625" style="271" customWidth="1"/>
    <col min="11265" max="11265" width="43.1796875" style="271" customWidth="1"/>
    <col min="11266" max="11271" width="13.26953125" style="271" customWidth="1"/>
    <col min="11272" max="11519" width="9.1796875" style="271"/>
    <col min="11520" max="11520" width="15.7265625" style="271" customWidth="1"/>
    <col min="11521" max="11521" width="43.1796875" style="271" customWidth="1"/>
    <col min="11522" max="11527" width="13.26953125" style="271" customWidth="1"/>
    <col min="11528" max="11775" width="9.1796875" style="271"/>
    <col min="11776" max="11776" width="15.7265625" style="271" customWidth="1"/>
    <col min="11777" max="11777" width="43.1796875" style="271" customWidth="1"/>
    <col min="11778" max="11783" width="13.26953125" style="271" customWidth="1"/>
    <col min="11784" max="12031" width="9.1796875" style="271"/>
    <col min="12032" max="12032" width="15.7265625" style="271" customWidth="1"/>
    <col min="12033" max="12033" width="43.1796875" style="271" customWidth="1"/>
    <col min="12034" max="12039" width="13.26953125" style="271" customWidth="1"/>
    <col min="12040" max="12287" width="9.1796875" style="271"/>
    <col min="12288" max="12288" width="15.7265625" style="271" customWidth="1"/>
    <col min="12289" max="12289" width="43.1796875" style="271" customWidth="1"/>
    <col min="12290" max="12295" width="13.26953125" style="271" customWidth="1"/>
    <col min="12296" max="12543" width="9.1796875" style="271"/>
    <col min="12544" max="12544" width="15.7265625" style="271" customWidth="1"/>
    <col min="12545" max="12545" width="43.1796875" style="271" customWidth="1"/>
    <col min="12546" max="12551" width="13.26953125" style="271" customWidth="1"/>
    <col min="12552" max="12799" width="9.1796875" style="271"/>
    <col min="12800" max="12800" width="15.7265625" style="271" customWidth="1"/>
    <col min="12801" max="12801" width="43.1796875" style="271" customWidth="1"/>
    <col min="12802" max="12807" width="13.26953125" style="271" customWidth="1"/>
    <col min="12808" max="13055" width="9.1796875" style="271"/>
    <col min="13056" max="13056" width="15.7265625" style="271" customWidth="1"/>
    <col min="13057" max="13057" width="43.1796875" style="271" customWidth="1"/>
    <col min="13058" max="13063" width="13.26953125" style="271" customWidth="1"/>
    <col min="13064" max="13311" width="9.1796875" style="271"/>
    <col min="13312" max="13312" width="15.7265625" style="271" customWidth="1"/>
    <col min="13313" max="13313" width="43.1796875" style="271" customWidth="1"/>
    <col min="13314" max="13319" width="13.26953125" style="271" customWidth="1"/>
    <col min="13320" max="13567" width="9.1796875" style="271"/>
    <col min="13568" max="13568" width="15.7265625" style="271" customWidth="1"/>
    <col min="13569" max="13569" width="43.1796875" style="271" customWidth="1"/>
    <col min="13570" max="13575" width="13.26953125" style="271" customWidth="1"/>
    <col min="13576" max="13823" width="9.1796875" style="271"/>
    <col min="13824" max="13824" width="15.7265625" style="271" customWidth="1"/>
    <col min="13825" max="13825" width="43.1796875" style="271" customWidth="1"/>
    <col min="13826" max="13831" width="13.26953125" style="271" customWidth="1"/>
    <col min="13832" max="14079" width="9.1796875" style="271"/>
    <col min="14080" max="14080" width="15.7265625" style="271" customWidth="1"/>
    <col min="14081" max="14081" width="43.1796875" style="271" customWidth="1"/>
    <col min="14082" max="14087" width="13.26953125" style="271" customWidth="1"/>
    <col min="14088" max="14335" width="9.1796875" style="271"/>
    <col min="14336" max="14336" width="15.7265625" style="271" customWidth="1"/>
    <col min="14337" max="14337" width="43.1796875" style="271" customWidth="1"/>
    <col min="14338" max="14343" width="13.26953125" style="271" customWidth="1"/>
    <col min="14344" max="14591" width="9.1796875" style="271"/>
    <col min="14592" max="14592" width="15.7265625" style="271" customWidth="1"/>
    <col min="14593" max="14593" width="43.1796875" style="271" customWidth="1"/>
    <col min="14594" max="14599" width="13.26953125" style="271" customWidth="1"/>
    <col min="14600" max="14847" width="9.1796875" style="271"/>
    <col min="14848" max="14848" width="15.7265625" style="271" customWidth="1"/>
    <col min="14849" max="14849" width="43.1796875" style="271" customWidth="1"/>
    <col min="14850" max="14855" width="13.26953125" style="271" customWidth="1"/>
    <col min="14856" max="15103" width="9.1796875" style="271"/>
    <col min="15104" max="15104" width="15.7265625" style="271" customWidth="1"/>
    <col min="15105" max="15105" width="43.1796875" style="271" customWidth="1"/>
    <col min="15106" max="15111" width="13.26953125" style="271" customWidth="1"/>
    <col min="15112" max="15359" width="9.1796875" style="271"/>
    <col min="15360" max="15360" width="15.7265625" style="271" customWidth="1"/>
    <col min="15361" max="15361" width="43.1796875" style="271" customWidth="1"/>
    <col min="15362" max="15367" width="13.26953125" style="271" customWidth="1"/>
    <col min="15368" max="15615" width="9.1796875" style="271"/>
    <col min="15616" max="15616" width="15.7265625" style="271" customWidth="1"/>
    <col min="15617" max="15617" width="43.1796875" style="271" customWidth="1"/>
    <col min="15618" max="15623" width="13.26953125" style="271" customWidth="1"/>
    <col min="15624" max="15871" width="9.1796875" style="271"/>
    <col min="15872" max="15872" width="15.7265625" style="271" customWidth="1"/>
    <col min="15873" max="15873" width="43.1796875" style="271" customWidth="1"/>
    <col min="15874" max="15879" width="13.26953125" style="271" customWidth="1"/>
    <col min="15880" max="16127" width="9.1796875" style="271"/>
    <col min="16128" max="16128" width="15.7265625" style="271" customWidth="1"/>
    <col min="16129" max="16129" width="43.1796875" style="271" customWidth="1"/>
    <col min="16130" max="16135" width="13.26953125" style="271" customWidth="1"/>
    <col min="16136" max="16382" width="9.1796875" style="271"/>
    <col min="16383" max="16384" width="8.81640625" style="271" customWidth="1"/>
  </cols>
  <sheetData>
    <row r="1" spans="1:15" ht="33.75" customHeight="1" x14ac:dyDescent="0.3">
      <c r="A1" s="428" t="s">
        <v>1386</v>
      </c>
      <c r="B1" s="428"/>
      <c r="C1" s="428"/>
      <c r="D1" s="428"/>
      <c r="E1" s="428"/>
      <c r="F1" s="428"/>
      <c r="G1" s="428"/>
    </row>
    <row r="2" spans="1:15" ht="12.75" customHeight="1" x14ac:dyDescent="0.3">
      <c r="A2" s="431" t="s">
        <v>1337</v>
      </c>
      <c r="B2" s="431"/>
      <c r="C2" s="431"/>
      <c r="D2" s="431"/>
      <c r="E2" s="431"/>
      <c r="F2" s="431"/>
      <c r="G2" s="431"/>
    </row>
    <row r="3" spans="1:15" ht="12.75" customHeight="1" x14ac:dyDescent="0.3">
      <c r="A3" s="378"/>
      <c r="B3" s="378"/>
      <c r="C3" s="378"/>
      <c r="D3" s="378"/>
      <c r="E3" s="378"/>
      <c r="F3" s="378"/>
      <c r="G3" s="378"/>
    </row>
    <row r="4" spans="1:15" s="372" customFormat="1" ht="15" customHeight="1" x14ac:dyDescent="0.3">
      <c r="A4" s="432" t="s">
        <v>1038</v>
      </c>
      <c r="B4" s="434" t="s">
        <v>1037</v>
      </c>
      <c r="C4" s="433" t="s">
        <v>1372</v>
      </c>
      <c r="D4" s="433" t="s">
        <v>90</v>
      </c>
      <c r="E4" s="433" t="s">
        <v>89</v>
      </c>
      <c r="F4" s="433" t="s">
        <v>1186</v>
      </c>
      <c r="G4" s="433"/>
      <c r="H4" s="271"/>
    </row>
    <row r="5" spans="1:15" ht="50.15" customHeight="1" x14ac:dyDescent="0.3">
      <c r="A5" s="432"/>
      <c r="B5" s="434"/>
      <c r="C5" s="433"/>
      <c r="D5" s="433"/>
      <c r="E5" s="433"/>
      <c r="F5" s="273" t="s">
        <v>88</v>
      </c>
      <c r="G5" s="273" t="s">
        <v>87</v>
      </c>
    </row>
    <row r="6" spans="1:15" x14ac:dyDescent="0.3">
      <c r="A6" s="461"/>
      <c r="B6" s="462"/>
      <c r="C6" s="300"/>
      <c r="D6" s="300"/>
      <c r="E6" s="300"/>
      <c r="F6" s="300"/>
      <c r="G6" s="574"/>
    </row>
    <row r="7" spans="1:15" x14ac:dyDescent="0.3">
      <c r="A7" s="525"/>
      <c r="B7" s="466" t="s">
        <v>1073</v>
      </c>
      <c r="C7" s="575">
        <v>1347.729</v>
      </c>
      <c r="D7" s="576">
        <v>104.67529999999999</v>
      </c>
      <c r="E7" s="577">
        <v>7.7667913950059688</v>
      </c>
      <c r="F7" s="576">
        <v>1175.54</v>
      </c>
      <c r="G7" s="578">
        <v>1519.9179999999999</v>
      </c>
      <c r="H7" s="380"/>
      <c r="K7" s="401"/>
      <c r="L7" s="379"/>
      <c r="M7" s="379"/>
      <c r="N7" s="379"/>
      <c r="O7" s="379"/>
    </row>
    <row r="8" spans="1:15" x14ac:dyDescent="0.3">
      <c r="A8" s="277"/>
      <c r="B8" s="330"/>
      <c r="C8" s="579"/>
      <c r="D8" s="579"/>
      <c r="E8" s="580"/>
      <c r="F8" s="579"/>
      <c r="G8" s="581"/>
    </row>
    <row r="9" spans="1:15" s="279" customFormat="1" x14ac:dyDescent="0.3">
      <c r="A9" s="445" t="s">
        <v>1071</v>
      </c>
      <c r="B9" s="354" t="s">
        <v>1072</v>
      </c>
      <c r="C9" s="575">
        <v>476.38819999999998</v>
      </c>
      <c r="D9" s="575">
        <v>75.281679999999994</v>
      </c>
      <c r="E9" s="582">
        <v>15.802591248061978</v>
      </c>
      <c r="F9" s="575">
        <v>352.55110000000002</v>
      </c>
      <c r="G9" s="583">
        <v>600.22519999999997</v>
      </c>
      <c r="H9" s="380"/>
    </row>
    <row r="10" spans="1:15" ht="27" customHeight="1" x14ac:dyDescent="0.3">
      <c r="A10" s="377" t="s">
        <v>992</v>
      </c>
      <c r="B10" s="298" t="s">
        <v>1146</v>
      </c>
      <c r="C10" s="579">
        <v>476.3981</v>
      </c>
      <c r="D10" s="584">
        <v>79.314329999999998</v>
      </c>
      <c r="E10" s="585">
        <f>IF(C10&lt;&gt;"",D10/C10*100,"")</f>
        <v>16.64875027839112</v>
      </c>
      <c r="F10" s="586">
        <v>345.92739999999998</v>
      </c>
      <c r="G10" s="587">
        <v>606.86890000000005</v>
      </c>
      <c r="H10" s="380"/>
    </row>
    <row r="11" spans="1:15" x14ac:dyDescent="0.3">
      <c r="A11" s="377" t="s">
        <v>704</v>
      </c>
      <c r="B11" s="298" t="s">
        <v>990</v>
      </c>
      <c r="C11" s="579">
        <v>476.21499999999997</v>
      </c>
      <c r="D11" s="584">
        <v>121.208</v>
      </c>
      <c r="E11" s="585">
        <f>IF(C11&lt;&gt;"",D11/C11*100,"")</f>
        <v>25.452369202986048</v>
      </c>
      <c r="F11" s="586">
        <v>276.83</v>
      </c>
      <c r="G11" s="587">
        <v>675.6001</v>
      </c>
      <c r="H11" s="380"/>
    </row>
    <row r="12" spans="1:15" x14ac:dyDescent="0.3">
      <c r="A12" s="377"/>
      <c r="B12" s="298"/>
      <c r="C12" s="579"/>
      <c r="D12" s="579"/>
      <c r="E12" s="580"/>
      <c r="F12" s="579"/>
      <c r="G12" s="581"/>
    </row>
    <row r="13" spans="1:15" s="279" customFormat="1" ht="13.5" customHeight="1" x14ac:dyDescent="0.3">
      <c r="A13" s="445" t="s">
        <v>1068</v>
      </c>
      <c r="B13" s="354" t="s">
        <v>1069</v>
      </c>
      <c r="C13" s="575">
        <v>985.46169999999995</v>
      </c>
      <c r="D13" s="576">
        <v>91.938280000000006</v>
      </c>
      <c r="E13" s="577">
        <f>IF(C13&lt;&gt;"",D13/C13*100,"")</f>
        <v>9.3294625250276102</v>
      </c>
      <c r="F13" s="576">
        <v>834.22479999999996</v>
      </c>
      <c r="G13" s="578">
        <v>1136.6990000000001</v>
      </c>
      <c r="H13" s="380"/>
    </row>
    <row r="14" spans="1:15" ht="42" x14ac:dyDescent="0.3">
      <c r="A14" s="377" t="s">
        <v>987</v>
      </c>
      <c r="B14" s="298" t="s">
        <v>1145</v>
      </c>
      <c r="C14" s="579">
        <v>1594.357</v>
      </c>
      <c r="D14" s="584">
        <v>160.78200000000001</v>
      </c>
      <c r="E14" s="585">
        <f>IF(C14&lt;&gt;"",D14/C14*100,"")</f>
        <v>10.08444156484401</v>
      </c>
      <c r="F14" s="586">
        <v>1329.873</v>
      </c>
      <c r="G14" s="587">
        <v>1858.84</v>
      </c>
      <c r="H14" s="380"/>
    </row>
    <row r="15" spans="1:15" x14ac:dyDescent="0.3">
      <c r="A15" s="377" t="s">
        <v>506</v>
      </c>
      <c r="B15" s="298" t="s">
        <v>1066</v>
      </c>
      <c r="C15" s="579">
        <v>910.86860000000001</v>
      </c>
      <c r="D15" s="584">
        <v>116.873</v>
      </c>
      <c r="E15" s="585">
        <f>IF(C15&lt;&gt;"",D15/C15*100,"")</f>
        <v>12.83093961082861</v>
      </c>
      <c r="F15" s="586">
        <v>718.61450000000002</v>
      </c>
      <c r="G15" s="587">
        <v>1103.123</v>
      </c>
      <c r="H15" s="380"/>
    </row>
    <row r="16" spans="1:15" x14ac:dyDescent="0.3">
      <c r="A16" s="377" t="s">
        <v>1064</v>
      </c>
      <c r="B16" s="298" t="s">
        <v>1065</v>
      </c>
      <c r="C16" s="579">
        <v>576.4461</v>
      </c>
      <c r="D16" s="584">
        <v>255.0438</v>
      </c>
      <c r="E16" s="585">
        <f>IF(C16&lt;&gt;"",D16/C16*100,"")</f>
        <v>44.244171311073146</v>
      </c>
      <c r="F16" s="586">
        <v>156.90350000000001</v>
      </c>
      <c r="G16" s="587">
        <v>995.98869999999999</v>
      </c>
      <c r="H16" s="380"/>
    </row>
    <row r="17" spans="1:9" x14ac:dyDescent="0.3">
      <c r="A17" s="277"/>
      <c r="B17" s="298"/>
      <c r="C17" s="579"/>
      <c r="D17" s="579"/>
      <c r="E17" s="580"/>
      <c r="F17" s="579"/>
      <c r="G17" s="581"/>
    </row>
    <row r="18" spans="1:9" s="279" customFormat="1" x14ac:dyDescent="0.3">
      <c r="A18" s="445" t="s">
        <v>1062</v>
      </c>
      <c r="B18" s="354" t="s">
        <v>1063</v>
      </c>
      <c r="C18" s="575">
        <v>710.17830000000004</v>
      </c>
      <c r="D18" s="576">
        <v>55.594360000000002</v>
      </c>
      <c r="E18" s="577">
        <f t="shared" ref="E18:E29" si="0">IF(C18&lt;&gt;"",D18/C18*100,"")</f>
        <v>7.8282256723417198</v>
      </c>
      <c r="F18" s="576">
        <v>618.72649999999999</v>
      </c>
      <c r="G18" s="578">
        <v>801.63009999999997</v>
      </c>
      <c r="H18" s="380"/>
    </row>
    <row r="19" spans="1:9" x14ac:dyDescent="0.3">
      <c r="A19" s="377" t="s">
        <v>330</v>
      </c>
      <c r="B19" s="588" t="s">
        <v>977</v>
      </c>
      <c r="C19" s="579">
        <v>352.85320000000002</v>
      </c>
      <c r="D19" s="584">
        <v>45.094499999999996</v>
      </c>
      <c r="E19" s="585">
        <f t="shared" si="0"/>
        <v>12.779960618183425</v>
      </c>
      <c r="F19" s="586">
        <v>278.67349999999999</v>
      </c>
      <c r="G19" s="587">
        <v>427.03289999999998</v>
      </c>
      <c r="H19" s="292"/>
      <c r="I19" s="375"/>
    </row>
    <row r="20" spans="1:9" x14ac:dyDescent="0.3">
      <c r="A20" s="377" t="s">
        <v>443</v>
      </c>
      <c r="B20" s="588" t="s">
        <v>973</v>
      </c>
      <c r="C20" s="579">
        <v>109.63200000000001</v>
      </c>
      <c r="D20" s="584">
        <v>47.418529999999997</v>
      </c>
      <c r="E20" s="585">
        <f t="shared" si="0"/>
        <v>43.252453663164033</v>
      </c>
      <c r="F20" s="586">
        <v>31.629339999999999</v>
      </c>
      <c r="G20" s="587">
        <v>187.63470000000001</v>
      </c>
      <c r="H20" s="292"/>
      <c r="I20" s="375"/>
    </row>
    <row r="21" spans="1:9" x14ac:dyDescent="0.3">
      <c r="A21" s="377" t="s">
        <v>1059</v>
      </c>
      <c r="B21" s="588" t="s">
        <v>1060</v>
      </c>
      <c r="C21" s="579">
        <v>419.24419999999998</v>
      </c>
      <c r="D21" s="584">
        <v>79.24794</v>
      </c>
      <c r="E21" s="585">
        <f t="shared" si="0"/>
        <v>18.902572772622737</v>
      </c>
      <c r="F21" s="586">
        <v>288.8827</v>
      </c>
      <c r="G21" s="587">
        <v>549.60569999999996</v>
      </c>
      <c r="H21" s="292"/>
      <c r="I21" s="375"/>
    </row>
    <row r="22" spans="1:9" x14ac:dyDescent="0.3">
      <c r="A22" s="377" t="s">
        <v>571</v>
      </c>
      <c r="B22" s="588" t="s">
        <v>970</v>
      </c>
      <c r="C22" s="579">
        <v>227.36859999999999</v>
      </c>
      <c r="D22" s="584">
        <v>82.502160000000003</v>
      </c>
      <c r="E22" s="585">
        <f t="shared" si="0"/>
        <v>36.285643664076751</v>
      </c>
      <c r="F22" s="586">
        <v>91.653989999999993</v>
      </c>
      <c r="G22" s="587">
        <v>363.08330000000001</v>
      </c>
      <c r="H22" s="292"/>
      <c r="I22" s="375"/>
    </row>
    <row r="23" spans="1:9" x14ac:dyDescent="0.3">
      <c r="A23" s="377" t="s">
        <v>784</v>
      </c>
      <c r="B23" s="588" t="s">
        <v>964</v>
      </c>
      <c r="C23" s="579">
        <v>287.92880000000002</v>
      </c>
      <c r="D23" s="584">
        <v>76.776079999999993</v>
      </c>
      <c r="E23" s="585">
        <f t="shared" si="0"/>
        <v>26.664953280116471</v>
      </c>
      <c r="F23" s="586">
        <v>161.6335</v>
      </c>
      <c r="G23" s="587">
        <v>414.22410000000002</v>
      </c>
      <c r="H23" s="292"/>
      <c r="I23" s="375"/>
    </row>
    <row r="24" spans="1:9" x14ac:dyDescent="0.3">
      <c r="A24" s="377" t="s">
        <v>667</v>
      </c>
      <c r="B24" s="588" t="s">
        <v>947</v>
      </c>
      <c r="C24" s="579">
        <v>573.25540000000001</v>
      </c>
      <c r="D24" s="584">
        <v>371.26330000000002</v>
      </c>
      <c r="E24" s="585">
        <f t="shared" si="0"/>
        <v>64.764030133863542</v>
      </c>
      <c r="F24" s="586">
        <v>-37.466369999999998</v>
      </c>
      <c r="G24" s="587">
        <v>1183.9770000000001</v>
      </c>
      <c r="H24" s="292"/>
      <c r="I24" s="375"/>
    </row>
    <row r="25" spans="1:9" ht="70" x14ac:dyDescent="0.3">
      <c r="A25" s="377" t="s">
        <v>1348</v>
      </c>
      <c r="B25" s="588" t="s">
        <v>1388</v>
      </c>
      <c r="C25" s="579">
        <v>251.75200000000001</v>
      </c>
      <c r="D25" s="584">
        <v>154.12289999999999</v>
      </c>
      <c r="E25" s="585">
        <f t="shared" si="0"/>
        <v>61.220129333629913</v>
      </c>
      <c r="F25" s="586">
        <v>-1.7775460000000001</v>
      </c>
      <c r="G25" s="587">
        <v>505.28160000000003</v>
      </c>
      <c r="H25" s="292"/>
      <c r="I25" s="375"/>
    </row>
    <row r="26" spans="1:9" x14ac:dyDescent="0.3">
      <c r="A26" s="377" t="s">
        <v>405</v>
      </c>
      <c r="B26" s="588" t="s">
        <v>921</v>
      </c>
      <c r="C26" s="579">
        <v>1141.6189999999999</v>
      </c>
      <c r="D26" s="584">
        <v>233.12629999999999</v>
      </c>
      <c r="E26" s="585">
        <f t="shared" si="0"/>
        <v>20.420674498234526</v>
      </c>
      <c r="F26" s="586">
        <v>758.12969999999996</v>
      </c>
      <c r="G26" s="587">
        <v>1525.107</v>
      </c>
      <c r="H26" s="292"/>
      <c r="I26" s="375"/>
    </row>
    <row r="27" spans="1:9" x14ac:dyDescent="0.3">
      <c r="A27" s="377" t="s">
        <v>568</v>
      </c>
      <c r="B27" s="588" t="s">
        <v>913</v>
      </c>
      <c r="C27" s="579">
        <v>246.3509</v>
      </c>
      <c r="D27" s="584">
        <v>121.21120000000001</v>
      </c>
      <c r="E27" s="585">
        <f t="shared" si="0"/>
        <v>49.202661731700594</v>
      </c>
      <c r="F27" s="586">
        <v>46.960680000000004</v>
      </c>
      <c r="G27" s="587">
        <v>445.74119999999999</v>
      </c>
      <c r="H27" s="292"/>
      <c r="I27" s="375"/>
    </row>
    <row r="28" spans="1:9" ht="25.5" customHeight="1" x14ac:dyDescent="0.3">
      <c r="A28" s="377" t="s">
        <v>305</v>
      </c>
      <c r="B28" s="588" t="s">
        <v>906</v>
      </c>
      <c r="C28" s="579">
        <v>870.9144</v>
      </c>
      <c r="D28" s="584">
        <v>596.21460000000002</v>
      </c>
      <c r="E28" s="585">
        <f t="shared" si="0"/>
        <v>68.458461589336451</v>
      </c>
      <c r="F28" s="586">
        <v>-109.8484</v>
      </c>
      <c r="G28" s="587">
        <v>1851.6769999999999</v>
      </c>
      <c r="H28" s="292"/>
      <c r="I28" s="375"/>
    </row>
    <row r="29" spans="1:9" ht="11.25" customHeight="1" x14ac:dyDescent="0.3">
      <c r="A29" s="377" t="s">
        <v>349</v>
      </c>
      <c r="B29" s="588" t="s">
        <v>897</v>
      </c>
      <c r="C29" s="579">
        <v>1327.0260000000001</v>
      </c>
      <c r="D29" s="584">
        <v>208.4691</v>
      </c>
      <c r="E29" s="585">
        <f t="shared" si="0"/>
        <v>15.709496272115238</v>
      </c>
      <c r="F29" s="586">
        <v>984.09829999999999</v>
      </c>
      <c r="G29" s="587">
        <v>1669.954</v>
      </c>
      <c r="H29" s="292"/>
    </row>
    <row r="30" spans="1:9" ht="5.25" customHeight="1" x14ac:dyDescent="0.3">
      <c r="A30" s="448"/>
      <c r="B30" s="367"/>
      <c r="C30" s="573"/>
      <c r="D30" s="573"/>
      <c r="E30" s="573"/>
      <c r="F30" s="573"/>
      <c r="G30" s="589"/>
    </row>
    <row r="31" spans="1:9" s="279" customFormat="1" ht="15" customHeight="1" x14ac:dyDescent="0.3">
      <c r="A31" s="570"/>
      <c r="B31" s="570"/>
      <c r="C31" s="570"/>
      <c r="D31" s="571"/>
      <c r="E31" s="571"/>
      <c r="F31" s="571"/>
      <c r="G31" s="571"/>
      <c r="H31" s="271"/>
    </row>
    <row r="32" spans="1:9" ht="26.25" customHeight="1" x14ac:dyDescent="0.3">
      <c r="A32" s="452" t="s">
        <v>1387</v>
      </c>
      <c r="B32" s="452"/>
      <c r="C32" s="452"/>
      <c r="D32" s="452"/>
      <c r="E32" s="452"/>
      <c r="F32" s="452"/>
      <c r="G32" s="452"/>
    </row>
    <row r="33" spans="1:10" ht="12.75" customHeight="1" x14ac:dyDescent="0.3">
      <c r="A33" s="453" t="s">
        <v>1337</v>
      </c>
      <c r="B33" s="453"/>
      <c r="C33" s="453"/>
      <c r="D33" s="453"/>
      <c r="E33" s="453"/>
      <c r="F33" s="453"/>
      <c r="G33" s="453"/>
    </row>
    <row r="34" spans="1:10" ht="12.75" customHeight="1" x14ac:dyDescent="0.3">
      <c r="A34" s="539"/>
      <c r="B34" s="539"/>
      <c r="C34" s="539"/>
      <c r="D34" s="539"/>
      <c r="E34" s="539"/>
      <c r="F34" s="539"/>
      <c r="G34" s="539"/>
    </row>
    <row r="35" spans="1:10" s="372" customFormat="1" ht="15" customHeight="1" x14ac:dyDescent="0.3">
      <c r="A35" s="432" t="s">
        <v>1038</v>
      </c>
      <c r="B35" s="432" t="s">
        <v>1037</v>
      </c>
      <c r="C35" s="433" t="s">
        <v>91</v>
      </c>
      <c r="D35" s="433" t="s">
        <v>90</v>
      </c>
      <c r="E35" s="433" t="s">
        <v>89</v>
      </c>
      <c r="F35" s="433" t="s">
        <v>1186</v>
      </c>
      <c r="G35" s="433"/>
      <c r="H35" s="271"/>
    </row>
    <row r="36" spans="1:10" ht="50.15" customHeight="1" x14ac:dyDescent="0.3">
      <c r="A36" s="432"/>
      <c r="B36" s="432"/>
      <c r="C36" s="433"/>
      <c r="D36" s="433"/>
      <c r="E36" s="433"/>
      <c r="F36" s="273" t="s">
        <v>88</v>
      </c>
      <c r="G36" s="273" t="s">
        <v>87</v>
      </c>
    </row>
    <row r="37" spans="1:10" x14ac:dyDescent="0.3">
      <c r="A37" s="461"/>
      <c r="B37" s="462"/>
      <c r="C37" s="300"/>
      <c r="D37" s="572"/>
      <c r="E37" s="572"/>
      <c r="F37" s="572"/>
      <c r="G37" s="574"/>
    </row>
    <row r="38" spans="1:10" ht="28" x14ac:dyDescent="0.3">
      <c r="A38" s="377" t="s">
        <v>574</v>
      </c>
      <c r="B38" s="298" t="s">
        <v>1339</v>
      </c>
      <c r="C38" s="579">
        <v>756.78330000000005</v>
      </c>
      <c r="D38" s="584">
        <v>251.90199999999999</v>
      </c>
      <c r="E38" s="585">
        <f t="shared" ref="E38:E51" si="1">IF(C38&lt;&gt;"",D38/C38*100,"")</f>
        <v>33.285882497671388</v>
      </c>
      <c r="F38" s="586">
        <v>342.40879999999999</v>
      </c>
      <c r="G38" s="587">
        <v>1171.1579999999999</v>
      </c>
      <c r="H38" s="380"/>
      <c r="I38" s="292"/>
      <c r="J38" s="375"/>
    </row>
    <row r="39" spans="1:10" ht="14.25" customHeight="1" x14ac:dyDescent="0.3">
      <c r="A39" s="377" t="s">
        <v>375</v>
      </c>
      <c r="B39" s="298" t="s">
        <v>876</v>
      </c>
      <c r="C39" s="579">
        <v>421.02449999999999</v>
      </c>
      <c r="D39" s="584">
        <v>77.951549999999997</v>
      </c>
      <c r="E39" s="585">
        <f t="shared" si="1"/>
        <v>18.514730140407508</v>
      </c>
      <c r="F39" s="586">
        <v>292.7955</v>
      </c>
      <c r="G39" s="587">
        <v>549.25340000000006</v>
      </c>
      <c r="H39" s="380"/>
      <c r="I39" s="292"/>
      <c r="J39" s="375"/>
    </row>
    <row r="40" spans="1:10" x14ac:dyDescent="0.3">
      <c r="A40" s="377" t="s">
        <v>650</v>
      </c>
      <c r="B40" s="298" t="s">
        <v>867</v>
      </c>
      <c r="C40" s="579">
        <v>1141.8040000000001</v>
      </c>
      <c r="D40" s="584">
        <v>146.91560000000001</v>
      </c>
      <c r="E40" s="585">
        <f t="shared" si="1"/>
        <v>12.866971914619322</v>
      </c>
      <c r="F40" s="586">
        <v>900.13049999999998</v>
      </c>
      <c r="G40" s="587">
        <v>1383.4780000000001</v>
      </c>
      <c r="H40" s="380"/>
      <c r="I40" s="292"/>
      <c r="J40" s="375"/>
    </row>
    <row r="41" spans="1:10" ht="14.15" customHeight="1" x14ac:dyDescent="0.3">
      <c r="A41" s="377" t="s">
        <v>474</v>
      </c>
      <c r="B41" s="298" t="s">
        <v>1057</v>
      </c>
      <c r="C41" s="579">
        <v>713.5077</v>
      </c>
      <c r="D41" s="584">
        <v>161.7946</v>
      </c>
      <c r="E41" s="585">
        <f t="shared" si="1"/>
        <v>22.675943090733288</v>
      </c>
      <c r="F41" s="586">
        <v>447.35829999999999</v>
      </c>
      <c r="G41" s="587">
        <v>979.65700000000004</v>
      </c>
      <c r="H41" s="380"/>
      <c r="I41" s="292"/>
      <c r="J41" s="375"/>
    </row>
    <row r="42" spans="1:10" x14ac:dyDescent="0.3">
      <c r="A42" s="377" t="s">
        <v>441</v>
      </c>
      <c r="B42" s="298" t="s">
        <v>846</v>
      </c>
      <c r="C42" s="579">
        <v>1137.2149999999999</v>
      </c>
      <c r="D42" s="584">
        <v>238.1216</v>
      </c>
      <c r="E42" s="585">
        <f t="shared" si="1"/>
        <v>20.939013291242205</v>
      </c>
      <c r="F42" s="586">
        <v>745.50940000000003</v>
      </c>
      <c r="G42" s="587">
        <v>1528.921</v>
      </c>
      <c r="H42" s="380"/>
      <c r="I42" s="292"/>
      <c r="J42" s="375"/>
    </row>
    <row r="43" spans="1:10" ht="28" x14ac:dyDescent="0.3">
      <c r="A43" s="377" t="s">
        <v>581</v>
      </c>
      <c r="B43" s="298" t="s">
        <v>1105</v>
      </c>
      <c r="C43" s="579">
        <v>1024.9949999999999</v>
      </c>
      <c r="D43" s="584">
        <v>208.50540000000001</v>
      </c>
      <c r="E43" s="585">
        <f t="shared" si="1"/>
        <v>20.342089473607192</v>
      </c>
      <c r="F43" s="586">
        <v>682.00760000000002</v>
      </c>
      <c r="G43" s="587">
        <v>1367.9829999999999</v>
      </c>
      <c r="H43" s="380"/>
      <c r="I43" s="292"/>
      <c r="J43" s="375"/>
    </row>
    <row r="44" spans="1:10" ht="28" x14ac:dyDescent="0.3">
      <c r="A44" s="377" t="s">
        <v>554</v>
      </c>
      <c r="B44" s="298" t="s">
        <v>817</v>
      </c>
      <c r="C44" s="579">
        <v>717.14400000000001</v>
      </c>
      <c r="D44" s="584">
        <v>188.39779999999999</v>
      </c>
      <c r="E44" s="585">
        <f t="shared" si="1"/>
        <v>26.270567696306458</v>
      </c>
      <c r="F44" s="586">
        <v>407.23289999999997</v>
      </c>
      <c r="G44" s="587">
        <v>1027.0550000000001</v>
      </c>
      <c r="H44" s="380"/>
      <c r="I44" s="292"/>
      <c r="J44" s="375"/>
    </row>
    <row r="45" spans="1:10" ht="15" customHeight="1" x14ac:dyDescent="0.3">
      <c r="A45" s="377" t="s">
        <v>598</v>
      </c>
      <c r="B45" s="298" t="s">
        <v>800</v>
      </c>
      <c r="C45" s="579">
        <v>778.81700000000001</v>
      </c>
      <c r="D45" s="584">
        <v>228.0275</v>
      </c>
      <c r="E45" s="585">
        <f t="shared" si="1"/>
        <v>29.278700901495476</v>
      </c>
      <c r="F45" s="586">
        <v>403.71570000000003</v>
      </c>
      <c r="G45" s="587">
        <v>1153.9179999999999</v>
      </c>
      <c r="H45" s="380"/>
      <c r="I45" s="292"/>
      <c r="J45" s="375"/>
    </row>
    <row r="46" spans="1:10" ht="15" customHeight="1" x14ac:dyDescent="0.3">
      <c r="A46" s="377" t="s">
        <v>396</v>
      </c>
      <c r="B46" s="298" t="s">
        <v>786</v>
      </c>
      <c r="C46" s="579">
        <v>794.67240000000004</v>
      </c>
      <c r="D46" s="584">
        <v>177.0881</v>
      </c>
      <c r="E46" s="585">
        <f t="shared" si="1"/>
        <v>22.284415565458168</v>
      </c>
      <c r="F46" s="586">
        <v>503.3655</v>
      </c>
      <c r="G46" s="587">
        <v>1085.979</v>
      </c>
      <c r="H46" s="380"/>
      <c r="I46" s="292"/>
      <c r="J46" s="375"/>
    </row>
    <row r="47" spans="1:10" ht="27" customHeight="1" x14ac:dyDescent="0.3">
      <c r="A47" s="377" t="s">
        <v>334</v>
      </c>
      <c r="B47" s="298" t="s">
        <v>1056</v>
      </c>
      <c r="C47" s="579">
        <v>2234.721</v>
      </c>
      <c r="D47" s="584">
        <v>955.78129999999999</v>
      </c>
      <c r="E47" s="585">
        <f t="shared" si="1"/>
        <v>42.769603006370815</v>
      </c>
      <c r="F47" s="586">
        <v>662.4769</v>
      </c>
      <c r="G47" s="587">
        <v>3806.9650000000001</v>
      </c>
      <c r="H47" s="380"/>
      <c r="I47" s="292"/>
      <c r="J47" s="375"/>
    </row>
    <row r="48" spans="1:10" ht="27.75" customHeight="1" x14ac:dyDescent="0.3">
      <c r="A48" s="377" t="s">
        <v>1055</v>
      </c>
      <c r="B48" s="298" t="s">
        <v>1104</v>
      </c>
      <c r="C48" s="579">
        <v>3256.953</v>
      </c>
      <c r="D48" s="584">
        <v>1301.0050000000001</v>
      </c>
      <c r="E48" s="585">
        <f t="shared" si="1"/>
        <v>39.945464365006195</v>
      </c>
      <c r="F48" s="586">
        <v>1116.8219999999999</v>
      </c>
      <c r="G48" s="587">
        <v>5397.0839999999998</v>
      </c>
      <c r="H48" s="380"/>
      <c r="I48" s="292"/>
      <c r="J48" s="375"/>
    </row>
    <row r="49" spans="1:10" x14ac:dyDescent="0.3">
      <c r="A49" s="377" t="s">
        <v>385</v>
      </c>
      <c r="B49" s="298" t="s">
        <v>751</v>
      </c>
      <c r="C49" s="579">
        <v>1045.8610000000001</v>
      </c>
      <c r="D49" s="584">
        <v>231.8107</v>
      </c>
      <c r="E49" s="585">
        <f t="shared" si="1"/>
        <v>22.164580187998212</v>
      </c>
      <c r="F49" s="586">
        <v>664.53679999999997</v>
      </c>
      <c r="G49" s="587">
        <v>1427.1859999999999</v>
      </c>
      <c r="H49" s="380"/>
      <c r="I49" s="292"/>
      <c r="J49" s="375"/>
    </row>
    <row r="50" spans="1:10" x14ac:dyDescent="0.3">
      <c r="A50" s="377" t="s">
        <v>487</v>
      </c>
      <c r="B50" s="298" t="s">
        <v>730</v>
      </c>
      <c r="C50" s="579">
        <v>704.48789999999997</v>
      </c>
      <c r="D50" s="584">
        <v>88.361729999999994</v>
      </c>
      <c r="E50" s="585">
        <f t="shared" si="1"/>
        <v>12.54268951957869</v>
      </c>
      <c r="F50" s="586">
        <v>559.13440000000003</v>
      </c>
      <c r="G50" s="587">
        <v>849.8415</v>
      </c>
      <c r="H50" s="380"/>
      <c r="I50" s="292"/>
      <c r="J50" s="375"/>
    </row>
    <row r="51" spans="1:10" ht="28" x14ac:dyDescent="0.3">
      <c r="A51" s="377" t="s">
        <v>1053</v>
      </c>
      <c r="B51" s="298" t="s">
        <v>1109</v>
      </c>
      <c r="C51" s="579">
        <v>1315.4549999999999</v>
      </c>
      <c r="D51" s="584">
        <v>358.14260000000002</v>
      </c>
      <c r="E51" s="585">
        <f t="shared" si="1"/>
        <v>27.225758387782179</v>
      </c>
      <c r="F51" s="586">
        <v>726.31669999999997</v>
      </c>
      <c r="G51" s="587">
        <v>1904.5930000000001</v>
      </c>
      <c r="H51" s="380"/>
      <c r="I51" s="292"/>
      <c r="J51" s="375"/>
    </row>
    <row r="52" spans="1:10" x14ac:dyDescent="0.3">
      <c r="A52" s="277"/>
      <c r="B52" s="298"/>
      <c r="C52" s="579"/>
      <c r="D52" s="575"/>
      <c r="E52" s="582"/>
      <c r="F52" s="575"/>
      <c r="G52" s="581"/>
      <c r="I52" s="292"/>
      <c r="J52" s="375"/>
    </row>
    <row r="53" spans="1:10" s="279" customFormat="1" ht="28" x14ac:dyDescent="0.3">
      <c r="A53" s="445" t="s">
        <v>391</v>
      </c>
      <c r="B53" s="354" t="s">
        <v>1151</v>
      </c>
      <c r="C53" s="575">
        <v>4030.5720000000001</v>
      </c>
      <c r="D53" s="575">
        <v>1251.422</v>
      </c>
      <c r="E53" s="582">
        <v>31.04824823871153</v>
      </c>
      <c r="F53" s="575">
        <v>1972.0039999999999</v>
      </c>
      <c r="G53" s="583">
        <v>6089.14</v>
      </c>
      <c r="H53" s="380"/>
    </row>
    <row r="54" spans="1:10" s="279" customFormat="1" x14ac:dyDescent="0.3">
      <c r="A54" s="459"/>
      <c r="B54" s="354"/>
      <c r="C54" s="579"/>
      <c r="D54" s="575"/>
      <c r="E54" s="582"/>
      <c r="F54" s="575"/>
      <c r="G54" s="583"/>
    </row>
    <row r="55" spans="1:10" s="279" customFormat="1" ht="27" customHeight="1" x14ac:dyDescent="0.3">
      <c r="A55" s="445" t="s">
        <v>1049</v>
      </c>
      <c r="B55" s="354" t="s">
        <v>1150</v>
      </c>
      <c r="C55" s="575">
        <v>1745.5730000000001</v>
      </c>
      <c r="D55" s="576">
        <v>91.758170000000007</v>
      </c>
      <c r="E55" s="577">
        <f>IF(C55&lt;&gt;"",D55/C55*100,"")</f>
        <v>5.2566217511384519</v>
      </c>
      <c r="F55" s="576">
        <v>1594.633</v>
      </c>
      <c r="G55" s="578">
        <v>1896.5139999999999</v>
      </c>
      <c r="H55" s="380"/>
    </row>
    <row r="56" spans="1:10" x14ac:dyDescent="0.3">
      <c r="A56" s="377" t="s">
        <v>402</v>
      </c>
      <c r="B56" s="298" t="s">
        <v>677</v>
      </c>
      <c r="C56" s="579">
        <v>1327.3309999999999</v>
      </c>
      <c r="D56" s="579">
        <v>92.938959999999994</v>
      </c>
      <c r="E56" s="580">
        <v>7.0019429968862328</v>
      </c>
      <c r="F56" s="579">
        <v>1174.4480000000001</v>
      </c>
      <c r="G56" s="581">
        <v>1480.2139999999999</v>
      </c>
      <c r="H56" s="380"/>
    </row>
    <row r="57" spans="1:10" ht="58.5" customHeight="1" x14ac:dyDescent="0.3">
      <c r="A57" s="377" t="s">
        <v>1110</v>
      </c>
      <c r="B57" s="298" t="s">
        <v>1143</v>
      </c>
      <c r="C57" s="579">
        <v>4061.337</v>
      </c>
      <c r="D57" s="579">
        <v>235.85759999999999</v>
      </c>
      <c r="E57" s="580">
        <v>5.8073880596463674</v>
      </c>
      <c r="F57" s="579">
        <v>3673.355</v>
      </c>
      <c r="G57" s="581">
        <v>4449.3190000000004</v>
      </c>
      <c r="H57" s="380"/>
    </row>
    <row r="58" spans="1:10" ht="5.25" customHeight="1" x14ac:dyDescent="0.3">
      <c r="A58" s="448"/>
      <c r="B58" s="367"/>
      <c r="C58" s="568"/>
      <c r="D58" s="569"/>
      <c r="E58" s="569"/>
      <c r="F58" s="569"/>
      <c r="G58" s="590"/>
    </row>
    <row r="59" spans="1:10" s="279" customFormat="1" ht="15" customHeight="1" x14ac:dyDescent="0.3">
      <c r="A59" s="570"/>
      <c r="B59" s="570"/>
      <c r="C59" s="570"/>
      <c r="D59" s="468"/>
      <c r="E59" s="468"/>
      <c r="F59" s="468"/>
      <c r="G59" s="468"/>
      <c r="H59" s="271"/>
    </row>
    <row r="60" spans="1:10" ht="27" customHeight="1" x14ac:dyDescent="0.3">
      <c r="A60" s="452" t="s">
        <v>1387</v>
      </c>
      <c r="B60" s="452"/>
      <c r="C60" s="452"/>
      <c r="D60" s="452"/>
      <c r="E60" s="452"/>
      <c r="F60" s="452"/>
      <c r="G60" s="452"/>
    </row>
    <row r="61" spans="1:10" ht="12.75" customHeight="1" x14ac:dyDescent="0.3">
      <c r="A61" s="453" t="s">
        <v>1337</v>
      </c>
      <c r="B61" s="453"/>
      <c r="C61" s="453"/>
      <c r="D61" s="453"/>
      <c r="E61" s="453"/>
      <c r="F61" s="453"/>
      <c r="G61" s="453"/>
    </row>
    <row r="62" spans="1:10" ht="12.75" customHeight="1" x14ac:dyDescent="0.3">
      <c r="A62" s="539"/>
      <c r="B62" s="539"/>
      <c r="C62" s="539"/>
      <c r="D62" s="567"/>
      <c r="E62" s="567"/>
      <c r="F62" s="567"/>
      <c r="G62" s="567"/>
    </row>
    <row r="63" spans="1:10" s="372" customFormat="1" ht="15" customHeight="1" x14ac:dyDescent="0.3">
      <c r="A63" s="432" t="s">
        <v>1038</v>
      </c>
      <c r="B63" s="434" t="s">
        <v>1037</v>
      </c>
      <c r="C63" s="433" t="s">
        <v>91</v>
      </c>
      <c r="D63" s="433" t="s">
        <v>90</v>
      </c>
      <c r="E63" s="433" t="s">
        <v>89</v>
      </c>
      <c r="F63" s="433" t="s">
        <v>1186</v>
      </c>
      <c r="G63" s="433"/>
      <c r="H63" s="271"/>
    </row>
    <row r="64" spans="1:10" ht="50.15" customHeight="1" x14ac:dyDescent="0.3">
      <c r="A64" s="432"/>
      <c r="B64" s="434"/>
      <c r="C64" s="433"/>
      <c r="D64" s="433"/>
      <c r="E64" s="433"/>
      <c r="F64" s="273" t="s">
        <v>88</v>
      </c>
      <c r="G64" s="273" t="s">
        <v>87</v>
      </c>
    </row>
    <row r="65" spans="1:8" x14ac:dyDescent="0.3">
      <c r="A65" s="274"/>
      <c r="B65" s="275"/>
      <c r="C65" s="276"/>
      <c r="D65" s="276"/>
      <c r="E65" s="591"/>
      <c r="F65" s="276"/>
      <c r="G65" s="365"/>
    </row>
    <row r="66" spans="1:8" s="279" customFormat="1" x14ac:dyDescent="0.3">
      <c r="A66" s="445" t="s">
        <v>654</v>
      </c>
      <c r="B66" s="354" t="s">
        <v>1045</v>
      </c>
      <c r="C66" s="592">
        <v>1100.175</v>
      </c>
      <c r="D66" s="575">
        <v>102.65470000000001</v>
      </c>
      <c r="E66" s="582">
        <v>9.3307610152930227</v>
      </c>
      <c r="F66" s="575">
        <v>931.31029999999998</v>
      </c>
      <c r="G66" s="578">
        <v>1269.0409999999999</v>
      </c>
      <c r="H66" s="380"/>
    </row>
    <row r="67" spans="1:8" s="279" customFormat="1" x14ac:dyDescent="0.3">
      <c r="A67" s="445"/>
      <c r="B67" s="358"/>
      <c r="C67" s="593"/>
      <c r="D67" s="575"/>
      <c r="E67" s="582"/>
      <c r="F67" s="575"/>
      <c r="G67" s="581"/>
    </row>
    <row r="68" spans="1:8" s="279" customFormat="1" ht="28.5" customHeight="1" x14ac:dyDescent="0.3">
      <c r="A68" s="445" t="s">
        <v>1042</v>
      </c>
      <c r="B68" s="335" t="s">
        <v>1142</v>
      </c>
      <c r="C68" s="575">
        <v>448.71289999999999</v>
      </c>
      <c r="D68" s="576">
        <v>23.626519999999999</v>
      </c>
      <c r="E68" s="577">
        <f>IF(C68&lt;&gt;"",D68/C68*100,"")</f>
        <v>5.2653979861064837</v>
      </c>
      <c r="F68" s="576">
        <v>409.8476</v>
      </c>
      <c r="G68" s="578">
        <v>487.57810000000001</v>
      </c>
      <c r="H68" s="380"/>
    </row>
    <row r="69" spans="1:8" ht="42" x14ac:dyDescent="0.3">
      <c r="A69" s="377" t="s">
        <v>592</v>
      </c>
      <c r="B69" s="298" t="s">
        <v>1141</v>
      </c>
      <c r="C69" s="593">
        <v>292.57049999999998</v>
      </c>
      <c r="D69" s="579">
        <v>29.161519999999999</v>
      </c>
      <c r="E69" s="580">
        <v>9.9673480408995445</v>
      </c>
      <c r="F69" s="579">
        <v>244.6003</v>
      </c>
      <c r="G69" s="581">
        <v>340.54070000000002</v>
      </c>
      <c r="H69" s="380"/>
    </row>
    <row r="70" spans="1:8" ht="28" x14ac:dyDescent="0.3">
      <c r="A70" s="377" t="s">
        <v>428</v>
      </c>
      <c r="B70" s="298" t="s">
        <v>1102</v>
      </c>
      <c r="C70" s="593">
        <v>910.51700000000005</v>
      </c>
      <c r="D70" s="579">
        <v>80.977379999999997</v>
      </c>
      <c r="E70" s="580">
        <v>8.8935604716880619</v>
      </c>
      <c r="F70" s="579">
        <v>777.31060000000002</v>
      </c>
      <c r="G70" s="581">
        <v>1043.723</v>
      </c>
      <c r="H70" s="380"/>
    </row>
    <row r="71" spans="1:8" ht="27" customHeight="1" x14ac:dyDescent="0.3">
      <c r="A71" s="377" t="s">
        <v>311</v>
      </c>
      <c r="B71" s="298" t="s">
        <v>1140</v>
      </c>
      <c r="C71" s="593">
        <v>293.33030000000002</v>
      </c>
      <c r="D71" s="579">
        <v>17.880590000000002</v>
      </c>
      <c r="E71" s="580">
        <v>6.0957187170912794</v>
      </c>
      <c r="F71" s="579">
        <v>263.91699999999997</v>
      </c>
      <c r="G71" s="581">
        <v>322.74360000000001</v>
      </c>
      <c r="H71" s="380"/>
    </row>
    <row r="72" spans="1:8" x14ac:dyDescent="0.3">
      <c r="A72" s="525"/>
      <c r="B72" s="358"/>
      <c r="C72" s="592"/>
      <c r="D72" s="579"/>
      <c r="E72" s="580"/>
      <c r="F72" s="579"/>
      <c r="G72" s="583"/>
    </row>
    <row r="73" spans="1:8" s="279" customFormat="1" x14ac:dyDescent="0.3">
      <c r="A73" s="445" t="s">
        <v>1039</v>
      </c>
      <c r="B73" s="354" t="s">
        <v>1040</v>
      </c>
      <c r="C73" s="575">
        <v>2314.614</v>
      </c>
      <c r="D73" s="576">
        <v>614.77200000000005</v>
      </c>
      <c r="E73" s="577">
        <f>IF(C73&lt;&gt;"",D73/C73*100,"")</f>
        <v>26.560454572555081</v>
      </c>
      <c r="F73" s="576">
        <v>1303.3240000000001</v>
      </c>
      <c r="G73" s="578">
        <v>3325.9029999999998</v>
      </c>
      <c r="H73" s="380"/>
    </row>
    <row r="74" spans="1:8" ht="27.75" customHeight="1" x14ac:dyDescent="0.3">
      <c r="A74" s="377" t="s">
        <v>536</v>
      </c>
      <c r="B74" s="295" t="s">
        <v>1139</v>
      </c>
      <c r="C74" s="593">
        <v>1036.2460000000001</v>
      </c>
      <c r="D74" s="579">
        <v>338.99610000000001</v>
      </c>
      <c r="E74" s="580">
        <v>32.713863310449447</v>
      </c>
      <c r="F74" s="579">
        <v>478.60309999999998</v>
      </c>
      <c r="G74" s="581">
        <v>1593.8889999999999</v>
      </c>
      <c r="H74" s="380"/>
    </row>
    <row r="75" spans="1:8" x14ac:dyDescent="0.3">
      <c r="A75" s="377" t="s">
        <v>496</v>
      </c>
      <c r="B75" s="298" t="s">
        <v>525</v>
      </c>
      <c r="C75" s="593">
        <v>592.77300000000002</v>
      </c>
      <c r="D75" s="579">
        <v>186.0909</v>
      </c>
      <c r="E75" s="580">
        <v>31.393282082685953</v>
      </c>
      <c r="F75" s="579">
        <v>286.6567</v>
      </c>
      <c r="G75" s="581">
        <v>898.88940000000002</v>
      </c>
      <c r="H75" s="380"/>
    </row>
    <row r="76" spans="1:8" x14ac:dyDescent="0.3">
      <c r="A76" s="377" t="s">
        <v>471</v>
      </c>
      <c r="B76" s="298" t="s">
        <v>493</v>
      </c>
      <c r="C76" s="593">
        <v>638.91089999999997</v>
      </c>
      <c r="D76" s="579">
        <v>139.97110000000001</v>
      </c>
      <c r="E76" s="580">
        <v>21.907765229862257</v>
      </c>
      <c r="F76" s="579">
        <v>408.66090000000003</v>
      </c>
      <c r="G76" s="581">
        <v>869.16099999999994</v>
      </c>
      <c r="H76" s="380"/>
    </row>
    <row r="77" spans="1:8" x14ac:dyDescent="0.3">
      <c r="A77" s="377" t="s">
        <v>438</v>
      </c>
      <c r="B77" s="298" t="s">
        <v>469</v>
      </c>
      <c r="C77" s="593">
        <v>4407.0320000000002</v>
      </c>
      <c r="D77" s="579">
        <v>246.60990000000001</v>
      </c>
      <c r="E77" s="580">
        <v>5.5958273050887763</v>
      </c>
      <c r="F77" s="579">
        <v>4001.3629999999998</v>
      </c>
      <c r="G77" s="581">
        <v>4812.701</v>
      </c>
      <c r="H77" s="380"/>
    </row>
    <row r="78" spans="1:8" ht="27" customHeight="1" x14ac:dyDescent="0.3">
      <c r="A78" s="377" t="s">
        <v>423</v>
      </c>
      <c r="B78" s="298" t="s">
        <v>1138</v>
      </c>
      <c r="C78" s="593">
        <v>2573.614</v>
      </c>
      <c r="D78" s="579">
        <v>885.4941</v>
      </c>
      <c r="E78" s="580">
        <v>34.406639845757752</v>
      </c>
      <c r="F78" s="579">
        <v>1116.991</v>
      </c>
      <c r="G78" s="581">
        <v>4030.2370000000001</v>
      </c>
      <c r="H78" s="380"/>
    </row>
    <row r="79" spans="1:8" x14ac:dyDescent="0.3">
      <c r="A79" s="377" t="s">
        <v>325</v>
      </c>
      <c r="B79" s="298" t="s">
        <v>1115</v>
      </c>
      <c r="C79" s="593">
        <v>688.90279999999996</v>
      </c>
      <c r="D79" s="579">
        <v>423.51749999999998</v>
      </c>
      <c r="E79" s="580">
        <v>61.4771053332923</v>
      </c>
      <c r="F79" s="579">
        <v>-7.7761630000000004</v>
      </c>
      <c r="G79" s="581">
        <v>1385.5820000000001</v>
      </c>
      <c r="H79" s="380"/>
    </row>
    <row r="80" spans="1:8" x14ac:dyDescent="0.3">
      <c r="A80" s="277"/>
      <c r="B80" s="360"/>
      <c r="C80" s="593"/>
      <c r="D80" s="579"/>
      <c r="E80" s="580"/>
      <c r="F80" s="579"/>
      <c r="G80" s="581"/>
    </row>
    <row r="81" spans="1:16377" s="279" customFormat="1" ht="25.5" customHeight="1" x14ac:dyDescent="0.3">
      <c r="A81" s="445" t="s">
        <v>400</v>
      </c>
      <c r="B81" s="354" t="s">
        <v>1137</v>
      </c>
      <c r="C81" s="592">
        <v>392.98270000000002</v>
      </c>
      <c r="D81" s="575">
        <v>27.41817</v>
      </c>
      <c r="E81" s="582">
        <v>6.9769407152019669</v>
      </c>
      <c r="F81" s="575">
        <v>347.88029999999998</v>
      </c>
      <c r="G81" s="583">
        <v>438.08519999999999</v>
      </c>
      <c r="H81" s="380"/>
    </row>
    <row r="82" spans="1:16377" s="279" customFormat="1" ht="10.5" customHeight="1" x14ac:dyDescent="0.3">
      <c r="A82" s="445"/>
      <c r="B82" s="354"/>
      <c r="C82" s="592"/>
      <c r="D82" s="575"/>
      <c r="E82" s="582"/>
      <c r="F82" s="575"/>
      <c r="G82" s="583"/>
    </row>
    <row r="83" spans="1:16377" s="279" customFormat="1" ht="13.5" customHeight="1" x14ac:dyDescent="0.3">
      <c r="A83" s="445" t="s">
        <v>1033</v>
      </c>
      <c r="B83" s="354" t="s">
        <v>1034</v>
      </c>
      <c r="C83" s="575">
        <v>2997.85</v>
      </c>
      <c r="D83" s="576">
        <v>501.20830000000001</v>
      </c>
      <c r="E83" s="577">
        <f>IF(C83&lt;&gt;"",D83/C83*100,"")</f>
        <v>16.718925229747985</v>
      </c>
      <c r="F83" s="576">
        <v>2173.3710000000001</v>
      </c>
      <c r="G83" s="578">
        <v>3822.3290000000002</v>
      </c>
      <c r="H83" s="380"/>
    </row>
    <row r="84" spans="1:16377" x14ac:dyDescent="0.3">
      <c r="A84" s="377" t="s">
        <v>301</v>
      </c>
      <c r="B84" s="298" t="s">
        <v>370</v>
      </c>
      <c r="C84" s="593">
        <v>1927.8889999999999</v>
      </c>
      <c r="D84" s="579">
        <v>690.16390000000001</v>
      </c>
      <c r="E84" s="580">
        <v>35.798943818860948</v>
      </c>
      <c r="F84" s="579">
        <v>792.58100000000002</v>
      </c>
      <c r="G84" s="581">
        <v>3063.1959999999999</v>
      </c>
      <c r="H84" s="380"/>
    </row>
    <row r="85" spans="1:16377" ht="64.5" customHeight="1" x14ac:dyDescent="0.3">
      <c r="A85" s="377" t="s">
        <v>1032</v>
      </c>
      <c r="B85" s="298" t="s">
        <v>1136</v>
      </c>
      <c r="C85" s="593">
        <v>1704.9349999999999</v>
      </c>
      <c r="D85" s="579">
        <v>481.7002</v>
      </c>
      <c r="E85" s="580">
        <v>28.253288248525603</v>
      </c>
      <c r="F85" s="579">
        <v>912.54669999999999</v>
      </c>
      <c r="G85" s="581">
        <v>2497.3240000000001</v>
      </c>
      <c r="H85" s="380"/>
    </row>
    <row r="86" spans="1:16377" ht="16.5" x14ac:dyDescent="0.3">
      <c r="A86" s="377" t="s">
        <v>1358</v>
      </c>
      <c r="B86" s="298" t="s">
        <v>342</v>
      </c>
      <c r="C86" s="593">
        <v>511.9409</v>
      </c>
      <c r="D86" s="579">
        <v>350.56779999999998</v>
      </c>
      <c r="E86" s="580">
        <v>68.478177852170035</v>
      </c>
      <c r="F86" s="579">
        <v>-64.73715</v>
      </c>
      <c r="G86" s="581">
        <v>1088.6189999999999</v>
      </c>
      <c r="H86" s="380"/>
    </row>
    <row r="87" spans="1:16377" x14ac:dyDescent="0.3">
      <c r="A87" s="377" t="s">
        <v>295</v>
      </c>
      <c r="B87" s="298" t="s">
        <v>323</v>
      </c>
      <c r="C87" s="593">
        <v>2601.3270000000002</v>
      </c>
      <c r="D87" s="579">
        <v>761.8777</v>
      </c>
      <c r="E87" s="580">
        <v>29.288040296356431</v>
      </c>
      <c r="F87" s="579">
        <v>1348.0509999999999</v>
      </c>
      <c r="G87" s="581">
        <v>3854.6019999999999</v>
      </c>
      <c r="H87" s="380"/>
    </row>
    <row r="88" spans="1:16377" ht="42" x14ac:dyDescent="0.3">
      <c r="A88" s="377" t="s">
        <v>279</v>
      </c>
      <c r="B88" s="298" t="s">
        <v>1100</v>
      </c>
      <c r="C88" s="593">
        <v>3771.9360000000001</v>
      </c>
      <c r="D88" s="579">
        <v>711.15890000000002</v>
      </c>
      <c r="E88" s="580">
        <v>18.853949271673752</v>
      </c>
      <c r="F88" s="579">
        <v>2602.0909999999999</v>
      </c>
      <c r="G88" s="581">
        <v>4941.78</v>
      </c>
      <c r="H88" s="380"/>
    </row>
    <row r="89" spans="1:16377" x14ac:dyDescent="0.3">
      <c r="A89" s="377" t="s">
        <v>252</v>
      </c>
      <c r="B89" s="298" t="s">
        <v>277</v>
      </c>
      <c r="C89" s="593">
        <v>1116.904</v>
      </c>
      <c r="D89" s="579">
        <v>423.14400000000001</v>
      </c>
      <c r="E89" s="580">
        <v>37.885440467578235</v>
      </c>
      <c r="F89" s="579">
        <v>420.83980000000003</v>
      </c>
      <c r="G89" s="587">
        <v>1812.9690000000001</v>
      </c>
      <c r="H89" s="380"/>
    </row>
    <row r="90" spans="1:16377" ht="5.25" customHeight="1" x14ac:dyDescent="0.3">
      <c r="A90" s="448"/>
      <c r="B90" s="367"/>
      <c r="C90" s="568"/>
      <c r="D90" s="569"/>
      <c r="E90" s="569"/>
      <c r="F90" s="569"/>
      <c r="G90" s="590"/>
    </row>
    <row r="91" spans="1:16377" s="287" customFormat="1" ht="20.149999999999999" customHeight="1" x14ac:dyDescent="0.3">
      <c r="A91" s="305" t="s">
        <v>1117</v>
      </c>
      <c r="B91" s="293"/>
      <c r="C91" s="294"/>
      <c r="H91" s="293"/>
      <c r="I91" s="294"/>
      <c r="O91" s="292"/>
      <c r="P91" s="293"/>
      <c r="Q91" s="294"/>
      <c r="W91" s="292"/>
      <c r="X91" s="293"/>
      <c r="Y91" s="294"/>
      <c r="AE91" s="292"/>
      <c r="AF91" s="293"/>
      <c r="AG91" s="294"/>
      <c r="AM91" s="292"/>
      <c r="AN91" s="293"/>
      <c r="AO91" s="294"/>
      <c r="AU91" s="292"/>
      <c r="AV91" s="293"/>
      <c r="AW91" s="294"/>
      <c r="BC91" s="292"/>
      <c r="BD91" s="293"/>
      <c r="BE91" s="294"/>
      <c r="BK91" s="292"/>
      <c r="BL91" s="293"/>
      <c r="BM91" s="294"/>
      <c r="BS91" s="292"/>
      <c r="BT91" s="293"/>
      <c r="BU91" s="294"/>
      <c r="CA91" s="292"/>
      <c r="CB91" s="293"/>
      <c r="CC91" s="294"/>
      <c r="CI91" s="292"/>
      <c r="CJ91" s="293"/>
      <c r="CK91" s="294"/>
      <c r="CQ91" s="292"/>
      <c r="CR91" s="293"/>
      <c r="CS91" s="294"/>
      <c r="CY91" s="292"/>
      <c r="CZ91" s="293"/>
      <c r="DA91" s="294"/>
      <c r="DG91" s="292"/>
      <c r="DH91" s="293"/>
      <c r="DI91" s="294"/>
      <c r="DO91" s="292"/>
      <c r="DP91" s="293"/>
      <c r="DQ91" s="294"/>
      <c r="DW91" s="292"/>
      <c r="DX91" s="293"/>
      <c r="DY91" s="294"/>
      <c r="EE91" s="292"/>
      <c r="EF91" s="293"/>
      <c r="EG91" s="294"/>
      <c r="EM91" s="292"/>
      <c r="EN91" s="293"/>
      <c r="EO91" s="294"/>
      <c r="EU91" s="292"/>
      <c r="EV91" s="293"/>
      <c r="EW91" s="294"/>
      <c r="FC91" s="292"/>
      <c r="FD91" s="293"/>
      <c r="FE91" s="294"/>
      <c r="FK91" s="292"/>
      <c r="FL91" s="293"/>
      <c r="FM91" s="294"/>
      <c r="FS91" s="292"/>
      <c r="FT91" s="293"/>
      <c r="FU91" s="294"/>
      <c r="GA91" s="292"/>
      <c r="GB91" s="293"/>
      <c r="GC91" s="294"/>
      <c r="GI91" s="292"/>
      <c r="GJ91" s="293"/>
      <c r="GK91" s="294"/>
      <c r="GQ91" s="292"/>
      <c r="GR91" s="293"/>
      <c r="GS91" s="294"/>
      <c r="GY91" s="292"/>
      <c r="GZ91" s="293"/>
      <c r="HA91" s="294"/>
      <c r="HG91" s="292"/>
      <c r="HH91" s="293"/>
      <c r="HI91" s="294"/>
      <c r="HO91" s="292"/>
      <c r="HP91" s="293"/>
      <c r="HQ91" s="294"/>
      <c r="HW91" s="292"/>
      <c r="HX91" s="293"/>
      <c r="HY91" s="294"/>
      <c r="IE91" s="292"/>
      <c r="IF91" s="293"/>
      <c r="IG91" s="294"/>
      <c r="IM91" s="292"/>
      <c r="IN91" s="293"/>
      <c r="IO91" s="294"/>
      <c r="IU91" s="292"/>
      <c r="IV91" s="293"/>
      <c r="IW91" s="294"/>
      <c r="JC91" s="292"/>
      <c r="JD91" s="293"/>
      <c r="JE91" s="294"/>
      <c r="JK91" s="292"/>
      <c r="JL91" s="293"/>
      <c r="JM91" s="294"/>
      <c r="JS91" s="292"/>
      <c r="JT91" s="293"/>
      <c r="JU91" s="294"/>
      <c r="KA91" s="292"/>
      <c r="KB91" s="293"/>
      <c r="KC91" s="294"/>
      <c r="KI91" s="292"/>
      <c r="KJ91" s="293"/>
      <c r="KK91" s="294"/>
      <c r="KQ91" s="292"/>
      <c r="KR91" s="293"/>
      <c r="KS91" s="294"/>
      <c r="KY91" s="292"/>
      <c r="KZ91" s="293"/>
      <c r="LA91" s="294"/>
      <c r="LG91" s="292"/>
      <c r="LH91" s="293"/>
      <c r="LI91" s="294"/>
      <c r="LO91" s="292"/>
      <c r="LP91" s="293"/>
      <c r="LQ91" s="294"/>
      <c r="LW91" s="292"/>
      <c r="LX91" s="293"/>
      <c r="LY91" s="294"/>
      <c r="ME91" s="292"/>
      <c r="MF91" s="293"/>
      <c r="MG91" s="294"/>
      <c r="MM91" s="292"/>
      <c r="MN91" s="293"/>
      <c r="MO91" s="294"/>
      <c r="MU91" s="292"/>
      <c r="MV91" s="293"/>
      <c r="MW91" s="294"/>
      <c r="NC91" s="292"/>
      <c r="ND91" s="293"/>
      <c r="NE91" s="294"/>
      <c r="NK91" s="292"/>
      <c r="NL91" s="293"/>
      <c r="NM91" s="294"/>
      <c r="NS91" s="292"/>
      <c r="NT91" s="293"/>
      <c r="NU91" s="294"/>
      <c r="OA91" s="292"/>
      <c r="OB91" s="293"/>
      <c r="OC91" s="294"/>
      <c r="OI91" s="292"/>
      <c r="OJ91" s="293"/>
      <c r="OK91" s="294"/>
      <c r="OQ91" s="292"/>
      <c r="OR91" s="293"/>
      <c r="OS91" s="294"/>
      <c r="OY91" s="292"/>
      <c r="OZ91" s="293"/>
      <c r="PA91" s="294"/>
      <c r="PG91" s="292"/>
      <c r="PH91" s="293"/>
      <c r="PI91" s="294"/>
      <c r="PO91" s="292"/>
      <c r="PP91" s="293"/>
      <c r="PQ91" s="294"/>
      <c r="PW91" s="292"/>
      <c r="PX91" s="293"/>
      <c r="PY91" s="294"/>
      <c r="QE91" s="292"/>
      <c r="QF91" s="293"/>
      <c r="QG91" s="294"/>
      <c r="QM91" s="292"/>
      <c r="QN91" s="293"/>
      <c r="QO91" s="294"/>
      <c r="QU91" s="292"/>
      <c r="QV91" s="293"/>
      <c r="QW91" s="294"/>
      <c r="RC91" s="292"/>
      <c r="RD91" s="293"/>
      <c r="RE91" s="294"/>
      <c r="RK91" s="292"/>
      <c r="RL91" s="293"/>
      <c r="RM91" s="294"/>
      <c r="RS91" s="292"/>
      <c r="RT91" s="293"/>
      <c r="RU91" s="294"/>
      <c r="SA91" s="292"/>
      <c r="SB91" s="293"/>
      <c r="SC91" s="294"/>
      <c r="SI91" s="292"/>
      <c r="SJ91" s="293"/>
      <c r="SK91" s="294"/>
      <c r="SQ91" s="292"/>
      <c r="SR91" s="293"/>
      <c r="SS91" s="294"/>
      <c r="SY91" s="292"/>
      <c r="SZ91" s="293"/>
      <c r="TA91" s="294"/>
      <c r="TG91" s="292"/>
      <c r="TH91" s="293"/>
      <c r="TI91" s="294"/>
      <c r="TO91" s="292"/>
      <c r="TP91" s="293"/>
      <c r="TQ91" s="294"/>
      <c r="TW91" s="292"/>
      <c r="TX91" s="293"/>
      <c r="TY91" s="294"/>
      <c r="UE91" s="292"/>
      <c r="UF91" s="293"/>
      <c r="UG91" s="294"/>
      <c r="UM91" s="292"/>
      <c r="UN91" s="293"/>
      <c r="UO91" s="294"/>
      <c r="UU91" s="292"/>
      <c r="UV91" s="293"/>
      <c r="UW91" s="294"/>
      <c r="VC91" s="292"/>
      <c r="VD91" s="293"/>
      <c r="VE91" s="294"/>
      <c r="VK91" s="292"/>
      <c r="VL91" s="293"/>
      <c r="VM91" s="294"/>
      <c r="VS91" s="292"/>
      <c r="VT91" s="293"/>
      <c r="VU91" s="294"/>
      <c r="WA91" s="292"/>
      <c r="WB91" s="293"/>
      <c r="WC91" s="294"/>
      <c r="WI91" s="292"/>
      <c r="WJ91" s="293"/>
      <c r="WK91" s="294"/>
      <c r="WQ91" s="292"/>
      <c r="WR91" s="293"/>
      <c r="WS91" s="294"/>
      <c r="WY91" s="292"/>
      <c r="WZ91" s="293"/>
      <c r="XA91" s="294"/>
      <c r="XG91" s="292"/>
      <c r="XH91" s="293"/>
      <c r="XI91" s="294"/>
      <c r="XO91" s="292"/>
      <c r="XP91" s="293"/>
      <c r="XQ91" s="294"/>
      <c r="XW91" s="292"/>
      <c r="XX91" s="293"/>
      <c r="XY91" s="294"/>
      <c r="YE91" s="292"/>
      <c r="YF91" s="293"/>
      <c r="YG91" s="294"/>
      <c r="YM91" s="292"/>
      <c r="YN91" s="293"/>
      <c r="YO91" s="294"/>
      <c r="YU91" s="292"/>
      <c r="YV91" s="293"/>
      <c r="YW91" s="294"/>
      <c r="ZC91" s="292"/>
      <c r="ZD91" s="293"/>
      <c r="ZE91" s="294"/>
      <c r="ZK91" s="292"/>
      <c r="ZL91" s="293"/>
      <c r="ZM91" s="294"/>
      <c r="ZS91" s="292"/>
      <c r="ZT91" s="293"/>
      <c r="ZU91" s="294"/>
      <c r="AAA91" s="292"/>
      <c r="AAB91" s="293"/>
      <c r="AAC91" s="294"/>
      <c r="AAI91" s="292"/>
      <c r="AAJ91" s="293"/>
      <c r="AAK91" s="294"/>
      <c r="AAQ91" s="292"/>
      <c r="AAR91" s="293"/>
      <c r="AAS91" s="294"/>
      <c r="AAY91" s="292"/>
      <c r="AAZ91" s="293"/>
      <c r="ABA91" s="294"/>
      <c r="ABG91" s="292"/>
      <c r="ABH91" s="293"/>
      <c r="ABI91" s="294"/>
      <c r="ABO91" s="292"/>
      <c r="ABP91" s="293"/>
      <c r="ABQ91" s="294"/>
      <c r="ABW91" s="292"/>
      <c r="ABX91" s="293"/>
      <c r="ABY91" s="294"/>
      <c r="ACE91" s="292"/>
      <c r="ACF91" s="293"/>
      <c r="ACG91" s="294"/>
      <c r="ACM91" s="292"/>
      <c r="ACN91" s="293"/>
      <c r="ACO91" s="294"/>
      <c r="ACU91" s="292"/>
      <c r="ACV91" s="293"/>
      <c r="ACW91" s="294"/>
      <c r="ADC91" s="292"/>
      <c r="ADD91" s="293"/>
      <c r="ADE91" s="294"/>
      <c r="ADK91" s="292"/>
      <c r="ADL91" s="293"/>
      <c r="ADM91" s="294"/>
      <c r="ADS91" s="292"/>
      <c r="ADT91" s="293"/>
      <c r="ADU91" s="294"/>
      <c r="AEA91" s="292"/>
      <c r="AEB91" s="293"/>
      <c r="AEC91" s="294"/>
      <c r="AEI91" s="292"/>
      <c r="AEJ91" s="293"/>
      <c r="AEK91" s="294"/>
      <c r="AEQ91" s="292"/>
      <c r="AER91" s="293"/>
      <c r="AES91" s="294"/>
      <c r="AEY91" s="292"/>
      <c r="AEZ91" s="293"/>
      <c r="AFA91" s="294"/>
      <c r="AFG91" s="292"/>
      <c r="AFH91" s="293"/>
      <c r="AFI91" s="294"/>
      <c r="AFO91" s="292"/>
      <c r="AFP91" s="293"/>
      <c r="AFQ91" s="294"/>
      <c r="AFW91" s="292"/>
      <c r="AFX91" s="293"/>
      <c r="AFY91" s="294"/>
      <c r="AGE91" s="292"/>
      <c r="AGF91" s="293"/>
      <c r="AGG91" s="294"/>
      <c r="AGM91" s="292"/>
      <c r="AGN91" s="293"/>
      <c r="AGO91" s="294"/>
      <c r="AGU91" s="292"/>
      <c r="AGV91" s="293"/>
      <c r="AGW91" s="294"/>
      <c r="AHC91" s="292"/>
      <c r="AHD91" s="293"/>
      <c r="AHE91" s="294"/>
      <c r="AHK91" s="292"/>
      <c r="AHL91" s="293"/>
      <c r="AHM91" s="294"/>
      <c r="AHS91" s="292"/>
      <c r="AHT91" s="293"/>
      <c r="AHU91" s="294"/>
      <c r="AIA91" s="292"/>
      <c r="AIB91" s="293"/>
      <c r="AIC91" s="294"/>
      <c r="AII91" s="292"/>
      <c r="AIJ91" s="293"/>
      <c r="AIK91" s="294"/>
      <c r="AIQ91" s="292"/>
      <c r="AIR91" s="293"/>
      <c r="AIS91" s="294"/>
      <c r="AIY91" s="292"/>
      <c r="AIZ91" s="293"/>
      <c r="AJA91" s="294"/>
      <c r="AJG91" s="292"/>
      <c r="AJH91" s="293"/>
      <c r="AJI91" s="294"/>
      <c r="AJO91" s="292"/>
      <c r="AJP91" s="293"/>
      <c r="AJQ91" s="294"/>
      <c r="AJW91" s="292"/>
      <c r="AJX91" s="293"/>
      <c r="AJY91" s="294"/>
      <c r="AKE91" s="292"/>
      <c r="AKF91" s="293"/>
      <c r="AKG91" s="294"/>
      <c r="AKM91" s="292"/>
      <c r="AKN91" s="293"/>
      <c r="AKO91" s="294"/>
      <c r="AKU91" s="292"/>
      <c r="AKV91" s="293"/>
      <c r="AKW91" s="294"/>
      <c r="ALC91" s="292"/>
      <c r="ALD91" s="293"/>
      <c r="ALE91" s="294"/>
      <c r="ALK91" s="292"/>
      <c r="ALL91" s="293"/>
      <c r="ALM91" s="294"/>
      <c r="ALS91" s="292"/>
      <c r="ALT91" s="293"/>
      <c r="ALU91" s="294"/>
      <c r="AMA91" s="292"/>
      <c r="AMB91" s="293"/>
      <c r="AMC91" s="294"/>
      <c r="AMI91" s="292"/>
      <c r="AMJ91" s="293"/>
      <c r="AMK91" s="294"/>
      <c r="AMQ91" s="292"/>
      <c r="AMR91" s="293"/>
      <c r="AMS91" s="294"/>
      <c r="AMY91" s="292"/>
      <c r="AMZ91" s="293"/>
      <c r="ANA91" s="294"/>
      <c r="ANG91" s="292"/>
      <c r="ANH91" s="293"/>
      <c r="ANI91" s="294"/>
      <c r="ANO91" s="292"/>
      <c r="ANP91" s="293"/>
      <c r="ANQ91" s="294"/>
      <c r="ANW91" s="292"/>
      <c r="ANX91" s="293"/>
      <c r="ANY91" s="294"/>
      <c r="AOE91" s="292"/>
      <c r="AOF91" s="293"/>
      <c r="AOG91" s="294"/>
      <c r="AOM91" s="292"/>
      <c r="AON91" s="293"/>
      <c r="AOO91" s="294"/>
      <c r="AOU91" s="292"/>
      <c r="AOV91" s="293"/>
      <c r="AOW91" s="294"/>
      <c r="APC91" s="292"/>
      <c r="APD91" s="293"/>
      <c r="APE91" s="294"/>
      <c r="APK91" s="292"/>
      <c r="APL91" s="293"/>
      <c r="APM91" s="294"/>
      <c r="APS91" s="292"/>
      <c r="APT91" s="293"/>
      <c r="APU91" s="294"/>
      <c r="AQA91" s="292"/>
      <c r="AQB91" s="293"/>
      <c r="AQC91" s="294"/>
      <c r="AQI91" s="292"/>
      <c r="AQJ91" s="293"/>
      <c r="AQK91" s="294"/>
      <c r="AQQ91" s="292"/>
      <c r="AQR91" s="293"/>
      <c r="AQS91" s="294"/>
      <c r="AQY91" s="292"/>
      <c r="AQZ91" s="293"/>
      <c r="ARA91" s="294"/>
      <c r="ARG91" s="292"/>
      <c r="ARH91" s="293"/>
      <c r="ARI91" s="294"/>
      <c r="ARO91" s="292"/>
      <c r="ARP91" s="293"/>
      <c r="ARQ91" s="294"/>
      <c r="ARW91" s="292"/>
      <c r="ARX91" s="293"/>
      <c r="ARY91" s="294"/>
      <c r="ASE91" s="292"/>
      <c r="ASF91" s="293"/>
      <c r="ASG91" s="294"/>
      <c r="ASM91" s="292"/>
      <c r="ASN91" s="293"/>
      <c r="ASO91" s="294"/>
      <c r="ASU91" s="292"/>
      <c r="ASV91" s="293"/>
      <c r="ASW91" s="294"/>
      <c r="ATC91" s="292"/>
      <c r="ATD91" s="293"/>
      <c r="ATE91" s="294"/>
      <c r="ATK91" s="292"/>
      <c r="ATL91" s="293"/>
      <c r="ATM91" s="294"/>
      <c r="ATS91" s="292"/>
      <c r="ATT91" s="293"/>
      <c r="ATU91" s="294"/>
      <c r="AUA91" s="292"/>
      <c r="AUB91" s="293"/>
      <c r="AUC91" s="294"/>
      <c r="AUI91" s="292"/>
      <c r="AUJ91" s="293"/>
      <c r="AUK91" s="294"/>
      <c r="AUQ91" s="292"/>
      <c r="AUR91" s="293"/>
      <c r="AUS91" s="294"/>
      <c r="AUY91" s="292"/>
      <c r="AUZ91" s="293"/>
      <c r="AVA91" s="294"/>
      <c r="AVG91" s="292"/>
      <c r="AVH91" s="293"/>
      <c r="AVI91" s="294"/>
      <c r="AVO91" s="292"/>
      <c r="AVP91" s="293"/>
      <c r="AVQ91" s="294"/>
      <c r="AVW91" s="292"/>
      <c r="AVX91" s="293"/>
      <c r="AVY91" s="294"/>
      <c r="AWE91" s="292"/>
      <c r="AWF91" s="293"/>
      <c r="AWG91" s="294"/>
      <c r="AWM91" s="292"/>
      <c r="AWN91" s="293"/>
      <c r="AWO91" s="294"/>
      <c r="AWU91" s="292"/>
      <c r="AWV91" s="293"/>
      <c r="AWW91" s="294"/>
      <c r="AXC91" s="292"/>
      <c r="AXD91" s="293"/>
      <c r="AXE91" s="294"/>
      <c r="AXK91" s="292"/>
      <c r="AXL91" s="293"/>
      <c r="AXM91" s="294"/>
      <c r="AXS91" s="292"/>
      <c r="AXT91" s="293"/>
      <c r="AXU91" s="294"/>
      <c r="AYA91" s="292"/>
      <c r="AYB91" s="293"/>
      <c r="AYC91" s="294"/>
      <c r="AYI91" s="292"/>
      <c r="AYJ91" s="293"/>
      <c r="AYK91" s="294"/>
      <c r="AYQ91" s="292"/>
      <c r="AYR91" s="293"/>
      <c r="AYS91" s="294"/>
      <c r="AYY91" s="292"/>
      <c r="AYZ91" s="293"/>
      <c r="AZA91" s="294"/>
      <c r="AZG91" s="292"/>
      <c r="AZH91" s="293"/>
      <c r="AZI91" s="294"/>
      <c r="AZO91" s="292"/>
      <c r="AZP91" s="293"/>
      <c r="AZQ91" s="294"/>
      <c r="AZW91" s="292"/>
      <c r="AZX91" s="293"/>
      <c r="AZY91" s="294"/>
      <c r="BAE91" s="292"/>
      <c r="BAF91" s="293"/>
      <c r="BAG91" s="294"/>
      <c r="BAM91" s="292"/>
      <c r="BAN91" s="293"/>
      <c r="BAO91" s="294"/>
      <c r="BAU91" s="292"/>
      <c r="BAV91" s="293"/>
      <c r="BAW91" s="294"/>
      <c r="BBC91" s="292"/>
      <c r="BBD91" s="293"/>
      <c r="BBE91" s="294"/>
      <c r="BBK91" s="292"/>
      <c r="BBL91" s="293"/>
      <c r="BBM91" s="294"/>
      <c r="BBS91" s="292"/>
      <c r="BBT91" s="293"/>
      <c r="BBU91" s="294"/>
      <c r="BCA91" s="292"/>
      <c r="BCB91" s="293"/>
      <c r="BCC91" s="294"/>
      <c r="BCI91" s="292"/>
      <c r="BCJ91" s="293"/>
      <c r="BCK91" s="294"/>
      <c r="BCQ91" s="292"/>
      <c r="BCR91" s="293"/>
      <c r="BCS91" s="294"/>
      <c r="BCY91" s="292"/>
      <c r="BCZ91" s="293"/>
      <c r="BDA91" s="294"/>
      <c r="BDG91" s="292"/>
      <c r="BDH91" s="293"/>
      <c r="BDI91" s="294"/>
      <c r="BDO91" s="292"/>
      <c r="BDP91" s="293"/>
      <c r="BDQ91" s="294"/>
      <c r="BDW91" s="292"/>
      <c r="BDX91" s="293"/>
      <c r="BDY91" s="294"/>
      <c r="BEE91" s="292"/>
      <c r="BEF91" s="293"/>
      <c r="BEG91" s="294"/>
      <c r="BEM91" s="292"/>
      <c r="BEN91" s="293"/>
      <c r="BEO91" s="294"/>
      <c r="BEU91" s="292"/>
      <c r="BEV91" s="293"/>
      <c r="BEW91" s="294"/>
      <c r="BFC91" s="292"/>
      <c r="BFD91" s="293"/>
      <c r="BFE91" s="294"/>
      <c r="BFK91" s="292"/>
      <c r="BFL91" s="293"/>
      <c r="BFM91" s="294"/>
      <c r="BFS91" s="292"/>
      <c r="BFT91" s="293"/>
      <c r="BFU91" s="294"/>
      <c r="BGA91" s="292"/>
      <c r="BGB91" s="293"/>
      <c r="BGC91" s="294"/>
      <c r="BGI91" s="292"/>
      <c r="BGJ91" s="293"/>
      <c r="BGK91" s="294"/>
      <c r="BGQ91" s="292"/>
      <c r="BGR91" s="293"/>
      <c r="BGS91" s="294"/>
      <c r="BGY91" s="292"/>
      <c r="BGZ91" s="293"/>
      <c r="BHA91" s="294"/>
      <c r="BHG91" s="292"/>
      <c r="BHH91" s="293"/>
      <c r="BHI91" s="294"/>
      <c r="BHO91" s="292"/>
      <c r="BHP91" s="293"/>
      <c r="BHQ91" s="294"/>
      <c r="BHW91" s="292"/>
      <c r="BHX91" s="293"/>
      <c r="BHY91" s="294"/>
      <c r="BIE91" s="292"/>
      <c r="BIF91" s="293"/>
      <c r="BIG91" s="294"/>
      <c r="BIM91" s="292"/>
      <c r="BIN91" s="293"/>
      <c r="BIO91" s="294"/>
      <c r="BIU91" s="292"/>
      <c r="BIV91" s="293"/>
      <c r="BIW91" s="294"/>
      <c r="BJC91" s="292"/>
      <c r="BJD91" s="293"/>
      <c r="BJE91" s="294"/>
      <c r="BJK91" s="292"/>
      <c r="BJL91" s="293"/>
      <c r="BJM91" s="294"/>
      <c r="BJS91" s="292"/>
      <c r="BJT91" s="293"/>
      <c r="BJU91" s="294"/>
      <c r="BKA91" s="292"/>
      <c r="BKB91" s="293"/>
      <c r="BKC91" s="294"/>
      <c r="BKI91" s="292"/>
      <c r="BKJ91" s="293"/>
      <c r="BKK91" s="294"/>
      <c r="BKQ91" s="292"/>
      <c r="BKR91" s="293"/>
      <c r="BKS91" s="294"/>
      <c r="BKY91" s="292"/>
      <c r="BKZ91" s="293"/>
      <c r="BLA91" s="294"/>
      <c r="BLG91" s="292"/>
      <c r="BLH91" s="293"/>
      <c r="BLI91" s="294"/>
      <c r="BLO91" s="292"/>
      <c r="BLP91" s="293"/>
      <c r="BLQ91" s="294"/>
      <c r="BLW91" s="292"/>
      <c r="BLX91" s="293"/>
      <c r="BLY91" s="294"/>
      <c r="BME91" s="292"/>
      <c r="BMF91" s="293"/>
      <c r="BMG91" s="294"/>
      <c r="BMM91" s="292"/>
      <c r="BMN91" s="293"/>
      <c r="BMO91" s="294"/>
      <c r="BMU91" s="292"/>
      <c r="BMV91" s="293"/>
      <c r="BMW91" s="294"/>
      <c r="BNC91" s="292"/>
      <c r="BND91" s="293"/>
      <c r="BNE91" s="294"/>
      <c r="BNK91" s="292"/>
      <c r="BNL91" s="293"/>
      <c r="BNM91" s="294"/>
      <c r="BNS91" s="292"/>
      <c r="BNT91" s="293"/>
      <c r="BNU91" s="294"/>
      <c r="BOA91" s="292"/>
      <c r="BOB91" s="293"/>
      <c r="BOC91" s="294"/>
      <c r="BOI91" s="292"/>
      <c r="BOJ91" s="293"/>
      <c r="BOK91" s="294"/>
      <c r="BOQ91" s="292"/>
      <c r="BOR91" s="293"/>
      <c r="BOS91" s="294"/>
      <c r="BOY91" s="292"/>
      <c r="BOZ91" s="293"/>
      <c r="BPA91" s="294"/>
      <c r="BPG91" s="292"/>
      <c r="BPH91" s="293"/>
      <c r="BPI91" s="294"/>
      <c r="BPO91" s="292"/>
      <c r="BPP91" s="293"/>
      <c r="BPQ91" s="294"/>
      <c r="BPW91" s="292"/>
      <c r="BPX91" s="293"/>
      <c r="BPY91" s="294"/>
      <c r="BQE91" s="292"/>
      <c r="BQF91" s="293"/>
      <c r="BQG91" s="294"/>
      <c r="BQM91" s="292"/>
      <c r="BQN91" s="293"/>
      <c r="BQO91" s="294"/>
      <c r="BQU91" s="292"/>
      <c r="BQV91" s="293"/>
      <c r="BQW91" s="294"/>
      <c r="BRC91" s="292"/>
      <c r="BRD91" s="293"/>
      <c r="BRE91" s="294"/>
      <c r="BRK91" s="292"/>
      <c r="BRL91" s="293"/>
      <c r="BRM91" s="294"/>
      <c r="BRS91" s="292"/>
      <c r="BRT91" s="293"/>
      <c r="BRU91" s="294"/>
      <c r="BSA91" s="292"/>
      <c r="BSB91" s="293"/>
      <c r="BSC91" s="294"/>
      <c r="BSI91" s="292"/>
      <c r="BSJ91" s="293"/>
      <c r="BSK91" s="294"/>
      <c r="BSQ91" s="292"/>
      <c r="BSR91" s="293"/>
      <c r="BSS91" s="294"/>
      <c r="BSY91" s="292"/>
      <c r="BSZ91" s="293"/>
      <c r="BTA91" s="294"/>
      <c r="BTG91" s="292"/>
      <c r="BTH91" s="293"/>
      <c r="BTI91" s="294"/>
      <c r="BTO91" s="292"/>
      <c r="BTP91" s="293"/>
      <c r="BTQ91" s="294"/>
      <c r="BTW91" s="292"/>
      <c r="BTX91" s="293"/>
      <c r="BTY91" s="294"/>
      <c r="BUE91" s="292"/>
      <c r="BUF91" s="293"/>
      <c r="BUG91" s="294"/>
      <c r="BUM91" s="292"/>
      <c r="BUN91" s="293"/>
      <c r="BUO91" s="294"/>
      <c r="BUU91" s="292"/>
      <c r="BUV91" s="293"/>
      <c r="BUW91" s="294"/>
      <c r="BVC91" s="292"/>
      <c r="BVD91" s="293"/>
      <c r="BVE91" s="294"/>
      <c r="BVK91" s="292"/>
      <c r="BVL91" s="293"/>
      <c r="BVM91" s="294"/>
      <c r="BVS91" s="292"/>
      <c r="BVT91" s="293"/>
      <c r="BVU91" s="294"/>
      <c r="BWA91" s="292"/>
      <c r="BWB91" s="293"/>
      <c r="BWC91" s="294"/>
      <c r="BWI91" s="292"/>
      <c r="BWJ91" s="293"/>
      <c r="BWK91" s="294"/>
      <c r="BWQ91" s="292"/>
      <c r="BWR91" s="293"/>
      <c r="BWS91" s="294"/>
      <c r="BWY91" s="292"/>
      <c r="BWZ91" s="293"/>
      <c r="BXA91" s="294"/>
      <c r="BXG91" s="292"/>
      <c r="BXH91" s="293"/>
      <c r="BXI91" s="294"/>
      <c r="BXO91" s="292"/>
      <c r="BXP91" s="293"/>
      <c r="BXQ91" s="294"/>
      <c r="BXW91" s="292"/>
      <c r="BXX91" s="293"/>
      <c r="BXY91" s="294"/>
      <c r="BYE91" s="292"/>
      <c r="BYF91" s="293"/>
      <c r="BYG91" s="294"/>
      <c r="BYM91" s="292"/>
      <c r="BYN91" s="293"/>
      <c r="BYO91" s="294"/>
      <c r="BYU91" s="292"/>
      <c r="BYV91" s="293"/>
      <c r="BYW91" s="294"/>
      <c r="BZC91" s="292"/>
      <c r="BZD91" s="293"/>
      <c r="BZE91" s="294"/>
      <c r="BZK91" s="292"/>
      <c r="BZL91" s="293"/>
      <c r="BZM91" s="294"/>
      <c r="BZS91" s="292"/>
      <c r="BZT91" s="293"/>
      <c r="BZU91" s="294"/>
      <c r="CAA91" s="292"/>
      <c r="CAB91" s="293"/>
      <c r="CAC91" s="294"/>
      <c r="CAI91" s="292"/>
      <c r="CAJ91" s="293"/>
      <c r="CAK91" s="294"/>
      <c r="CAQ91" s="292"/>
      <c r="CAR91" s="293"/>
      <c r="CAS91" s="294"/>
      <c r="CAY91" s="292"/>
      <c r="CAZ91" s="293"/>
      <c r="CBA91" s="294"/>
      <c r="CBG91" s="292"/>
      <c r="CBH91" s="293"/>
      <c r="CBI91" s="294"/>
      <c r="CBO91" s="292"/>
      <c r="CBP91" s="293"/>
      <c r="CBQ91" s="294"/>
      <c r="CBW91" s="292"/>
      <c r="CBX91" s="293"/>
      <c r="CBY91" s="294"/>
      <c r="CCE91" s="292"/>
      <c r="CCF91" s="293"/>
      <c r="CCG91" s="294"/>
      <c r="CCM91" s="292"/>
      <c r="CCN91" s="293"/>
      <c r="CCO91" s="294"/>
      <c r="CCU91" s="292"/>
      <c r="CCV91" s="293"/>
      <c r="CCW91" s="294"/>
      <c r="CDC91" s="292"/>
      <c r="CDD91" s="293"/>
      <c r="CDE91" s="294"/>
      <c r="CDK91" s="292"/>
      <c r="CDL91" s="293"/>
      <c r="CDM91" s="294"/>
      <c r="CDS91" s="292"/>
      <c r="CDT91" s="293"/>
      <c r="CDU91" s="294"/>
      <c r="CEA91" s="292"/>
      <c r="CEB91" s="293"/>
      <c r="CEC91" s="294"/>
      <c r="CEI91" s="292"/>
      <c r="CEJ91" s="293"/>
      <c r="CEK91" s="294"/>
      <c r="CEQ91" s="292"/>
      <c r="CER91" s="293"/>
      <c r="CES91" s="294"/>
      <c r="CEY91" s="292"/>
      <c r="CEZ91" s="293"/>
      <c r="CFA91" s="294"/>
      <c r="CFG91" s="292"/>
      <c r="CFH91" s="293"/>
      <c r="CFI91" s="294"/>
      <c r="CFO91" s="292"/>
      <c r="CFP91" s="293"/>
      <c r="CFQ91" s="294"/>
      <c r="CFW91" s="292"/>
      <c r="CFX91" s="293"/>
      <c r="CFY91" s="294"/>
      <c r="CGE91" s="292"/>
      <c r="CGF91" s="293"/>
      <c r="CGG91" s="294"/>
      <c r="CGM91" s="292"/>
      <c r="CGN91" s="293"/>
      <c r="CGO91" s="294"/>
      <c r="CGU91" s="292"/>
      <c r="CGV91" s="293"/>
      <c r="CGW91" s="294"/>
      <c r="CHC91" s="292"/>
      <c r="CHD91" s="293"/>
      <c r="CHE91" s="294"/>
      <c r="CHK91" s="292"/>
      <c r="CHL91" s="293"/>
      <c r="CHM91" s="294"/>
      <c r="CHS91" s="292"/>
      <c r="CHT91" s="293"/>
      <c r="CHU91" s="294"/>
      <c r="CIA91" s="292"/>
      <c r="CIB91" s="293"/>
      <c r="CIC91" s="294"/>
      <c r="CII91" s="292"/>
      <c r="CIJ91" s="293"/>
      <c r="CIK91" s="294"/>
      <c r="CIQ91" s="292"/>
      <c r="CIR91" s="293"/>
      <c r="CIS91" s="294"/>
      <c r="CIY91" s="292"/>
      <c r="CIZ91" s="293"/>
      <c r="CJA91" s="294"/>
      <c r="CJG91" s="292"/>
      <c r="CJH91" s="293"/>
      <c r="CJI91" s="294"/>
      <c r="CJO91" s="292"/>
      <c r="CJP91" s="293"/>
      <c r="CJQ91" s="294"/>
      <c r="CJW91" s="292"/>
      <c r="CJX91" s="293"/>
      <c r="CJY91" s="294"/>
      <c r="CKE91" s="292"/>
      <c r="CKF91" s="293"/>
      <c r="CKG91" s="294"/>
      <c r="CKM91" s="292"/>
      <c r="CKN91" s="293"/>
      <c r="CKO91" s="294"/>
      <c r="CKU91" s="292"/>
      <c r="CKV91" s="293"/>
      <c r="CKW91" s="294"/>
      <c r="CLC91" s="292"/>
      <c r="CLD91" s="293"/>
      <c r="CLE91" s="294"/>
      <c r="CLK91" s="292"/>
      <c r="CLL91" s="293"/>
      <c r="CLM91" s="294"/>
      <c r="CLS91" s="292"/>
      <c r="CLT91" s="293"/>
      <c r="CLU91" s="294"/>
      <c r="CMA91" s="292"/>
      <c r="CMB91" s="293"/>
      <c r="CMC91" s="294"/>
      <c r="CMI91" s="292"/>
      <c r="CMJ91" s="293"/>
      <c r="CMK91" s="294"/>
      <c r="CMQ91" s="292"/>
      <c r="CMR91" s="293"/>
      <c r="CMS91" s="294"/>
      <c r="CMY91" s="292"/>
      <c r="CMZ91" s="293"/>
      <c r="CNA91" s="294"/>
      <c r="CNG91" s="292"/>
      <c r="CNH91" s="293"/>
      <c r="CNI91" s="294"/>
      <c r="CNO91" s="292"/>
      <c r="CNP91" s="293"/>
      <c r="CNQ91" s="294"/>
      <c r="CNW91" s="292"/>
      <c r="CNX91" s="293"/>
      <c r="CNY91" s="294"/>
      <c r="COE91" s="292"/>
      <c r="COF91" s="293"/>
      <c r="COG91" s="294"/>
      <c r="COM91" s="292"/>
      <c r="CON91" s="293"/>
      <c r="COO91" s="294"/>
      <c r="COU91" s="292"/>
      <c r="COV91" s="293"/>
      <c r="COW91" s="294"/>
      <c r="CPC91" s="292"/>
      <c r="CPD91" s="293"/>
      <c r="CPE91" s="294"/>
      <c r="CPK91" s="292"/>
      <c r="CPL91" s="293"/>
      <c r="CPM91" s="294"/>
      <c r="CPS91" s="292"/>
      <c r="CPT91" s="293"/>
      <c r="CPU91" s="294"/>
      <c r="CQA91" s="292"/>
      <c r="CQB91" s="293"/>
      <c r="CQC91" s="294"/>
      <c r="CQI91" s="292"/>
      <c r="CQJ91" s="293"/>
      <c r="CQK91" s="294"/>
      <c r="CQQ91" s="292"/>
      <c r="CQR91" s="293"/>
      <c r="CQS91" s="294"/>
      <c r="CQY91" s="292"/>
      <c r="CQZ91" s="293"/>
      <c r="CRA91" s="294"/>
      <c r="CRG91" s="292"/>
      <c r="CRH91" s="293"/>
      <c r="CRI91" s="294"/>
      <c r="CRO91" s="292"/>
      <c r="CRP91" s="293"/>
      <c r="CRQ91" s="294"/>
      <c r="CRW91" s="292"/>
      <c r="CRX91" s="293"/>
      <c r="CRY91" s="294"/>
      <c r="CSE91" s="292"/>
      <c r="CSF91" s="293"/>
      <c r="CSG91" s="294"/>
      <c r="CSM91" s="292"/>
      <c r="CSN91" s="293"/>
      <c r="CSO91" s="294"/>
      <c r="CSU91" s="292"/>
      <c r="CSV91" s="293"/>
      <c r="CSW91" s="294"/>
      <c r="CTC91" s="292"/>
      <c r="CTD91" s="293"/>
      <c r="CTE91" s="294"/>
      <c r="CTK91" s="292"/>
      <c r="CTL91" s="293"/>
      <c r="CTM91" s="294"/>
      <c r="CTS91" s="292"/>
      <c r="CTT91" s="293"/>
      <c r="CTU91" s="294"/>
      <c r="CUA91" s="292"/>
      <c r="CUB91" s="293"/>
      <c r="CUC91" s="294"/>
      <c r="CUI91" s="292"/>
      <c r="CUJ91" s="293"/>
      <c r="CUK91" s="294"/>
      <c r="CUQ91" s="292"/>
      <c r="CUR91" s="293"/>
      <c r="CUS91" s="294"/>
      <c r="CUY91" s="292"/>
      <c r="CUZ91" s="293"/>
      <c r="CVA91" s="294"/>
      <c r="CVG91" s="292"/>
      <c r="CVH91" s="293"/>
      <c r="CVI91" s="294"/>
      <c r="CVO91" s="292"/>
      <c r="CVP91" s="293"/>
      <c r="CVQ91" s="294"/>
      <c r="CVW91" s="292"/>
      <c r="CVX91" s="293"/>
      <c r="CVY91" s="294"/>
      <c r="CWE91" s="292"/>
      <c r="CWF91" s="293"/>
      <c r="CWG91" s="294"/>
      <c r="CWM91" s="292"/>
      <c r="CWN91" s="293"/>
      <c r="CWO91" s="294"/>
      <c r="CWU91" s="292"/>
      <c r="CWV91" s="293"/>
      <c r="CWW91" s="294"/>
      <c r="CXC91" s="292"/>
      <c r="CXD91" s="293"/>
      <c r="CXE91" s="294"/>
      <c r="CXK91" s="292"/>
      <c r="CXL91" s="293"/>
      <c r="CXM91" s="294"/>
      <c r="CXS91" s="292"/>
      <c r="CXT91" s="293"/>
      <c r="CXU91" s="294"/>
      <c r="CYA91" s="292"/>
      <c r="CYB91" s="293"/>
      <c r="CYC91" s="294"/>
      <c r="CYI91" s="292"/>
      <c r="CYJ91" s="293"/>
      <c r="CYK91" s="294"/>
      <c r="CYQ91" s="292"/>
      <c r="CYR91" s="293"/>
      <c r="CYS91" s="294"/>
      <c r="CYY91" s="292"/>
      <c r="CYZ91" s="293"/>
      <c r="CZA91" s="294"/>
      <c r="CZG91" s="292"/>
      <c r="CZH91" s="293"/>
      <c r="CZI91" s="294"/>
      <c r="CZO91" s="292"/>
      <c r="CZP91" s="293"/>
      <c r="CZQ91" s="294"/>
      <c r="CZW91" s="292"/>
      <c r="CZX91" s="293"/>
      <c r="CZY91" s="294"/>
      <c r="DAE91" s="292"/>
      <c r="DAF91" s="293"/>
      <c r="DAG91" s="294"/>
      <c r="DAM91" s="292"/>
      <c r="DAN91" s="293"/>
      <c r="DAO91" s="294"/>
      <c r="DAU91" s="292"/>
      <c r="DAV91" s="293"/>
      <c r="DAW91" s="294"/>
      <c r="DBC91" s="292"/>
      <c r="DBD91" s="293"/>
      <c r="DBE91" s="294"/>
      <c r="DBK91" s="292"/>
      <c r="DBL91" s="293"/>
      <c r="DBM91" s="294"/>
      <c r="DBS91" s="292"/>
      <c r="DBT91" s="293"/>
      <c r="DBU91" s="294"/>
      <c r="DCA91" s="292"/>
      <c r="DCB91" s="293"/>
      <c r="DCC91" s="294"/>
      <c r="DCI91" s="292"/>
      <c r="DCJ91" s="293"/>
      <c r="DCK91" s="294"/>
      <c r="DCQ91" s="292"/>
      <c r="DCR91" s="293"/>
      <c r="DCS91" s="294"/>
      <c r="DCY91" s="292"/>
      <c r="DCZ91" s="293"/>
      <c r="DDA91" s="294"/>
      <c r="DDG91" s="292"/>
      <c r="DDH91" s="293"/>
      <c r="DDI91" s="294"/>
      <c r="DDO91" s="292"/>
      <c r="DDP91" s="293"/>
      <c r="DDQ91" s="294"/>
      <c r="DDW91" s="292"/>
      <c r="DDX91" s="293"/>
      <c r="DDY91" s="294"/>
      <c r="DEE91" s="292"/>
      <c r="DEF91" s="293"/>
      <c r="DEG91" s="294"/>
      <c r="DEM91" s="292"/>
      <c r="DEN91" s="293"/>
      <c r="DEO91" s="294"/>
      <c r="DEU91" s="292"/>
      <c r="DEV91" s="293"/>
      <c r="DEW91" s="294"/>
      <c r="DFC91" s="292"/>
      <c r="DFD91" s="293"/>
      <c r="DFE91" s="294"/>
      <c r="DFK91" s="292"/>
      <c r="DFL91" s="293"/>
      <c r="DFM91" s="294"/>
      <c r="DFS91" s="292"/>
      <c r="DFT91" s="293"/>
      <c r="DFU91" s="294"/>
      <c r="DGA91" s="292"/>
      <c r="DGB91" s="293"/>
      <c r="DGC91" s="294"/>
      <c r="DGI91" s="292"/>
      <c r="DGJ91" s="293"/>
      <c r="DGK91" s="294"/>
      <c r="DGQ91" s="292"/>
      <c r="DGR91" s="293"/>
      <c r="DGS91" s="294"/>
      <c r="DGY91" s="292"/>
      <c r="DGZ91" s="293"/>
      <c r="DHA91" s="294"/>
      <c r="DHG91" s="292"/>
      <c r="DHH91" s="293"/>
      <c r="DHI91" s="294"/>
      <c r="DHO91" s="292"/>
      <c r="DHP91" s="293"/>
      <c r="DHQ91" s="294"/>
      <c r="DHW91" s="292"/>
      <c r="DHX91" s="293"/>
      <c r="DHY91" s="294"/>
      <c r="DIE91" s="292"/>
      <c r="DIF91" s="293"/>
      <c r="DIG91" s="294"/>
      <c r="DIM91" s="292"/>
      <c r="DIN91" s="293"/>
      <c r="DIO91" s="294"/>
      <c r="DIU91" s="292"/>
      <c r="DIV91" s="293"/>
      <c r="DIW91" s="294"/>
      <c r="DJC91" s="292"/>
      <c r="DJD91" s="293"/>
      <c r="DJE91" s="294"/>
      <c r="DJK91" s="292"/>
      <c r="DJL91" s="293"/>
      <c r="DJM91" s="294"/>
      <c r="DJS91" s="292"/>
      <c r="DJT91" s="293"/>
      <c r="DJU91" s="294"/>
      <c r="DKA91" s="292"/>
      <c r="DKB91" s="293"/>
      <c r="DKC91" s="294"/>
      <c r="DKI91" s="292"/>
      <c r="DKJ91" s="293"/>
      <c r="DKK91" s="294"/>
      <c r="DKQ91" s="292"/>
      <c r="DKR91" s="293"/>
      <c r="DKS91" s="294"/>
      <c r="DKY91" s="292"/>
      <c r="DKZ91" s="293"/>
      <c r="DLA91" s="294"/>
      <c r="DLG91" s="292"/>
      <c r="DLH91" s="293"/>
      <c r="DLI91" s="294"/>
      <c r="DLO91" s="292"/>
      <c r="DLP91" s="293"/>
      <c r="DLQ91" s="294"/>
      <c r="DLW91" s="292"/>
      <c r="DLX91" s="293"/>
      <c r="DLY91" s="294"/>
      <c r="DME91" s="292"/>
      <c r="DMF91" s="293"/>
      <c r="DMG91" s="294"/>
      <c r="DMM91" s="292"/>
      <c r="DMN91" s="293"/>
      <c r="DMO91" s="294"/>
      <c r="DMU91" s="292"/>
      <c r="DMV91" s="293"/>
      <c r="DMW91" s="294"/>
      <c r="DNC91" s="292"/>
      <c r="DND91" s="293"/>
      <c r="DNE91" s="294"/>
      <c r="DNK91" s="292"/>
      <c r="DNL91" s="293"/>
      <c r="DNM91" s="294"/>
      <c r="DNS91" s="292"/>
      <c r="DNT91" s="293"/>
      <c r="DNU91" s="294"/>
      <c r="DOA91" s="292"/>
      <c r="DOB91" s="293"/>
      <c r="DOC91" s="294"/>
      <c r="DOI91" s="292"/>
      <c r="DOJ91" s="293"/>
      <c r="DOK91" s="294"/>
      <c r="DOQ91" s="292"/>
      <c r="DOR91" s="293"/>
      <c r="DOS91" s="294"/>
      <c r="DOY91" s="292"/>
      <c r="DOZ91" s="293"/>
      <c r="DPA91" s="294"/>
      <c r="DPG91" s="292"/>
      <c r="DPH91" s="293"/>
      <c r="DPI91" s="294"/>
      <c r="DPO91" s="292"/>
      <c r="DPP91" s="293"/>
      <c r="DPQ91" s="294"/>
      <c r="DPW91" s="292"/>
      <c r="DPX91" s="293"/>
      <c r="DPY91" s="294"/>
      <c r="DQE91" s="292"/>
      <c r="DQF91" s="293"/>
      <c r="DQG91" s="294"/>
      <c r="DQM91" s="292"/>
      <c r="DQN91" s="293"/>
      <c r="DQO91" s="294"/>
      <c r="DQU91" s="292"/>
      <c r="DQV91" s="293"/>
      <c r="DQW91" s="294"/>
      <c r="DRC91" s="292"/>
      <c r="DRD91" s="293"/>
      <c r="DRE91" s="294"/>
      <c r="DRK91" s="292"/>
      <c r="DRL91" s="293"/>
      <c r="DRM91" s="294"/>
      <c r="DRS91" s="292"/>
      <c r="DRT91" s="293"/>
      <c r="DRU91" s="294"/>
      <c r="DSA91" s="292"/>
      <c r="DSB91" s="293"/>
      <c r="DSC91" s="294"/>
      <c r="DSI91" s="292"/>
      <c r="DSJ91" s="293"/>
      <c r="DSK91" s="294"/>
      <c r="DSQ91" s="292"/>
      <c r="DSR91" s="293"/>
      <c r="DSS91" s="294"/>
      <c r="DSY91" s="292"/>
      <c r="DSZ91" s="293"/>
      <c r="DTA91" s="294"/>
      <c r="DTG91" s="292"/>
      <c r="DTH91" s="293"/>
      <c r="DTI91" s="294"/>
      <c r="DTO91" s="292"/>
      <c r="DTP91" s="293"/>
      <c r="DTQ91" s="294"/>
      <c r="DTW91" s="292"/>
      <c r="DTX91" s="293"/>
      <c r="DTY91" s="294"/>
      <c r="DUE91" s="292"/>
      <c r="DUF91" s="293"/>
      <c r="DUG91" s="294"/>
      <c r="DUM91" s="292"/>
      <c r="DUN91" s="293"/>
      <c r="DUO91" s="294"/>
      <c r="DUU91" s="292"/>
      <c r="DUV91" s="293"/>
      <c r="DUW91" s="294"/>
      <c r="DVC91" s="292"/>
      <c r="DVD91" s="293"/>
      <c r="DVE91" s="294"/>
      <c r="DVK91" s="292"/>
      <c r="DVL91" s="293"/>
      <c r="DVM91" s="294"/>
      <c r="DVS91" s="292"/>
      <c r="DVT91" s="293"/>
      <c r="DVU91" s="294"/>
      <c r="DWA91" s="292"/>
      <c r="DWB91" s="293"/>
      <c r="DWC91" s="294"/>
      <c r="DWI91" s="292"/>
      <c r="DWJ91" s="293"/>
      <c r="DWK91" s="294"/>
      <c r="DWQ91" s="292"/>
      <c r="DWR91" s="293"/>
      <c r="DWS91" s="294"/>
      <c r="DWY91" s="292"/>
      <c r="DWZ91" s="293"/>
      <c r="DXA91" s="294"/>
      <c r="DXG91" s="292"/>
      <c r="DXH91" s="293"/>
      <c r="DXI91" s="294"/>
      <c r="DXO91" s="292"/>
      <c r="DXP91" s="293"/>
      <c r="DXQ91" s="294"/>
      <c r="DXW91" s="292"/>
      <c r="DXX91" s="293"/>
      <c r="DXY91" s="294"/>
      <c r="DYE91" s="292"/>
      <c r="DYF91" s="293"/>
      <c r="DYG91" s="294"/>
      <c r="DYM91" s="292"/>
      <c r="DYN91" s="293"/>
      <c r="DYO91" s="294"/>
      <c r="DYU91" s="292"/>
      <c r="DYV91" s="293"/>
      <c r="DYW91" s="294"/>
      <c r="DZC91" s="292"/>
      <c r="DZD91" s="293"/>
      <c r="DZE91" s="294"/>
      <c r="DZK91" s="292"/>
      <c r="DZL91" s="293"/>
      <c r="DZM91" s="294"/>
      <c r="DZS91" s="292"/>
      <c r="DZT91" s="293"/>
      <c r="DZU91" s="294"/>
      <c r="EAA91" s="292"/>
      <c r="EAB91" s="293"/>
      <c r="EAC91" s="294"/>
      <c r="EAI91" s="292"/>
      <c r="EAJ91" s="293"/>
      <c r="EAK91" s="294"/>
      <c r="EAQ91" s="292"/>
      <c r="EAR91" s="293"/>
      <c r="EAS91" s="294"/>
      <c r="EAY91" s="292"/>
      <c r="EAZ91" s="293"/>
      <c r="EBA91" s="294"/>
      <c r="EBG91" s="292"/>
      <c r="EBH91" s="293"/>
      <c r="EBI91" s="294"/>
      <c r="EBO91" s="292"/>
      <c r="EBP91" s="293"/>
      <c r="EBQ91" s="294"/>
      <c r="EBW91" s="292"/>
      <c r="EBX91" s="293"/>
      <c r="EBY91" s="294"/>
      <c r="ECE91" s="292"/>
      <c r="ECF91" s="293"/>
      <c r="ECG91" s="294"/>
      <c r="ECM91" s="292"/>
      <c r="ECN91" s="293"/>
      <c r="ECO91" s="294"/>
      <c r="ECU91" s="292"/>
      <c r="ECV91" s="293"/>
      <c r="ECW91" s="294"/>
      <c r="EDC91" s="292"/>
      <c r="EDD91" s="293"/>
      <c r="EDE91" s="294"/>
      <c r="EDK91" s="292"/>
      <c r="EDL91" s="293"/>
      <c r="EDM91" s="294"/>
      <c r="EDS91" s="292"/>
      <c r="EDT91" s="293"/>
      <c r="EDU91" s="294"/>
      <c r="EEA91" s="292"/>
      <c r="EEB91" s="293"/>
      <c r="EEC91" s="294"/>
      <c r="EEI91" s="292"/>
      <c r="EEJ91" s="293"/>
      <c r="EEK91" s="294"/>
      <c r="EEQ91" s="292"/>
      <c r="EER91" s="293"/>
      <c r="EES91" s="294"/>
      <c r="EEY91" s="292"/>
      <c r="EEZ91" s="293"/>
      <c r="EFA91" s="294"/>
      <c r="EFG91" s="292"/>
      <c r="EFH91" s="293"/>
      <c r="EFI91" s="294"/>
      <c r="EFO91" s="292"/>
      <c r="EFP91" s="293"/>
      <c r="EFQ91" s="294"/>
      <c r="EFW91" s="292"/>
      <c r="EFX91" s="293"/>
      <c r="EFY91" s="294"/>
      <c r="EGE91" s="292"/>
      <c r="EGF91" s="293"/>
      <c r="EGG91" s="294"/>
      <c r="EGM91" s="292"/>
      <c r="EGN91" s="293"/>
      <c r="EGO91" s="294"/>
      <c r="EGU91" s="292"/>
      <c r="EGV91" s="293"/>
      <c r="EGW91" s="294"/>
      <c r="EHC91" s="292"/>
      <c r="EHD91" s="293"/>
      <c r="EHE91" s="294"/>
      <c r="EHK91" s="292"/>
      <c r="EHL91" s="293"/>
      <c r="EHM91" s="294"/>
      <c r="EHS91" s="292"/>
      <c r="EHT91" s="293"/>
      <c r="EHU91" s="294"/>
      <c r="EIA91" s="292"/>
      <c r="EIB91" s="293"/>
      <c r="EIC91" s="294"/>
      <c r="EII91" s="292"/>
      <c r="EIJ91" s="293"/>
      <c r="EIK91" s="294"/>
      <c r="EIQ91" s="292"/>
      <c r="EIR91" s="293"/>
      <c r="EIS91" s="294"/>
      <c r="EIY91" s="292"/>
      <c r="EIZ91" s="293"/>
      <c r="EJA91" s="294"/>
      <c r="EJG91" s="292"/>
      <c r="EJH91" s="293"/>
      <c r="EJI91" s="294"/>
      <c r="EJO91" s="292"/>
      <c r="EJP91" s="293"/>
      <c r="EJQ91" s="294"/>
      <c r="EJW91" s="292"/>
      <c r="EJX91" s="293"/>
      <c r="EJY91" s="294"/>
      <c r="EKE91" s="292"/>
      <c r="EKF91" s="293"/>
      <c r="EKG91" s="294"/>
      <c r="EKM91" s="292"/>
      <c r="EKN91" s="293"/>
      <c r="EKO91" s="294"/>
      <c r="EKU91" s="292"/>
      <c r="EKV91" s="293"/>
      <c r="EKW91" s="294"/>
      <c r="ELC91" s="292"/>
      <c r="ELD91" s="293"/>
      <c r="ELE91" s="294"/>
      <c r="ELK91" s="292"/>
      <c r="ELL91" s="293"/>
      <c r="ELM91" s="294"/>
      <c r="ELS91" s="292"/>
      <c r="ELT91" s="293"/>
      <c r="ELU91" s="294"/>
      <c r="EMA91" s="292"/>
      <c r="EMB91" s="293"/>
      <c r="EMC91" s="294"/>
      <c r="EMI91" s="292"/>
      <c r="EMJ91" s="293"/>
      <c r="EMK91" s="294"/>
      <c r="EMQ91" s="292"/>
      <c r="EMR91" s="293"/>
      <c r="EMS91" s="294"/>
      <c r="EMY91" s="292"/>
      <c r="EMZ91" s="293"/>
      <c r="ENA91" s="294"/>
      <c r="ENG91" s="292"/>
      <c r="ENH91" s="293"/>
      <c r="ENI91" s="294"/>
      <c r="ENO91" s="292"/>
      <c r="ENP91" s="293"/>
      <c r="ENQ91" s="294"/>
      <c r="ENW91" s="292"/>
      <c r="ENX91" s="293"/>
      <c r="ENY91" s="294"/>
      <c r="EOE91" s="292"/>
      <c r="EOF91" s="293"/>
      <c r="EOG91" s="294"/>
      <c r="EOM91" s="292"/>
      <c r="EON91" s="293"/>
      <c r="EOO91" s="294"/>
      <c r="EOU91" s="292"/>
      <c r="EOV91" s="293"/>
      <c r="EOW91" s="294"/>
      <c r="EPC91" s="292"/>
      <c r="EPD91" s="293"/>
      <c r="EPE91" s="294"/>
      <c r="EPK91" s="292"/>
      <c r="EPL91" s="293"/>
      <c r="EPM91" s="294"/>
      <c r="EPS91" s="292"/>
      <c r="EPT91" s="293"/>
      <c r="EPU91" s="294"/>
      <c r="EQA91" s="292"/>
      <c r="EQB91" s="293"/>
      <c r="EQC91" s="294"/>
      <c r="EQI91" s="292"/>
      <c r="EQJ91" s="293"/>
      <c r="EQK91" s="294"/>
      <c r="EQQ91" s="292"/>
      <c r="EQR91" s="293"/>
      <c r="EQS91" s="294"/>
      <c r="EQY91" s="292"/>
      <c r="EQZ91" s="293"/>
      <c r="ERA91" s="294"/>
      <c r="ERG91" s="292"/>
      <c r="ERH91" s="293"/>
      <c r="ERI91" s="294"/>
      <c r="ERO91" s="292"/>
      <c r="ERP91" s="293"/>
      <c r="ERQ91" s="294"/>
      <c r="ERW91" s="292"/>
      <c r="ERX91" s="293"/>
      <c r="ERY91" s="294"/>
      <c r="ESE91" s="292"/>
      <c r="ESF91" s="293"/>
      <c r="ESG91" s="294"/>
      <c r="ESM91" s="292"/>
      <c r="ESN91" s="293"/>
      <c r="ESO91" s="294"/>
      <c r="ESU91" s="292"/>
      <c r="ESV91" s="293"/>
      <c r="ESW91" s="294"/>
      <c r="ETC91" s="292"/>
      <c r="ETD91" s="293"/>
      <c r="ETE91" s="294"/>
      <c r="ETK91" s="292"/>
      <c r="ETL91" s="293"/>
      <c r="ETM91" s="294"/>
      <c r="ETS91" s="292"/>
      <c r="ETT91" s="293"/>
      <c r="ETU91" s="294"/>
      <c r="EUA91" s="292"/>
      <c r="EUB91" s="293"/>
      <c r="EUC91" s="294"/>
      <c r="EUI91" s="292"/>
      <c r="EUJ91" s="293"/>
      <c r="EUK91" s="294"/>
      <c r="EUQ91" s="292"/>
      <c r="EUR91" s="293"/>
      <c r="EUS91" s="294"/>
      <c r="EUY91" s="292"/>
      <c r="EUZ91" s="293"/>
      <c r="EVA91" s="294"/>
      <c r="EVG91" s="292"/>
      <c r="EVH91" s="293"/>
      <c r="EVI91" s="294"/>
      <c r="EVO91" s="292"/>
      <c r="EVP91" s="293"/>
      <c r="EVQ91" s="294"/>
      <c r="EVW91" s="292"/>
      <c r="EVX91" s="293"/>
      <c r="EVY91" s="294"/>
      <c r="EWE91" s="292"/>
      <c r="EWF91" s="293"/>
      <c r="EWG91" s="294"/>
      <c r="EWM91" s="292"/>
      <c r="EWN91" s="293"/>
      <c r="EWO91" s="294"/>
      <c r="EWU91" s="292"/>
      <c r="EWV91" s="293"/>
      <c r="EWW91" s="294"/>
      <c r="EXC91" s="292"/>
      <c r="EXD91" s="293"/>
      <c r="EXE91" s="294"/>
      <c r="EXK91" s="292"/>
      <c r="EXL91" s="293"/>
      <c r="EXM91" s="294"/>
      <c r="EXS91" s="292"/>
      <c r="EXT91" s="293"/>
      <c r="EXU91" s="294"/>
      <c r="EYA91" s="292"/>
      <c r="EYB91" s="293"/>
      <c r="EYC91" s="294"/>
      <c r="EYI91" s="292"/>
      <c r="EYJ91" s="293"/>
      <c r="EYK91" s="294"/>
      <c r="EYQ91" s="292"/>
      <c r="EYR91" s="293"/>
      <c r="EYS91" s="294"/>
      <c r="EYY91" s="292"/>
      <c r="EYZ91" s="293"/>
      <c r="EZA91" s="294"/>
      <c r="EZG91" s="292"/>
      <c r="EZH91" s="293"/>
      <c r="EZI91" s="294"/>
      <c r="EZO91" s="292"/>
      <c r="EZP91" s="293"/>
      <c r="EZQ91" s="294"/>
      <c r="EZW91" s="292"/>
      <c r="EZX91" s="293"/>
      <c r="EZY91" s="294"/>
      <c r="FAE91" s="292"/>
      <c r="FAF91" s="293"/>
      <c r="FAG91" s="294"/>
      <c r="FAM91" s="292"/>
      <c r="FAN91" s="293"/>
      <c r="FAO91" s="294"/>
      <c r="FAU91" s="292"/>
      <c r="FAV91" s="293"/>
      <c r="FAW91" s="294"/>
      <c r="FBC91" s="292"/>
      <c r="FBD91" s="293"/>
      <c r="FBE91" s="294"/>
      <c r="FBK91" s="292"/>
      <c r="FBL91" s="293"/>
      <c r="FBM91" s="294"/>
      <c r="FBS91" s="292"/>
      <c r="FBT91" s="293"/>
      <c r="FBU91" s="294"/>
      <c r="FCA91" s="292"/>
      <c r="FCB91" s="293"/>
      <c r="FCC91" s="294"/>
      <c r="FCI91" s="292"/>
      <c r="FCJ91" s="293"/>
      <c r="FCK91" s="294"/>
      <c r="FCQ91" s="292"/>
      <c r="FCR91" s="293"/>
      <c r="FCS91" s="294"/>
      <c r="FCY91" s="292"/>
      <c r="FCZ91" s="293"/>
      <c r="FDA91" s="294"/>
      <c r="FDG91" s="292"/>
      <c r="FDH91" s="293"/>
      <c r="FDI91" s="294"/>
      <c r="FDO91" s="292"/>
      <c r="FDP91" s="293"/>
      <c r="FDQ91" s="294"/>
      <c r="FDW91" s="292"/>
      <c r="FDX91" s="293"/>
      <c r="FDY91" s="294"/>
      <c r="FEE91" s="292"/>
      <c r="FEF91" s="293"/>
      <c r="FEG91" s="294"/>
      <c r="FEM91" s="292"/>
      <c r="FEN91" s="293"/>
      <c r="FEO91" s="294"/>
      <c r="FEU91" s="292"/>
      <c r="FEV91" s="293"/>
      <c r="FEW91" s="294"/>
      <c r="FFC91" s="292"/>
      <c r="FFD91" s="293"/>
      <c r="FFE91" s="294"/>
      <c r="FFK91" s="292"/>
      <c r="FFL91" s="293"/>
      <c r="FFM91" s="294"/>
      <c r="FFS91" s="292"/>
      <c r="FFT91" s="293"/>
      <c r="FFU91" s="294"/>
      <c r="FGA91" s="292"/>
      <c r="FGB91" s="293"/>
      <c r="FGC91" s="294"/>
      <c r="FGI91" s="292"/>
      <c r="FGJ91" s="293"/>
      <c r="FGK91" s="294"/>
      <c r="FGQ91" s="292"/>
      <c r="FGR91" s="293"/>
      <c r="FGS91" s="294"/>
      <c r="FGY91" s="292"/>
      <c r="FGZ91" s="293"/>
      <c r="FHA91" s="294"/>
      <c r="FHG91" s="292"/>
      <c r="FHH91" s="293"/>
      <c r="FHI91" s="294"/>
      <c r="FHO91" s="292"/>
      <c r="FHP91" s="293"/>
      <c r="FHQ91" s="294"/>
      <c r="FHW91" s="292"/>
      <c r="FHX91" s="293"/>
      <c r="FHY91" s="294"/>
      <c r="FIE91" s="292"/>
      <c r="FIF91" s="293"/>
      <c r="FIG91" s="294"/>
      <c r="FIM91" s="292"/>
      <c r="FIN91" s="293"/>
      <c r="FIO91" s="294"/>
      <c r="FIU91" s="292"/>
      <c r="FIV91" s="293"/>
      <c r="FIW91" s="294"/>
      <c r="FJC91" s="292"/>
      <c r="FJD91" s="293"/>
      <c r="FJE91" s="294"/>
      <c r="FJK91" s="292"/>
      <c r="FJL91" s="293"/>
      <c r="FJM91" s="294"/>
      <c r="FJS91" s="292"/>
      <c r="FJT91" s="293"/>
      <c r="FJU91" s="294"/>
      <c r="FKA91" s="292"/>
      <c r="FKB91" s="293"/>
      <c r="FKC91" s="294"/>
      <c r="FKI91" s="292"/>
      <c r="FKJ91" s="293"/>
      <c r="FKK91" s="294"/>
      <c r="FKQ91" s="292"/>
      <c r="FKR91" s="293"/>
      <c r="FKS91" s="294"/>
      <c r="FKY91" s="292"/>
      <c r="FKZ91" s="293"/>
      <c r="FLA91" s="294"/>
      <c r="FLG91" s="292"/>
      <c r="FLH91" s="293"/>
      <c r="FLI91" s="294"/>
      <c r="FLO91" s="292"/>
      <c r="FLP91" s="293"/>
      <c r="FLQ91" s="294"/>
      <c r="FLW91" s="292"/>
      <c r="FLX91" s="293"/>
      <c r="FLY91" s="294"/>
      <c r="FME91" s="292"/>
      <c r="FMF91" s="293"/>
      <c r="FMG91" s="294"/>
      <c r="FMM91" s="292"/>
      <c r="FMN91" s="293"/>
      <c r="FMO91" s="294"/>
      <c r="FMU91" s="292"/>
      <c r="FMV91" s="293"/>
      <c r="FMW91" s="294"/>
      <c r="FNC91" s="292"/>
      <c r="FND91" s="293"/>
      <c r="FNE91" s="294"/>
      <c r="FNK91" s="292"/>
      <c r="FNL91" s="293"/>
      <c r="FNM91" s="294"/>
      <c r="FNS91" s="292"/>
      <c r="FNT91" s="293"/>
      <c r="FNU91" s="294"/>
      <c r="FOA91" s="292"/>
      <c r="FOB91" s="293"/>
      <c r="FOC91" s="294"/>
      <c r="FOI91" s="292"/>
      <c r="FOJ91" s="293"/>
      <c r="FOK91" s="294"/>
      <c r="FOQ91" s="292"/>
      <c r="FOR91" s="293"/>
      <c r="FOS91" s="294"/>
      <c r="FOY91" s="292"/>
      <c r="FOZ91" s="293"/>
      <c r="FPA91" s="294"/>
      <c r="FPG91" s="292"/>
      <c r="FPH91" s="293"/>
      <c r="FPI91" s="294"/>
      <c r="FPO91" s="292"/>
      <c r="FPP91" s="293"/>
      <c r="FPQ91" s="294"/>
      <c r="FPW91" s="292"/>
      <c r="FPX91" s="293"/>
      <c r="FPY91" s="294"/>
      <c r="FQE91" s="292"/>
      <c r="FQF91" s="293"/>
      <c r="FQG91" s="294"/>
      <c r="FQM91" s="292"/>
      <c r="FQN91" s="293"/>
      <c r="FQO91" s="294"/>
      <c r="FQU91" s="292"/>
      <c r="FQV91" s="293"/>
      <c r="FQW91" s="294"/>
      <c r="FRC91" s="292"/>
      <c r="FRD91" s="293"/>
      <c r="FRE91" s="294"/>
      <c r="FRK91" s="292"/>
      <c r="FRL91" s="293"/>
      <c r="FRM91" s="294"/>
      <c r="FRS91" s="292"/>
      <c r="FRT91" s="293"/>
      <c r="FRU91" s="294"/>
      <c r="FSA91" s="292"/>
      <c r="FSB91" s="293"/>
      <c r="FSC91" s="294"/>
      <c r="FSI91" s="292"/>
      <c r="FSJ91" s="293"/>
      <c r="FSK91" s="294"/>
      <c r="FSQ91" s="292"/>
      <c r="FSR91" s="293"/>
      <c r="FSS91" s="294"/>
      <c r="FSY91" s="292"/>
      <c r="FSZ91" s="293"/>
      <c r="FTA91" s="294"/>
      <c r="FTG91" s="292"/>
      <c r="FTH91" s="293"/>
      <c r="FTI91" s="294"/>
      <c r="FTO91" s="292"/>
      <c r="FTP91" s="293"/>
      <c r="FTQ91" s="294"/>
      <c r="FTW91" s="292"/>
      <c r="FTX91" s="293"/>
      <c r="FTY91" s="294"/>
      <c r="FUE91" s="292"/>
      <c r="FUF91" s="293"/>
      <c r="FUG91" s="294"/>
      <c r="FUM91" s="292"/>
      <c r="FUN91" s="293"/>
      <c r="FUO91" s="294"/>
      <c r="FUU91" s="292"/>
      <c r="FUV91" s="293"/>
      <c r="FUW91" s="294"/>
      <c r="FVC91" s="292"/>
      <c r="FVD91" s="293"/>
      <c r="FVE91" s="294"/>
      <c r="FVK91" s="292"/>
      <c r="FVL91" s="293"/>
      <c r="FVM91" s="294"/>
      <c r="FVS91" s="292"/>
      <c r="FVT91" s="293"/>
      <c r="FVU91" s="294"/>
      <c r="FWA91" s="292"/>
      <c r="FWB91" s="293"/>
      <c r="FWC91" s="294"/>
      <c r="FWI91" s="292"/>
      <c r="FWJ91" s="293"/>
      <c r="FWK91" s="294"/>
      <c r="FWQ91" s="292"/>
      <c r="FWR91" s="293"/>
      <c r="FWS91" s="294"/>
      <c r="FWY91" s="292"/>
      <c r="FWZ91" s="293"/>
      <c r="FXA91" s="294"/>
      <c r="FXG91" s="292"/>
      <c r="FXH91" s="293"/>
      <c r="FXI91" s="294"/>
      <c r="FXO91" s="292"/>
      <c r="FXP91" s="293"/>
      <c r="FXQ91" s="294"/>
      <c r="FXW91" s="292"/>
      <c r="FXX91" s="293"/>
      <c r="FXY91" s="294"/>
      <c r="FYE91" s="292"/>
      <c r="FYF91" s="293"/>
      <c r="FYG91" s="294"/>
      <c r="FYM91" s="292"/>
      <c r="FYN91" s="293"/>
      <c r="FYO91" s="294"/>
      <c r="FYU91" s="292"/>
      <c r="FYV91" s="293"/>
      <c r="FYW91" s="294"/>
      <c r="FZC91" s="292"/>
      <c r="FZD91" s="293"/>
      <c r="FZE91" s="294"/>
      <c r="FZK91" s="292"/>
      <c r="FZL91" s="293"/>
      <c r="FZM91" s="294"/>
      <c r="FZS91" s="292"/>
      <c r="FZT91" s="293"/>
      <c r="FZU91" s="294"/>
      <c r="GAA91" s="292"/>
      <c r="GAB91" s="293"/>
      <c r="GAC91" s="294"/>
      <c r="GAI91" s="292"/>
      <c r="GAJ91" s="293"/>
      <c r="GAK91" s="294"/>
      <c r="GAQ91" s="292"/>
      <c r="GAR91" s="293"/>
      <c r="GAS91" s="294"/>
      <c r="GAY91" s="292"/>
      <c r="GAZ91" s="293"/>
      <c r="GBA91" s="294"/>
      <c r="GBG91" s="292"/>
      <c r="GBH91" s="293"/>
      <c r="GBI91" s="294"/>
      <c r="GBO91" s="292"/>
      <c r="GBP91" s="293"/>
      <c r="GBQ91" s="294"/>
      <c r="GBW91" s="292"/>
      <c r="GBX91" s="293"/>
      <c r="GBY91" s="294"/>
      <c r="GCE91" s="292"/>
      <c r="GCF91" s="293"/>
      <c r="GCG91" s="294"/>
      <c r="GCM91" s="292"/>
      <c r="GCN91" s="293"/>
      <c r="GCO91" s="294"/>
      <c r="GCU91" s="292"/>
      <c r="GCV91" s="293"/>
      <c r="GCW91" s="294"/>
      <c r="GDC91" s="292"/>
      <c r="GDD91" s="293"/>
      <c r="GDE91" s="294"/>
      <c r="GDK91" s="292"/>
      <c r="GDL91" s="293"/>
      <c r="GDM91" s="294"/>
      <c r="GDS91" s="292"/>
      <c r="GDT91" s="293"/>
      <c r="GDU91" s="294"/>
      <c r="GEA91" s="292"/>
      <c r="GEB91" s="293"/>
      <c r="GEC91" s="294"/>
      <c r="GEI91" s="292"/>
      <c r="GEJ91" s="293"/>
      <c r="GEK91" s="294"/>
      <c r="GEQ91" s="292"/>
      <c r="GER91" s="293"/>
      <c r="GES91" s="294"/>
      <c r="GEY91" s="292"/>
      <c r="GEZ91" s="293"/>
      <c r="GFA91" s="294"/>
      <c r="GFG91" s="292"/>
      <c r="GFH91" s="293"/>
      <c r="GFI91" s="294"/>
      <c r="GFO91" s="292"/>
      <c r="GFP91" s="293"/>
      <c r="GFQ91" s="294"/>
      <c r="GFW91" s="292"/>
      <c r="GFX91" s="293"/>
      <c r="GFY91" s="294"/>
      <c r="GGE91" s="292"/>
      <c r="GGF91" s="293"/>
      <c r="GGG91" s="294"/>
      <c r="GGM91" s="292"/>
      <c r="GGN91" s="293"/>
      <c r="GGO91" s="294"/>
      <c r="GGU91" s="292"/>
      <c r="GGV91" s="293"/>
      <c r="GGW91" s="294"/>
      <c r="GHC91" s="292"/>
      <c r="GHD91" s="293"/>
      <c r="GHE91" s="294"/>
      <c r="GHK91" s="292"/>
      <c r="GHL91" s="293"/>
      <c r="GHM91" s="294"/>
      <c r="GHS91" s="292"/>
      <c r="GHT91" s="293"/>
      <c r="GHU91" s="294"/>
      <c r="GIA91" s="292"/>
      <c r="GIB91" s="293"/>
      <c r="GIC91" s="294"/>
      <c r="GII91" s="292"/>
      <c r="GIJ91" s="293"/>
      <c r="GIK91" s="294"/>
      <c r="GIQ91" s="292"/>
      <c r="GIR91" s="293"/>
      <c r="GIS91" s="294"/>
      <c r="GIY91" s="292"/>
      <c r="GIZ91" s="293"/>
      <c r="GJA91" s="294"/>
      <c r="GJG91" s="292"/>
      <c r="GJH91" s="293"/>
      <c r="GJI91" s="294"/>
      <c r="GJO91" s="292"/>
      <c r="GJP91" s="293"/>
      <c r="GJQ91" s="294"/>
      <c r="GJW91" s="292"/>
      <c r="GJX91" s="293"/>
      <c r="GJY91" s="294"/>
      <c r="GKE91" s="292"/>
      <c r="GKF91" s="293"/>
      <c r="GKG91" s="294"/>
      <c r="GKM91" s="292"/>
      <c r="GKN91" s="293"/>
      <c r="GKO91" s="294"/>
      <c r="GKU91" s="292"/>
      <c r="GKV91" s="293"/>
      <c r="GKW91" s="294"/>
      <c r="GLC91" s="292"/>
      <c r="GLD91" s="293"/>
      <c r="GLE91" s="294"/>
      <c r="GLK91" s="292"/>
      <c r="GLL91" s="293"/>
      <c r="GLM91" s="294"/>
      <c r="GLS91" s="292"/>
      <c r="GLT91" s="293"/>
      <c r="GLU91" s="294"/>
      <c r="GMA91" s="292"/>
      <c r="GMB91" s="293"/>
      <c r="GMC91" s="294"/>
      <c r="GMI91" s="292"/>
      <c r="GMJ91" s="293"/>
      <c r="GMK91" s="294"/>
      <c r="GMQ91" s="292"/>
      <c r="GMR91" s="293"/>
      <c r="GMS91" s="294"/>
      <c r="GMY91" s="292"/>
      <c r="GMZ91" s="293"/>
      <c r="GNA91" s="294"/>
      <c r="GNG91" s="292"/>
      <c r="GNH91" s="293"/>
      <c r="GNI91" s="294"/>
      <c r="GNO91" s="292"/>
      <c r="GNP91" s="293"/>
      <c r="GNQ91" s="294"/>
      <c r="GNW91" s="292"/>
      <c r="GNX91" s="293"/>
      <c r="GNY91" s="294"/>
      <c r="GOE91" s="292"/>
      <c r="GOF91" s="293"/>
      <c r="GOG91" s="294"/>
      <c r="GOM91" s="292"/>
      <c r="GON91" s="293"/>
      <c r="GOO91" s="294"/>
      <c r="GOU91" s="292"/>
      <c r="GOV91" s="293"/>
      <c r="GOW91" s="294"/>
      <c r="GPC91" s="292"/>
      <c r="GPD91" s="293"/>
      <c r="GPE91" s="294"/>
      <c r="GPK91" s="292"/>
      <c r="GPL91" s="293"/>
      <c r="GPM91" s="294"/>
      <c r="GPS91" s="292"/>
      <c r="GPT91" s="293"/>
      <c r="GPU91" s="294"/>
      <c r="GQA91" s="292"/>
      <c r="GQB91" s="293"/>
      <c r="GQC91" s="294"/>
      <c r="GQI91" s="292"/>
      <c r="GQJ91" s="293"/>
      <c r="GQK91" s="294"/>
      <c r="GQQ91" s="292"/>
      <c r="GQR91" s="293"/>
      <c r="GQS91" s="294"/>
      <c r="GQY91" s="292"/>
      <c r="GQZ91" s="293"/>
      <c r="GRA91" s="294"/>
      <c r="GRG91" s="292"/>
      <c r="GRH91" s="293"/>
      <c r="GRI91" s="294"/>
      <c r="GRO91" s="292"/>
      <c r="GRP91" s="293"/>
      <c r="GRQ91" s="294"/>
      <c r="GRW91" s="292"/>
      <c r="GRX91" s="293"/>
      <c r="GRY91" s="294"/>
      <c r="GSE91" s="292"/>
      <c r="GSF91" s="293"/>
      <c r="GSG91" s="294"/>
      <c r="GSM91" s="292"/>
      <c r="GSN91" s="293"/>
      <c r="GSO91" s="294"/>
      <c r="GSU91" s="292"/>
      <c r="GSV91" s="293"/>
      <c r="GSW91" s="294"/>
      <c r="GTC91" s="292"/>
      <c r="GTD91" s="293"/>
      <c r="GTE91" s="294"/>
      <c r="GTK91" s="292"/>
      <c r="GTL91" s="293"/>
      <c r="GTM91" s="294"/>
      <c r="GTS91" s="292"/>
      <c r="GTT91" s="293"/>
      <c r="GTU91" s="294"/>
      <c r="GUA91" s="292"/>
      <c r="GUB91" s="293"/>
      <c r="GUC91" s="294"/>
      <c r="GUI91" s="292"/>
      <c r="GUJ91" s="293"/>
      <c r="GUK91" s="294"/>
      <c r="GUQ91" s="292"/>
      <c r="GUR91" s="293"/>
      <c r="GUS91" s="294"/>
      <c r="GUY91" s="292"/>
      <c r="GUZ91" s="293"/>
      <c r="GVA91" s="294"/>
      <c r="GVG91" s="292"/>
      <c r="GVH91" s="293"/>
      <c r="GVI91" s="294"/>
      <c r="GVO91" s="292"/>
      <c r="GVP91" s="293"/>
      <c r="GVQ91" s="294"/>
      <c r="GVW91" s="292"/>
      <c r="GVX91" s="293"/>
      <c r="GVY91" s="294"/>
      <c r="GWE91" s="292"/>
      <c r="GWF91" s="293"/>
      <c r="GWG91" s="294"/>
      <c r="GWM91" s="292"/>
      <c r="GWN91" s="293"/>
      <c r="GWO91" s="294"/>
      <c r="GWU91" s="292"/>
      <c r="GWV91" s="293"/>
      <c r="GWW91" s="294"/>
      <c r="GXC91" s="292"/>
      <c r="GXD91" s="293"/>
      <c r="GXE91" s="294"/>
      <c r="GXK91" s="292"/>
      <c r="GXL91" s="293"/>
      <c r="GXM91" s="294"/>
      <c r="GXS91" s="292"/>
      <c r="GXT91" s="293"/>
      <c r="GXU91" s="294"/>
      <c r="GYA91" s="292"/>
      <c r="GYB91" s="293"/>
      <c r="GYC91" s="294"/>
      <c r="GYI91" s="292"/>
      <c r="GYJ91" s="293"/>
      <c r="GYK91" s="294"/>
      <c r="GYQ91" s="292"/>
      <c r="GYR91" s="293"/>
      <c r="GYS91" s="294"/>
      <c r="GYY91" s="292"/>
      <c r="GYZ91" s="293"/>
      <c r="GZA91" s="294"/>
      <c r="GZG91" s="292"/>
      <c r="GZH91" s="293"/>
      <c r="GZI91" s="294"/>
      <c r="GZO91" s="292"/>
      <c r="GZP91" s="293"/>
      <c r="GZQ91" s="294"/>
      <c r="GZW91" s="292"/>
      <c r="GZX91" s="293"/>
      <c r="GZY91" s="294"/>
      <c r="HAE91" s="292"/>
      <c r="HAF91" s="293"/>
      <c r="HAG91" s="294"/>
      <c r="HAM91" s="292"/>
      <c r="HAN91" s="293"/>
      <c r="HAO91" s="294"/>
      <c r="HAU91" s="292"/>
      <c r="HAV91" s="293"/>
      <c r="HAW91" s="294"/>
      <c r="HBC91" s="292"/>
      <c r="HBD91" s="293"/>
      <c r="HBE91" s="294"/>
      <c r="HBK91" s="292"/>
      <c r="HBL91" s="293"/>
      <c r="HBM91" s="294"/>
      <c r="HBS91" s="292"/>
      <c r="HBT91" s="293"/>
      <c r="HBU91" s="294"/>
      <c r="HCA91" s="292"/>
      <c r="HCB91" s="293"/>
      <c r="HCC91" s="294"/>
      <c r="HCI91" s="292"/>
      <c r="HCJ91" s="293"/>
      <c r="HCK91" s="294"/>
      <c r="HCQ91" s="292"/>
      <c r="HCR91" s="293"/>
      <c r="HCS91" s="294"/>
      <c r="HCY91" s="292"/>
      <c r="HCZ91" s="293"/>
      <c r="HDA91" s="294"/>
      <c r="HDG91" s="292"/>
      <c r="HDH91" s="293"/>
      <c r="HDI91" s="294"/>
      <c r="HDO91" s="292"/>
      <c r="HDP91" s="293"/>
      <c r="HDQ91" s="294"/>
      <c r="HDW91" s="292"/>
      <c r="HDX91" s="293"/>
      <c r="HDY91" s="294"/>
      <c r="HEE91" s="292"/>
      <c r="HEF91" s="293"/>
      <c r="HEG91" s="294"/>
      <c r="HEM91" s="292"/>
      <c r="HEN91" s="293"/>
      <c r="HEO91" s="294"/>
      <c r="HEU91" s="292"/>
      <c r="HEV91" s="293"/>
      <c r="HEW91" s="294"/>
      <c r="HFC91" s="292"/>
      <c r="HFD91" s="293"/>
      <c r="HFE91" s="294"/>
      <c r="HFK91" s="292"/>
      <c r="HFL91" s="293"/>
      <c r="HFM91" s="294"/>
      <c r="HFS91" s="292"/>
      <c r="HFT91" s="293"/>
      <c r="HFU91" s="294"/>
      <c r="HGA91" s="292"/>
      <c r="HGB91" s="293"/>
      <c r="HGC91" s="294"/>
      <c r="HGI91" s="292"/>
      <c r="HGJ91" s="293"/>
      <c r="HGK91" s="294"/>
      <c r="HGQ91" s="292"/>
      <c r="HGR91" s="293"/>
      <c r="HGS91" s="294"/>
      <c r="HGY91" s="292"/>
      <c r="HGZ91" s="293"/>
      <c r="HHA91" s="294"/>
      <c r="HHG91" s="292"/>
      <c r="HHH91" s="293"/>
      <c r="HHI91" s="294"/>
      <c r="HHO91" s="292"/>
      <c r="HHP91" s="293"/>
      <c r="HHQ91" s="294"/>
      <c r="HHW91" s="292"/>
      <c r="HHX91" s="293"/>
      <c r="HHY91" s="294"/>
      <c r="HIE91" s="292"/>
      <c r="HIF91" s="293"/>
      <c r="HIG91" s="294"/>
      <c r="HIM91" s="292"/>
      <c r="HIN91" s="293"/>
      <c r="HIO91" s="294"/>
      <c r="HIU91" s="292"/>
      <c r="HIV91" s="293"/>
      <c r="HIW91" s="294"/>
      <c r="HJC91" s="292"/>
      <c r="HJD91" s="293"/>
      <c r="HJE91" s="294"/>
      <c r="HJK91" s="292"/>
      <c r="HJL91" s="293"/>
      <c r="HJM91" s="294"/>
      <c r="HJS91" s="292"/>
      <c r="HJT91" s="293"/>
      <c r="HJU91" s="294"/>
      <c r="HKA91" s="292"/>
      <c r="HKB91" s="293"/>
      <c r="HKC91" s="294"/>
      <c r="HKI91" s="292"/>
      <c r="HKJ91" s="293"/>
      <c r="HKK91" s="294"/>
      <c r="HKQ91" s="292"/>
      <c r="HKR91" s="293"/>
      <c r="HKS91" s="294"/>
      <c r="HKY91" s="292"/>
      <c r="HKZ91" s="293"/>
      <c r="HLA91" s="294"/>
      <c r="HLG91" s="292"/>
      <c r="HLH91" s="293"/>
      <c r="HLI91" s="294"/>
      <c r="HLO91" s="292"/>
      <c r="HLP91" s="293"/>
      <c r="HLQ91" s="294"/>
      <c r="HLW91" s="292"/>
      <c r="HLX91" s="293"/>
      <c r="HLY91" s="294"/>
      <c r="HME91" s="292"/>
      <c r="HMF91" s="293"/>
      <c r="HMG91" s="294"/>
      <c r="HMM91" s="292"/>
      <c r="HMN91" s="293"/>
      <c r="HMO91" s="294"/>
      <c r="HMU91" s="292"/>
      <c r="HMV91" s="293"/>
      <c r="HMW91" s="294"/>
      <c r="HNC91" s="292"/>
      <c r="HND91" s="293"/>
      <c r="HNE91" s="294"/>
      <c r="HNK91" s="292"/>
      <c r="HNL91" s="293"/>
      <c r="HNM91" s="294"/>
      <c r="HNS91" s="292"/>
      <c r="HNT91" s="293"/>
      <c r="HNU91" s="294"/>
      <c r="HOA91" s="292"/>
      <c r="HOB91" s="293"/>
      <c r="HOC91" s="294"/>
      <c r="HOI91" s="292"/>
      <c r="HOJ91" s="293"/>
      <c r="HOK91" s="294"/>
      <c r="HOQ91" s="292"/>
      <c r="HOR91" s="293"/>
      <c r="HOS91" s="294"/>
      <c r="HOY91" s="292"/>
      <c r="HOZ91" s="293"/>
      <c r="HPA91" s="294"/>
      <c r="HPG91" s="292"/>
      <c r="HPH91" s="293"/>
      <c r="HPI91" s="294"/>
      <c r="HPO91" s="292"/>
      <c r="HPP91" s="293"/>
      <c r="HPQ91" s="294"/>
      <c r="HPW91" s="292"/>
      <c r="HPX91" s="293"/>
      <c r="HPY91" s="294"/>
      <c r="HQE91" s="292"/>
      <c r="HQF91" s="293"/>
      <c r="HQG91" s="294"/>
      <c r="HQM91" s="292"/>
      <c r="HQN91" s="293"/>
      <c r="HQO91" s="294"/>
      <c r="HQU91" s="292"/>
      <c r="HQV91" s="293"/>
      <c r="HQW91" s="294"/>
      <c r="HRC91" s="292"/>
      <c r="HRD91" s="293"/>
      <c r="HRE91" s="294"/>
      <c r="HRK91" s="292"/>
      <c r="HRL91" s="293"/>
      <c r="HRM91" s="294"/>
      <c r="HRS91" s="292"/>
      <c r="HRT91" s="293"/>
      <c r="HRU91" s="294"/>
      <c r="HSA91" s="292"/>
      <c r="HSB91" s="293"/>
      <c r="HSC91" s="294"/>
      <c r="HSI91" s="292"/>
      <c r="HSJ91" s="293"/>
      <c r="HSK91" s="294"/>
      <c r="HSQ91" s="292"/>
      <c r="HSR91" s="293"/>
      <c r="HSS91" s="294"/>
      <c r="HSY91" s="292"/>
      <c r="HSZ91" s="293"/>
      <c r="HTA91" s="294"/>
      <c r="HTG91" s="292"/>
      <c r="HTH91" s="293"/>
      <c r="HTI91" s="294"/>
      <c r="HTO91" s="292"/>
      <c r="HTP91" s="293"/>
      <c r="HTQ91" s="294"/>
      <c r="HTW91" s="292"/>
      <c r="HTX91" s="293"/>
      <c r="HTY91" s="294"/>
      <c r="HUE91" s="292"/>
      <c r="HUF91" s="293"/>
      <c r="HUG91" s="294"/>
      <c r="HUM91" s="292"/>
      <c r="HUN91" s="293"/>
      <c r="HUO91" s="294"/>
      <c r="HUU91" s="292"/>
      <c r="HUV91" s="293"/>
      <c r="HUW91" s="294"/>
      <c r="HVC91" s="292"/>
      <c r="HVD91" s="293"/>
      <c r="HVE91" s="294"/>
      <c r="HVK91" s="292"/>
      <c r="HVL91" s="293"/>
      <c r="HVM91" s="294"/>
      <c r="HVS91" s="292"/>
      <c r="HVT91" s="293"/>
      <c r="HVU91" s="294"/>
      <c r="HWA91" s="292"/>
      <c r="HWB91" s="293"/>
      <c r="HWC91" s="294"/>
      <c r="HWI91" s="292"/>
      <c r="HWJ91" s="293"/>
      <c r="HWK91" s="294"/>
      <c r="HWQ91" s="292"/>
      <c r="HWR91" s="293"/>
      <c r="HWS91" s="294"/>
      <c r="HWY91" s="292"/>
      <c r="HWZ91" s="293"/>
      <c r="HXA91" s="294"/>
      <c r="HXG91" s="292"/>
      <c r="HXH91" s="293"/>
      <c r="HXI91" s="294"/>
      <c r="HXO91" s="292"/>
      <c r="HXP91" s="293"/>
      <c r="HXQ91" s="294"/>
      <c r="HXW91" s="292"/>
      <c r="HXX91" s="293"/>
      <c r="HXY91" s="294"/>
      <c r="HYE91" s="292"/>
      <c r="HYF91" s="293"/>
      <c r="HYG91" s="294"/>
      <c r="HYM91" s="292"/>
      <c r="HYN91" s="293"/>
      <c r="HYO91" s="294"/>
      <c r="HYU91" s="292"/>
      <c r="HYV91" s="293"/>
      <c r="HYW91" s="294"/>
      <c r="HZC91" s="292"/>
      <c r="HZD91" s="293"/>
      <c r="HZE91" s="294"/>
      <c r="HZK91" s="292"/>
      <c r="HZL91" s="293"/>
      <c r="HZM91" s="294"/>
      <c r="HZS91" s="292"/>
      <c r="HZT91" s="293"/>
      <c r="HZU91" s="294"/>
      <c r="IAA91" s="292"/>
      <c r="IAB91" s="293"/>
      <c r="IAC91" s="294"/>
      <c r="IAI91" s="292"/>
      <c r="IAJ91" s="293"/>
      <c r="IAK91" s="294"/>
      <c r="IAQ91" s="292"/>
      <c r="IAR91" s="293"/>
      <c r="IAS91" s="294"/>
      <c r="IAY91" s="292"/>
      <c r="IAZ91" s="293"/>
      <c r="IBA91" s="294"/>
      <c r="IBG91" s="292"/>
      <c r="IBH91" s="293"/>
      <c r="IBI91" s="294"/>
      <c r="IBO91" s="292"/>
      <c r="IBP91" s="293"/>
      <c r="IBQ91" s="294"/>
      <c r="IBW91" s="292"/>
      <c r="IBX91" s="293"/>
      <c r="IBY91" s="294"/>
      <c r="ICE91" s="292"/>
      <c r="ICF91" s="293"/>
      <c r="ICG91" s="294"/>
      <c r="ICM91" s="292"/>
      <c r="ICN91" s="293"/>
      <c r="ICO91" s="294"/>
      <c r="ICU91" s="292"/>
      <c r="ICV91" s="293"/>
      <c r="ICW91" s="294"/>
      <c r="IDC91" s="292"/>
      <c r="IDD91" s="293"/>
      <c r="IDE91" s="294"/>
      <c r="IDK91" s="292"/>
      <c r="IDL91" s="293"/>
      <c r="IDM91" s="294"/>
      <c r="IDS91" s="292"/>
      <c r="IDT91" s="293"/>
      <c r="IDU91" s="294"/>
      <c r="IEA91" s="292"/>
      <c r="IEB91" s="293"/>
      <c r="IEC91" s="294"/>
      <c r="IEI91" s="292"/>
      <c r="IEJ91" s="293"/>
      <c r="IEK91" s="294"/>
      <c r="IEQ91" s="292"/>
      <c r="IER91" s="293"/>
      <c r="IES91" s="294"/>
      <c r="IEY91" s="292"/>
      <c r="IEZ91" s="293"/>
      <c r="IFA91" s="294"/>
      <c r="IFG91" s="292"/>
      <c r="IFH91" s="293"/>
      <c r="IFI91" s="294"/>
      <c r="IFO91" s="292"/>
      <c r="IFP91" s="293"/>
      <c r="IFQ91" s="294"/>
      <c r="IFW91" s="292"/>
      <c r="IFX91" s="293"/>
      <c r="IFY91" s="294"/>
      <c r="IGE91" s="292"/>
      <c r="IGF91" s="293"/>
      <c r="IGG91" s="294"/>
      <c r="IGM91" s="292"/>
      <c r="IGN91" s="293"/>
      <c r="IGO91" s="294"/>
      <c r="IGU91" s="292"/>
      <c r="IGV91" s="293"/>
      <c r="IGW91" s="294"/>
      <c r="IHC91" s="292"/>
      <c r="IHD91" s="293"/>
      <c r="IHE91" s="294"/>
      <c r="IHK91" s="292"/>
      <c r="IHL91" s="293"/>
      <c r="IHM91" s="294"/>
      <c r="IHS91" s="292"/>
      <c r="IHT91" s="293"/>
      <c r="IHU91" s="294"/>
      <c r="IIA91" s="292"/>
      <c r="IIB91" s="293"/>
      <c r="IIC91" s="294"/>
      <c r="III91" s="292"/>
      <c r="IIJ91" s="293"/>
      <c r="IIK91" s="294"/>
      <c r="IIQ91" s="292"/>
      <c r="IIR91" s="293"/>
      <c r="IIS91" s="294"/>
      <c r="IIY91" s="292"/>
      <c r="IIZ91" s="293"/>
      <c r="IJA91" s="294"/>
      <c r="IJG91" s="292"/>
      <c r="IJH91" s="293"/>
      <c r="IJI91" s="294"/>
      <c r="IJO91" s="292"/>
      <c r="IJP91" s="293"/>
      <c r="IJQ91" s="294"/>
      <c r="IJW91" s="292"/>
      <c r="IJX91" s="293"/>
      <c r="IJY91" s="294"/>
      <c r="IKE91" s="292"/>
      <c r="IKF91" s="293"/>
      <c r="IKG91" s="294"/>
      <c r="IKM91" s="292"/>
      <c r="IKN91" s="293"/>
      <c r="IKO91" s="294"/>
      <c r="IKU91" s="292"/>
      <c r="IKV91" s="293"/>
      <c r="IKW91" s="294"/>
      <c r="ILC91" s="292"/>
      <c r="ILD91" s="293"/>
      <c r="ILE91" s="294"/>
      <c r="ILK91" s="292"/>
      <c r="ILL91" s="293"/>
      <c r="ILM91" s="294"/>
      <c r="ILS91" s="292"/>
      <c r="ILT91" s="293"/>
      <c r="ILU91" s="294"/>
      <c r="IMA91" s="292"/>
      <c r="IMB91" s="293"/>
      <c r="IMC91" s="294"/>
      <c r="IMI91" s="292"/>
      <c r="IMJ91" s="293"/>
      <c r="IMK91" s="294"/>
      <c r="IMQ91" s="292"/>
      <c r="IMR91" s="293"/>
      <c r="IMS91" s="294"/>
      <c r="IMY91" s="292"/>
      <c r="IMZ91" s="293"/>
      <c r="INA91" s="294"/>
      <c r="ING91" s="292"/>
      <c r="INH91" s="293"/>
      <c r="INI91" s="294"/>
      <c r="INO91" s="292"/>
      <c r="INP91" s="293"/>
      <c r="INQ91" s="294"/>
      <c r="INW91" s="292"/>
      <c r="INX91" s="293"/>
      <c r="INY91" s="294"/>
      <c r="IOE91" s="292"/>
      <c r="IOF91" s="293"/>
      <c r="IOG91" s="294"/>
      <c r="IOM91" s="292"/>
      <c r="ION91" s="293"/>
      <c r="IOO91" s="294"/>
      <c r="IOU91" s="292"/>
      <c r="IOV91" s="293"/>
      <c r="IOW91" s="294"/>
      <c r="IPC91" s="292"/>
      <c r="IPD91" s="293"/>
      <c r="IPE91" s="294"/>
      <c r="IPK91" s="292"/>
      <c r="IPL91" s="293"/>
      <c r="IPM91" s="294"/>
      <c r="IPS91" s="292"/>
      <c r="IPT91" s="293"/>
      <c r="IPU91" s="294"/>
      <c r="IQA91" s="292"/>
      <c r="IQB91" s="293"/>
      <c r="IQC91" s="294"/>
      <c r="IQI91" s="292"/>
      <c r="IQJ91" s="293"/>
      <c r="IQK91" s="294"/>
      <c r="IQQ91" s="292"/>
      <c r="IQR91" s="293"/>
      <c r="IQS91" s="294"/>
      <c r="IQY91" s="292"/>
      <c r="IQZ91" s="293"/>
      <c r="IRA91" s="294"/>
      <c r="IRG91" s="292"/>
      <c r="IRH91" s="293"/>
      <c r="IRI91" s="294"/>
      <c r="IRO91" s="292"/>
      <c r="IRP91" s="293"/>
      <c r="IRQ91" s="294"/>
      <c r="IRW91" s="292"/>
      <c r="IRX91" s="293"/>
      <c r="IRY91" s="294"/>
      <c r="ISE91" s="292"/>
      <c r="ISF91" s="293"/>
      <c r="ISG91" s="294"/>
      <c r="ISM91" s="292"/>
      <c r="ISN91" s="293"/>
      <c r="ISO91" s="294"/>
      <c r="ISU91" s="292"/>
      <c r="ISV91" s="293"/>
      <c r="ISW91" s="294"/>
      <c r="ITC91" s="292"/>
      <c r="ITD91" s="293"/>
      <c r="ITE91" s="294"/>
      <c r="ITK91" s="292"/>
      <c r="ITL91" s="293"/>
      <c r="ITM91" s="294"/>
      <c r="ITS91" s="292"/>
      <c r="ITT91" s="293"/>
      <c r="ITU91" s="294"/>
      <c r="IUA91" s="292"/>
      <c r="IUB91" s="293"/>
      <c r="IUC91" s="294"/>
      <c r="IUI91" s="292"/>
      <c r="IUJ91" s="293"/>
      <c r="IUK91" s="294"/>
      <c r="IUQ91" s="292"/>
      <c r="IUR91" s="293"/>
      <c r="IUS91" s="294"/>
      <c r="IUY91" s="292"/>
      <c r="IUZ91" s="293"/>
      <c r="IVA91" s="294"/>
      <c r="IVG91" s="292"/>
      <c r="IVH91" s="293"/>
      <c r="IVI91" s="294"/>
      <c r="IVO91" s="292"/>
      <c r="IVP91" s="293"/>
      <c r="IVQ91" s="294"/>
      <c r="IVW91" s="292"/>
      <c r="IVX91" s="293"/>
      <c r="IVY91" s="294"/>
      <c r="IWE91" s="292"/>
      <c r="IWF91" s="293"/>
      <c r="IWG91" s="294"/>
      <c r="IWM91" s="292"/>
      <c r="IWN91" s="293"/>
      <c r="IWO91" s="294"/>
      <c r="IWU91" s="292"/>
      <c r="IWV91" s="293"/>
      <c r="IWW91" s="294"/>
      <c r="IXC91" s="292"/>
      <c r="IXD91" s="293"/>
      <c r="IXE91" s="294"/>
      <c r="IXK91" s="292"/>
      <c r="IXL91" s="293"/>
      <c r="IXM91" s="294"/>
      <c r="IXS91" s="292"/>
      <c r="IXT91" s="293"/>
      <c r="IXU91" s="294"/>
      <c r="IYA91" s="292"/>
      <c r="IYB91" s="293"/>
      <c r="IYC91" s="294"/>
      <c r="IYI91" s="292"/>
      <c r="IYJ91" s="293"/>
      <c r="IYK91" s="294"/>
      <c r="IYQ91" s="292"/>
      <c r="IYR91" s="293"/>
      <c r="IYS91" s="294"/>
      <c r="IYY91" s="292"/>
      <c r="IYZ91" s="293"/>
      <c r="IZA91" s="294"/>
      <c r="IZG91" s="292"/>
      <c r="IZH91" s="293"/>
      <c r="IZI91" s="294"/>
      <c r="IZO91" s="292"/>
      <c r="IZP91" s="293"/>
      <c r="IZQ91" s="294"/>
      <c r="IZW91" s="292"/>
      <c r="IZX91" s="293"/>
      <c r="IZY91" s="294"/>
      <c r="JAE91" s="292"/>
      <c r="JAF91" s="293"/>
      <c r="JAG91" s="294"/>
      <c r="JAM91" s="292"/>
      <c r="JAN91" s="293"/>
      <c r="JAO91" s="294"/>
      <c r="JAU91" s="292"/>
      <c r="JAV91" s="293"/>
      <c r="JAW91" s="294"/>
      <c r="JBC91" s="292"/>
      <c r="JBD91" s="293"/>
      <c r="JBE91" s="294"/>
      <c r="JBK91" s="292"/>
      <c r="JBL91" s="293"/>
      <c r="JBM91" s="294"/>
      <c r="JBS91" s="292"/>
      <c r="JBT91" s="293"/>
      <c r="JBU91" s="294"/>
      <c r="JCA91" s="292"/>
      <c r="JCB91" s="293"/>
      <c r="JCC91" s="294"/>
      <c r="JCI91" s="292"/>
      <c r="JCJ91" s="293"/>
      <c r="JCK91" s="294"/>
      <c r="JCQ91" s="292"/>
      <c r="JCR91" s="293"/>
      <c r="JCS91" s="294"/>
      <c r="JCY91" s="292"/>
      <c r="JCZ91" s="293"/>
      <c r="JDA91" s="294"/>
      <c r="JDG91" s="292"/>
      <c r="JDH91" s="293"/>
      <c r="JDI91" s="294"/>
      <c r="JDO91" s="292"/>
      <c r="JDP91" s="293"/>
      <c r="JDQ91" s="294"/>
      <c r="JDW91" s="292"/>
      <c r="JDX91" s="293"/>
      <c r="JDY91" s="294"/>
      <c r="JEE91" s="292"/>
      <c r="JEF91" s="293"/>
      <c r="JEG91" s="294"/>
      <c r="JEM91" s="292"/>
      <c r="JEN91" s="293"/>
      <c r="JEO91" s="294"/>
      <c r="JEU91" s="292"/>
      <c r="JEV91" s="293"/>
      <c r="JEW91" s="294"/>
      <c r="JFC91" s="292"/>
      <c r="JFD91" s="293"/>
      <c r="JFE91" s="294"/>
      <c r="JFK91" s="292"/>
      <c r="JFL91" s="293"/>
      <c r="JFM91" s="294"/>
      <c r="JFS91" s="292"/>
      <c r="JFT91" s="293"/>
      <c r="JFU91" s="294"/>
      <c r="JGA91" s="292"/>
      <c r="JGB91" s="293"/>
      <c r="JGC91" s="294"/>
      <c r="JGI91" s="292"/>
      <c r="JGJ91" s="293"/>
      <c r="JGK91" s="294"/>
      <c r="JGQ91" s="292"/>
      <c r="JGR91" s="293"/>
      <c r="JGS91" s="294"/>
      <c r="JGY91" s="292"/>
      <c r="JGZ91" s="293"/>
      <c r="JHA91" s="294"/>
      <c r="JHG91" s="292"/>
      <c r="JHH91" s="293"/>
      <c r="JHI91" s="294"/>
      <c r="JHO91" s="292"/>
      <c r="JHP91" s="293"/>
      <c r="JHQ91" s="294"/>
      <c r="JHW91" s="292"/>
      <c r="JHX91" s="293"/>
      <c r="JHY91" s="294"/>
      <c r="JIE91" s="292"/>
      <c r="JIF91" s="293"/>
      <c r="JIG91" s="294"/>
      <c r="JIM91" s="292"/>
      <c r="JIN91" s="293"/>
      <c r="JIO91" s="294"/>
      <c r="JIU91" s="292"/>
      <c r="JIV91" s="293"/>
      <c r="JIW91" s="294"/>
      <c r="JJC91" s="292"/>
      <c r="JJD91" s="293"/>
      <c r="JJE91" s="294"/>
      <c r="JJK91" s="292"/>
      <c r="JJL91" s="293"/>
      <c r="JJM91" s="294"/>
      <c r="JJS91" s="292"/>
      <c r="JJT91" s="293"/>
      <c r="JJU91" s="294"/>
      <c r="JKA91" s="292"/>
      <c r="JKB91" s="293"/>
      <c r="JKC91" s="294"/>
      <c r="JKI91" s="292"/>
      <c r="JKJ91" s="293"/>
      <c r="JKK91" s="294"/>
      <c r="JKQ91" s="292"/>
      <c r="JKR91" s="293"/>
      <c r="JKS91" s="294"/>
      <c r="JKY91" s="292"/>
      <c r="JKZ91" s="293"/>
      <c r="JLA91" s="294"/>
      <c r="JLG91" s="292"/>
      <c r="JLH91" s="293"/>
      <c r="JLI91" s="294"/>
      <c r="JLO91" s="292"/>
      <c r="JLP91" s="293"/>
      <c r="JLQ91" s="294"/>
      <c r="JLW91" s="292"/>
      <c r="JLX91" s="293"/>
      <c r="JLY91" s="294"/>
      <c r="JME91" s="292"/>
      <c r="JMF91" s="293"/>
      <c r="JMG91" s="294"/>
      <c r="JMM91" s="292"/>
      <c r="JMN91" s="293"/>
      <c r="JMO91" s="294"/>
      <c r="JMU91" s="292"/>
      <c r="JMV91" s="293"/>
      <c r="JMW91" s="294"/>
      <c r="JNC91" s="292"/>
      <c r="JND91" s="293"/>
      <c r="JNE91" s="294"/>
      <c r="JNK91" s="292"/>
      <c r="JNL91" s="293"/>
      <c r="JNM91" s="294"/>
      <c r="JNS91" s="292"/>
      <c r="JNT91" s="293"/>
      <c r="JNU91" s="294"/>
      <c r="JOA91" s="292"/>
      <c r="JOB91" s="293"/>
      <c r="JOC91" s="294"/>
      <c r="JOI91" s="292"/>
      <c r="JOJ91" s="293"/>
      <c r="JOK91" s="294"/>
      <c r="JOQ91" s="292"/>
      <c r="JOR91" s="293"/>
      <c r="JOS91" s="294"/>
      <c r="JOY91" s="292"/>
      <c r="JOZ91" s="293"/>
      <c r="JPA91" s="294"/>
      <c r="JPG91" s="292"/>
      <c r="JPH91" s="293"/>
      <c r="JPI91" s="294"/>
      <c r="JPO91" s="292"/>
      <c r="JPP91" s="293"/>
      <c r="JPQ91" s="294"/>
      <c r="JPW91" s="292"/>
      <c r="JPX91" s="293"/>
      <c r="JPY91" s="294"/>
      <c r="JQE91" s="292"/>
      <c r="JQF91" s="293"/>
      <c r="JQG91" s="294"/>
      <c r="JQM91" s="292"/>
      <c r="JQN91" s="293"/>
      <c r="JQO91" s="294"/>
      <c r="JQU91" s="292"/>
      <c r="JQV91" s="293"/>
      <c r="JQW91" s="294"/>
      <c r="JRC91" s="292"/>
      <c r="JRD91" s="293"/>
      <c r="JRE91" s="294"/>
      <c r="JRK91" s="292"/>
      <c r="JRL91" s="293"/>
      <c r="JRM91" s="294"/>
      <c r="JRS91" s="292"/>
      <c r="JRT91" s="293"/>
      <c r="JRU91" s="294"/>
      <c r="JSA91" s="292"/>
      <c r="JSB91" s="293"/>
      <c r="JSC91" s="294"/>
      <c r="JSI91" s="292"/>
      <c r="JSJ91" s="293"/>
      <c r="JSK91" s="294"/>
      <c r="JSQ91" s="292"/>
      <c r="JSR91" s="293"/>
      <c r="JSS91" s="294"/>
      <c r="JSY91" s="292"/>
      <c r="JSZ91" s="293"/>
      <c r="JTA91" s="294"/>
      <c r="JTG91" s="292"/>
      <c r="JTH91" s="293"/>
      <c r="JTI91" s="294"/>
      <c r="JTO91" s="292"/>
      <c r="JTP91" s="293"/>
      <c r="JTQ91" s="294"/>
      <c r="JTW91" s="292"/>
      <c r="JTX91" s="293"/>
      <c r="JTY91" s="294"/>
      <c r="JUE91" s="292"/>
      <c r="JUF91" s="293"/>
      <c r="JUG91" s="294"/>
      <c r="JUM91" s="292"/>
      <c r="JUN91" s="293"/>
      <c r="JUO91" s="294"/>
      <c r="JUU91" s="292"/>
      <c r="JUV91" s="293"/>
      <c r="JUW91" s="294"/>
      <c r="JVC91" s="292"/>
      <c r="JVD91" s="293"/>
      <c r="JVE91" s="294"/>
      <c r="JVK91" s="292"/>
      <c r="JVL91" s="293"/>
      <c r="JVM91" s="294"/>
      <c r="JVS91" s="292"/>
      <c r="JVT91" s="293"/>
      <c r="JVU91" s="294"/>
      <c r="JWA91" s="292"/>
      <c r="JWB91" s="293"/>
      <c r="JWC91" s="294"/>
      <c r="JWI91" s="292"/>
      <c r="JWJ91" s="293"/>
      <c r="JWK91" s="294"/>
      <c r="JWQ91" s="292"/>
      <c r="JWR91" s="293"/>
      <c r="JWS91" s="294"/>
      <c r="JWY91" s="292"/>
      <c r="JWZ91" s="293"/>
      <c r="JXA91" s="294"/>
      <c r="JXG91" s="292"/>
      <c r="JXH91" s="293"/>
      <c r="JXI91" s="294"/>
      <c r="JXO91" s="292"/>
      <c r="JXP91" s="293"/>
      <c r="JXQ91" s="294"/>
      <c r="JXW91" s="292"/>
      <c r="JXX91" s="293"/>
      <c r="JXY91" s="294"/>
      <c r="JYE91" s="292"/>
      <c r="JYF91" s="293"/>
      <c r="JYG91" s="294"/>
      <c r="JYM91" s="292"/>
      <c r="JYN91" s="293"/>
      <c r="JYO91" s="294"/>
      <c r="JYU91" s="292"/>
      <c r="JYV91" s="293"/>
      <c r="JYW91" s="294"/>
      <c r="JZC91" s="292"/>
      <c r="JZD91" s="293"/>
      <c r="JZE91" s="294"/>
      <c r="JZK91" s="292"/>
      <c r="JZL91" s="293"/>
      <c r="JZM91" s="294"/>
      <c r="JZS91" s="292"/>
      <c r="JZT91" s="293"/>
      <c r="JZU91" s="294"/>
      <c r="KAA91" s="292"/>
      <c r="KAB91" s="293"/>
      <c r="KAC91" s="294"/>
      <c r="KAI91" s="292"/>
      <c r="KAJ91" s="293"/>
      <c r="KAK91" s="294"/>
      <c r="KAQ91" s="292"/>
      <c r="KAR91" s="293"/>
      <c r="KAS91" s="294"/>
      <c r="KAY91" s="292"/>
      <c r="KAZ91" s="293"/>
      <c r="KBA91" s="294"/>
      <c r="KBG91" s="292"/>
      <c r="KBH91" s="293"/>
      <c r="KBI91" s="294"/>
      <c r="KBO91" s="292"/>
      <c r="KBP91" s="293"/>
      <c r="KBQ91" s="294"/>
      <c r="KBW91" s="292"/>
      <c r="KBX91" s="293"/>
      <c r="KBY91" s="294"/>
      <c r="KCE91" s="292"/>
      <c r="KCF91" s="293"/>
      <c r="KCG91" s="294"/>
      <c r="KCM91" s="292"/>
      <c r="KCN91" s="293"/>
      <c r="KCO91" s="294"/>
      <c r="KCU91" s="292"/>
      <c r="KCV91" s="293"/>
      <c r="KCW91" s="294"/>
      <c r="KDC91" s="292"/>
      <c r="KDD91" s="293"/>
      <c r="KDE91" s="294"/>
      <c r="KDK91" s="292"/>
      <c r="KDL91" s="293"/>
      <c r="KDM91" s="294"/>
      <c r="KDS91" s="292"/>
      <c r="KDT91" s="293"/>
      <c r="KDU91" s="294"/>
      <c r="KEA91" s="292"/>
      <c r="KEB91" s="293"/>
      <c r="KEC91" s="294"/>
      <c r="KEI91" s="292"/>
      <c r="KEJ91" s="293"/>
      <c r="KEK91" s="294"/>
      <c r="KEQ91" s="292"/>
      <c r="KER91" s="293"/>
      <c r="KES91" s="294"/>
      <c r="KEY91" s="292"/>
      <c r="KEZ91" s="293"/>
      <c r="KFA91" s="294"/>
      <c r="KFG91" s="292"/>
      <c r="KFH91" s="293"/>
      <c r="KFI91" s="294"/>
      <c r="KFO91" s="292"/>
      <c r="KFP91" s="293"/>
      <c r="KFQ91" s="294"/>
      <c r="KFW91" s="292"/>
      <c r="KFX91" s="293"/>
      <c r="KFY91" s="294"/>
      <c r="KGE91" s="292"/>
      <c r="KGF91" s="293"/>
      <c r="KGG91" s="294"/>
      <c r="KGM91" s="292"/>
      <c r="KGN91" s="293"/>
      <c r="KGO91" s="294"/>
      <c r="KGU91" s="292"/>
      <c r="KGV91" s="293"/>
      <c r="KGW91" s="294"/>
      <c r="KHC91" s="292"/>
      <c r="KHD91" s="293"/>
      <c r="KHE91" s="294"/>
      <c r="KHK91" s="292"/>
      <c r="KHL91" s="293"/>
      <c r="KHM91" s="294"/>
      <c r="KHS91" s="292"/>
      <c r="KHT91" s="293"/>
      <c r="KHU91" s="294"/>
      <c r="KIA91" s="292"/>
      <c r="KIB91" s="293"/>
      <c r="KIC91" s="294"/>
      <c r="KII91" s="292"/>
      <c r="KIJ91" s="293"/>
      <c r="KIK91" s="294"/>
      <c r="KIQ91" s="292"/>
      <c r="KIR91" s="293"/>
      <c r="KIS91" s="294"/>
      <c r="KIY91" s="292"/>
      <c r="KIZ91" s="293"/>
      <c r="KJA91" s="294"/>
      <c r="KJG91" s="292"/>
      <c r="KJH91" s="293"/>
      <c r="KJI91" s="294"/>
      <c r="KJO91" s="292"/>
      <c r="KJP91" s="293"/>
      <c r="KJQ91" s="294"/>
      <c r="KJW91" s="292"/>
      <c r="KJX91" s="293"/>
      <c r="KJY91" s="294"/>
      <c r="KKE91" s="292"/>
      <c r="KKF91" s="293"/>
      <c r="KKG91" s="294"/>
      <c r="KKM91" s="292"/>
      <c r="KKN91" s="293"/>
      <c r="KKO91" s="294"/>
      <c r="KKU91" s="292"/>
      <c r="KKV91" s="293"/>
      <c r="KKW91" s="294"/>
      <c r="KLC91" s="292"/>
      <c r="KLD91" s="293"/>
      <c r="KLE91" s="294"/>
      <c r="KLK91" s="292"/>
      <c r="KLL91" s="293"/>
      <c r="KLM91" s="294"/>
      <c r="KLS91" s="292"/>
      <c r="KLT91" s="293"/>
      <c r="KLU91" s="294"/>
      <c r="KMA91" s="292"/>
      <c r="KMB91" s="293"/>
      <c r="KMC91" s="294"/>
      <c r="KMI91" s="292"/>
      <c r="KMJ91" s="293"/>
      <c r="KMK91" s="294"/>
      <c r="KMQ91" s="292"/>
      <c r="KMR91" s="293"/>
      <c r="KMS91" s="294"/>
      <c r="KMY91" s="292"/>
      <c r="KMZ91" s="293"/>
      <c r="KNA91" s="294"/>
      <c r="KNG91" s="292"/>
      <c r="KNH91" s="293"/>
      <c r="KNI91" s="294"/>
      <c r="KNO91" s="292"/>
      <c r="KNP91" s="293"/>
      <c r="KNQ91" s="294"/>
      <c r="KNW91" s="292"/>
      <c r="KNX91" s="293"/>
      <c r="KNY91" s="294"/>
      <c r="KOE91" s="292"/>
      <c r="KOF91" s="293"/>
      <c r="KOG91" s="294"/>
      <c r="KOM91" s="292"/>
      <c r="KON91" s="293"/>
      <c r="KOO91" s="294"/>
      <c r="KOU91" s="292"/>
      <c r="KOV91" s="293"/>
      <c r="KOW91" s="294"/>
      <c r="KPC91" s="292"/>
      <c r="KPD91" s="293"/>
      <c r="KPE91" s="294"/>
      <c r="KPK91" s="292"/>
      <c r="KPL91" s="293"/>
      <c r="KPM91" s="294"/>
      <c r="KPS91" s="292"/>
      <c r="KPT91" s="293"/>
      <c r="KPU91" s="294"/>
      <c r="KQA91" s="292"/>
      <c r="KQB91" s="293"/>
      <c r="KQC91" s="294"/>
      <c r="KQI91" s="292"/>
      <c r="KQJ91" s="293"/>
      <c r="KQK91" s="294"/>
      <c r="KQQ91" s="292"/>
      <c r="KQR91" s="293"/>
      <c r="KQS91" s="294"/>
      <c r="KQY91" s="292"/>
      <c r="KQZ91" s="293"/>
      <c r="KRA91" s="294"/>
      <c r="KRG91" s="292"/>
      <c r="KRH91" s="293"/>
      <c r="KRI91" s="294"/>
      <c r="KRO91" s="292"/>
      <c r="KRP91" s="293"/>
      <c r="KRQ91" s="294"/>
      <c r="KRW91" s="292"/>
      <c r="KRX91" s="293"/>
      <c r="KRY91" s="294"/>
      <c r="KSE91" s="292"/>
      <c r="KSF91" s="293"/>
      <c r="KSG91" s="294"/>
      <c r="KSM91" s="292"/>
      <c r="KSN91" s="293"/>
      <c r="KSO91" s="294"/>
      <c r="KSU91" s="292"/>
      <c r="KSV91" s="293"/>
      <c r="KSW91" s="294"/>
      <c r="KTC91" s="292"/>
      <c r="KTD91" s="293"/>
      <c r="KTE91" s="294"/>
      <c r="KTK91" s="292"/>
      <c r="KTL91" s="293"/>
      <c r="KTM91" s="294"/>
      <c r="KTS91" s="292"/>
      <c r="KTT91" s="293"/>
      <c r="KTU91" s="294"/>
      <c r="KUA91" s="292"/>
      <c r="KUB91" s="293"/>
      <c r="KUC91" s="294"/>
      <c r="KUI91" s="292"/>
      <c r="KUJ91" s="293"/>
      <c r="KUK91" s="294"/>
      <c r="KUQ91" s="292"/>
      <c r="KUR91" s="293"/>
      <c r="KUS91" s="294"/>
      <c r="KUY91" s="292"/>
      <c r="KUZ91" s="293"/>
      <c r="KVA91" s="294"/>
      <c r="KVG91" s="292"/>
      <c r="KVH91" s="293"/>
      <c r="KVI91" s="294"/>
      <c r="KVO91" s="292"/>
      <c r="KVP91" s="293"/>
      <c r="KVQ91" s="294"/>
      <c r="KVW91" s="292"/>
      <c r="KVX91" s="293"/>
      <c r="KVY91" s="294"/>
      <c r="KWE91" s="292"/>
      <c r="KWF91" s="293"/>
      <c r="KWG91" s="294"/>
      <c r="KWM91" s="292"/>
      <c r="KWN91" s="293"/>
      <c r="KWO91" s="294"/>
      <c r="KWU91" s="292"/>
      <c r="KWV91" s="293"/>
      <c r="KWW91" s="294"/>
      <c r="KXC91" s="292"/>
      <c r="KXD91" s="293"/>
      <c r="KXE91" s="294"/>
      <c r="KXK91" s="292"/>
      <c r="KXL91" s="293"/>
      <c r="KXM91" s="294"/>
      <c r="KXS91" s="292"/>
      <c r="KXT91" s="293"/>
      <c r="KXU91" s="294"/>
      <c r="KYA91" s="292"/>
      <c r="KYB91" s="293"/>
      <c r="KYC91" s="294"/>
      <c r="KYI91" s="292"/>
      <c r="KYJ91" s="293"/>
      <c r="KYK91" s="294"/>
      <c r="KYQ91" s="292"/>
      <c r="KYR91" s="293"/>
      <c r="KYS91" s="294"/>
      <c r="KYY91" s="292"/>
      <c r="KYZ91" s="293"/>
      <c r="KZA91" s="294"/>
      <c r="KZG91" s="292"/>
      <c r="KZH91" s="293"/>
      <c r="KZI91" s="294"/>
      <c r="KZO91" s="292"/>
      <c r="KZP91" s="293"/>
      <c r="KZQ91" s="294"/>
      <c r="KZW91" s="292"/>
      <c r="KZX91" s="293"/>
      <c r="KZY91" s="294"/>
      <c r="LAE91" s="292"/>
      <c r="LAF91" s="293"/>
      <c r="LAG91" s="294"/>
      <c r="LAM91" s="292"/>
      <c r="LAN91" s="293"/>
      <c r="LAO91" s="294"/>
      <c r="LAU91" s="292"/>
      <c r="LAV91" s="293"/>
      <c r="LAW91" s="294"/>
      <c r="LBC91" s="292"/>
      <c r="LBD91" s="293"/>
      <c r="LBE91" s="294"/>
      <c r="LBK91" s="292"/>
      <c r="LBL91" s="293"/>
      <c r="LBM91" s="294"/>
      <c r="LBS91" s="292"/>
      <c r="LBT91" s="293"/>
      <c r="LBU91" s="294"/>
      <c r="LCA91" s="292"/>
      <c r="LCB91" s="293"/>
      <c r="LCC91" s="294"/>
      <c r="LCI91" s="292"/>
      <c r="LCJ91" s="293"/>
      <c r="LCK91" s="294"/>
      <c r="LCQ91" s="292"/>
      <c r="LCR91" s="293"/>
      <c r="LCS91" s="294"/>
      <c r="LCY91" s="292"/>
      <c r="LCZ91" s="293"/>
      <c r="LDA91" s="294"/>
      <c r="LDG91" s="292"/>
      <c r="LDH91" s="293"/>
      <c r="LDI91" s="294"/>
      <c r="LDO91" s="292"/>
      <c r="LDP91" s="293"/>
      <c r="LDQ91" s="294"/>
      <c r="LDW91" s="292"/>
      <c r="LDX91" s="293"/>
      <c r="LDY91" s="294"/>
      <c r="LEE91" s="292"/>
      <c r="LEF91" s="293"/>
      <c r="LEG91" s="294"/>
      <c r="LEM91" s="292"/>
      <c r="LEN91" s="293"/>
      <c r="LEO91" s="294"/>
      <c r="LEU91" s="292"/>
      <c r="LEV91" s="293"/>
      <c r="LEW91" s="294"/>
      <c r="LFC91" s="292"/>
      <c r="LFD91" s="293"/>
      <c r="LFE91" s="294"/>
      <c r="LFK91" s="292"/>
      <c r="LFL91" s="293"/>
      <c r="LFM91" s="294"/>
      <c r="LFS91" s="292"/>
      <c r="LFT91" s="293"/>
      <c r="LFU91" s="294"/>
      <c r="LGA91" s="292"/>
      <c r="LGB91" s="293"/>
      <c r="LGC91" s="294"/>
      <c r="LGI91" s="292"/>
      <c r="LGJ91" s="293"/>
      <c r="LGK91" s="294"/>
      <c r="LGQ91" s="292"/>
      <c r="LGR91" s="293"/>
      <c r="LGS91" s="294"/>
      <c r="LGY91" s="292"/>
      <c r="LGZ91" s="293"/>
      <c r="LHA91" s="294"/>
      <c r="LHG91" s="292"/>
      <c r="LHH91" s="293"/>
      <c r="LHI91" s="294"/>
      <c r="LHO91" s="292"/>
      <c r="LHP91" s="293"/>
      <c r="LHQ91" s="294"/>
      <c r="LHW91" s="292"/>
      <c r="LHX91" s="293"/>
      <c r="LHY91" s="294"/>
      <c r="LIE91" s="292"/>
      <c r="LIF91" s="293"/>
      <c r="LIG91" s="294"/>
      <c r="LIM91" s="292"/>
      <c r="LIN91" s="293"/>
      <c r="LIO91" s="294"/>
      <c r="LIU91" s="292"/>
      <c r="LIV91" s="293"/>
      <c r="LIW91" s="294"/>
      <c r="LJC91" s="292"/>
      <c r="LJD91" s="293"/>
      <c r="LJE91" s="294"/>
      <c r="LJK91" s="292"/>
      <c r="LJL91" s="293"/>
      <c r="LJM91" s="294"/>
      <c r="LJS91" s="292"/>
      <c r="LJT91" s="293"/>
      <c r="LJU91" s="294"/>
      <c r="LKA91" s="292"/>
      <c r="LKB91" s="293"/>
      <c r="LKC91" s="294"/>
      <c r="LKI91" s="292"/>
      <c r="LKJ91" s="293"/>
      <c r="LKK91" s="294"/>
      <c r="LKQ91" s="292"/>
      <c r="LKR91" s="293"/>
      <c r="LKS91" s="294"/>
      <c r="LKY91" s="292"/>
      <c r="LKZ91" s="293"/>
      <c r="LLA91" s="294"/>
      <c r="LLG91" s="292"/>
      <c r="LLH91" s="293"/>
      <c r="LLI91" s="294"/>
      <c r="LLO91" s="292"/>
      <c r="LLP91" s="293"/>
      <c r="LLQ91" s="294"/>
      <c r="LLW91" s="292"/>
      <c r="LLX91" s="293"/>
      <c r="LLY91" s="294"/>
      <c r="LME91" s="292"/>
      <c r="LMF91" s="293"/>
      <c r="LMG91" s="294"/>
      <c r="LMM91" s="292"/>
      <c r="LMN91" s="293"/>
      <c r="LMO91" s="294"/>
      <c r="LMU91" s="292"/>
      <c r="LMV91" s="293"/>
      <c r="LMW91" s="294"/>
      <c r="LNC91" s="292"/>
      <c r="LND91" s="293"/>
      <c r="LNE91" s="294"/>
      <c r="LNK91" s="292"/>
      <c r="LNL91" s="293"/>
      <c r="LNM91" s="294"/>
      <c r="LNS91" s="292"/>
      <c r="LNT91" s="293"/>
      <c r="LNU91" s="294"/>
      <c r="LOA91" s="292"/>
      <c r="LOB91" s="293"/>
      <c r="LOC91" s="294"/>
      <c r="LOI91" s="292"/>
      <c r="LOJ91" s="293"/>
      <c r="LOK91" s="294"/>
      <c r="LOQ91" s="292"/>
      <c r="LOR91" s="293"/>
      <c r="LOS91" s="294"/>
      <c r="LOY91" s="292"/>
      <c r="LOZ91" s="293"/>
      <c r="LPA91" s="294"/>
      <c r="LPG91" s="292"/>
      <c r="LPH91" s="293"/>
      <c r="LPI91" s="294"/>
      <c r="LPO91" s="292"/>
      <c r="LPP91" s="293"/>
      <c r="LPQ91" s="294"/>
      <c r="LPW91" s="292"/>
      <c r="LPX91" s="293"/>
      <c r="LPY91" s="294"/>
      <c r="LQE91" s="292"/>
      <c r="LQF91" s="293"/>
      <c r="LQG91" s="294"/>
      <c r="LQM91" s="292"/>
      <c r="LQN91" s="293"/>
      <c r="LQO91" s="294"/>
      <c r="LQU91" s="292"/>
      <c r="LQV91" s="293"/>
      <c r="LQW91" s="294"/>
      <c r="LRC91" s="292"/>
      <c r="LRD91" s="293"/>
      <c r="LRE91" s="294"/>
      <c r="LRK91" s="292"/>
      <c r="LRL91" s="293"/>
      <c r="LRM91" s="294"/>
      <c r="LRS91" s="292"/>
      <c r="LRT91" s="293"/>
      <c r="LRU91" s="294"/>
      <c r="LSA91" s="292"/>
      <c r="LSB91" s="293"/>
      <c r="LSC91" s="294"/>
      <c r="LSI91" s="292"/>
      <c r="LSJ91" s="293"/>
      <c r="LSK91" s="294"/>
      <c r="LSQ91" s="292"/>
      <c r="LSR91" s="293"/>
      <c r="LSS91" s="294"/>
      <c r="LSY91" s="292"/>
      <c r="LSZ91" s="293"/>
      <c r="LTA91" s="294"/>
      <c r="LTG91" s="292"/>
      <c r="LTH91" s="293"/>
      <c r="LTI91" s="294"/>
      <c r="LTO91" s="292"/>
      <c r="LTP91" s="293"/>
      <c r="LTQ91" s="294"/>
      <c r="LTW91" s="292"/>
      <c r="LTX91" s="293"/>
      <c r="LTY91" s="294"/>
      <c r="LUE91" s="292"/>
      <c r="LUF91" s="293"/>
      <c r="LUG91" s="294"/>
      <c r="LUM91" s="292"/>
      <c r="LUN91" s="293"/>
      <c r="LUO91" s="294"/>
      <c r="LUU91" s="292"/>
      <c r="LUV91" s="293"/>
      <c r="LUW91" s="294"/>
      <c r="LVC91" s="292"/>
      <c r="LVD91" s="293"/>
      <c r="LVE91" s="294"/>
      <c r="LVK91" s="292"/>
      <c r="LVL91" s="293"/>
      <c r="LVM91" s="294"/>
      <c r="LVS91" s="292"/>
      <c r="LVT91" s="293"/>
      <c r="LVU91" s="294"/>
      <c r="LWA91" s="292"/>
      <c r="LWB91" s="293"/>
      <c r="LWC91" s="294"/>
      <c r="LWI91" s="292"/>
      <c r="LWJ91" s="293"/>
      <c r="LWK91" s="294"/>
      <c r="LWQ91" s="292"/>
      <c r="LWR91" s="293"/>
      <c r="LWS91" s="294"/>
      <c r="LWY91" s="292"/>
      <c r="LWZ91" s="293"/>
      <c r="LXA91" s="294"/>
      <c r="LXG91" s="292"/>
      <c r="LXH91" s="293"/>
      <c r="LXI91" s="294"/>
      <c r="LXO91" s="292"/>
      <c r="LXP91" s="293"/>
      <c r="LXQ91" s="294"/>
      <c r="LXW91" s="292"/>
      <c r="LXX91" s="293"/>
      <c r="LXY91" s="294"/>
      <c r="LYE91" s="292"/>
      <c r="LYF91" s="293"/>
      <c r="LYG91" s="294"/>
      <c r="LYM91" s="292"/>
      <c r="LYN91" s="293"/>
      <c r="LYO91" s="294"/>
      <c r="LYU91" s="292"/>
      <c r="LYV91" s="293"/>
      <c r="LYW91" s="294"/>
      <c r="LZC91" s="292"/>
      <c r="LZD91" s="293"/>
      <c r="LZE91" s="294"/>
      <c r="LZK91" s="292"/>
      <c r="LZL91" s="293"/>
      <c r="LZM91" s="294"/>
      <c r="LZS91" s="292"/>
      <c r="LZT91" s="293"/>
      <c r="LZU91" s="294"/>
      <c r="MAA91" s="292"/>
      <c r="MAB91" s="293"/>
      <c r="MAC91" s="294"/>
      <c r="MAI91" s="292"/>
      <c r="MAJ91" s="293"/>
      <c r="MAK91" s="294"/>
      <c r="MAQ91" s="292"/>
      <c r="MAR91" s="293"/>
      <c r="MAS91" s="294"/>
      <c r="MAY91" s="292"/>
      <c r="MAZ91" s="293"/>
      <c r="MBA91" s="294"/>
      <c r="MBG91" s="292"/>
      <c r="MBH91" s="293"/>
      <c r="MBI91" s="294"/>
      <c r="MBO91" s="292"/>
      <c r="MBP91" s="293"/>
      <c r="MBQ91" s="294"/>
      <c r="MBW91" s="292"/>
      <c r="MBX91" s="293"/>
      <c r="MBY91" s="294"/>
      <c r="MCE91" s="292"/>
      <c r="MCF91" s="293"/>
      <c r="MCG91" s="294"/>
      <c r="MCM91" s="292"/>
      <c r="MCN91" s="293"/>
      <c r="MCO91" s="294"/>
      <c r="MCU91" s="292"/>
      <c r="MCV91" s="293"/>
      <c r="MCW91" s="294"/>
      <c r="MDC91" s="292"/>
      <c r="MDD91" s="293"/>
      <c r="MDE91" s="294"/>
      <c r="MDK91" s="292"/>
      <c r="MDL91" s="293"/>
      <c r="MDM91" s="294"/>
      <c r="MDS91" s="292"/>
      <c r="MDT91" s="293"/>
      <c r="MDU91" s="294"/>
      <c r="MEA91" s="292"/>
      <c r="MEB91" s="293"/>
      <c r="MEC91" s="294"/>
      <c r="MEI91" s="292"/>
      <c r="MEJ91" s="293"/>
      <c r="MEK91" s="294"/>
      <c r="MEQ91" s="292"/>
      <c r="MER91" s="293"/>
      <c r="MES91" s="294"/>
      <c r="MEY91" s="292"/>
      <c r="MEZ91" s="293"/>
      <c r="MFA91" s="294"/>
      <c r="MFG91" s="292"/>
      <c r="MFH91" s="293"/>
      <c r="MFI91" s="294"/>
      <c r="MFO91" s="292"/>
      <c r="MFP91" s="293"/>
      <c r="MFQ91" s="294"/>
      <c r="MFW91" s="292"/>
      <c r="MFX91" s="293"/>
      <c r="MFY91" s="294"/>
      <c r="MGE91" s="292"/>
      <c r="MGF91" s="293"/>
      <c r="MGG91" s="294"/>
      <c r="MGM91" s="292"/>
      <c r="MGN91" s="293"/>
      <c r="MGO91" s="294"/>
      <c r="MGU91" s="292"/>
      <c r="MGV91" s="293"/>
      <c r="MGW91" s="294"/>
      <c r="MHC91" s="292"/>
      <c r="MHD91" s="293"/>
      <c r="MHE91" s="294"/>
      <c r="MHK91" s="292"/>
      <c r="MHL91" s="293"/>
      <c r="MHM91" s="294"/>
      <c r="MHS91" s="292"/>
      <c r="MHT91" s="293"/>
      <c r="MHU91" s="294"/>
      <c r="MIA91" s="292"/>
      <c r="MIB91" s="293"/>
      <c r="MIC91" s="294"/>
      <c r="MII91" s="292"/>
      <c r="MIJ91" s="293"/>
      <c r="MIK91" s="294"/>
      <c r="MIQ91" s="292"/>
      <c r="MIR91" s="293"/>
      <c r="MIS91" s="294"/>
      <c r="MIY91" s="292"/>
      <c r="MIZ91" s="293"/>
      <c r="MJA91" s="294"/>
      <c r="MJG91" s="292"/>
      <c r="MJH91" s="293"/>
      <c r="MJI91" s="294"/>
      <c r="MJO91" s="292"/>
      <c r="MJP91" s="293"/>
      <c r="MJQ91" s="294"/>
      <c r="MJW91" s="292"/>
      <c r="MJX91" s="293"/>
      <c r="MJY91" s="294"/>
      <c r="MKE91" s="292"/>
      <c r="MKF91" s="293"/>
      <c r="MKG91" s="294"/>
      <c r="MKM91" s="292"/>
      <c r="MKN91" s="293"/>
      <c r="MKO91" s="294"/>
      <c r="MKU91" s="292"/>
      <c r="MKV91" s="293"/>
      <c r="MKW91" s="294"/>
      <c r="MLC91" s="292"/>
      <c r="MLD91" s="293"/>
      <c r="MLE91" s="294"/>
      <c r="MLK91" s="292"/>
      <c r="MLL91" s="293"/>
      <c r="MLM91" s="294"/>
      <c r="MLS91" s="292"/>
      <c r="MLT91" s="293"/>
      <c r="MLU91" s="294"/>
      <c r="MMA91" s="292"/>
      <c r="MMB91" s="293"/>
      <c r="MMC91" s="294"/>
      <c r="MMI91" s="292"/>
      <c r="MMJ91" s="293"/>
      <c r="MMK91" s="294"/>
      <c r="MMQ91" s="292"/>
      <c r="MMR91" s="293"/>
      <c r="MMS91" s="294"/>
      <c r="MMY91" s="292"/>
      <c r="MMZ91" s="293"/>
      <c r="MNA91" s="294"/>
      <c r="MNG91" s="292"/>
      <c r="MNH91" s="293"/>
      <c r="MNI91" s="294"/>
      <c r="MNO91" s="292"/>
      <c r="MNP91" s="293"/>
      <c r="MNQ91" s="294"/>
      <c r="MNW91" s="292"/>
      <c r="MNX91" s="293"/>
      <c r="MNY91" s="294"/>
      <c r="MOE91" s="292"/>
      <c r="MOF91" s="293"/>
      <c r="MOG91" s="294"/>
      <c r="MOM91" s="292"/>
      <c r="MON91" s="293"/>
      <c r="MOO91" s="294"/>
      <c r="MOU91" s="292"/>
      <c r="MOV91" s="293"/>
      <c r="MOW91" s="294"/>
      <c r="MPC91" s="292"/>
      <c r="MPD91" s="293"/>
      <c r="MPE91" s="294"/>
      <c r="MPK91" s="292"/>
      <c r="MPL91" s="293"/>
      <c r="MPM91" s="294"/>
      <c r="MPS91" s="292"/>
      <c r="MPT91" s="293"/>
      <c r="MPU91" s="294"/>
      <c r="MQA91" s="292"/>
      <c r="MQB91" s="293"/>
      <c r="MQC91" s="294"/>
      <c r="MQI91" s="292"/>
      <c r="MQJ91" s="293"/>
      <c r="MQK91" s="294"/>
      <c r="MQQ91" s="292"/>
      <c r="MQR91" s="293"/>
      <c r="MQS91" s="294"/>
      <c r="MQY91" s="292"/>
      <c r="MQZ91" s="293"/>
      <c r="MRA91" s="294"/>
      <c r="MRG91" s="292"/>
      <c r="MRH91" s="293"/>
      <c r="MRI91" s="294"/>
      <c r="MRO91" s="292"/>
      <c r="MRP91" s="293"/>
      <c r="MRQ91" s="294"/>
      <c r="MRW91" s="292"/>
      <c r="MRX91" s="293"/>
      <c r="MRY91" s="294"/>
      <c r="MSE91" s="292"/>
      <c r="MSF91" s="293"/>
      <c r="MSG91" s="294"/>
      <c r="MSM91" s="292"/>
      <c r="MSN91" s="293"/>
      <c r="MSO91" s="294"/>
      <c r="MSU91" s="292"/>
      <c r="MSV91" s="293"/>
      <c r="MSW91" s="294"/>
      <c r="MTC91" s="292"/>
      <c r="MTD91" s="293"/>
      <c r="MTE91" s="294"/>
      <c r="MTK91" s="292"/>
      <c r="MTL91" s="293"/>
      <c r="MTM91" s="294"/>
      <c r="MTS91" s="292"/>
      <c r="MTT91" s="293"/>
      <c r="MTU91" s="294"/>
      <c r="MUA91" s="292"/>
      <c r="MUB91" s="293"/>
      <c r="MUC91" s="294"/>
      <c r="MUI91" s="292"/>
      <c r="MUJ91" s="293"/>
      <c r="MUK91" s="294"/>
      <c r="MUQ91" s="292"/>
      <c r="MUR91" s="293"/>
      <c r="MUS91" s="294"/>
      <c r="MUY91" s="292"/>
      <c r="MUZ91" s="293"/>
      <c r="MVA91" s="294"/>
      <c r="MVG91" s="292"/>
      <c r="MVH91" s="293"/>
      <c r="MVI91" s="294"/>
      <c r="MVO91" s="292"/>
      <c r="MVP91" s="293"/>
      <c r="MVQ91" s="294"/>
      <c r="MVW91" s="292"/>
      <c r="MVX91" s="293"/>
      <c r="MVY91" s="294"/>
      <c r="MWE91" s="292"/>
      <c r="MWF91" s="293"/>
      <c r="MWG91" s="294"/>
      <c r="MWM91" s="292"/>
      <c r="MWN91" s="293"/>
      <c r="MWO91" s="294"/>
      <c r="MWU91" s="292"/>
      <c r="MWV91" s="293"/>
      <c r="MWW91" s="294"/>
      <c r="MXC91" s="292"/>
      <c r="MXD91" s="293"/>
      <c r="MXE91" s="294"/>
      <c r="MXK91" s="292"/>
      <c r="MXL91" s="293"/>
      <c r="MXM91" s="294"/>
      <c r="MXS91" s="292"/>
      <c r="MXT91" s="293"/>
      <c r="MXU91" s="294"/>
      <c r="MYA91" s="292"/>
      <c r="MYB91" s="293"/>
      <c r="MYC91" s="294"/>
      <c r="MYI91" s="292"/>
      <c r="MYJ91" s="293"/>
      <c r="MYK91" s="294"/>
      <c r="MYQ91" s="292"/>
      <c r="MYR91" s="293"/>
      <c r="MYS91" s="294"/>
      <c r="MYY91" s="292"/>
      <c r="MYZ91" s="293"/>
      <c r="MZA91" s="294"/>
      <c r="MZG91" s="292"/>
      <c r="MZH91" s="293"/>
      <c r="MZI91" s="294"/>
      <c r="MZO91" s="292"/>
      <c r="MZP91" s="293"/>
      <c r="MZQ91" s="294"/>
      <c r="MZW91" s="292"/>
      <c r="MZX91" s="293"/>
      <c r="MZY91" s="294"/>
      <c r="NAE91" s="292"/>
      <c r="NAF91" s="293"/>
      <c r="NAG91" s="294"/>
      <c r="NAM91" s="292"/>
      <c r="NAN91" s="293"/>
      <c r="NAO91" s="294"/>
      <c r="NAU91" s="292"/>
      <c r="NAV91" s="293"/>
      <c r="NAW91" s="294"/>
      <c r="NBC91" s="292"/>
      <c r="NBD91" s="293"/>
      <c r="NBE91" s="294"/>
      <c r="NBK91" s="292"/>
      <c r="NBL91" s="293"/>
      <c r="NBM91" s="294"/>
      <c r="NBS91" s="292"/>
      <c r="NBT91" s="293"/>
      <c r="NBU91" s="294"/>
      <c r="NCA91" s="292"/>
      <c r="NCB91" s="293"/>
      <c r="NCC91" s="294"/>
      <c r="NCI91" s="292"/>
      <c r="NCJ91" s="293"/>
      <c r="NCK91" s="294"/>
      <c r="NCQ91" s="292"/>
      <c r="NCR91" s="293"/>
      <c r="NCS91" s="294"/>
      <c r="NCY91" s="292"/>
      <c r="NCZ91" s="293"/>
      <c r="NDA91" s="294"/>
      <c r="NDG91" s="292"/>
      <c r="NDH91" s="293"/>
      <c r="NDI91" s="294"/>
      <c r="NDO91" s="292"/>
      <c r="NDP91" s="293"/>
      <c r="NDQ91" s="294"/>
      <c r="NDW91" s="292"/>
      <c r="NDX91" s="293"/>
      <c r="NDY91" s="294"/>
      <c r="NEE91" s="292"/>
      <c r="NEF91" s="293"/>
      <c r="NEG91" s="294"/>
      <c r="NEM91" s="292"/>
      <c r="NEN91" s="293"/>
      <c r="NEO91" s="294"/>
      <c r="NEU91" s="292"/>
      <c r="NEV91" s="293"/>
      <c r="NEW91" s="294"/>
      <c r="NFC91" s="292"/>
      <c r="NFD91" s="293"/>
      <c r="NFE91" s="294"/>
      <c r="NFK91" s="292"/>
      <c r="NFL91" s="293"/>
      <c r="NFM91" s="294"/>
      <c r="NFS91" s="292"/>
      <c r="NFT91" s="293"/>
      <c r="NFU91" s="294"/>
      <c r="NGA91" s="292"/>
      <c r="NGB91" s="293"/>
      <c r="NGC91" s="294"/>
      <c r="NGI91" s="292"/>
      <c r="NGJ91" s="293"/>
      <c r="NGK91" s="294"/>
      <c r="NGQ91" s="292"/>
      <c r="NGR91" s="293"/>
      <c r="NGS91" s="294"/>
      <c r="NGY91" s="292"/>
      <c r="NGZ91" s="293"/>
      <c r="NHA91" s="294"/>
      <c r="NHG91" s="292"/>
      <c r="NHH91" s="293"/>
      <c r="NHI91" s="294"/>
      <c r="NHO91" s="292"/>
      <c r="NHP91" s="293"/>
      <c r="NHQ91" s="294"/>
      <c r="NHW91" s="292"/>
      <c r="NHX91" s="293"/>
      <c r="NHY91" s="294"/>
      <c r="NIE91" s="292"/>
      <c r="NIF91" s="293"/>
      <c r="NIG91" s="294"/>
      <c r="NIM91" s="292"/>
      <c r="NIN91" s="293"/>
      <c r="NIO91" s="294"/>
      <c r="NIU91" s="292"/>
      <c r="NIV91" s="293"/>
      <c r="NIW91" s="294"/>
      <c r="NJC91" s="292"/>
      <c r="NJD91" s="293"/>
      <c r="NJE91" s="294"/>
      <c r="NJK91" s="292"/>
      <c r="NJL91" s="293"/>
      <c r="NJM91" s="294"/>
      <c r="NJS91" s="292"/>
      <c r="NJT91" s="293"/>
      <c r="NJU91" s="294"/>
      <c r="NKA91" s="292"/>
      <c r="NKB91" s="293"/>
      <c r="NKC91" s="294"/>
      <c r="NKI91" s="292"/>
      <c r="NKJ91" s="293"/>
      <c r="NKK91" s="294"/>
      <c r="NKQ91" s="292"/>
      <c r="NKR91" s="293"/>
      <c r="NKS91" s="294"/>
      <c r="NKY91" s="292"/>
      <c r="NKZ91" s="293"/>
      <c r="NLA91" s="294"/>
      <c r="NLG91" s="292"/>
      <c r="NLH91" s="293"/>
      <c r="NLI91" s="294"/>
      <c r="NLO91" s="292"/>
      <c r="NLP91" s="293"/>
      <c r="NLQ91" s="294"/>
      <c r="NLW91" s="292"/>
      <c r="NLX91" s="293"/>
      <c r="NLY91" s="294"/>
      <c r="NME91" s="292"/>
      <c r="NMF91" s="293"/>
      <c r="NMG91" s="294"/>
      <c r="NMM91" s="292"/>
      <c r="NMN91" s="293"/>
      <c r="NMO91" s="294"/>
      <c r="NMU91" s="292"/>
      <c r="NMV91" s="293"/>
      <c r="NMW91" s="294"/>
      <c r="NNC91" s="292"/>
      <c r="NND91" s="293"/>
      <c r="NNE91" s="294"/>
      <c r="NNK91" s="292"/>
      <c r="NNL91" s="293"/>
      <c r="NNM91" s="294"/>
      <c r="NNS91" s="292"/>
      <c r="NNT91" s="293"/>
      <c r="NNU91" s="294"/>
      <c r="NOA91" s="292"/>
      <c r="NOB91" s="293"/>
      <c r="NOC91" s="294"/>
      <c r="NOI91" s="292"/>
      <c r="NOJ91" s="293"/>
      <c r="NOK91" s="294"/>
      <c r="NOQ91" s="292"/>
      <c r="NOR91" s="293"/>
      <c r="NOS91" s="294"/>
      <c r="NOY91" s="292"/>
      <c r="NOZ91" s="293"/>
      <c r="NPA91" s="294"/>
      <c r="NPG91" s="292"/>
      <c r="NPH91" s="293"/>
      <c r="NPI91" s="294"/>
      <c r="NPO91" s="292"/>
      <c r="NPP91" s="293"/>
      <c r="NPQ91" s="294"/>
      <c r="NPW91" s="292"/>
      <c r="NPX91" s="293"/>
      <c r="NPY91" s="294"/>
      <c r="NQE91" s="292"/>
      <c r="NQF91" s="293"/>
      <c r="NQG91" s="294"/>
      <c r="NQM91" s="292"/>
      <c r="NQN91" s="293"/>
      <c r="NQO91" s="294"/>
      <c r="NQU91" s="292"/>
      <c r="NQV91" s="293"/>
      <c r="NQW91" s="294"/>
      <c r="NRC91" s="292"/>
      <c r="NRD91" s="293"/>
      <c r="NRE91" s="294"/>
      <c r="NRK91" s="292"/>
      <c r="NRL91" s="293"/>
      <c r="NRM91" s="294"/>
      <c r="NRS91" s="292"/>
      <c r="NRT91" s="293"/>
      <c r="NRU91" s="294"/>
      <c r="NSA91" s="292"/>
      <c r="NSB91" s="293"/>
      <c r="NSC91" s="294"/>
      <c r="NSI91" s="292"/>
      <c r="NSJ91" s="293"/>
      <c r="NSK91" s="294"/>
      <c r="NSQ91" s="292"/>
      <c r="NSR91" s="293"/>
      <c r="NSS91" s="294"/>
      <c r="NSY91" s="292"/>
      <c r="NSZ91" s="293"/>
      <c r="NTA91" s="294"/>
      <c r="NTG91" s="292"/>
      <c r="NTH91" s="293"/>
      <c r="NTI91" s="294"/>
      <c r="NTO91" s="292"/>
      <c r="NTP91" s="293"/>
      <c r="NTQ91" s="294"/>
      <c r="NTW91" s="292"/>
      <c r="NTX91" s="293"/>
      <c r="NTY91" s="294"/>
      <c r="NUE91" s="292"/>
      <c r="NUF91" s="293"/>
      <c r="NUG91" s="294"/>
      <c r="NUM91" s="292"/>
      <c r="NUN91" s="293"/>
      <c r="NUO91" s="294"/>
      <c r="NUU91" s="292"/>
      <c r="NUV91" s="293"/>
      <c r="NUW91" s="294"/>
      <c r="NVC91" s="292"/>
      <c r="NVD91" s="293"/>
      <c r="NVE91" s="294"/>
      <c r="NVK91" s="292"/>
      <c r="NVL91" s="293"/>
      <c r="NVM91" s="294"/>
      <c r="NVS91" s="292"/>
      <c r="NVT91" s="293"/>
      <c r="NVU91" s="294"/>
      <c r="NWA91" s="292"/>
      <c r="NWB91" s="293"/>
      <c r="NWC91" s="294"/>
      <c r="NWI91" s="292"/>
      <c r="NWJ91" s="293"/>
      <c r="NWK91" s="294"/>
      <c r="NWQ91" s="292"/>
      <c r="NWR91" s="293"/>
      <c r="NWS91" s="294"/>
      <c r="NWY91" s="292"/>
      <c r="NWZ91" s="293"/>
      <c r="NXA91" s="294"/>
      <c r="NXG91" s="292"/>
      <c r="NXH91" s="293"/>
      <c r="NXI91" s="294"/>
      <c r="NXO91" s="292"/>
      <c r="NXP91" s="293"/>
      <c r="NXQ91" s="294"/>
      <c r="NXW91" s="292"/>
      <c r="NXX91" s="293"/>
      <c r="NXY91" s="294"/>
      <c r="NYE91" s="292"/>
      <c r="NYF91" s="293"/>
      <c r="NYG91" s="294"/>
      <c r="NYM91" s="292"/>
      <c r="NYN91" s="293"/>
      <c r="NYO91" s="294"/>
      <c r="NYU91" s="292"/>
      <c r="NYV91" s="293"/>
      <c r="NYW91" s="294"/>
      <c r="NZC91" s="292"/>
      <c r="NZD91" s="293"/>
      <c r="NZE91" s="294"/>
      <c r="NZK91" s="292"/>
      <c r="NZL91" s="293"/>
      <c r="NZM91" s="294"/>
      <c r="NZS91" s="292"/>
      <c r="NZT91" s="293"/>
      <c r="NZU91" s="294"/>
      <c r="OAA91" s="292"/>
      <c r="OAB91" s="293"/>
      <c r="OAC91" s="294"/>
      <c r="OAI91" s="292"/>
      <c r="OAJ91" s="293"/>
      <c r="OAK91" s="294"/>
      <c r="OAQ91" s="292"/>
      <c r="OAR91" s="293"/>
      <c r="OAS91" s="294"/>
      <c r="OAY91" s="292"/>
      <c r="OAZ91" s="293"/>
      <c r="OBA91" s="294"/>
      <c r="OBG91" s="292"/>
      <c r="OBH91" s="293"/>
      <c r="OBI91" s="294"/>
      <c r="OBO91" s="292"/>
      <c r="OBP91" s="293"/>
      <c r="OBQ91" s="294"/>
      <c r="OBW91" s="292"/>
      <c r="OBX91" s="293"/>
      <c r="OBY91" s="294"/>
      <c r="OCE91" s="292"/>
      <c r="OCF91" s="293"/>
      <c r="OCG91" s="294"/>
      <c r="OCM91" s="292"/>
      <c r="OCN91" s="293"/>
      <c r="OCO91" s="294"/>
      <c r="OCU91" s="292"/>
      <c r="OCV91" s="293"/>
      <c r="OCW91" s="294"/>
      <c r="ODC91" s="292"/>
      <c r="ODD91" s="293"/>
      <c r="ODE91" s="294"/>
      <c r="ODK91" s="292"/>
      <c r="ODL91" s="293"/>
      <c r="ODM91" s="294"/>
      <c r="ODS91" s="292"/>
      <c r="ODT91" s="293"/>
      <c r="ODU91" s="294"/>
      <c r="OEA91" s="292"/>
      <c r="OEB91" s="293"/>
      <c r="OEC91" s="294"/>
      <c r="OEI91" s="292"/>
      <c r="OEJ91" s="293"/>
      <c r="OEK91" s="294"/>
      <c r="OEQ91" s="292"/>
      <c r="OER91" s="293"/>
      <c r="OES91" s="294"/>
      <c r="OEY91" s="292"/>
      <c r="OEZ91" s="293"/>
      <c r="OFA91" s="294"/>
      <c r="OFG91" s="292"/>
      <c r="OFH91" s="293"/>
      <c r="OFI91" s="294"/>
      <c r="OFO91" s="292"/>
      <c r="OFP91" s="293"/>
      <c r="OFQ91" s="294"/>
      <c r="OFW91" s="292"/>
      <c r="OFX91" s="293"/>
      <c r="OFY91" s="294"/>
      <c r="OGE91" s="292"/>
      <c r="OGF91" s="293"/>
      <c r="OGG91" s="294"/>
      <c r="OGM91" s="292"/>
      <c r="OGN91" s="293"/>
      <c r="OGO91" s="294"/>
      <c r="OGU91" s="292"/>
      <c r="OGV91" s="293"/>
      <c r="OGW91" s="294"/>
      <c r="OHC91" s="292"/>
      <c r="OHD91" s="293"/>
      <c r="OHE91" s="294"/>
      <c r="OHK91" s="292"/>
      <c r="OHL91" s="293"/>
      <c r="OHM91" s="294"/>
      <c r="OHS91" s="292"/>
      <c r="OHT91" s="293"/>
      <c r="OHU91" s="294"/>
      <c r="OIA91" s="292"/>
      <c r="OIB91" s="293"/>
      <c r="OIC91" s="294"/>
      <c r="OII91" s="292"/>
      <c r="OIJ91" s="293"/>
      <c r="OIK91" s="294"/>
      <c r="OIQ91" s="292"/>
      <c r="OIR91" s="293"/>
      <c r="OIS91" s="294"/>
      <c r="OIY91" s="292"/>
      <c r="OIZ91" s="293"/>
      <c r="OJA91" s="294"/>
      <c r="OJG91" s="292"/>
      <c r="OJH91" s="293"/>
      <c r="OJI91" s="294"/>
      <c r="OJO91" s="292"/>
      <c r="OJP91" s="293"/>
      <c r="OJQ91" s="294"/>
      <c r="OJW91" s="292"/>
      <c r="OJX91" s="293"/>
      <c r="OJY91" s="294"/>
      <c r="OKE91" s="292"/>
      <c r="OKF91" s="293"/>
      <c r="OKG91" s="294"/>
      <c r="OKM91" s="292"/>
      <c r="OKN91" s="293"/>
      <c r="OKO91" s="294"/>
      <c r="OKU91" s="292"/>
      <c r="OKV91" s="293"/>
      <c r="OKW91" s="294"/>
      <c r="OLC91" s="292"/>
      <c r="OLD91" s="293"/>
      <c r="OLE91" s="294"/>
      <c r="OLK91" s="292"/>
      <c r="OLL91" s="293"/>
      <c r="OLM91" s="294"/>
      <c r="OLS91" s="292"/>
      <c r="OLT91" s="293"/>
      <c r="OLU91" s="294"/>
      <c r="OMA91" s="292"/>
      <c r="OMB91" s="293"/>
      <c r="OMC91" s="294"/>
      <c r="OMI91" s="292"/>
      <c r="OMJ91" s="293"/>
      <c r="OMK91" s="294"/>
      <c r="OMQ91" s="292"/>
      <c r="OMR91" s="293"/>
      <c r="OMS91" s="294"/>
      <c r="OMY91" s="292"/>
      <c r="OMZ91" s="293"/>
      <c r="ONA91" s="294"/>
      <c r="ONG91" s="292"/>
      <c r="ONH91" s="293"/>
      <c r="ONI91" s="294"/>
      <c r="ONO91" s="292"/>
      <c r="ONP91" s="293"/>
      <c r="ONQ91" s="294"/>
      <c r="ONW91" s="292"/>
      <c r="ONX91" s="293"/>
      <c r="ONY91" s="294"/>
      <c r="OOE91" s="292"/>
      <c r="OOF91" s="293"/>
      <c r="OOG91" s="294"/>
      <c r="OOM91" s="292"/>
      <c r="OON91" s="293"/>
      <c r="OOO91" s="294"/>
      <c r="OOU91" s="292"/>
      <c r="OOV91" s="293"/>
      <c r="OOW91" s="294"/>
      <c r="OPC91" s="292"/>
      <c r="OPD91" s="293"/>
      <c r="OPE91" s="294"/>
      <c r="OPK91" s="292"/>
      <c r="OPL91" s="293"/>
      <c r="OPM91" s="294"/>
      <c r="OPS91" s="292"/>
      <c r="OPT91" s="293"/>
      <c r="OPU91" s="294"/>
      <c r="OQA91" s="292"/>
      <c r="OQB91" s="293"/>
      <c r="OQC91" s="294"/>
      <c r="OQI91" s="292"/>
      <c r="OQJ91" s="293"/>
      <c r="OQK91" s="294"/>
      <c r="OQQ91" s="292"/>
      <c r="OQR91" s="293"/>
      <c r="OQS91" s="294"/>
      <c r="OQY91" s="292"/>
      <c r="OQZ91" s="293"/>
      <c r="ORA91" s="294"/>
      <c r="ORG91" s="292"/>
      <c r="ORH91" s="293"/>
      <c r="ORI91" s="294"/>
      <c r="ORO91" s="292"/>
      <c r="ORP91" s="293"/>
      <c r="ORQ91" s="294"/>
      <c r="ORW91" s="292"/>
      <c r="ORX91" s="293"/>
      <c r="ORY91" s="294"/>
      <c r="OSE91" s="292"/>
      <c r="OSF91" s="293"/>
      <c r="OSG91" s="294"/>
      <c r="OSM91" s="292"/>
      <c r="OSN91" s="293"/>
      <c r="OSO91" s="294"/>
      <c r="OSU91" s="292"/>
      <c r="OSV91" s="293"/>
      <c r="OSW91" s="294"/>
      <c r="OTC91" s="292"/>
      <c r="OTD91" s="293"/>
      <c r="OTE91" s="294"/>
      <c r="OTK91" s="292"/>
      <c r="OTL91" s="293"/>
      <c r="OTM91" s="294"/>
      <c r="OTS91" s="292"/>
      <c r="OTT91" s="293"/>
      <c r="OTU91" s="294"/>
      <c r="OUA91" s="292"/>
      <c r="OUB91" s="293"/>
      <c r="OUC91" s="294"/>
      <c r="OUI91" s="292"/>
      <c r="OUJ91" s="293"/>
      <c r="OUK91" s="294"/>
      <c r="OUQ91" s="292"/>
      <c r="OUR91" s="293"/>
      <c r="OUS91" s="294"/>
      <c r="OUY91" s="292"/>
      <c r="OUZ91" s="293"/>
      <c r="OVA91" s="294"/>
      <c r="OVG91" s="292"/>
      <c r="OVH91" s="293"/>
      <c r="OVI91" s="294"/>
      <c r="OVO91" s="292"/>
      <c r="OVP91" s="293"/>
      <c r="OVQ91" s="294"/>
      <c r="OVW91" s="292"/>
      <c r="OVX91" s="293"/>
      <c r="OVY91" s="294"/>
      <c r="OWE91" s="292"/>
      <c r="OWF91" s="293"/>
      <c r="OWG91" s="294"/>
      <c r="OWM91" s="292"/>
      <c r="OWN91" s="293"/>
      <c r="OWO91" s="294"/>
      <c r="OWU91" s="292"/>
      <c r="OWV91" s="293"/>
      <c r="OWW91" s="294"/>
      <c r="OXC91" s="292"/>
      <c r="OXD91" s="293"/>
      <c r="OXE91" s="294"/>
      <c r="OXK91" s="292"/>
      <c r="OXL91" s="293"/>
      <c r="OXM91" s="294"/>
      <c r="OXS91" s="292"/>
      <c r="OXT91" s="293"/>
      <c r="OXU91" s="294"/>
      <c r="OYA91" s="292"/>
      <c r="OYB91" s="293"/>
      <c r="OYC91" s="294"/>
      <c r="OYI91" s="292"/>
      <c r="OYJ91" s="293"/>
      <c r="OYK91" s="294"/>
      <c r="OYQ91" s="292"/>
      <c r="OYR91" s="293"/>
      <c r="OYS91" s="294"/>
      <c r="OYY91" s="292"/>
      <c r="OYZ91" s="293"/>
      <c r="OZA91" s="294"/>
      <c r="OZG91" s="292"/>
      <c r="OZH91" s="293"/>
      <c r="OZI91" s="294"/>
      <c r="OZO91" s="292"/>
      <c r="OZP91" s="293"/>
      <c r="OZQ91" s="294"/>
      <c r="OZW91" s="292"/>
      <c r="OZX91" s="293"/>
      <c r="OZY91" s="294"/>
      <c r="PAE91" s="292"/>
      <c r="PAF91" s="293"/>
      <c r="PAG91" s="294"/>
      <c r="PAM91" s="292"/>
      <c r="PAN91" s="293"/>
      <c r="PAO91" s="294"/>
      <c r="PAU91" s="292"/>
      <c r="PAV91" s="293"/>
      <c r="PAW91" s="294"/>
      <c r="PBC91" s="292"/>
      <c r="PBD91" s="293"/>
      <c r="PBE91" s="294"/>
      <c r="PBK91" s="292"/>
      <c r="PBL91" s="293"/>
      <c r="PBM91" s="294"/>
      <c r="PBS91" s="292"/>
      <c r="PBT91" s="293"/>
      <c r="PBU91" s="294"/>
      <c r="PCA91" s="292"/>
      <c r="PCB91" s="293"/>
      <c r="PCC91" s="294"/>
      <c r="PCI91" s="292"/>
      <c r="PCJ91" s="293"/>
      <c r="PCK91" s="294"/>
      <c r="PCQ91" s="292"/>
      <c r="PCR91" s="293"/>
      <c r="PCS91" s="294"/>
      <c r="PCY91" s="292"/>
      <c r="PCZ91" s="293"/>
      <c r="PDA91" s="294"/>
      <c r="PDG91" s="292"/>
      <c r="PDH91" s="293"/>
      <c r="PDI91" s="294"/>
      <c r="PDO91" s="292"/>
      <c r="PDP91" s="293"/>
      <c r="PDQ91" s="294"/>
      <c r="PDW91" s="292"/>
      <c r="PDX91" s="293"/>
      <c r="PDY91" s="294"/>
      <c r="PEE91" s="292"/>
      <c r="PEF91" s="293"/>
      <c r="PEG91" s="294"/>
      <c r="PEM91" s="292"/>
      <c r="PEN91" s="293"/>
      <c r="PEO91" s="294"/>
      <c r="PEU91" s="292"/>
      <c r="PEV91" s="293"/>
      <c r="PEW91" s="294"/>
      <c r="PFC91" s="292"/>
      <c r="PFD91" s="293"/>
      <c r="PFE91" s="294"/>
      <c r="PFK91" s="292"/>
      <c r="PFL91" s="293"/>
      <c r="PFM91" s="294"/>
      <c r="PFS91" s="292"/>
      <c r="PFT91" s="293"/>
      <c r="PFU91" s="294"/>
      <c r="PGA91" s="292"/>
      <c r="PGB91" s="293"/>
      <c r="PGC91" s="294"/>
      <c r="PGI91" s="292"/>
      <c r="PGJ91" s="293"/>
      <c r="PGK91" s="294"/>
      <c r="PGQ91" s="292"/>
      <c r="PGR91" s="293"/>
      <c r="PGS91" s="294"/>
      <c r="PGY91" s="292"/>
      <c r="PGZ91" s="293"/>
      <c r="PHA91" s="294"/>
      <c r="PHG91" s="292"/>
      <c r="PHH91" s="293"/>
      <c r="PHI91" s="294"/>
      <c r="PHO91" s="292"/>
      <c r="PHP91" s="293"/>
      <c r="PHQ91" s="294"/>
      <c r="PHW91" s="292"/>
      <c r="PHX91" s="293"/>
      <c r="PHY91" s="294"/>
      <c r="PIE91" s="292"/>
      <c r="PIF91" s="293"/>
      <c r="PIG91" s="294"/>
      <c r="PIM91" s="292"/>
      <c r="PIN91" s="293"/>
      <c r="PIO91" s="294"/>
      <c r="PIU91" s="292"/>
      <c r="PIV91" s="293"/>
      <c r="PIW91" s="294"/>
      <c r="PJC91" s="292"/>
      <c r="PJD91" s="293"/>
      <c r="PJE91" s="294"/>
      <c r="PJK91" s="292"/>
      <c r="PJL91" s="293"/>
      <c r="PJM91" s="294"/>
      <c r="PJS91" s="292"/>
      <c r="PJT91" s="293"/>
      <c r="PJU91" s="294"/>
      <c r="PKA91" s="292"/>
      <c r="PKB91" s="293"/>
      <c r="PKC91" s="294"/>
      <c r="PKI91" s="292"/>
      <c r="PKJ91" s="293"/>
      <c r="PKK91" s="294"/>
      <c r="PKQ91" s="292"/>
      <c r="PKR91" s="293"/>
      <c r="PKS91" s="294"/>
      <c r="PKY91" s="292"/>
      <c r="PKZ91" s="293"/>
      <c r="PLA91" s="294"/>
      <c r="PLG91" s="292"/>
      <c r="PLH91" s="293"/>
      <c r="PLI91" s="294"/>
      <c r="PLO91" s="292"/>
      <c r="PLP91" s="293"/>
      <c r="PLQ91" s="294"/>
      <c r="PLW91" s="292"/>
      <c r="PLX91" s="293"/>
      <c r="PLY91" s="294"/>
      <c r="PME91" s="292"/>
      <c r="PMF91" s="293"/>
      <c r="PMG91" s="294"/>
      <c r="PMM91" s="292"/>
      <c r="PMN91" s="293"/>
      <c r="PMO91" s="294"/>
      <c r="PMU91" s="292"/>
      <c r="PMV91" s="293"/>
      <c r="PMW91" s="294"/>
      <c r="PNC91" s="292"/>
      <c r="PND91" s="293"/>
      <c r="PNE91" s="294"/>
      <c r="PNK91" s="292"/>
      <c r="PNL91" s="293"/>
      <c r="PNM91" s="294"/>
      <c r="PNS91" s="292"/>
      <c r="PNT91" s="293"/>
      <c r="PNU91" s="294"/>
      <c r="POA91" s="292"/>
      <c r="POB91" s="293"/>
      <c r="POC91" s="294"/>
      <c r="POI91" s="292"/>
      <c r="POJ91" s="293"/>
      <c r="POK91" s="294"/>
      <c r="POQ91" s="292"/>
      <c r="POR91" s="293"/>
      <c r="POS91" s="294"/>
      <c r="POY91" s="292"/>
      <c r="POZ91" s="293"/>
      <c r="PPA91" s="294"/>
      <c r="PPG91" s="292"/>
      <c r="PPH91" s="293"/>
      <c r="PPI91" s="294"/>
      <c r="PPO91" s="292"/>
      <c r="PPP91" s="293"/>
      <c r="PPQ91" s="294"/>
      <c r="PPW91" s="292"/>
      <c r="PPX91" s="293"/>
      <c r="PPY91" s="294"/>
      <c r="PQE91" s="292"/>
      <c r="PQF91" s="293"/>
      <c r="PQG91" s="294"/>
      <c r="PQM91" s="292"/>
      <c r="PQN91" s="293"/>
      <c r="PQO91" s="294"/>
      <c r="PQU91" s="292"/>
      <c r="PQV91" s="293"/>
      <c r="PQW91" s="294"/>
      <c r="PRC91" s="292"/>
      <c r="PRD91" s="293"/>
      <c r="PRE91" s="294"/>
      <c r="PRK91" s="292"/>
      <c r="PRL91" s="293"/>
      <c r="PRM91" s="294"/>
      <c r="PRS91" s="292"/>
      <c r="PRT91" s="293"/>
      <c r="PRU91" s="294"/>
      <c r="PSA91" s="292"/>
      <c r="PSB91" s="293"/>
      <c r="PSC91" s="294"/>
      <c r="PSI91" s="292"/>
      <c r="PSJ91" s="293"/>
      <c r="PSK91" s="294"/>
      <c r="PSQ91" s="292"/>
      <c r="PSR91" s="293"/>
      <c r="PSS91" s="294"/>
      <c r="PSY91" s="292"/>
      <c r="PSZ91" s="293"/>
      <c r="PTA91" s="294"/>
      <c r="PTG91" s="292"/>
      <c r="PTH91" s="293"/>
      <c r="PTI91" s="294"/>
      <c r="PTO91" s="292"/>
      <c r="PTP91" s="293"/>
      <c r="PTQ91" s="294"/>
      <c r="PTW91" s="292"/>
      <c r="PTX91" s="293"/>
      <c r="PTY91" s="294"/>
      <c r="PUE91" s="292"/>
      <c r="PUF91" s="293"/>
      <c r="PUG91" s="294"/>
      <c r="PUM91" s="292"/>
      <c r="PUN91" s="293"/>
      <c r="PUO91" s="294"/>
      <c r="PUU91" s="292"/>
      <c r="PUV91" s="293"/>
      <c r="PUW91" s="294"/>
      <c r="PVC91" s="292"/>
      <c r="PVD91" s="293"/>
      <c r="PVE91" s="294"/>
      <c r="PVK91" s="292"/>
      <c r="PVL91" s="293"/>
      <c r="PVM91" s="294"/>
      <c r="PVS91" s="292"/>
      <c r="PVT91" s="293"/>
      <c r="PVU91" s="294"/>
      <c r="PWA91" s="292"/>
      <c r="PWB91" s="293"/>
      <c r="PWC91" s="294"/>
      <c r="PWI91" s="292"/>
      <c r="PWJ91" s="293"/>
      <c r="PWK91" s="294"/>
      <c r="PWQ91" s="292"/>
      <c r="PWR91" s="293"/>
      <c r="PWS91" s="294"/>
      <c r="PWY91" s="292"/>
      <c r="PWZ91" s="293"/>
      <c r="PXA91" s="294"/>
      <c r="PXG91" s="292"/>
      <c r="PXH91" s="293"/>
      <c r="PXI91" s="294"/>
      <c r="PXO91" s="292"/>
      <c r="PXP91" s="293"/>
      <c r="PXQ91" s="294"/>
      <c r="PXW91" s="292"/>
      <c r="PXX91" s="293"/>
      <c r="PXY91" s="294"/>
      <c r="PYE91" s="292"/>
      <c r="PYF91" s="293"/>
      <c r="PYG91" s="294"/>
      <c r="PYM91" s="292"/>
      <c r="PYN91" s="293"/>
      <c r="PYO91" s="294"/>
      <c r="PYU91" s="292"/>
      <c r="PYV91" s="293"/>
      <c r="PYW91" s="294"/>
      <c r="PZC91" s="292"/>
      <c r="PZD91" s="293"/>
      <c r="PZE91" s="294"/>
      <c r="PZK91" s="292"/>
      <c r="PZL91" s="293"/>
      <c r="PZM91" s="294"/>
      <c r="PZS91" s="292"/>
      <c r="PZT91" s="293"/>
      <c r="PZU91" s="294"/>
      <c r="QAA91" s="292"/>
      <c r="QAB91" s="293"/>
      <c r="QAC91" s="294"/>
      <c r="QAI91" s="292"/>
      <c r="QAJ91" s="293"/>
      <c r="QAK91" s="294"/>
      <c r="QAQ91" s="292"/>
      <c r="QAR91" s="293"/>
      <c r="QAS91" s="294"/>
      <c r="QAY91" s="292"/>
      <c r="QAZ91" s="293"/>
      <c r="QBA91" s="294"/>
      <c r="QBG91" s="292"/>
      <c r="QBH91" s="293"/>
      <c r="QBI91" s="294"/>
      <c r="QBO91" s="292"/>
      <c r="QBP91" s="293"/>
      <c r="QBQ91" s="294"/>
      <c r="QBW91" s="292"/>
      <c r="QBX91" s="293"/>
      <c r="QBY91" s="294"/>
      <c r="QCE91" s="292"/>
      <c r="QCF91" s="293"/>
      <c r="QCG91" s="294"/>
      <c r="QCM91" s="292"/>
      <c r="QCN91" s="293"/>
      <c r="QCO91" s="294"/>
      <c r="QCU91" s="292"/>
      <c r="QCV91" s="293"/>
      <c r="QCW91" s="294"/>
      <c r="QDC91" s="292"/>
      <c r="QDD91" s="293"/>
      <c r="QDE91" s="294"/>
      <c r="QDK91" s="292"/>
      <c r="QDL91" s="293"/>
      <c r="QDM91" s="294"/>
      <c r="QDS91" s="292"/>
      <c r="QDT91" s="293"/>
      <c r="QDU91" s="294"/>
      <c r="QEA91" s="292"/>
      <c r="QEB91" s="293"/>
      <c r="QEC91" s="294"/>
      <c r="QEI91" s="292"/>
      <c r="QEJ91" s="293"/>
      <c r="QEK91" s="294"/>
      <c r="QEQ91" s="292"/>
      <c r="QER91" s="293"/>
      <c r="QES91" s="294"/>
      <c r="QEY91" s="292"/>
      <c r="QEZ91" s="293"/>
      <c r="QFA91" s="294"/>
      <c r="QFG91" s="292"/>
      <c r="QFH91" s="293"/>
      <c r="QFI91" s="294"/>
      <c r="QFO91" s="292"/>
      <c r="QFP91" s="293"/>
      <c r="QFQ91" s="294"/>
      <c r="QFW91" s="292"/>
      <c r="QFX91" s="293"/>
      <c r="QFY91" s="294"/>
      <c r="QGE91" s="292"/>
      <c r="QGF91" s="293"/>
      <c r="QGG91" s="294"/>
      <c r="QGM91" s="292"/>
      <c r="QGN91" s="293"/>
      <c r="QGO91" s="294"/>
      <c r="QGU91" s="292"/>
      <c r="QGV91" s="293"/>
      <c r="QGW91" s="294"/>
      <c r="QHC91" s="292"/>
      <c r="QHD91" s="293"/>
      <c r="QHE91" s="294"/>
      <c r="QHK91" s="292"/>
      <c r="QHL91" s="293"/>
      <c r="QHM91" s="294"/>
      <c r="QHS91" s="292"/>
      <c r="QHT91" s="293"/>
      <c r="QHU91" s="294"/>
      <c r="QIA91" s="292"/>
      <c r="QIB91" s="293"/>
      <c r="QIC91" s="294"/>
      <c r="QII91" s="292"/>
      <c r="QIJ91" s="293"/>
      <c r="QIK91" s="294"/>
      <c r="QIQ91" s="292"/>
      <c r="QIR91" s="293"/>
      <c r="QIS91" s="294"/>
      <c r="QIY91" s="292"/>
      <c r="QIZ91" s="293"/>
      <c r="QJA91" s="294"/>
      <c r="QJG91" s="292"/>
      <c r="QJH91" s="293"/>
      <c r="QJI91" s="294"/>
      <c r="QJO91" s="292"/>
      <c r="QJP91" s="293"/>
      <c r="QJQ91" s="294"/>
      <c r="QJW91" s="292"/>
      <c r="QJX91" s="293"/>
      <c r="QJY91" s="294"/>
      <c r="QKE91" s="292"/>
      <c r="QKF91" s="293"/>
      <c r="QKG91" s="294"/>
      <c r="QKM91" s="292"/>
      <c r="QKN91" s="293"/>
      <c r="QKO91" s="294"/>
      <c r="QKU91" s="292"/>
      <c r="QKV91" s="293"/>
      <c r="QKW91" s="294"/>
      <c r="QLC91" s="292"/>
      <c r="QLD91" s="293"/>
      <c r="QLE91" s="294"/>
      <c r="QLK91" s="292"/>
      <c r="QLL91" s="293"/>
      <c r="QLM91" s="294"/>
      <c r="QLS91" s="292"/>
      <c r="QLT91" s="293"/>
      <c r="QLU91" s="294"/>
      <c r="QMA91" s="292"/>
      <c r="QMB91" s="293"/>
      <c r="QMC91" s="294"/>
      <c r="QMI91" s="292"/>
      <c r="QMJ91" s="293"/>
      <c r="QMK91" s="294"/>
      <c r="QMQ91" s="292"/>
      <c r="QMR91" s="293"/>
      <c r="QMS91" s="294"/>
      <c r="QMY91" s="292"/>
      <c r="QMZ91" s="293"/>
      <c r="QNA91" s="294"/>
      <c r="QNG91" s="292"/>
      <c r="QNH91" s="293"/>
      <c r="QNI91" s="294"/>
      <c r="QNO91" s="292"/>
      <c r="QNP91" s="293"/>
      <c r="QNQ91" s="294"/>
      <c r="QNW91" s="292"/>
      <c r="QNX91" s="293"/>
      <c r="QNY91" s="294"/>
      <c r="QOE91" s="292"/>
      <c r="QOF91" s="293"/>
      <c r="QOG91" s="294"/>
      <c r="QOM91" s="292"/>
      <c r="QON91" s="293"/>
      <c r="QOO91" s="294"/>
      <c r="QOU91" s="292"/>
      <c r="QOV91" s="293"/>
      <c r="QOW91" s="294"/>
      <c r="QPC91" s="292"/>
      <c r="QPD91" s="293"/>
      <c r="QPE91" s="294"/>
      <c r="QPK91" s="292"/>
      <c r="QPL91" s="293"/>
      <c r="QPM91" s="294"/>
      <c r="QPS91" s="292"/>
      <c r="QPT91" s="293"/>
      <c r="QPU91" s="294"/>
      <c r="QQA91" s="292"/>
      <c r="QQB91" s="293"/>
      <c r="QQC91" s="294"/>
      <c r="QQI91" s="292"/>
      <c r="QQJ91" s="293"/>
      <c r="QQK91" s="294"/>
      <c r="QQQ91" s="292"/>
      <c r="QQR91" s="293"/>
      <c r="QQS91" s="294"/>
      <c r="QQY91" s="292"/>
      <c r="QQZ91" s="293"/>
      <c r="QRA91" s="294"/>
      <c r="QRG91" s="292"/>
      <c r="QRH91" s="293"/>
      <c r="QRI91" s="294"/>
      <c r="QRO91" s="292"/>
      <c r="QRP91" s="293"/>
      <c r="QRQ91" s="294"/>
      <c r="QRW91" s="292"/>
      <c r="QRX91" s="293"/>
      <c r="QRY91" s="294"/>
      <c r="QSE91" s="292"/>
      <c r="QSF91" s="293"/>
      <c r="QSG91" s="294"/>
      <c r="QSM91" s="292"/>
      <c r="QSN91" s="293"/>
      <c r="QSO91" s="294"/>
      <c r="QSU91" s="292"/>
      <c r="QSV91" s="293"/>
      <c r="QSW91" s="294"/>
      <c r="QTC91" s="292"/>
      <c r="QTD91" s="293"/>
      <c r="QTE91" s="294"/>
      <c r="QTK91" s="292"/>
      <c r="QTL91" s="293"/>
      <c r="QTM91" s="294"/>
      <c r="QTS91" s="292"/>
      <c r="QTT91" s="293"/>
      <c r="QTU91" s="294"/>
      <c r="QUA91" s="292"/>
      <c r="QUB91" s="293"/>
      <c r="QUC91" s="294"/>
      <c r="QUI91" s="292"/>
      <c r="QUJ91" s="293"/>
      <c r="QUK91" s="294"/>
      <c r="QUQ91" s="292"/>
      <c r="QUR91" s="293"/>
      <c r="QUS91" s="294"/>
      <c r="QUY91" s="292"/>
      <c r="QUZ91" s="293"/>
      <c r="QVA91" s="294"/>
      <c r="QVG91" s="292"/>
      <c r="QVH91" s="293"/>
      <c r="QVI91" s="294"/>
      <c r="QVO91" s="292"/>
      <c r="QVP91" s="293"/>
      <c r="QVQ91" s="294"/>
      <c r="QVW91" s="292"/>
      <c r="QVX91" s="293"/>
      <c r="QVY91" s="294"/>
      <c r="QWE91" s="292"/>
      <c r="QWF91" s="293"/>
      <c r="QWG91" s="294"/>
      <c r="QWM91" s="292"/>
      <c r="QWN91" s="293"/>
      <c r="QWO91" s="294"/>
      <c r="QWU91" s="292"/>
      <c r="QWV91" s="293"/>
      <c r="QWW91" s="294"/>
      <c r="QXC91" s="292"/>
      <c r="QXD91" s="293"/>
      <c r="QXE91" s="294"/>
      <c r="QXK91" s="292"/>
      <c r="QXL91" s="293"/>
      <c r="QXM91" s="294"/>
      <c r="QXS91" s="292"/>
      <c r="QXT91" s="293"/>
      <c r="QXU91" s="294"/>
      <c r="QYA91" s="292"/>
      <c r="QYB91" s="293"/>
      <c r="QYC91" s="294"/>
      <c r="QYI91" s="292"/>
      <c r="QYJ91" s="293"/>
      <c r="QYK91" s="294"/>
      <c r="QYQ91" s="292"/>
      <c r="QYR91" s="293"/>
      <c r="QYS91" s="294"/>
      <c r="QYY91" s="292"/>
      <c r="QYZ91" s="293"/>
      <c r="QZA91" s="294"/>
      <c r="QZG91" s="292"/>
      <c r="QZH91" s="293"/>
      <c r="QZI91" s="294"/>
      <c r="QZO91" s="292"/>
      <c r="QZP91" s="293"/>
      <c r="QZQ91" s="294"/>
      <c r="QZW91" s="292"/>
      <c r="QZX91" s="293"/>
      <c r="QZY91" s="294"/>
      <c r="RAE91" s="292"/>
      <c r="RAF91" s="293"/>
      <c r="RAG91" s="294"/>
      <c r="RAM91" s="292"/>
      <c r="RAN91" s="293"/>
      <c r="RAO91" s="294"/>
      <c r="RAU91" s="292"/>
      <c r="RAV91" s="293"/>
      <c r="RAW91" s="294"/>
      <c r="RBC91" s="292"/>
      <c r="RBD91" s="293"/>
      <c r="RBE91" s="294"/>
      <c r="RBK91" s="292"/>
      <c r="RBL91" s="293"/>
      <c r="RBM91" s="294"/>
      <c r="RBS91" s="292"/>
      <c r="RBT91" s="293"/>
      <c r="RBU91" s="294"/>
      <c r="RCA91" s="292"/>
      <c r="RCB91" s="293"/>
      <c r="RCC91" s="294"/>
      <c r="RCI91" s="292"/>
      <c r="RCJ91" s="293"/>
      <c r="RCK91" s="294"/>
      <c r="RCQ91" s="292"/>
      <c r="RCR91" s="293"/>
      <c r="RCS91" s="294"/>
      <c r="RCY91" s="292"/>
      <c r="RCZ91" s="293"/>
      <c r="RDA91" s="294"/>
      <c r="RDG91" s="292"/>
      <c r="RDH91" s="293"/>
      <c r="RDI91" s="294"/>
      <c r="RDO91" s="292"/>
      <c r="RDP91" s="293"/>
      <c r="RDQ91" s="294"/>
      <c r="RDW91" s="292"/>
      <c r="RDX91" s="293"/>
      <c r="RDY91" s="294"/>
      <c r="REE91" s="292"/>
      <c r="REF91" s="293"/>
      <c r="REG91" s="294"/>
      <c r="REM91" s="292"/>
      <c r="REN91" s="293"/>
      <c r="REO91" s="294"/>
      <c r="REU91" s="292"/>
      <c r="REV91" s="293"/>
      <c r="REW91" s="294"/>
      <c r="RFC91" s="292"/>
      <c r="RFD91" s="293"/>
      <c r="RFE91" s="294"/>
      <c r="RFK91" s="292"/>
      <c r="RFL91" s="293"/>
      <c r="RFM91" s="294"/>
      <c r="RFS91" s="292"/>
      <c r="RFT91" s="293"/>
      <c r="RFU91" s="294"/>
      <c r="RGA91" s="292"/>
      <c r="RGB91" s="293"/>
      <c r="RGC91" s="294"/>
      <c r="RGI91" s="292"/>
      <c r="RGJ91" s="293"/>
      <c r="RGK91" s="294"/>
      <c r="RGQ91" s="292"/>
      <c r="RGR91" s="293"/>
      <c r="RGS91" s="294"/>
      <c r="RGY91" s="292"/>
      <c r="RGZ91" s="293"/>
      <c r="RHA91" s="294"/>
      <c r="RHG91" s="292"/>
      <c r="RHH91" s="293"/>
      <c r="RHI91" s="294"/>
      <c r="RHO91" s="292"/>
      <c r="RHP91" s="293"/>
      <c r="RHQ91" s="294"/>
      <c r="RHW91" s="292"/>
      <c r="RHX91" s="293"/>
      <c r="RHY91" s="294"/>
      <c r="RIE91" s="292"/>
      <c r="RIF91" s="293"/>
      <c r="RIG91" s="294"/>
      <c r="RIM91" s="292"/>
      <c r="RIN91" s="293"/>
      <c r="RIO91" s="294"/>
      <c r="RIU91" s="292"/>
      <c r="RIV91" s="293"/>
      <c r="RIW91" s="294"/>
      <c r="RJC91" s="292"/>
      <c r="RJD91" s="293"/>
      <c r="RJE91" s="294"/>
      <c r="RJK91" s="292"/>
      <c r="RJL91" s="293"/>
      <c r="RJM91" s="294"/>
      <c r="RJS91" s="292"/>
      <c r="RJT91" s="293"/>
      <c r="RJU91" s="294"/>
      <c r="RKA91" s="292"/>
      <c r="RKB91" s="293"/>
      <c r="RKC91" s="294"/>
      <c r="RKI91" s="292"/>
      <c r="RKJ91" s="293"/>
      <c r="RKK91" s="294"/>
      <c r="RKQ91" s="292"/>
      <c r="RKR91" s="293"/>
      <c r="RKS91" s="294"/>
      <c r="RKY91" s="292"/>
      <c r="RKZ91" s="293"/>
      <c r="RLA91" s="294"/>
      <c r="RLG91" s="292"/>
      <c r="RLH91" s="293"/>
      <c r="RLI91" s="294"/>
      <c r="RLO91" s="292"/>
      <c r="RLP91" s="293"/>
      <c r="RLQ91" s="294"/>
      <c r="RLW91" s="292"/>
      <c r="RLX91" s="293"/>
      <c r="RLY91" s="294"/>
      <c r="RME91" s="292"/>
      <c r="RMF91" s="293"/>
      <c r="RMG91" s="294"/>
      <c r="RMM91" s="292"/>
      <c r="RMN91" s="293"/>
      <c r="RMO91" s="294"/>
      <c r="RMU91" s="292"/>
      <c r="RMV91" s="293"/>
      <c r="RMW91" s="294"/>
      <c r="RNC91" s="292"/>
      <c r="RND91" s="293"/>
      <c r="RNE91" s="294"/>
      <c r="RNK91" s="292"/>
      <c r="RNL91" s="293"/>
      <c r="RNM91" s="294"/>
      <c r="RNS91" s="292"/>
      <c r="RNT91" s="293"/>
      <c r="RNU91" s="294"/>
      <c r="ROA91" s="292"/>
      <c r="ROB91" s="293"/>
      <c r="ROC91" s="294"/>
      <c r="ROI91" s="292"/>
      <c r="ROJ91" s="293"/>
      <c r="ROK91" s="294"/>
      <c r="ROQ91" s="292"/>
      <c r="ROR91" s="293"/>
      <c r="ROS91" s="294"/>
      <c r="ROY91" s="292"/>
      <c r="ROZ91" s="293"/>
      <c r="RPA91" s="294"/>
      <c r="RPG91" s="292"/>
      <c r="RPH91" s="293"/>
      <c r="RPI91" s="294"/>
      <c r="RPO91" s="292"/>
      <c r="RPP91" s="293"/>
      <c r="RPQ91" s="294"/>
      <c r="RPW91" s="292"/>
      <c r="RPX91" s="293"/>
      <c r="RPY91" s="294"/>
      <c r="RQE91" s="292"/>
      <c r="RQF91" s="293"/>
      <c r="RQG91" s="294"/>
      <c r="RQM91" s="292"/>
      <c r="RQN91" s="293"/>
      <c r="RQO91" s="294"/>
      <c r="RQU91" s="292"/>
      <c r="RQV91" s="293"/>
      <c r="RQW91" s="294"/>
      <c r="RRC91" s="292"/>
      <c r="RRD91" s="293"/>
      <c r="RRE91" s="294"/>
      <c r="RRK91" s="292"/>
      <c r="RRL91" s="293"/>
      <c r="RRM91" s="294"/>
      <c r="RRS91" s="292"/>
      <c r="RRT91" s="293"/>
      <c r="RRU91" s="294"/>
      <c r="RSA91" s="292"/>
      <c r="RSB91" s="293"/>
      <c r="RSC91" s="294"/>
      <c r="RSI91" s="292"/>
      <c r="RSJ91" s="293"/>
      <c r="RSK91" s="294"/>
      <c r="RSQ91" s="292"/>
      <c r="RSR91" s="293"/>
      <c r="RSS91" s="294"/>
      <c r="RSY91" s="292"/>
      <c r="RSZ91" s="293"/>
      <c r="RTA91" s="294"/>
      <c r="RTG91" s="292"/>
      <c r="RTH91" s="293"/>
      <c r="RTI91" s="294"/>
      <c r="RTO91" s="292"/>
      <c r="RTP91" s="293"/>
      <c r="RTQ91" s="294"/>
      <c r="RTW91" s="292"/>
      <c r="RTX91" s="293"/>
      <c r="RTY91" s="294"/>
      <c r="RUE91" s="292"/>
      <c r="RUF91" s="293"/>
      <c r="RUG91" s="294"/>
      <c r="RUM91" s="292"/>
      <c r="RUN91" s="293"/>
      <c r="RUO91" s="294"/>
      <c r="RUU91" s="292"/>
      <c r="RUV91" s="293"/>
      <c r="RUW91" s="294"/>
      <c r="RVC91" s="292"/>
      <c r="RVD91" s="293"/>
      <c r="RVE91" s="294"/>
      <c r="RVK91" s="292"/>
      <c r="RVL91" s="293"/>
      <c r="RVM91" s="294"/>
      <c r="RVS91" s="292"/>
      <c r="RVT91" s="293"/>
      <c r="RVU91" s="294"/>
      <c r="RWA91" s="292"/>
      <c r="RWB91" s="293"/>
      <c r="RWC91" s="294"/>
      <c r="RWI91" s="292"/>
      <c r="RWJ91" s="293"/>
      <c r="RWK91" s="294"/>
      <c r="RWQ91" s="292"/>
      <c r="RWR91" s="293"/>
      <c r="RWS91" s="294"/>
      <c r="RWY91" s="292"/>
      <c r="RWZ91" s="293"/>
      <c r="RXA91" s="294"/>
      <c r="RXG91" s="292"/>
      <c r="RXH91" s="293"/>
      <c r="RXI91" s="294"/>
      <c r="RXO91" s="292"/>
      <c r="RXP91" s="293"/>
      <c r="RXQ91" s="294"/>
      <c r="RXW91" s="292"/>
      <c r="RXX91" s="293"/>
      <c r="RXY91" s="294"/>
      <c r="RYE91" s="292"/>
      <c r="RYF91" s="293"/>
      <c r="RYG91" s="294"/>
      <c r="RYM91" s="292"/>
      <c r="RYN91" s="293"/>
      <c r="RYO91" s="294"/>
      <c r="RYU91" s="292"/>
      <c r="RYV91" s="293"/>
      <c r="RYW91" s="294"/>
      <c r="RZC91" s="292"/>
      <c r="RZD91" s="293"/>
      <c r="RZE91" s="294"/>
      <c r="RZK91" s="292"/>
      <c r="RZL91" s="293"/>
      <c r="RZM91" s="294"/>
      <c r="RZS91" s="292"/>
      <c r="RZT91" s="293"/>
      <c r="RZU91" s="294"/>
      <c r="SAA91" s="292"/>
      <c r="SAB91" s="293"/>
      <c r="SAC91" s="294"/>
      <c r="SAI91" s="292"/>
      <c r="SAJ91" s="293"/>
      <c r="SAK91" s="294"/>
      <c r="SAQ91" s="292"/>
      <c r="SAR91" s="293"/>
      <c r="SAS91" s="294"/>
      <c r="SAY91" s="292"/>
      <c r="SAZ91" s="293"/>
      <c r="SBA91" s="294"/>
      <c r="SBG91" s="292"/>
      <c r="SBH91" s="293"/>
      <c r="SBI91" s="294"/>
      <c r="SBO91" s="292"/>
      <c r="SBP91" s="293"/>
      <c r="SBQ91" s="294"/>
      <c r="SBW91" s="292"/>
      <c r="SBX91" s="293"/>
      <c r="SBY91" s="294"/>
      <c r="SCE91" s="292"/>
      <c r="SCF91" s="293"/>
      <c r="SCG91" s="294"/>
      <c r="SCM91" s="292"/>
      <c r="SCN91" s="293"/>
      <c r="SCO91" s="294"/>
      <c r="SCU91" s="292"/>
      <c r="SCV91" s="293"/>
      <c r="SCW91" s="294"/>
      <c r="SDC91" s="292"/>
      <c r="SDD91" s="293"/>
      <c r="SDE91" s="294"/>
      <c r="SDK91" s="292"/>
      <c r="SDL91" s="293"/>
      <c r="SDM91" s="294"/>
      <c r="SDS91" s="292"/>
      <c r="SDT91" s="293"/>
      <c r="SDU91" s="294"/>
      <c r="SEA91" s="292"/>
      <c r="SEB91" s="293"/>
      <c r="SEC91" s="294"/>
      <c r="SEI91" s="292"/>
      <c r="SEJ91" s="293"/>
      <c r="SEK91" s="294"/>
      <c r="SEQ91" s="292"/>
      <c r="SER91" s="293"/>
      <c r="SES91" s="294"/>
      <c r="SEY91" s="292"/>
      <c r="SEZ91" s="293"/>
      <c r="SFA91" s="294"/>
      <c r="SFG91" s="292"/>
      <c r="SFH91" s="293"/>
      <c r="SFI91" s="294"/>
      <c r="SFO91" s="292"/>
      <c r="SFP91" s="293"/>
      <c r="SFQ91" s="294"/>
      <c r="SFW91" s="292"/>
      <c r="SFX91" s="293"/>
      <c r="SFY91" s="294"/>
      <c r="SGE91" s="292"/>
      <c r="SGF91" s="293"/>
      <c r="SGG91" s="294"/>
      <c r="SGM91" s="292"/>
      <c r="SGN91" s="293"/>
      <c r="SGO91" s="294"/>
      <c r="SGU91" s="292"/>
      <c r="SGV91" s="293"/>
      <c r="SGW91" s="294"/>
      <c r="SHC91" s="292"/>
      <c r="SHD91" s="293"/>
      <c r="SHE91" s="294"/>
      <c r="SHK91" s="292"/>
      <c r="SHL91" s="293"/>
      <c r="SHM91" s="294"/>
      <c r="SHS91" s="292"/>
      <c r="SHT91" s="293"/>
      <c r="SHU91" s="294"/>
      <c r="SIA91" s="292"/>
      <c r="SIB91" s="293"/>
      <c r="SIC91" s="294"/>
      <c r="SII91" s="292"/>
      <c r="SIJ91" s="293"/>
      <c r="SIK91" s="294"/>
      <c r="SIQ91" s="292"/>
      <c r="SIR91" s="293"/>
      <c r="SIS91" s="294"/>
      <c r="SIY91" s="292"/>
      <c r="SIZ91" s="293"/>
      <c r="SJA91" s="294"/>
      <c r="SJG91" s="292"/>
      <c r="SJH91" s="293"/>
      <c r="SJI91" s="294"/>
      <c r="SJO91" s="292"/>
      <c r="SJP91" s="293"/>
      <c r="SJQ91" s="294"/>
      <c r="SJW91" s="292"/>
      <c r="SJX91" s="293"/>
      <c r="SJY91" s="294"/>
      <c r="SKE91" s="292"/>
      <c r="SKF91" s="293"/>
      <c r="SKG91" s="294"/>
      <c r="SKM91" s="292"/>
      <c r="SKN91" s="293"/>
      <c r="SKO91" s="294"/>
      <c r="SKU91" s="292"/>
      <c r="SKV91" s="293"/>
      <c r="SKW91" s="294"/>
      <c r="SLC91" s="292"/>
      <c r="SLD91" s="293"/>
      <c r="SLE91" s="294"/>
      <c r="SLK91" s="292"/>
      <c r="SLL91" s="293"/>
      <c r="SLM91" s="294"/>
      <c r="SLS91" s="292"/>
      <c r="SLT91" s="293"/>
      <c r="SLU91" s="294"/>
      <c r="SMA91" s="292"/>
      <c r="SMB91" s="293"/>
      <c r="SMC91" s="294"/>
      <c r="SMI91" s="292"/>
      <c r="SMJ91" s="293"/>
      <c r="SMK91" s="294"/>
      <c r="SMQ91" s="292"/>
      <c r="SMR91" s="293"/>
      <c r="SMS91" s="294"/>
      <c r="SMY91" s="292"/>
      <c r="SMZ91" s="293"/>
      <c r="SNA91" s="294"/>
      <c r="SNG91" s="292"/>
      <c r="SNH91" s="293"/>
      <c r="SNI91" s="294"/>
      <c r="SNO91" s="292"/>
      <c r="SNP91" s="293"/>
      <c r="SNQ91" s="294"/>
      <c r="SNW91" s="292"/>
      <c r="SNX91" s="293"/>
      <c r="SNY91" s="294"/>
      <c r="SOE91" s="292"/>
      <c r="SOF91" s="293"/>
      <c r="SOG91" s="294"/>
      <c r="SOM91" s="292"/>
      <c r="SON91" s="293"/>
      <c r="SOO91" s="294"/>
      <c r="SOU91" s="292"/>
      <c r="SOV91" s="293"/>
      <c r="SOW91" s="294"/>
      <c r="SPC91" s="292"/>
      <c r="SPD91" s="293"/>
      <c r="SPE91" s="294"/>
      <c r="SPK91" s="292"/>
      <c r="SPL91" s="293"/>
      <c r="SPM91" s="294"/>
      <c r="SPS91" s="292"/>
      <c r="SPT91" s="293"/>
      <c r="SPU91" s="294"/>
      <c r="SQA91" s="292"/>
      <c r="SQB91" s="293"/>
      <c r="SQC91" s="294"/>
      <c r="SQI91" s="292"/>
      <c r="SQJ91" s="293"/>
      <c r="SQK91" s="294"/>
      <c r="SQQ91" s="292"/>
      <c r="SQR91" s="293"/>
      <c r="SQS91" s="294"/>
      <c r="SQY91" s="292"/>
      <c r="SQZ91" s="293"/>
      <c r="SRA91" s="294"/>
      <c r="SRG91" s="292"/>
      <c r="SRH91" s="293"/>
      <c r="SRI91" s="294"/>
      <c r="SRO91" s="292"/>
      <c r="SRP91" s="293"/>
      <c r="SRQ91" s="294"/>
      <c r="SRW91" s="292"/>
      <c r="SRX91" s="293"/>
      <c r="SRY91" s="294"/>
      <c r="SSE91" s="292"/>
      <c r="SSF91" s="293"/>
      <c r="SSG91" s="294"/>
      <c r="SSM91" s="292"/>
      <c r="SSN91" s="293"/>
      <c r="SSO91" s="294"/>
      <c r="SSU91" s="292"/>
      <c r="SSV91" s="293"/>
      <c r="SSW91" s="294"/>
      <c r="STC91" s="292"/>
      <c r="STD91" s="293"/>
      <c r="STE91" s="294"/>
      <c r="STK91" s="292"/>
      <c r="STL91" s="293"/>
      <c r="STM91" s="294"/>
      <c r="STS91" s="292"/>
      <c r="STT91" s="293"/>
      <c r="STU91" s="294"/>
      <c r="SUA91" s="292"/>
      <c r="SUB91" s="293"/>
      <c r="SUC91" s="294"/>
      <c r="SUI91" s="292"/>
      <c r="SUJ91" s="293"/>
      <c r="SUK91" s="294"/>
      <c r="SUQ91" s="292"/>
      <c r="SUR91" s="293"/>
      <c r="SUS91" s="294"/>
      <c r="SUY91" s="292"/>
      <c r="SUZ91" s="293"/>
      <c r="SVA91" s="294"/>
      <c r="SVG91" s="292"/>
      <c r="SVH91" s="293"/>
      <c r="SVI91" s="294"/>
      <c r="SVO91" s="292"/>
      <c r="SVP91" s="293"/>
      <c r="SVQ91" s="294"/>
      <c r="SVW91" s="292"/>
      <c r="SVX91" s="293"/>
      <c r="SVY91" s="294"/>
      <c r="SWE91" s="292"/>
      <c r="SWF91" s="293"/>
      <c r="SWG91" s="294"/>
      <c r="SWM91" s="292"/>
      <c r="SWN91" s="293"/>
      <c r="SWO91" s="294"/>
      <c r="SWU91" s="292"/>
      <c r="SWV91" s="293"/>
      <c r="SWW91" s="294"/>
      <c r="SXC91" s="292"/>
      <c r="SXD91" s="293"/>
      <c r="SXE91" s="294"/>
      <c r="SXK91" s="292"/>
      <c r="SXL91" s="293"/>
      <c r="SXM91" s="294"/>
      <c r="SXS91" s="292"/>
      <c r="SXT91" s="293"/>
      <c r="SXU91" s="294"/>
      <c r="SYA91" s="292"/>
      <c r="SYB91" s="293"/>
      <c r="SYC91" s="294"/>
      <c r="SYI91" s="292"/>
      <c r="SYJ91" s="293"/>
      <c r="SYK91" s="294"/>
      <c r="SYQ91" s="292"/>
      <c r="SYR91" s="293"/>
      <c r="SYS91" s="294"/>
      <c r="SYY91" s="292"/>
      <c r="SYZ91" s="293"/>
      <c r="SZA91" s="294"/>
      <c r="SZG91" s="292"/>
      <c r="SZH91" s="293"/>
      <c r="SZI91" s="294"/>
      <c r="SZO91" s="292"/>
      <c r="SZP91" s="293"/>
      <c r="SZQ91" s="294"/>
      <c r="SZW91" s="292"/>
      <c r="SZX91" s="293"/>
      <c r="SZY91" s="294"/>
      <c r="TAE91" s="292"/>
      <c r="TAF91" s="293"/>
      <c r="TAG91" s="294"/>
      <c r="TAM91" s="292"/>
      <c r="TAN91" s="293"/>
      <c r="TAO91" s="294"/>
      <c r="TAU91" s="292"/>
      <c r="TAV91" s="293"/>
      <c r="TAW91" s="294"/>
      <c r="TBC91" s="292"/>
      <c r="TBD91" s="293"/>
      <c r="TBE91" s="294"/>
      <c r="TBK91" s="292"/>
      <c r="TBL91" s="293"/>
      <c r="TBM91" s="294"/>
      <c r="TBS91" s="292"/>
      <c r="TBT91" s="293"/>
      <c r="TBU91" s="294"/>
      <c r="TCA91" s="292"/>
      <c r="TCB91" s="293"/>
      <c r="TCC91" s="294"/>
      <c r="TCI91" s="292"/>
      <c r="TCJ91" s="293"/>
      <c r="TCK91" s="294"/>
      <c r="TCQ91" s="292"/>
      <c r="TCR91" s="293"/>
      <c r="TCS91" s="294"/>
      <c r="TCY91" s="292"/>
      <c r="TCZ91" s="293"/>
      <c r="TDA91" s="294"/>
      <c r="TDG91" s="292"/>
      <c r="TDH91" s="293"/>
      <c r="TDI91" s="294"/>
      <c r="TDO91" s="292"/>
      <c r="TDP91" s="293"/>
      <c r="TDQ91" s="294"/>
      <c r="TDW91" s="292"/>
      <c r="TDX91" s="293"/>
      <c r="TDY91" s="294"/>
      <c r="TEE91" s="292"/>
      <c r="TEF91" s="293"/>
      <c r="TEG91" s="294"/>
      <c r="TEM91" s="292"/>
      <c r="TEN91" s="293"/>
      <c r="TEO91" s="294"/>
      <c r="TEU91" s="292"/>
      <c r="TEV91" s="293"/>
      <c r="TEW91" s="294"/>
      <c r="TFC91" s="292"/>
      <c r="TFD91" s="293"/>
      <c r="TFE91" s="294"/>
      <c r="TFK91" s="292"/>
      <c r="TFL91" s="293"/>
      <c r="TFM91" s="294"/>
      <c r="TFS91" s="292"/>
      <c r="TFT91" s="293"/>
      <c r="TFU91" s="294"/>
      <c r="TGA91" s="292"/>
      <c r="TGB91" s="293"/>
      <c r="TGC91" s="294"/>
      <c r="TGI91" s="292"/>
      <c r="TGJ91" s="293"/>
      <c r="TGK91" s="294"/>
      <c r="TGQ91" s="292"/>
      <c r="TGR91" s="293"/>
      <c r="TGS91" s="294"/>
      <c r="TGY91" s="292"/>
      <c r="TGZ91" s="293"/>
      <c r="THA91" s="294"/>
      <c r="THG91" s="292"/>
      <c r="THH91" s="293"/>
      <c r="THI91" s="294"/>
      <c r="THO91" s="292"/>
      <c r="THP91" s="293"/>
      <c r="THQ91" s="294"/>
      <c r="THW91" s="292"/>
      <c r="THX91" s="293"/>
      <c r="THY91" s="294"/>
      <c r="TIE91" s="292"/>
      <c r="TIF91" s="293"/>
      <c r="TIG91" s="294"/>
      <c r="TIM91" s="292"/>
      <c r="TIN91" s="293"/>
      <c r="TIO91" s="294"/>
      <c r="TIU91" s="292"/>
      <c r="TIV91" s="293"/>
      <c r="TIW91" s="294"/>
      <c r="TJC91" s="292"/>
      <c r="TJD91" s="293"/>
      <c r="TJE91" s="294"/>
      <c r="TJK91" s="292"/>
      <c r="TJL91" s="293"/>
      <c r="TJM91" s="294"/>
      <c r="TJS91" s="292"/>
      <c r="TJT91" s="293"/>
      <c r="TJU91" s="294"/>
      <c r="TKA91" s="292"/>
      <c r="TKB91" s="293"/>
      <c r="TKC91" s="294"/>
      <c r="TKI91" s="292"/>
      <c r="TKJ91" s="293"/>
      <c r="TKK91" s="294"/>
      <c r="TKQ91" s="292"/>
      <c r="TKR91" s="293"/>
      <c r="TKS91" s="294"/>
      <c r="TKY91" s="292"/>
      <c r="TKZ91" s="293"/>
      <c r="TLA91" s="294"/>
      <c r="TLG91" s="292"/>
      <c r="TLH91" s="293"/>
      <c r="TLI91" s="294"/>
      <c r="TLO91" s="292"/>
      <c r="TLP91" s="293"/>
      <c r="TLQ91" s="294"/>
      <c r="TLW91" s="292"/>
      <c r="TLX91" s="293"/>
      <c r="TLY91" s="294"/>
      <c r="TME91" s="292"/>
      <c r="TMF91" s="293"/>
      <c r="TMG91" s="294"/>
      <c r="TMM91" s="292"/>
      <c r="TMN91" s="293"/>
      <c r="TMO91" s="294"/>
      <c r="TMU91" s="292"/>
      <c r="TMV91" s="293"/>
      <c r="TMW91" s="294"/>
      <c r="TNC91" s="292"/>
      <c r="TND91" s="293"/>
      <c r="TNE91" s="294"/>
      <c r="TNK91" s="292"/>
      <c r="TNL91" s="293"/>
      <c r="TNM91" s="294"/>
      <c r="TNS91" s="292"/>
      <c r="TNT91" s="293"/>
      <c r="TNU91" s="294"/>
      <c r="TOA91" s="292"/>
      <c r="TOB91" s="293"/>
      <c r="TOC91" s="294"/>
      <c r="TOI91" s="292"/>
      <c r="TOJ91" s="293"/>
      <c r="TOK91" s="294"/>
      <c r="TOQ91" s="292"/>
      <c r="TOR91" s="293"/>
      <c r="TOS91" s="294"/>
      <c r="TOY91" s="292"/>
      <c r="TOZ91" s="293"/>
      <c r="TPA91" s="294"/>
      <c r="TPG91" s="292"/>
      <c r="TPH91" s="293"/>
      <c r="TPI91" s="294"/>
      <c r="TPO91" s="292"/>
      <c r="TPP91" s="293"/>
      <c r="TPQ91" s="294"/>
      <c r="TPW91" s="292"/>
      <c r="TPX91" s="293"/>
      <c r="TPY91" s="294"/>
      <c r="TQE91" s="292"/>
      <c r="TQF91" s="293"/>
      <c r="TQG91" s="294"/>
      <c r="TQM91" s="292"/>
      <c r="TQN91" s="293"/>
      <c r="TQO91" s="294"/>
      <c r="TQU91" s="292"/>
      <c r="TQV91" s="293"/>
      <c r="TQW91" s="294"/>
      <c r="TRC91" s="292"/>
      <c r="TRD91" s="293"/>
      <c r="TRE91" s="294"/>
      <c r="TRK91" s="292"/>
      <c r="TRL91" s="293"/>
      <c r="TRM91" s="294"/>
      <c r="TRS91" s="292"/>
      <c r="TRT91" s="293"/>
      <c r="TRU91" s="294"/>
      <c r="TSA91" s="292"/>
      <c r="TSB91" s="293"/>
      <c r="TSC91" s="294"/>
      <c r="TSI91" s="292"/>
      <c r="TSJ91" s="293"/>
      <c r="TSK91" s="294"/>
      <c r="TSQ91" s="292"/>
      <c r="TSR91" s="293"/>
      <c r="TSS91" s="294"/>
      <c r="TSY91" s="292"/>
      <c r="TSZ91" s="293"/>
      <c r="TTA91" s="294"/>
      <c r="TTG91" s="292"/>
      <c r="TTH91" s="293"/>
      <c r="TTI91" s="294"/>
      <c r="TTO91" s="292"/>
      <c r="TTP91" s="293"/>
      <c r="TTQ91" s="294"/>
      <c r="TTW91" s="292"/>
      <c r="TTX91" s="293"/>
      <c r="TTY91" s="294"/>
      <c r="TUE91" s="292"/>
      <c r="TUF91" s="293"/>
      <c r="TUG91" s="294"/>
      <c r="TUM91" s="292"/>
      <c r="TUN91" s="293"/>
      <c r="TUO91" s="294"/>
      <c r="TUU91" s="292"/>
      <c r="TUV91" s="293"/>
      <c r="TUW91" s="294"/>
      <c r="TVC91" s="292"/>
      <c r="TVD91" s="293"/>
      <c r="TVE91" s="294"/>
      <c r="TVK91" s="292"/>
      <c r="TVL91" s="293"/>
      <c r="TVM91" s="294"/>
      <c r="TVS91" s="292"/>
      <c r="TVT91" s="293"/>
      <c r="TVU91" s="294"/>
      <c r="TWA91" s="292"/>
      <c r="TWB91" s="293"/>
      <c r="TWC91" s="294"/>
      <c r="TWI91" s="292"/>
      <c r="TWJ91" s="293"/>
      <c r="TWK91" s="294"/>
      <c r="TWQ91" s="292"/>
      <c r="TWR91" s="293"/>
      <c r="TWS91" s="294"/>
      <c r="TWY91" s="292"/>
      <c r="TWZ91" s="293"/>
      <c r="TXA91" s="294"/>
      <c r="TXG91" s="292"/>
      <c r="TXH91" s="293"/>
      <c r="TXI91" s="294"/>
      <c r="TXO91" s="292"/>
      <c r="TXP91" s="293"/>
      <c r="TXQ91" s="294"/>
      <c r="TXW91" s="292"/>
      <c r="TXX91" s="293"/>
      <c r="TXY91" s="294"/>
      <c r="TYE91" s="292"/>
      <c r="TYF91" s="293"/>
      <c r="TYG91" s="294"/>
      <c r="TYM91" s="292"/>
      <c r="TYN91" s="293"/>
      <c r="TYO91" s="294"/>
      <c r="TYU91" s="292"/>
      <c r="TYV91" s="293"/>
      <c r="TYW91" s="294"/>
      <c r="TZC91" s="292"/>
      <c r="TZD91" s="293"/>
      <c r="TZE91" s="294"/>
      <c r="TZK91" s="292"/>
      <c r="TZL91" s="293"/>
      <c r="TZM91" s="294"/>
      <c r="TZS91" s="292"/>
      <c r="TZT91" s="293"/>
      <c r="TZU91" s="294"/>
      <c r="UAA91" s="292"/>
      <c r="UAB91" s="293"/>
      <c r="UAC91" s="294"/>
      <c r="UAI91" s="292"/>
      <c r="UAJ91" s="293"/>
      <c r="UAK91" s="294"/>
      <c r="UAQ91" s="292"/>
      <c r="UAR91" s="293"/>
      <c r="UAS91" s="294"/>
      <c r="UAY91" s="292"/>
      <c r="UAZ91" s="293"/>
      <c r="UBA91" s="294"/>
      <c r="UBG91" s="292"/>
      <c r="UBH91" s="293"/>
      <c r="UBI91" s="294"/>
      <c r="UBO91" s="292"/>
      <c r="UBP91" s="293"/>
      <c r="UBQ91" s="294"/>
      <c r="UBW91" s="292"/>
      <c r="UBX91" s="293"/>
      <c r="UBY91" s="294"/>
      <c r="UCE91" s="292"/>
      <c r="UCF91" s="293"/>
      <c r="UCG91" s="294"/>
      <c r="UCM91" s="292"/>
      <c r="UCN91" s="293"/>
      <c r="UCO91" s="294"/>
      <c r="UCU91" s="292"/>
      <c r="UCV91" s="293"/>
      <c r="UCW91" s="294"/>
      <c r="UDC91" s="292"/>
      <c r="UDD91" s="293"/>
      <c r="UDE91" s="294"/>
      <c r="UDK91" s="292"/>
      <c r="UDL91" s="293"/>
      <c r="UDM91" s="294"/>
      <c r="UDS91" s="292"/>
      <c r="UDT91" s="293"/>
      <c r="UDU91" s="294"/>
      <c r="UEA91" s="292"/>
      <c r="UEB91" s="293"/>
      <c r="UEC91" s="294"/>
      <c r="UEI91" s="292"/>
      <c r="UEJ91" s="293"/>
      <c r="UEK91" s="294"/>
      <c r="UEQ91" s="292"/>
      <c r="UER91" s="293"/>
      <c r="UES91" s="294"/>
      <c r="UEY91" s="292"/>
      <c r="UEZ91" s="293"/>
      <c r="UFA91" s="294"/>
      <c r="UFG91" s="292"/>
      <c r="UFH91" s="293"/>
      <c r="UFI91" s="294"/>
      <c r="UFO91" s="292"/>
      <c r="UFP91" s="293"/>
      <c r="UFQ91" s="294"/>
      <c r="UFW91" s="292"/>
      <c r="UFX91" s="293"/>
      <c r="UFY91" s="294"/>
      <c r="UGE91" s="292"/>
      <c r="UGF91" s="293"/>
      <c r="UGG91" s="294"/>
      <c r="UGM91" s="292"/>
      <c r="UGN91" s="293"/>
      <c r="UGO91" s="294"/>
      <c r="UGU91" s="292"/>
      <c r="UGV91" s="293"/>
      <c r="UGW91" s="294"/>
      <c r="UHC91" s="292"/>
      <c r="UHD91" s="293"/>
      <c r="UHE91" s="294"/>
      <c r="UHK91" s="292"/>
      <c r="UHL91" s="293"/>
      <c r="UHM91" s="294"/>
      <c r="UHS91" s="292"/>
      <c r="UHT91" s="293"/>
      <c r="UHU91" s="294"/>
      <c r="UIA91" s="292"/>
      <c r="UIB91" s="293"/>
      <c r="UIC91" s="294"/>
      <c r="UII91" s="292"/>
      <c r="UIJ91" s="293"/>
      <c r="UIK91" s="294"/>
      <c r="UIQ91" s="292"/>
      <c r="UIR91" s="293"/>
      <c r="UIS91" s="294"/>
      <c r="UIY91" s="292"/>
      <c r="UIZ91" s="293"/>
      <c r="UJA91" s="294"/>
      <c r="UJG91" s="292"/>
      <c r="UJH91" s="293"/>
      <c r="UJI91" s="294"/>
      <c r="UJO91" s="292"/>
      <c r="UJP91" s="293"/>
      <c r="UJQ91" s="294"/>
      <c r="UJW91" s="292"/>
      <c r="UJX91" s="293"/>
      <c r="UJY91" s="294"/>
      <c r="UKE91" s="292"/>
      <c r="UKF91" s="293"/>
      <c r="UKG91" s="294"/>
      <c r="UKM91" s="292"/>
      <c r="UKN91" s="293"/>
      <c r="UKO91" s="294"/>
      <c r="UKU91" s="292"/>
      <c r="UKV91" s="293"/>
      <c r="UKW91" s="294"/>
      <c r="ULC91" s="292"/>
      <c r="ULD91" s="293"/>
      <c r="ULE91" s="294"/>
      <c r="ULK91" s="292"/>
      <c r="ULL91" s="293"/>
      <c r="ULM91" s="294"/>
      <c r="ULS91" s="292"/>
      <c r="ULT91" s="293"/>
      <c r="ULU91" s="294"/>
      <c r="UMA91" s="292"/>
      <c r="UMB91" s="293"/>
      <c r="UMC91" s="294"/>
      <c r="UMI91" s="292"/>
      <c r="UMJ91" s="293"/>
      <c r="UMK91" s="294"/>
      <c r="UMQ91" s="292"/>
      <c r="UMR91" s="293"/>
      <c r="UMS91" s="294"/>
      <c r="UMY91" s="292"/>
      <c r="UMZ91" s="293"/>
      <c r="UNA91" s="294"/>
      <c r="UNG91" s="292"/>
      <c r="UNH91" s="293"/>
      <c r="UNI91" s="294"/>
      <c r="UNO91" s="292"/>
      <c r="UNP91" s="293"/>
      <c r="UNQ91" s="294"/>
      <c r="UNW91" s="292"/>
      <c r="UNX91" s="293"/>
      <c r="UNY91" s="294"/>
      <c r="UOE91" s="292"/>
      <c r="UOF91" s="293"/>
      <c r="UOG91" s="294"/>
      <c r="UOM91" s="292"/>
      <c r="UON91" s="293"/>
      <c r="UOO91" s="294"/>
      <c r="UOU91" s="292"/>
      <c r="UOV91" s="293"/>
      <c r="UOW91" s="294"/>
      <c r="UPC91" s="292"/>
      <c r="UPD91" s="293"/>
      <c r="UPE91" s="294"/>
      <c r="UPK91" s="292"/>
      <c r="UPL91" s="293"/>
      <c r="UPM91" s="294"/>
      <c r="UPS91" s="292"/>
      <c r="UPT91" s="293"/>
      <c r="UPU91" s="294"/>
      <c r="UQA91" s="292"/>
      <c r="UQB91" s="293"/>
      <c r="UQC91" s="294"/>
      <c r="UQI91" s="292"/>
      <c r="UQJ91" s="293"/>
      <c r="UQK91" s="294"/>
      <c r="UQQ91" s="292"/>
      <c r="UQR91" s="293"/>
      <c r="UQS91" s="294"/>
      <c r="UQY91" s="292"/>
      <c r="UQZ91" s="293"/>
      <c r="URA91" s="294"/>
      <c r="URG91" s="292"/>
      <c r="URH91" s="293"/>
      <c r="URI91" s="294"/>
      <c r="URO91" s="292"/>
      <c r="URP91" s="293"/>
      <c r="URQ91" s="294"/>
      <c r="URW91" s="292"/>
      <c r="URX91" s="293"/>
      <c r="URY91" s="294"/>
      <c r="USE91" s="292"/>
      <c r="USF91" s="293"/>
      <c r="USG91" s="294"/>
      <c r="USM91" s="292"/>
      <c r="USN91" s="293"/>
      <c r="USO91" s="294"/>
      <c r="USU91" s="292"/>
      <c r="USV91" s="293"/>
      <c r="USW91" s="294"/>
      <c r="UTC91" s="292"/>
      <c r="UTD91" s="293"/>
      <c r="UTE91" s="294"/>
      <c r="UTK91" s="292"/>
      <c r="UTL91" s="293"/>
      <c r="UTM91" s="294"/>
      <c r="UTS91" s="292"/>
      <c r="UTT91" s="293"/>
      <c r="UTU91" s="294"/>
      <c r="UUA91" s="292"/>
      <c r="UUB91" s="293"/>
      <c r="UUC91" s="294"/>
      <c r="UUI91" s="292"/>
      <c r="UUJ91" s="293"/>
      <c r="UUK91" s="294"/>
      <c r="UUQ91" s="292"/>
      <c r="UUR91" s="293"/>
      <c r="UUS91" s="294"/>
      <c r="UUY91" s="292"/>
      <c r="UUZ91" s="293"/>
      <c r="UVA91" s="294"/>
      <c r="UVG91" s="292"/>
      <c r="UVH91" s="293"/>
      <c r="UVI91" s="294"/>
      <c r="UVO91" s="292"/>
      <c r="UVP91" s="293"/>
      <c r="UVQ91" s="294"/>
      <c r="UVW91" s="292"/>
      <c r="UVX91" s="293"/>
      <c r="UVY91" s="294"/>
      <c r="UWE91" s="292"/>
      <c r="UWF91" s="293"/>
      <c r="UWG91" s="294"/>
      <c r="UWM91" s="292"/>
      <c r="UWN91" s="293"/>
      <c r="UWO91" s="294"/>
      <c r="UWU91" s="292"/>
      <c r="UWV91" s="293"/>
      <c r="UWW91" s="294"/>
      <c r="UXC91" s="292"/>
      <c r="UXD91" s="293"/>
      <c r="UXE91" s="294"/>
      <c r="UXK91" s="292"/>
      <c r="UXL91" s="293"/>
      <c r="UXM91" s="294"/>
      <c r="UXS91" s="292"/>
      <c r="UXT91" s="293"/>
      <c r="UXU91" s="294"/>
      <c r="UYA91" s="292"/>
      <c r="UYB91" s="293"/>
      <c r="UYC91" s="294"/>
      <c r="UYI91" s="292"/>
      <c r="UYJ91" s="293"/>
      <c r="UYK91" s="294"/>
      <c r="UYQ91" s="292"/>
      <c r="UYR91" s="293"/>
      <c r="UYS91" s="294"/>
      <c r="UYY91" s="292"/>
      <c r="UYZ91" s="293"/>
      <c r="UZA91" s="294"/>
      <c r="UZG91" s="292"/>
      <c r="UZH91" s="293"/>
      <c r="UZI91" s="294"/>
      <c r="UZO91" s="292"/>
      <c r="UZP91" s="293"/>
      <c r="UZQ91" s="294"/>
      <c r="UZW91" s="292"/>
      <c r="UZX91" s="293"/>
      <c r="UZY91" s="294"/>
      <c r="VAE91" s="292"/>
      <c r="VAF91" s="293"/>
      <c r="VAG91" s="294"/>
      <c r="VAM91" s="292"/>
      <c r="VAN91" s="293"/>
      <c r="VAO91" s="294"/>
      <c r="VAU91" s="292"/>
      <c r="VAV91" s="293"/>
      <c r="VAW91" s="294"/>
      <c r="VBC91" s="292"/>
      <c r="VBD91" s="293"/>
      <c r="VBE91" s="294"/>
      <c r="VBK91" s="292"/>
      <c r="VBL91" s="293"/>
      <c r="VBM91" s="294"/>
      <c r="VBS91" s="292"/>
      <c r="VBT91" s="293"/>
      <c r="VBU91" s="294"/>
      <c r="VCA91" s="292"/>
      <c r="VCB91" s="293"/>
      <c r="VCC91" s="294"/>
      <c r="VCI91" s="292"/>
      <c r="VCJ91" s="293"/>
      <c r="VCK91" s="294"/>
      <c r="VCQ91" s="292"/>
      <c r="VCR91" s="293"/>
      <c r="VCS91" s="294"/>
      <c r="VCY91" s="292"/>
      <c r="VCZ91" s="293"/>
      <c r="VDA91" s="294"/>
      <c r="VDG91" s="292"/>
      <c r="VDH91" s="293"/>
      <c r="VDI91" s="294"/>
      <c r="VDO91" s="292"/>
      <c r="VDP91" s="293"/>
      <c r="VDQ91" s="294"/>
      <c r="VDW91" s="292"/>
      <c r="VDX91" s="293"/>
      <c r="VDY91" s="294"/>
      <c r="VEE91" s="292"/>
      <c r="VEF91" s="293"/>
      <c r="VEG91" s="294"/>
      <c r="VEM91" s="292"/>
      <c r="VEN91" s="293"/>
      <c r="VEO91" s="294"/>
      <c r="VEU91" s="292"/>
      <c r="VEV91" s="293"/>
      <c r="VEW91" s="294"/>
      <c r="VFC91" s="292"/>
      <c r="VFD91" s="293"/>
      <c r="VFE91" s="294"/>
      <c r="VFK91" s="292"/>
      <c r="VFL91" s="293"/>
      <c r="VFM91" s="294"/>
      <c r="VFS91" s="292"/>
      <c r="VFT91" s="293"/>
      <c r="VFU91" s="294"/>
      <c r="VGA91" s="292"/>
      <c r="VGB91" s="293"/>
      <c r="VGC91" s="294"/>
      <c r="VGI91" s="292"/>
      <c r="VGJ91" s="293"/>
      <c r="VGK91" s="294"/>
      <c r="VGQ91" s="292"/>
      <c r="VGR91" s="293"/>
      <c r="VGS91" s="294"/>
      <c r="VGY91" s="292"/>
      <c r="VGZ91" s="293"/>
      <c r="VHA91" s="294"/>
      <c r="VHG91" s="292"/>
      <c r="VHH91" s="293"/>
      <c r="VHI91" s="294"/>
      <c r="VHO91" s="292"/>
      <c r="VHP91" s="293"/>
      <c r="VHQ91" s="294"/>
      <c r="VHW91" s="292"/>
      <c r="VHX91" s="293"/>
      <c r="VHY91" s="294"/>
      <c r="VIE91" s="292"/>
      <c r="VIF91" s="293"/>
      <c r="VIG91" s="294"/>
      <c r="VIM91" s="292"/>
      <c r="VIN91" s="293"/>
      <c r="VIO91" s="294"/>
      <c r="VIU91" s="292"/>
      <c r="VIV91" s="293"/>
      <c r="VIW91" s="294"/>
      <c r="VJC91" s="292"/>
      <c r="VJD91" s="293"/>
      <c r="VJE91" s="294"/>
      <c r="VJK91" s="292"/>
      <c r="VJL91" s="293"/>
      <c r="VJM91" s="294"/>
      <c r="VJS91" s="292"/>
      <c r="VJT91" s="293"/>
      <c r="VJU91" s="294"/>
      <c r="VKA91" s="292"/>
      <c r="VKB91" s="293"/>
      <c r="VKC91" s="294"/>
      <c r="VKI91" s="292"/>
      <c r="VKJ91" s="293"/>
      <c r="VKK91" s="294"/>
      <c r="VKQ91" s="292"/>
      <c r="VKR91" s="293"/>
      <c r="VKS91" s="294"/>
      <c r="VKY91" s="292"/>
      <c r="VKZ91" s="293"/>
      <c r="VLA91" s="294"/>
      <c r="VLG91" s="292"/>
      <c r="VLH91" s="293"/>
      <c r="VLI91" s="294"/>
      <c r="VLO91" s="292"/>
      <c r="VLP91" s="293"/>
      <c r="VLQ91" s="294"/>
      <c r="VLW91" s="292"/>
      <c r="VLX91" s="293"/>
      <c r="VLY91" s="294"/>
      <c r="VME91" s="292"/>
      <c r="VMF91" s="293"/>
      <c r="VMG91" s="294"/>
      <c r="VMM91" s="292"/>
      <c r="VMN91" s="293"/>
      <c r="VMO91" s="294"/>
      <c r="VMU91" s="292"/>
      <c r="VMV91" s="293"/>
      <c r="VMW91" s="294"/>
      <c r="VNC91" s="292"/>
      <c r="VND91" s="293"/>
      <c r="VNE91" s="294"/>
      <c r="VNK91" s="292"/>
      <c r="VNL91" s="293"/>
      <c r="VNM91" s="294"/>
      <c r="VNS91" s="292"/>
      <c r="VNT91" s="293"/>
      <c r="VNU91" s="294"/>
      <c r="VOA91" s="292"/>
      <c r="VOB91" s="293"/>
      <c r="VOC91" s="294"/>
      <c r="VOI91" s="292"/>
      <c r="VOJ91" s="293"/>
      <c r="VOK91" s="294"/>
      <c r="VOQ91" s="292"/>
      <c r="VOR91" s="293"/>
      <c r="VOS91" s="294"/>
      <c r="VOY91" s="292"/>
      <c r="VOZ91" s="293"/>
      <c r="VPA91" s="294"/>
      <c r="VPG91" s="292"/>
      <c r="VPH91" s="293"/>
      <c r="VPI91" s="294"/>
      <c r="VPO91" s="292"/>
      <c r="VPP91" s="293"/>
      <c r="VPQ91" s="294"/>
      <c r="VPW91" s="292"/>
      <c r="VPX91" s="293"/>
      <c r="VPY91" s="294"/>
      <c r="VQE91" s="292"/>
      <c r="VQF91" s="293"/>
      <c r="VQG91" s="294"/>
      <c r="VQM91" s="292"/>
      <c r="VQN91" s="293"/>
      <c r="VQO91" s="294"/>
      <c r="VQU91" s="292"/>
      <c r="VQV91" s="293"/>
      <c r="VQW91" s="294"/>
      <c r="VRC91" s="292"/>
      <c r="VRD91" s="293"/>
      <c r="VRE91" s="294"/>
      <c r="VRK91" s="292"/>
      <c r="VRL91" s="293"/>
      <c r="VRM91" s="294"/>
      <c r="VRS91" s="292"/>
      <c r="VRT91" s="293"/>
      <c r="VRU91" s="294"/>
      <c r="VSA91" s="292"/>
      <c r="VSB91" s="293"/>
      <c r="VSC91" s="294"/>
      <c r="VSI91" s="292"/>
      <c r="VSJ91" s="293"/>
      <c r="VSK91" s="294"/>
      <c r="VSQ91" s="292"/>
      <c r="VSR91" s="293"/>
      <c r="VSS91" s="294"/>
      <c r="VSY91" s="292"/>
      <c r="VSZ91" s="293"/>
      <c r="VTA91" s="294"/>
      <c r="VTG91" s="292"/>
      <c r="VTH91" s="293"/>
      <c r="VTI91" s="294"/>
      <c r="VTO91" s="292"/>
      <c r="VTP91" s="293"/>
      <c r="VTQ91" s="294"/>
      <c r="VTW91" s="292"/>
      <c r="VTX91" s="293"/>
      <c r="VTY91" s="294"/>
      <c r="VUE91" s="292"/>
      <c r="VUF91" s="293"/>
      <c r="VUG91" s="294"/>
      <c r="VUM91" s="292"/>
      <c r="VUN91" s="293"/>
      <c r="VUO91" s="294"/>
      <c r="VUU91" s="292"/>
      <c r="VUV91" s="293"/>
      <c r="VUW91" s="294"/>
      <c r="VVC91" s="292"/>
      <c r="VVD91" s="293"/>
      <c r="VVE91" s="294"/>
      <c r="VVK91" s="292"/>
      <c r="VVL91" s="293"/>
      <c r="VVM91" s="294"/>
      <c r="VVS91" s="292"/>
      <c r="VVT91" s="293"/>
      <c r="VVU91" s="294"/>
      <c r="VWA91" s="292"/>
      <c r="VWB91" s="293"/>
      <c r="VWC91" s="294"/>
      <c r="VWI91" s="292"/>
      <c r="VWJ91" s="293"/>
      <c r="VWK91" s="294"/>
      <c r="VWQ91" s="292"/>
      <c r="VWR91" s="293"/>
      <c r="VWS91" s="294"/>
      <c r="VWY91" s="292"/>
      <c r="VWZ91" s="293"/>
      <c r="VXA91" s="294"/>
      <c r="VXG91" s="292"/>
      <c r="VXH91" s="293"/>
      <c r="VXI91" s="294"/>
      <c r="VXO91" s="292"/>
      <c r="VXP91" s="293"/>
      <c r="VXQ91" s="294"/>
      <c r="VXW91" s="292"/>
      <c r="VXX91" s="293"/>
      <c r="VXY91" s="294"/>
      <c r="VYE91" s="292"/>
      <c r="VYF91" s="293"/>
      <c r="VYG91" s="294"/>
      <c r="VYM91" s="292"/>
      <c r="VYN91" s="293"/>
      <c r="VYO91" s="294"/>
      <c r="VYU91" s="292"/>
      <c r="VYV91" s="293"/>
      <c r="VYW91" s="294"/>
      <c r="VZC91" s="292"/>
      <c r="VZD91" s="293"/>
      <c r="VZE91" s="294"/>
      <c r="VZK91" s="292"/>
      <c r="VZL91" s="293"/>
      <c r="VZM91" s="294"/>
      <c r="VZS91" s="292"/>
      <c r="VZT91" s="293"/>
      <c r="VZU91" s="294"/>
      <c r="WAA91" s="292"/>
      <c r="WAB91" s="293"/>
      <c r="WAC91" s="294"/>
      <c r="WAI91" s="292"/>
      <c r="WAJ91" s="293"/>
      <c r="WAK91" s="294"/>
      <c r="WAQ91" s="292"/>
      <c r="WAR91" s="293"/>
      <c r="WAS91" s="294"/>
      <c r="WAY91" s="292"/>
      <c r="WAZ91" s="293"/>
      <c r="WBA91" s="294"/>
      <c r="WBG91" s="292"/>
      <c r="WBH91" s="293"/>
      <c r="WBI91" s="294"/>
      <c r="WBO91" s="292"/>
      <c r="WBP91" s="293"/>
      <c r="WBQ91" s="294"/>
      <c r="WBW91" s="292"/>
      <c r="WBX91" s="293"/>
      <c r="WBY91" s="294"/>
      <c r="WCE91" s="292"/>
      <c r="WCF91" s="293"/>
      <c r="WCG91" s="294"/>
      <c r="WCM91" s="292"/>
      <c r="WCN91" s="293"/>
      <c r="WCO91" s="294"/>
      <c r="WCU91" s="292"/>
      <c r="WCV91" s="293"/>
      <c r="WCW91" s="294"/>
      <c r="WDC91" s="292"/>
      <c r="WDD91" s="293"/>
      <c r="WDE91" s="294"/>
      <c r="WDK91" s="292"/>
      <c r="WDL91" s="293"/>
      <c r="WDM91" s="294"/>
      <c r="WDS91" s="292"/>
      <c r="WDT91" s="293"/>
      <c r="WDU91" s="294"/>
      <c r="WEA91" s="292"/>
      <c r="WEB91" s="293"/>
      <c r="WEC91" s="294"/>
      <c r="WEI91" s="292"/>
      <c r="WEJ91" s="293"/>
      <c r="WEK91" s="294"/>
      <c r="WEQ91" s="292"/>
      <c r="WER91" s="293"/>
      <c r="WES91" s="294"/>
      <c r="WEY91" s="292"/>
      <c r="WEZ91" s="293"/>
      <c r="WFA91" s="294"/>
      <c r="WFG91" s="292"/>
      <c r="WFH91" s="293"/>
      <c r="WFI91" s="294"/>
      <c r="WFO91" s="292"/>
      <c r="WFP91" s="293"/>
      <c r="WFQ91" s="294"/>
      <c r="WFW91" s="292"/>
      <c r="WFX91" s="293"/>
      <c r="WFY91" s="294"/>
      <c r="WGE91" s="292"/>
      <c r="WGF91" s="293"/>
      <c r="WGG91" s="294"/>
      <c r="WGM91" s="292"/>
      <c r="WGN91" s="293"/>
      <c r="WGO91" s="294"/>
      <c r="WGU91" s="292"/>
      <c r="WGV91" s="293"/>
      <c r="WGW91" s="294"/>
      <c r="WHC91" s="292"/>
      <c r="WHD91" s="293"/>
      <c r="WHE91" s="294"/>
      <c r="WHK91" s="292"/>
      <c r="WHL91" s="293"/>
      <c r="WHM91" s="294"/>
      <c r="WHS91" s="292"/>
      <c r="WHT91" s="293"/>
      <c r="WHU91" s="294"/>
      <c r="WIA91" s="292"/>
      <c r="WIB91" s="293"/>
      <c r="WIC91" s="294"/>
      <c r="WII91" s="292"/>
      <c r="WIJ91" s="293"/>
      <c r="WIK91" s="294"/>
      <c r="WIQ91" s="292"/>
      <c r="WIR91" s="293"/>
      <c r="WIS91" s="294"/>
      <c r="WIY91" s="292"/>
      <c r="WIZ91" s="293"/>
      <c r="WJA91" s="294"/>
      <c r="WJG91" s="292"/>
      <c r="WJH91" s="293"/>
      <c r="WJI91" s="294"/>
      <c r="WJO91" s="292"/>
      <c r="WJP91" s="293"/>
      <c r="WJQ91" s="294"/>
      <c r="WJW91" s="292"/>
      <c r="WJX91" s="293"/>
      <c r="WJY91" s="294"/>
      <c r="WKE91" s="292"/>
      <c r="WKF91" s="293"/>
      <c r="WKG91" s="294"/>
      <c r="WKM91" s="292"/>
      <c r="WKN91" s="293"/>
      <c r="WKO91" s="294"/>
      <c r="WKU91" s="292"/>
      <c r="WKV91" s="293"/>
      <c r="WKW91" s="294"/>
      <c r="WLC91" s="292"/>
      <c r="WLD91" s="293"/>
      <c r="WLE91" s="294"/>
      <c r="WLK91" s="292"/>
      <c r="WLL91" s="293"/>
      <c r="WLM91" s="294"/>
      <c r="WLS91" s="292"/>
      <c r="WLT91" s="293"/>
      <c r="WLU91" s="294"/>
      <c r="WMA91" s="292"/>
      <c r="WMB91" s="293"/>
      <c r="WMC91" s="294"/>
      <c r="WMI91" s="292"/>
      <c r="WMJ91" s="293"/>
      <c r="WMK91" s="294"/>
      <c r="WMQ91" s="292"/>
      <c r="WMR91" s="293"/>
      <c r="WMS91" s="294"/>
      <c r="WMY91" s="292"/>
      <c r="WMZ91" s="293"/>
      <c r="WNA91" s="294"/>
      <c r="WNG91" s="292"/>
      <c r="WNH91" s="293"/>
      <c r="WNI91" s="294"/>
      <c r="WNO91" s="292"/>
      <c r="WNP91" s="293"/>
      <c r="WNQ91" s="294"/>
      <c r="WNW91" s="292"/>
      <c r="WNX91" s="293"/>
      <c r="WNY91" s="294"/>
      <c r="WOE91" s="292"/>
      <c r="WOF91" s="293"/>
      <c r="WOG91" s="294"/>
      <c r="WOM91" s="292"/>
      <c r="WON91" s="293"/>
      <c r="WOO91" s="294"/>
      <c r="WOU91" s="292"/>
      <c r="WOV91" s="293"/>
      <c r="WOW91" s="294"/>
      <c r="WPC91" s="292"/>
      <c r="WPD91" s="293"/>
      <c r="WPE91" s="294"/>
      <c r="WPK91" s="292"/>
      <c r="WPL91" s="293"/>
      <c r="WPM91" s="294"/>
      <c r="WPS91" s="292"/>
      <c r="WPT91" s="293"/>
      <c r="WPU91" s="294"/>
      <c r="WQA91" s="292"/>
      <c r="WQB91" s="293"/>
      <c r="WQC91" s="294"/>
      <c r="WQI91" s="292"/>
      <c r="WQJ91" s="293"/>
      <c r="WQK91" s="294"/>
      <c r="WQQ91" s="292"/>
      <c r="WQR91" s="293"/>
      <c r="WQS91" s="294"/>
      <c r="WQY91" s="292"/>
      <c r="WQZ91" s="293"/>
      <c r="WRA91" s="294"/>
      <c r="WRG91" s="292"/>
      <c r="WRH91" s="293"/>
      <c r="WRI91" s="294"/>
      <c r="WRO91" s="292"/>
      <c r="WRP91" s="293"/>
      <c r="WRQ91" s="294"/>
      <c r="WRW91" s="292"/>
      <c r="WRX91" s="293"/>
      <c r="WRY91" s="294"/>
      <c r="WSE91" s="292"/>
      <c r="WSF91" s="293"/>
      <c r="WSG91" s="294"/>
      <c r="WSM91" s="292"/>
      <c r="WSN91" s="293"/>
      <c r="WSO91" s="294"/>
      <c r="WSU91" s="292"/>
      <c r="WSV91" s="293"/>
      <c r="WSW91" s="294"/>
      <c r="WTC91" s="292"/>
      <c r="WTD91" s="293"/>
      <c r="WTE91" s="294"/>
      <c r="WTK91" s="292"/>
      <c r="WTL91" s="293"/>
      <c r="WTM91" s="294"/>
      <c r="WTS91" s="292"/>
      <c r="WTT91" s="293"/>
      <c r="WTU91" s="294"/>
      <c r="WUA91" s="292"/>
      <c r="WUB91" s="293"/>
      <c r="WUC91" s="294"/>
      <c r="WUI91" s="292"/>
      <c r="WUJ91" s="293"/>
      <c r="WUK91" s="294"/>
      <c r="WUQ91" s="292"/>
      <c r="WUR91" s="293"/>
      <c r="WUS91" s="294"/>
      <c r="WUY91" s="292"/>
      <c r="WUZ91" s="293"/>
      <c r="WVA91" s="294"/>
      <c r="WVG91" s="292"/>
      <c r="WVH91" s="293"/>
      <c r="WVI91" s="294"/>
      <c r="WVO91" s="292"/>
      <c r="WVP91" s="293"/>
      <c r="WVQ91" s="294"/>
      <c r="WVW91" s="292"/>
      <c r="WVX91" s="293"/>
      <c r="WVY91" s="294"/>
      <c r="WWE91" s="292"/>
      <c r="WWF91" s="293"/>
      <c r="WWG91" s="294"/>
      <c r="WWM91" s="292"/>
      <c r="WWN91" s="293"/>
      <c r="WWO91" s="294"/>
      <c r="WWU91" s="292"/>
      <c r="WWV91" s="293"/>
      <c r="WWW91" s="294"/>
      <c r="WXC91" s="292"/>
      <c r="WXD91" s="293"/>
      <c r="WXE91" s="294"/>
      <c r="WXK91" s="292"/>
      <c r="WXL91" s="293"/>
      <c r="WXM91" s="294"/>
      <c r="WXS91" s="292"/>
      <c r="WXT91" s="293"/>
      <c r="WXU91" s="294"/>
      <c r="WYA91" s="292"/>
      <c r="WYB91" s="293"/>
      <c r="WYC91" s="294"/>
      <c r="WYI91" s="292"/>
      <c r="WYJ91" s="293"/>
      <c r="WYK91" s="294"/>
      <c r="WYQ91" s="292"/>
      <c r="WYR91" s="293"/>
      <c r="WYS91" s="294"/>
      <c r="WYY91" s="292"/>
      <c r="WYZ91" s="293"/>
      <c r="WZA91" s="294"/>
      <c r="WZG91" s="292"/>
      <c r="WZH91" s="293"/>
      <c r="WZI91" s="294"/>
      <c r="WZO91" s="292"/>
      <c r="WZP91" s="293"/>
      <c r="WZQ91" s="294"/>
      <c r="WZW91" s="292"/>
      <c r="WZX91" s="293"/>
      <c r="WZY91" s="294"/>
      <c r="XAE91" s="292"/>
      <c r="XAF91" s="293"/>
      <c r="XAG91" s="294"/>
      <c r="XAM91" s="292"/>
      <c r="XAN91" s="293"/>
      <c r="XAO91" s="294"/>
      <c r="XAU91" s="292"/>
      <c r="XAV91" s="293"/>
      <c r="XAW91" s="294"/>
      <c r="XBC91" s="292"/>
      <c r="XBD91" s="293"/>
      <c r="XBE91" s="294"/>
      <c r="XBK91" s="292"/>
      <c r="XBL91" s="293"/>
      <c r="XBM91" s="294"/>
      <c r="XBS91" s="292"/>
      <c r="XBT91" s="293"/>
      <c r="XBU91" s="294"/>
      <c r="XCA91" s="292"/>
      <c r="XCB91" s="293"/>
      <c r="XCC91" s="294"/>
      <c r="XCI91" s="292"/>
      <c r="XCJ91" s="293"/>
      <c r="XCK91" s="294"/>
      <c r="XCQ91" s="292"/>
      <c r="XCR91" s="293"/>
      <c r="XCS91" s="294"/>
      <c r="XCY91" s="292"/>
      <c r="XCZ91" s="293"/>
      <c r="XDA91" s="294"/>
      <c r="XDG91" s="292"/>
      <c r="XDH91" s="293"/>
      <c r="XDI91" s="294"/>
      <c r="XDO91" s="292"/>
      <c r="XDP91" s="293"/>
      <c r="XDQ91" s="294"/>
      <c r="XDW91" s="292"/>
      <c r="XDX91" s="293"/>
      <c r="XDY91" s="294"/>
      <c r="XEE91" s="292"/>
      <c r="XEF91" s="293"/>
      <c r="XEG91" s="294"/>
      <c r="XEM91" s="292"/>
      <c r="XEN91" s="293"/>
      <c r="XEO91" s="294"/>
      <c r="XEU91" s="292"/>
      <c r="XEV91" s="293"/>
      <c r="XEW91" s="294"/>
    </row>
    <row r="92" spans="1:16377" s="287" customFormat="1" x14ac:dyDescent="0.3">
      <c r="A92" s="305" t="s">
        <v>1149</v>
      </c>
      <c r="B92" s="293"/>
      <c r="C92" s="294"/>
      <c r="H92" s="293"/>
      <c r="I92" s="294"/>
      <c r="O92" s="292"/>
      <c r="P92" s="293"/>
      <c r="Q92" s="294"/>
      <c r="W92" s="292"/>
      <c r="X92" s="293"/>
      <c r="Y92" s="294"/>
      <c r="AE92" s="292"/>
      <c r="AF92" s="293"/>
      <c r="AG92" s="294"/>
      <c r="AM92" s="292"/>
      <c r="AN92" s="293"/>
      <c r="AO92" s="294"/>
      <c r="AU92" s="292"/>
      <c r="AV92" s="293"/>
      <c r="AW92" s="294"/>
      <c r="BC92" s="292"/>
      <c r="BD92" s="293"/>
      <c r="BE92" s="294"/>
      <c r="BK92" s="292"/>
      <c r="BL92" s="293"/>
      <c r="BM92" s="294"/>
      <c r="BS92" s="292"/>
      <c r="BT92" s="293"/>
      <c r="BU92" s="294"/>
      <c r="CA92" s="292"/>
      <c r="CB92" s="293"/>
      <c r="CC92" s="294"/>
      <c r="CI92" s="292"/>
      <c r="CJ92" s="293"/>
      <c r="CK92" s="294"/>
      <c r="CQ92" s="292"/>
      <c r="CR92" s="293"/>
      <c r="CS92" s="294"/>
      <c r="CY92" s="292"/>
      <c r="CZ92" s="293"/>
      <c r="DA92" s="294"/>
      <c r="DG92" s="292"/>
      <c r="DH92" s="293"/>
      <c r="DI92" s="294"/>
      <c r="DO92" s="292"/>
      <c r="DP92" s="293"/>
      <c r="DQ92" s="294"/>
      <c r="DW92" s="292"/>
      <c r="DX92" s="293"/>
      <c r="DY92" s="294"/>
      <c r="EE92" s="292"/>
      <c r="EF92" s="293"/>
      <c r="EG92" s="294"/>
      <c r="EM92" s="292"/>
      <c r="EN92" s="293"/>
      <c r="EO92" s="294"/>
      <c r="EU92" s="292"/>
      <c r="EV92" s="293"/>
      <c r="EW92" s="294"/>
      <c r="FC92" s="292"/>
      <c r="FD92" s="293"/>
      <c r="FE92" s="294"/>
      <c r="FK92" s="292"/>
      <c r="FL92" s="293"/>
      <c r="FM92" s="294"/>
      <c r="FS92" s="292"/>
      <c r="FT92" s="293"/>
      <c r="FU92" s="294"/>
      <c r="GA92" s="292"/>
      <c r="GB92" s="293"/>
      <c r="GC92" s="294"/>
      <c r="GI92" s="292"/>
      <c r="GJ92" s="293"/>
      <c r="GK92" s="294"/>
      <c r="GQ92" s="292"/>
      <c r="GR92" s="293"/>
      <c r="GS92" s="294"/>
      <c r="GY92" s="292"/>
      <c r="GZ92" s="293"/>
      <c r="HA92" s="294"/>
      <c r="HG92" s="292"/>
      <c r="HH92" s="293"/>
      <c r="HI92" s="294"/>
      <c r="HO92" s="292"/>
      <c r="HP92" s="293"/>
      <c r="HQ92" s="294"/>
      <c r="HW92" s="292"/>
      <c r="HX92" s="293"/>
      <c r="HY92" s="294"/>
      <c r="IE92" s="292"/>
      <c r="IF92" s="293"/>
      <c r="IG92" s="294"/>
      <c r="IM92" s="292"/>
      <c r="IN92" s="293"/>
      <c r="IO92" s="294"/>
      <c r="IU92" s="292"/>
      <c r="IV92" s="293"/>
      <c r="IW92" s="294"/>
      <c r="JC92" s="292"/>
      <c r="JD92" s="293"/>
      <c r="JE92" s="294"/>
      <c r="JK92" s="292"/>
      <c r="JL92" s="293"/>
      <c r="JM92" s="294"/>
      <c r="JS92" s="292"/>
      <c r="JT92" s="293"/>
      <c r="JU92" s="294"/>
      <c r="KA92" s="292"/>
      <c r="KB92" s="293"/>
      <c r="KC92" s="294"/>
      <c r="KI92" s="292"/>
      <c r="KJ92" s="293"/>
      <c r="KK92" s="294"/>
      <c r="KQ92" s="292"/>
      <c r="KR92" s="293"/>
      <c r="KS92" s="294"/>
      <c r="KY92" s="292"/>
      <c r="KZ92" s="293"/>
      <c r="LA92" s="294"/>
      <c r="LG92" s="292"/>
      <c r="LH92" s="293"/>
      <c r="LI92" s="294"/>
      <c r="LO92" s="292"/>
      <c r="LP92" s="293"/>
      <c r="LQ92" s="294"/>
      <c r="LW92" s="292"/>
      <c r="LX92" s="293"/>
      <c r="LY92" s="294"/>
      <c r="ME92" s="292"/>
      <c r="MF92" s="293"/>
      <c r="MG92" s="294"/>
      <c r="MM92" s="292"/>
      <c r="MN92" s="293"/>
      <c r="MO92" s="294"/>
      <c r="MU92" s="292"/>
      <c r="MV92" s="293"/>
      <c r="MW92" s="294"/>
      <c r="NC92" s="292"/>
      <c r="ND92" s="293"/>
      <c r="NE92" s="294"/>
      <c r="NK92" s="292"/>
      <c r="NL92" s="293"/>
      <c r="NM92" s="294"/>
      <c r="NS92" s="292"/>
      <c r="NT92" s="293"/>
      <c r="NU92" s="294"/>
      <c r="OA92" s="292"/>
      <c r="OB92" s="293"/>
      <c r="OC92" s="294"/>
      <c r="OI92" s="292"/>
      <c r="OJ92" s="293"/>
      <c r="OK92" s="294"/>
      <c r="OQ92" s="292"/>
      <c r="OR92" s="293"/>
      <c r="OS92" s="294"/>
      <c r="OY92" s="292"/>
      <c r="OZ92" s="293"/>
      <c r="PA92" s="294"/>
      <c r="PG92" s="292"/>
      <c r="PH92" s="293"/>
      <c r="PI92" s="294"/>
      <c r="PO92" s="292"/>
      <c r="PP92" s="293"/>
      <c r="PQ92" s="294"/>
      <c r="PW92" s="292"/>
      <c r="PX92" s="293"/>
      <c r="PY92" s="294"/>
      <c r="QE92" s="292"/>
      <c r="QF92" s="293"/>
      <c r="QG92" s="294"/>
      <c r="QM92" s="292"/>
      <c r="QN92" s="293"/>
      <c r="QO92" s="294"/>
      <c r="QU92" s="292"/>
      <c r="QV92" s="293"/>
      <c r="QW92" s="294"/>
      <c r="RC92" s="292"/>
      <c r="RD92" s="293"/>
      <c r="RE92" s="294"/>
      <c r="RK92" s="292"/>
      <c r="RL92" s="293"/>
      <c r="RM92" s="294"/>
      <c r="RS92" s="292"/>
      <c r="RT92" s="293"/>
      <c r="RU92" s="294"/>
      <c r="SA92" s="292"/>
      <c r="SB92" s="293"/>
      <c r="SC92" s="294"/>
      <c r="SI92" s="292"/>
      <c r="SJ92" s="293"/>
      <c r="SK92" s="294"/>
      <c r="SQ92" s="292"/>
      <c r="SR92" s="293"/>
      <c r="SS92" s="294"/>
      <c r="SY92" s="292"/>
      <c r="SZ92" s="293"/>
      <c r="TA92" s="294"/>
      <c r="TG92" s="292"/>
      <c r="TH92" s="293"/>
      <c r="TI92" s="294"/>
      <c r="TO92" s="292"/>
      <c r="TP92" s="293"/>
      <c r="TQ92" s="294"/>
      <c r="TW92" s="292"/>
      <c r="TX92" s="293"/>
      <c r="TY92" s="294"/>
      <c r="UE92" s="292"/>
      <c r="UF92" s="293"/>
      <c r="UG92" s="294"/>
      <c r="UM92" s="292"/>
      <c r="UN92" s="293"/>
      <c r="UO92" s="294"/>
      <c r="UU92" s="292"/>
      <c r="UV92" s="293"/>
      <c r="UW92" s="294"/>
      <c r="VC92" s="292"/>
      <c r="VD92" s="293"/>
      <c r="VE92" s="294"/>
      <c r="VK92" s="292"/>
      <c r="VL92" s="293"/>
      <c r="VM92" s="294"/>
      <c r="VS92" s="292"/>
      <c r="VT92" s="293"/>
      <c r="VU92" s="294"/>
      <c r="WA92" s="292"/>
      <c r="WB92" s="293"/>
      <c r="WC92" s="294"/>
      <c r="WI92" s="292"/>
      <c r="WJ92" s="293"/>
      <c r="WK92" s="294"/>
      <c r="WQ92" s="292"/>
      <c r="WR92" s="293"/>
      <c r="WS92" s="294"/>
      <c r="WY92" s="292"/>
      <c r="WZ92" s="293"/>
      <c r="XA92" s="294"/>
      <c r="XG92" s="292"/>
      <c r="XH92" s="293"/>
      <c r="XI92" s="294"/>
      <c r="XO92" s="292"/>
      <c r="XP92" s="293"/>
      <c r="XQ92" s="294"/>
      <c r="XW92" s="292"/>
      <c r="XX92" s="293"/>
      <c r="XY92" s="294"/>
      <c r="YE92" s="292"/>
      <c r="YF92" s="293"/>
      <c r="YG92" s="294"/>
      <c r="YM92" s="292"/>
      <c r="YN92" s="293"/>
      <c r="YO92" s="294"/>
      <c r="YU92" s="292"/>
      <c r="YV92" s="293"/>
      <c r="YW92" s="294"/>
      <c r="ZC92" s="292"/>
      <c r="ZD92" s="293"/>
      <c r="ZE92" s="294"/>
      <c r="ZK92" s="292"/>
      <c r="ZL92" s="293"/>
      <c r="ZM92" s="294"/>
      <c r="ZS92" s="292"/>
      <c r="ZT92" s="293"/>
      <c r="ZU92" s="294"/>
      <c r="AAA92" s="292"/>
      <c r="AAB92" s="293"/>
      <c r="AAC92" s="294"/>
      <c r="AAI92" s="292"/>
      <c r="AAJ92" s="293"/>
      <c r="AAK92" s="294"/>
      <c r="AAQ92" s="292"/>
      <c r="AAR92" s="293"/>
      <c r="AAS92" s="294"/>
      <c r="AAY92" s="292"/>
      <c r="AAZ92" s="293"/>
      <c r="ABA92" s="294"/>
      <c r="ABG92" s="292"/>
      <c r="ABH92" s="293"/>
      <c r="ABI92" s="294"/>
      <c r="ABO92" s="292"/>
      <c r="ABP92" s="293"/>
      <c r="ABQ92" s="294"/>
      <c r="ABW92" s="292"/>
      <c r="ABX92" s="293"/>
      <c r="ABY92" s="294"/>
      <c r="ACE92" s="292"/>
      <c r="ACF92" s="293"/>
      <c r="ACG92" s="294"/>
      <c r="ACM92" s="292"/>
      <c r="ACN92" s="293"/>
      <c r="ACO92" s="294"/>
      <c r="ACU92" s="292"/>
      <c r="ACV92" s="293"/>
      <c r="ACW92" s="294"/>
      <c r="ADC92" s="292"/>
      <c r="ADD92" s="293"/>
      <c r="ADE92" s="294"/>
      <c r="ADK92" s="292"/>
      <c r="ADL92" s="293"/>
      <c r="ADM92" s="294"/>
      <c r="ADS92" s="292"/>
      <c r="ADT92" s="293"/>
      <c r="ADU92" s="294"/>
      <c r="AEA92" s="292"/>
      <c r="AEB92" s="293"/>
      <c r="AEC92" s="294"/>
      <c r="AEI92" s="292"/>
      <c r="AEJ92" s="293"/>
      <c r="AEK92" s="294"/>
      <c r="AEQ92" s="292"/>
      <c r="AER92" s="293"/>
      <c r="AES92" s="294"/>
      <c r="AEY92" s="292"/>
      <c r="AEZ92" s="293"/>
      <c r="AFA92" s="294"/>
      <c r="AFG92" s="292"/>
      <c r="AFH92" s="293"/>
      <c r="AFI92" s="294"/>
      <c r="AFO92" s="292"/>
      <c r="AFP92" s="293"/>
      <c r="AFQ92" s="294"/>
      <c r="AFW92" s="292"/>
      <c r="AFX92" s="293"/>
      <c r="AFY92" s="294"/>
      <c r="AGE92" s="292"/>
      <c r="AGF92" s="293"/>
      <c r="AGG92" s="294"/>
      <c r="AGM92" s="292"/>
      <c r="AGN92" s="293"/>
      <c r="AGO92" s="294"/>
      <c r="AGU92" s="292"/>
      <c r="AGV92" s="293"/>
      <c r="AGW92" s="294"/>
      <c r="AHC92" s="292"/>
      <c r="AHD92" s="293"/>
      <c r="AHE92" s="294"/>
      <c r="AHK92" s="292"/>
      <c r="AHL92" s="293"/>
      <c r="AHM92" s="294"/>
      <c r="AHS92" s="292"/>
      <c r="AHT92" s="293"/>
      <c r="AHU92" s="294"/>
      <c r="AIA92" s="292"/>
      <c r="AIB92" s="293"/>
      <c r="AIC92" s="294"/>
      <c r="AII92" s="292"/>
      <c r="AIJ92" s="293"/>
      <c r="AIK92" s="294"/>
      <c r="AIQ92" s="292"/>
      <c r="AIR92" s="293"/>
      <c r="AIS92" s="294"/>
      <c r="AIY92" s="292"/>
      <c r="AIZ92" s="293"/>
      <c r="AJA92" s="294"/>
      <c r="AJG92" s="292"/>
      <c r="AJH92" s="293"/>
      <c r="AJI92" s="294"/>
      <c r="AJO92" s="292"/>
      <c r="AJP92" s="293"/>
      <c r="AJQ92" s="294"/>
      <c r="AJW92" s="292"/>
      <c r="AJX92" s="293"/>
      <c r="AJY92" s="294"/>
      <c r="AKE92" s="292"/>
      <c r="AKF92" s="293"/>
      <c r="AKG92" s="294"/>
      <c r="AKM92" s="292"/>
      <c r="AKN92" s="293"/>
      <c r="AKO92" s="294"/>
      <c r="AKU92" s="292"/>
      <c r="AKV92" s="293"/>
      <c r="AKW92" s="294"/>
      <c r="ALC92" s="292"/>
      <c r="ALD92" s="293"/>
      <c r="ALE92" s="294"/>
      <c r="ALK92" s="292"/>
      <c r="ALL92" s="293"/>
      <c r="ALM92" s="294"/>
      <c r="ALS92" s="292"/>
      <c r="ALT92" s="293"/>
      <c r="ALU92" s="294"/>
      <c r="AMA92" s="292"/>
      <c r="AMB92" s="293"/>
      <c r="AMC92" s="294"/>
      <c r="AMI92" s="292"/>
      <c r="AMJ92" s="293"/>
      <c r="AMK92" s="294"/>
      <c r="AMQ92" s="292"/>
      <c r="AMR92" s="293"/>
      <c r="AMS92" s="294"/>
      <c r="AMY92" s="292"/>
      <c r="AMZ92" s="293"/>
      <c r="ANA92" s="294"/>
      <c r="ANG92" s="292"/>
      <c r="ANH92" s="293"/>
      <c r="ANI92" s="294"/>
      <c r="ANO92" s="292"/>
      <c r="ANP92" s="293"/>
      <c r="ANQ92" s="294"/>
      <c r="ANW92" s="292"/>
      <c r="ANX92" s="293"/>
      <c r="ANY92" s="294"/>
      <c r="AOE92" s="292"/>
      <c r="AOF92" s="293"/>
      <c r="AOG92" s="294"/>
      <c r="AOM92" s="292"/>
      <c r="AON92" s="293"/>
      <c r="AOO92" s="294"/>
      <c r="AOU92" s="292"/>
      <c r="AOV92" s="293"/>
      <c r="AOW92" s="294"/>
      <c r="APC92" s="292"/>
      <c r="APD92" s="293"/>
      <c r="APE92" s="294"/>
      <c r="APK92" s="292"/>
      <c r="APL92" s="293"/>
      <c r="APM92" s="294"/>
      <c r="APS92" s="292"/>
      <c r="APT92" s="293"/>
      <c r="APU92" s="294"/>
      <c r="AQA92" s="292"/>
      <c r="AQB92" s="293"/>
      <c r="AQC92" s="294"/>
      <c r="AQI92" s="292"/>
      <c r="AQJ92" s="293"/>
      <c r="AQK92" s="294"/>
      <c r="AQQ92" s="292"/>
      <c r="AQR92" s="293"/>
      <c r="AQS92" s="294"/>
      <c r="AQY92" s="292"/>
      <c r="AQZ92" s="293"/>
      <c r="ARA92" s="294"/>
      <c r="ARG92" s="292"/>
      <c r="ARH92" s="293"/>
      <c r="ARI92" s="294"/>
      <c r="ARO92" s="292"/>
      <c r="ARP92" s="293"/>
      <c r="ARQ92" s="294"/>
      <c r="ARW92" s="292"/>
      <c r="ARX92" s="293"/>
      <c r="ARY92" s="294"/>
      <c r="ASE92" s="292"/>
      <c r="ASF92" s="293"/>
      <c r="ASG92" s="294"/>
      <c r="ASM92" s="292"/>
      <c r="ASN92" s="293"/>
      <c r="ASO92" s="294"/>
      <c r="ASU92" s="292"/>
      <c r="ASV92" s="293"/>
      <c r="ASW92" s="294"/>
      <c r="ATC92" s="292"/>
      <c r="ATD92" s="293"/>
      <c r="ATE92" s="294"/>
      <c r="ATK92" s="292"/>
      <c r="ATL92" s="293"/>
      <c r="ATM92" s="294"/>
      <c r="ATS92" s="292"/>
      <c r="ATT92" s="293"/>
      <c r="ATU92" s="294"/>
      <c r="AUA92" s="292"/>
      <c r="AUB92" s="293"/>
      <c r="AUC92" s="294"/>
      <c r="AUI92" s="292"/>
      <c r="AUJ92" s="293"/>
      <c r="AUK92" s="294"/>
      <c r="AUQ92" s="292"/>
      <c r="AUR92" s="293"/>
      <c r="AUS92" s="294"/>
      <c r="AUY92" s="292"/>
      <c r="AUZ92" s="293"/>
      <c r="AVA92" s="294"/>
      <c r="AVG92" s="292"/>
      <c r="AVH92" s="293"/>
      <c r="AVI92" s="294"/>
      <c r="AVO92" s="292"/>
      <c r="AVP92" s="293"/>
      <c r="AVQ92" s="294"/>
      <c r="AVW92" s="292"/>
      <c r="AVX92" s="293"/>
      <c r="AVY92" s="294"/>
      <c r="AWE92" s="292"/>
      <c r="AWF92" s="293"/>
      <c r="AWG92" s="294"/>
      <c r="AWM92" s="292"/>
      <c r="AWN92" s="293"/>
      <c r="AWO92" s="294"/>
      <c r="AWU92" s="292"/>
      <c r="AWV92" s="293"/>
      <c r="AWW92" s="294"/>
      <c r="AXC92" s="292"/>
      <c r="AXD92" s="293"/>
      <c r="AXE92" s="294"/>
      <c r="AXK92" s="292"/>
      <c r="AXL92" s="293"/>
      <c r="AXM92" s="294"/>
      <c r="AXS92" s="292"/>
      <c r="AXT92" s="293"/>
      <c r="AXU92" s="294"/>
      <c r="AYA92" s="292"/>
      <c r="AYB92" s="293"/>
      <c r="AYC92" s="294"/>
      <c r="AYI92" s="292"/>
      <c r="AYJ92" s="293"/>
      <c r="AYK92" s="294"/>
      <c r="AYQ92" s="292"/>
      <c r="AYR92" s="293"/>
      <c r="AYS92" s="294"/>
      <c r="AYY92" s="292"/>
      <c r="AYZ92" s="293"/>
      <c r="AZA92" s="294"/>
      <c r="AZG92" s="292"/>
      <c r="AZH92" s="293"/>
      <c r="AZI92" s="294"/>
      <c r="AZO92" s="292"/>
      <c r="AZP92" s="293"/>
      <c r="AZQ92" s="294"/>
      <c r="AZW92" s="292"/>
      <c r="AZX92" s="293"/>
      <c r="AZY92" s="294"/>
      <c r="BAE92" s="292"/>
      <c r="BAF92" s="293"/>
      <c r="BAG92" s="294"/>
      <c r="BAM92" s="292"/>
      <c r="BAN92" s="293"/>
      <c r="BAO92" s="294"/>
      <c r="BAU92" s="292"/>
      <c r="BAV92" s="293"/>
      <c r="BAW92" s="294"/>
      <c r="BBC92" s="292"/>
      <c r="BBD92" s="293"/>
      <c r="BBE92" s="294"/>
      <c r="BBK92" s="292"/>
      <c r="BBL92" s="293"/>
      <c r="BBM92" s="294"/>
      <c r="BBS92" s="292"/>
      <c r="BBT92" s="293"/>
      <c r="BBU92" s="294"/>
      <c r="BCA92" s="292"/>
      <c r="BCB92" s="293"/>
      <c r="BCC92" s="294"/>
      <c r="BCI92" s="292"/>
      <c r="BCJ92" s="293"/>
      <c r="BCK92" s="294"/>
      <c r="BCQ92" s="292"/>
      <c r="BCR92" s="293"/>
      <c r="BCS92" s="294"/>
      <c r="BCY92" s="292"/>
      <c r="BCZ92" s="293"/>
      <c r="BDA92" s="294"/>
      <c r="BDG92" s="292"/>
      <c r="BDH92" s="293"/>
      <c r="BDI92" s="294"/>
      <c r="BDO92" s="292"/>
      <c r="BDP92" s="293"/>
      <c r="BDQ92" s="294"/>
      <c r="BDW92" s="292"/>
      <c r="BDX92" s="293"/>
      <c r="BDY92" s="294"/>
      <c r="BEE92" s="292"/>
      <c r="BEF92" s="293"/>
      <c r="BEG92" s="294"/>
      <c r="BEM92" s="292"/>
      <c r="BEN92" s="293"/>
      <c r="BEO92" s="294"/>
      <c r="BEU92" s="292"/>
      <c r="BEV92" s="293"/>
      <c r="BEW92" s="294"/>
      <c r="BFC92" s="292"/>
      <c r="BFD92" s="293"/>
      <c r="BFE92" s="294"/>
      <c r="BFK92" s="292"/>
      <c r="BFL92" s="293"/>
      <c r="BFM92" s="294"/>
      <c r="BFS92" s="292"/>
      <c r="BFT92" s="293"/>
      <c r="BFU92" s="294"/>
      <c r="BGA92" s="292"/>
      <c r="BGB92" s="293"/>
      <c r="BGC92" s="294"/>
      <c r="BGI92" s="292"/>
      <c r="BGJ92" s="293"/>
      <c r="BGK92" s="294"/>
      <c r="BGQ92" s="292"/>
      <c r="BGR92" s="293"/>
      <c r="BGS92" s="294"/>
      <c r="BGY92" s="292"/>
      <c r="BGZ92" s="293"/>
      <c r="BHA92" s="294"/>
      <c r="BHG92" s="292"/>
      <c r="BHH92" s="293"/>
      <c r="BHI92" s="294"/>
      <c r="BHO92" s="292"/>
      <c r="BHP92" s="293"/>
      <c r="BHQ92" s="294"/>
      <c r="BHW92" s="292"/>
      <c r="BHX92" s="293"/>
      <c r="BHY92" s="294"/>
      <c r="BIE92" s="292"/>
      <c r="BIF92" s="293"/>
      <c r="BIG92" s="294"/>
      <c r="BIM92" s="292"/>
      <c r="BIN92" s="293"/>
      <c r="BIO92" s="294"/>
      <c r="BIU92" s="292"/>
      <c r="BIV92" s="293"/>
      <c r="BIW92" s="294"/>
      <c r="BJC92" s="292"/>
      <c r="BJD92" s="293"/>
      <c r="BJE92" s="294"/>
      <c r="BJK92" s="292"/>
      <c r="BJL92" s="293"/>
      <c r="BJM92" s="294"/>
      <c r="BJS92" s="292"/>
      <c r="BJT92" s="293"/>
      <c r="BJU92" s="294"/>
      <c r="BKA92" s="292"/>
      <c r="BKB92" s="293"/>
      <c r="BKC92" s="294"/>
      <c r="BKI92" s="292"/>
      <c r="BKJ92" s="293"/>
      <c r="BKK92" s="294"/>
      <c r="BKQ92" s="292"/>
      <c r="BKR92" s="293"/>
      <c r="BKS92" s="294"/>
      <c r="BKY92" s="292"/>
      <c r="BKZ92" s="293"/>
      <c r="BLA92" s="294"/>
      <c r="BLG92" s="292"/>
      <c r="BLH92" s="293"/>
      <c r="BLI92" s="294"/>
      <c r="BLO92" s="292"/>
      <c r="BLP92" s="293"/>
      <c r="BLQ92" s="294"/>
      <c r="BLW92" s="292"/>
      <c r="BLX92" s="293"/>
      <c r="BLY92" s="294"/>
      <c r="BME92" s="292"/>
      <c r="BMF92" s="293"/>
      <c r="BMG92" s="294"/>
      <c r="BMM92" s="292"/>
      <c r="BMN92" s="293"/>
      <c r="BMO92" s="294"/>
      <c r="BMU92" s="292"/>
      <c r="BMV92" s="293"/>
      <c r="BMW92" s="294"/>
      <c r="BNC92" s="292"/>
      <c r="BND92" s="293"/>
      <c r="BNE92" s="294"/>
      <c r="BNK92" s="292"/>
      <c r="BNL92" s="293"/>
      <c r="BNM92" s="294"/>
      <c r="BNS92" s="292"/>
      <c r="BNT92" s="293"/>
      <c r="BNU92" s="294"/>
      <c r="BOA92" s="292"/>
      <c r="BOB92" s="293"/>
      <c r="BOC92" s="294"/>
      <c r="BOI92" s="292"/>
      <c r="BOJ92" s="293"/>
      <c r="BOK92" s="294"/>
      <c r="BOQ92" s="292"/>
      <c r="BOR92" s="293"/>
      <c r="BOS92" s="294"/>
      <c r="BOY92" s="292"/>
      <c r="BOZ92" s="293"/>
      <c r="BPA92" s="294"/>
      <c r="BPG92" s="292"/>
      <c r="BPH92" s="293"/>
      <c r="BPI92" s="294"/>
      <c r="BPO92" s="292"/>
      <c r="BPP92" s="293"/>
      <c r="BPQ92" s="294"/>
      <c r="BPW92" s="292"/>
      <c r="BPX92" s="293"/>
      <c r="BPY92" s="294"/>
      <c r="BQE92" s="292"/>
      <c r="BQF92" s="293"/>
      <c r="BQG92" s="294"/>
      <c r="BQM92" s="292"/>
      <c r="BQN92" s="293"/>
      <c r="BQO92" s="294"/>
      <c r="BQU92" s="292"/>
      <c r="BQV92" s="293"/>
      <c r="BQW92" s="294"/>
      <c r="BRC92" s="292"/>
      <c r="BRD92" s="293"/>
      <c r="BRE92" s="294"/>
      <c r="BRK92" s="292"/>
      <c r="BRL92" s="293"/>
      <c r="BRM92" s="294"/>
      <c r="BRS92" s="292"/>
      <c r="BRT92" s="293"/>
      <c r="BRU92" s="294"/>
      <c r="BSA92" s="292"/>
      <c r="BSB92" s="293"/>
      <c r="BSC92" s="294"/>
      <c r="BSI92" s="292"/>
      <c r="BSJ92" s="293"/>
      <c r="BSK92" s="294"/>
      <c r="BSQ92" s="292"/>
      <c r="BSR92" s="293"/>
      <c r="BSS92" s="294"/>
      <c r="BSY92" s="292"/>
      <c r="BSZ92" s="293"/>
      <c r="BTA92" s="294"/>
      <c r="BTG92" s="292"/>
      <c r="BTH92" s="293"/>
      <c r="BTI92" s="294"/>
      <c r="BTO92" s="292"/>
      <c r="BTP92" s="293"/>
      <c r="BTQ92" s="294"/>
      <c r="BTW92" s="292"/>
      <c r="BTX92" s="293"/>
      <c r="BTY92" s="294"/>
      <c r="BUE92" s="292"/>
      <c r="BUF92" s="293"/>
      <c r="BUG92" s="294"/>
      <c r="BUM92" s="292"/>
      <c r="BUN92" s="293"/>
      <c r="BUO92" s="294"/>
      <c r="BUU92" s="292"/>
      <c r="BUV92" s="293"/>
      <c r="BUW92" s="294"/>
      <c r="BVC92" s="292"/>
      <c r="BVD92" s="293"/>
      <c r="BVE92" s="294"/>
      <c r="BVK92" s="292"/>
      <c r="BVL92" s="293"/>
      <c r="BVM92" s="294"/>
      <c r="BVS92" s="292"/>
      <c r="BVT92" s="293"/>
      <c r="BVU92" s="294"/>
      <c r="BWA92" s="292"/>
      <c r="BWB92" s="293"/>
      <c r="BWC92" s="294"/>
      <c r="BWI92" s="292"/>
      <c r="BWJ92" s="293"/>
      <c r="BWK92" s="294"/>
      <c r="BWQ92" s="292"/>
      <c r="BWR92" s="293"/>
      <c r="BWS92" s="294"/>
      <c r="BWY92" s="292"/>
      <c r="BWZ92" s="293"/>
      <c r="BXA92" s="294"/>
      <c r="BXG92" s="292"/>
      <c r="BXH92" s="293"/>
      <c r="BXI92" s="294"/>
      <c r="BXO92" s="292"/>
      <c r="BXP92" s="293"/>
      <c r="BXQ92" s="294"/>
      <c r="BXW92" s="292"/>
      <c r="BXX92" s="293"/>
      <c r="BXY92" s="294"/>
      <c r="BYE92" s="292"/>
      <c r="BYF92" s="293"/>
      <c r="BYG92" s="294"/>
      <c r="BYM92" s="292"/>
      <c r="BYN92" s="293"/>
      <c r="BYO92" s="294"/>
      <c r="BYU92" s="292"/>
      <c r="BYV92" s="293"/>
      <c r="BYW92" s="294"/>
      <c r="BZC92" s="292"/>
      <c r="BZD92" s="293"/>
      <c r="BZE92" s="294"/>
      <c r="BZK92" s="292"/>
      <c r="BZL92" s="293"/>
      <c r="BZM92" s="294"/>
      <c r="BZS92" s="292"/>
      <c r="BZT92" s="293"/>
      <c r="BZU92" s="294"/>
      <c r="CAA92" s="292"/>
      <c r="CAB92" s="293"/>
      <c r="CAC92" s="294"/>
      <c r="CAI92" s="292"/>
      <c r="CAJ92" s="293"/>
      <c r="CAK92" s="294"/>
      <c r="CAQ92" s="292"/>
      <c r="CAR92" s="293"/>
      <c r="CAS92" s="294"/>
      <c r="CAY92" s="292"/>
      <c r="CAZ92" s="293"/>
      <c r="CBA92" s="294"/>
      <c r="CBG92" s="292"/>
      <c r="CBH92" s="293"/>
      <c r="CBI92" s="294"/>
      <c r="CBO92" s="292"/>
      <c r="CBP92" s="293"/>
      <c r="CBQ92" s="294"/>
      <c r="CBW92" s="292"/>
      <c r="CBX92" s="293"/>
      <c r="CBY92" s="294"/>
      <c r="CCE92" s="292"/>
      <c r="CCF92" s="293"/>
      <c r="CCG92" s="294"/>
      <c r="CCM92" s="292"/>
      <c r="CCN92" s="293"/>
      <c r="CCO92" s="294"/>
      <c r="CCU92" s="292"/>
      <c r="CCV92" s="293"/>
      <c r="CCW92" s="294"/>
      <c r="CDC92" s="292"/>
      <c r="CDD92" s="293"/>
      <c r="CDE92" s="294"/>
      <c r="CDK92" s="292"/>
      <c r="CDL92" s="293"/>
      <c r="CDM92" s="294"/>
      <c r="CDS92" s="292"/>
      <c r="CDT92" s="293"/>
      <c r="CDU92" s="294"/>
      <c r="CEA92" s="292"/>
      <c r="CEB92" s="293"/>
      <c r="CEC92" s="294"/>
      <c r="CEI92" s="292"/>
      <c r="CEJ92" s="293"/>
      <c r="CEK92" s="294"/>
      <c r="CEQ92" s="292"/>
      <c r="CER92" s="293"/>
      <c r="CES92" s="294"/>
      <c r="CEY92" s="292"/>
      <c r="CEZ92" s="293"/>
      <c r="CFA92" s="294"/>
      <c r="CFG92" s="292"/>
      <c r="CFH92" s="293"/>
      <c r="CFI92" s="294"/>
      <c r="CFO92" s="292"/>
      <c r="CFP92" s="293"/>
      <c r="CFQ92" s="294"/>
      <c r="CFW92" s="292"/>
      <c r="CFX92" s="293"/>
      <c r="CFY92" s="294"/>
      <c r="CGE92" s="292"/>
      <c r="CGF92" s="293"/>
      <c r="CGG92" s="294"/>
      <c r="CGM92" s="292"/>
      <c r="CGN92" s="293"/>
      <c r="CGO92" s="294"/>
      <c r="CGU92" s="292"/>
      <c r="CGV92" s="293"/>
      <c r="CGW92" s="294"/>
      <c r="CHC92" s="292"/>
      <c r="CHD92" s="293"/>
      <c r="CHE92" s="294"/>
      <c r="CHK92" s="292"/>
      <c r="CHL92" s="293"/>
      <c r="CHM92" s="294"/>
      <c r="CHS92" s="292"/>
      <c r="CHT92" s="293"/>
      <c r="CHU92" s="294"/>
      <c r="CIA92" s="292"/>
      <c r="CIB92" s="293"/>
      <c r="CIC92" s="294"/>
      <c r="CII92" s="292"/>
      <c r="CIJ92" s="293"/>
      <c r="CIK92" s="294"/>
      <c r="CIQ92" s="292"/>
      <c r="CIR92" s="293"/>
      <c r="CIS92" s="294"/>
      <c r="CIY92" s="292"/>
      <c r="CIZ92" s="293"/>
      <c r="CJA92" s="294"/>
      <c r="CJG92" s="292"/>
      <c r="CJH92" s="293"/>
      <c r="CJI92" s="294"/>
      <c r="CJO92" s="292"/>
      <c r="CJP92" s="293"/>
      <c r="CJQ92" s="294"/>
      <c r="CJW92" s="292"/>
      <c r="CJX92" s="293"/>
      <c r="CJY92" s="294"/>
      <c r="CKE92" s="292"/>
      <c r="CKF92" s="293"/>
      <c r="CKG92" s="294"/>
      <c r="CKM92" s="292"/>
      <c r="CKN92" s="293"/>
      <c r="CKO92" s="294"/>
      <c r="CKU92" s="292"/>
      <c r="CKV92" s="293"/>
      <c r="CKW92" s="294"/>
      <c r="CLC92" s="292"/>
      <c r="CLD92" s="293"/>
      <c r="CLE92" s="294"/>
      <c r="CLK92" s="292"/>
      <c r="CLL92" s="293"/>
      <c r="CLM92" s="294"/>
      <c r="CLS92" s="292"/>
      <c r="CLT92" s="293"/>
      <c r="CLU92" s="294"/>
      <c r="CMA92" s="292"/>
      <c r="CMB92" s="293"/>
      <c r="CMC92" s="294"/>
      <c r="CMI92" s="292"/>
      <c r="CMJ92" s="293"/>
      <c r="CMK92" s="294"/>
      <c r="CMQ92" s="292"/>
      <c r="CMR92" s="293"/>
      <c r="CMS92" s="294"/>
      <c r="CMY92" s="292"/>
      <c r="CMZ92" s="293"/>
      <c r="CNA92" s="294"/>
      <c r="CNG92" s="292"/>
      <c r="CNH92" s="293"/>
      <c r="CNI92" s="294"/>
      <c r="CNO92" s="292"/>
      <c r="CNP92" s="293"/>
      <c r="CNQ92" s="294"/>
      <c r="CNW92" s="292"/>
      <c r="CNX92" s="293"/>
      <c r="CNY92" s="294"/>
      <c r="COE92" s="292"/>
      <c r="COF92" s="293"/>
      <c r="COG92" s="294"/>
      <c r="COM92" s="292"/>
      <c r="CON92" s="293"/>
      <c r="COO92" s="294"/>
      <c r="COU92" s="292"/>
      <c r="COV92" s="293"/>
      <c r="COW92" s="294"/>
      <c r="CPC92" s="292"/>
      <c r="CPD92" s="293"/>
      <c r="CPE92" s="294"/>
      <c r="CPK92" s="292"/>
      <c r="CPL92" s="293"/>
      <c r="CPM92" s="294"/>
      <c r="CPS92" s="292"/>
      <c r="CPT92" s="293"/>
      <c r="CPU92" s="294"/>
      <c r="CQA92" s="292"/>
      <c r="CQB92" s="293"/>
      <c r="CQC92" s="294"/>
      <c r="CQI92" s="292"/>
      <c r="CQJ92" s="293"/>
      <c r="CQK92" s="294"/>
      <c r="CQQ92" s="292"/>
      <c r="CQR92" s="293"/>
      <c r="CQS92" s="294"/>
      <c r="CQY92" s="292"/>
      <c r="CQZ92" s="293"/>
      <c r="CRA92" s="294"/>
      <c r="CRG92" s="292"/>
      <c r="CRH92" s="293"/>
      <c r="CRI92" s="294"/>
      <c r="CRO92" s="292"/>
      <c r="CRP92" s="293"/>
      <c r="CRQ92" s="294"/>
      <c r="CRW92" s="292"/>
      <c r="CRX92" s="293"/>
      <c r="CRY92" s="294"/>
      <c r="CSE92" s="292"/>
      <c r="CSF92" s="293"/>
      <c r="CSG92" s="294"/>
      <c r="CSM92" s="292"/>
      <c r="CSN92" s="293"/>
      <c r="CSO92" s="294"/>
      <c r="CSU92" s="292"/>
      <c r="CSV92" s="293"/>
      <c r="CSW92" s="294"/>
      <c r="CTC92" s="292"/>
      <c r="CTD92" s="293"/>
      <c r="CTE92" s="294"/>
      <c r="CTK92" s="292"/>
      <c r="CTL92" s="293"/>
      <c r="CTM92" s="294"/>
      <c r="CTS92" s="292"/>
      <c r="CTT92" s="293"/>
      <c r="CTU92" s="294"/>
      <c r="CUA92" s="292"/>
      <c r="CUB92" s="293"/>
      <c r="CUC92" s="294"/>
      <c r="CUI92" s="292"/>
      <c r="CUJ92" s="293"/>
      <c r="CUK92" s="294"/>
      <c r="CUQ92" s="292"/>
      <c r="CUR92" s="293"/>
      <c r="CUS92" s="294"/>
      <c r="CUY92" s="292"/>
      <c r="CUZ92" s="293"/>
      <c r="CVA92" s="294"/>
      <c r="CVG92" s="292"/>
      <c r="CVH92" s="293"/>
      <c r="CVI92" s="294"/>
      <c r="CVO92" s="292"/>
      <c r="CVP92" s="293"/>
      <c r="CVQ92" s="294"/>
      <c r="CVW92" s="292"/>
      <c r="CVX92" s="293"/>
      <c r="CVY92" s="294"/>
      <c r="CWE92" s="292"/>
      <c r="CWF92" s="293"/>
      <c r="CWG92" s="294"/>
      <c r="CWM92" s="292"/>
      <c r="CWN92" s="293"/>
      <c r="CWO92" s="294"/>
      <c r="CWU92" s="292"/>
      <c r="CWV92" s="293"/>
      <c r="CWW92" s="294"/>
      <c r="CXC92" s="292"/>
      <c r="CXD92" s="293"/>
      <c r="CXE92" s="294"/>
      <c r="CXK92" s="292"/>
      <c r="CXL92" s="293"/>
      <c r="CXM92" s="294"/>
      <c r="CXS92" s="292"/>
      <c r="CXT92" s="293"/>
      <c r="CXU92" s="294"/>
      <c r="CYA92" s="292"/>
      <c r="CYB92" s="293"/>
      <c r="CYC92" s="294"/>
      <c r="CYI92" s="292"/>
      <c r="CYJ92" s="293"/>
      <c r="CYK92" s="294"/>
      <c r="CYQ92" s="292"/>
      <c r="CYR92" s="293"/>
      <c r="CYS92" s="294"/>
      <c r="CYY92" s="292"/>
      <c r="CYZ92" s="293"/>
      <c r="CZA92" s="294"/>
      <c r="CZG92" s="292"/>
      <c r="CZH92" s="293"/>
      <c r="CZI92" s="294"/>
      <c r="CZO92" s="292"/>
      <c r="CZP92" s="293"/>
      <c r="CZQ92" s="294"/>
      <c r="CZW92" s="292"/>
      <c r="CZX92" s="293"/>
      <c r="CZY92" s="294"/>
      <c r="DAE92" s="292"/>
      <c r="DAF92" s="293"/>
      <c r="DAG92" s="294"/>
      <c r="DAM92" s="292"/>
      <c r="DAN92" s="293"/>
      <c r="DAO92" s="294"/>
      <c r="DAU92" s="292"/>
      <c r="DAV92" s="293"/>
      <c r="DAW92" s="294"/>
      <c r="DBC92" s="292"/>
      <c r="DBD92" s="293"/>
      <c r="DBE92" s="294"/>
      <c r="DBK92" s="292"/>
      <c r="DBL92" s="293"/>
      <c r="DBM92" s="294"/>
      <c r="DBS92" s="292"/>
      <c r="DBT92" s="293"/>
      <c r="DBU92" s="294"/>
      <c r="DCA92" s="292"/>
      <c r="DCB92" s="293"/>
      <c r="DCC92" s="294"/>
      <c r="DCI92" s="292"/>
      <c r="DCJ92" s="293"/>
      <c r="DCK92" s="294"/>
      <c r="DCQ92" s="292"/>
      <c r="DCR92" s="293"/>
      <c r="DCS92" s="294"/>
      <c r="DCY92" s="292"/>
      <c r="DCZ92" s="293"/>
      <c r="DDA92" s="294"/>
      <c r="DDG92" s="292"/>
      <c r="DDH92" s="293"/>
      <c r="DDI92" s="294"/>
      <c r="DDO92" s="292"/>
      <c r="DDP92" s="293"/>
      <c r="DDQ92" s="294"/>
      <c r="DDW92" s="292"/>
      <c r="DDX92" s="293"/>
      <c r="DDY92" s="294"/>
      <c r="DEE92" s="292"/>
      <c r="DEF92" s="293"/>
      <c r="DEG92" s="294"/>
      <c r="DEM92" s="292"/>
      <c r="DEN92" s="293"/>
      <c r="DEO92" s="294"/>
      <c r="DEU92" s="292"/>
      <c r="DEV92" s="293"/>
      <c r="DEW92" s="294"/>
      <c r="DFC92" s="292"/>
      <c r="DFD92" s="293"/>
      <c r="DFE92" s="294"/>
      <c r="DFK92" s="292"/>
      <c r="DFL92" s="293"/>
      <c r="DFM92" s="294"/>
      <c r="DFS92" s="292"/>
      <c r="DFT92" s="293"/>
      <c r="DFU92" s="294"/>
      <c r="DGA92" s="292"/>
      <c r="DGB92" s="293"/>
      <c r="DGC92" s="294"/>
      <c r="DGI92" s="292"/>
      <c r="DGJ92" s="293"/>
      <c r="DGK92" s="294"/>
      <c r="DGQ92" s="292"/>
      <c r="DGR92" s="293"/>
      <c r="DGS92" s="294"/>
      <c r="DGY92" s="292"/>
      <c r="DGZ92" s="293"/>
      <c r="DHA92" s="294"/>
      <c r="DHG92" s="292"/>
      <c r="DHH92" s="293"/>
      <c r="DHI92" s="294"/>
      <c r="DHO92" s="292"/>
      <c r="DHP92" s="293"/>
      <c r="DHQ92" s="294"/>
      <c r="DHW92" s="292"/>
      <c r="DHX92" s="293"/>
      <c r="DHY92" s="294"/>
      <c r="DIE92" s="292"/>
      <c r="DIF92" s="293"/>
      <c r="DIG92" s="294"/>
      <c r="DIM92" s="292"/>
      <c r="DIN92" s="293"/>
      <c r="DIO92" s="294"/>
      <c r="DIU92" s="292"/>
      <c r="DIV92" s="293"/>
      <c r="DIW92" s="294"/>
      <c r="DJC92" s="292"/>
      <c r="DJD92" s="293"/>
      <c r="DJE92" s="294"/>
      <c r="DJK92" s="292"/>
      <c r="DJL92" s="293"/>
      <c r="DJM92" s="294"/>
      <c r="DJS92" s="292"/>
      <c r="DJT92" s="293"/>
      <c r="DJU92" s="294"/>
      <c r="DKA92" s="292"/>
      <c r="DKB92" s="293"/>
      <c r="DKC92" s="294"/>
      <c r="DKI92" s="292"/>
      <c r="DKJ92" s="293"/>
      <c r="DKK92" s="294"/>
      <c r="DKQ92" s="292"/>
      <c r="DKR92" s="293"/>
      <c r="DKS92" s="294"/>
      <c r="DKY92" s="292"/>
      <c r="DKZ92" s="293"/>
      <c r="DLA92" s="294"/>
      <c r="DLG92" s="292"/>
      <c r="DLH92" s="293"/>
      <c r="DLI92" s="294"/>
      <c r="DLO92" s="292"/>
      <c r="DLP92" s="293"/>
      <c r="DLQ92" s="294"/>
      <c r="DLW92" s="292"/>
      <c r="DLX92" s="293"/>
      <c r="DLY92" s="294"/>
      <c r="DME92" s="292"/>
      <c r="DMF92" s="293"/>
      <c r="DMG92" s="294"/>
      <c r="DMM92" s="292"/>
      <c r="DMN92" s="293"/>
      <c r="DMO92" s="294"/>
      <c r="DMU92" s="292"/>
      <c r="DMV92" s="293"/>
      <c r="DMW92" s="294"/>
      <c r="DNC92" s="292"/>
      <c r="DND92" s="293"/>
      <c r="DNE92" s="294"/>
      <c r="DNK92" s="292"/>
      <c r="DNL92" s="293"/>
      <c r="DNM92" s="294"/>
      <c r="DNS92" s="292"/>
      <c r="DNT92" s="293"/>
      <c r="DNU92" s="294"/>
      <c r="DOA92" s="292"/>
      <c r="DOB92" s="293"/>
      <c r="DOC92" s="294"/>
      <c r="DOI92" s="292"/>
      <c r="DOJ92" s="293"/>
      <c r="DOK92" s="294"/>
      <c r="DOQ92" s="292"/>
      <c r="DOR92" s="293"/>
      <c r="DOS92" s="294"/>
      <c r="DOY92" s="292"/>
      <c r="DOZ92" s="293"/>
      <c r="DPA92" s="294"/>
      <c r="DPG92" s="292"/>
      <c r="DPH92" s="293"/>
      <c r="DPI92" s="294"/>
      <c r="DPO92" s="292"/>
      <c r="DPP92" s="293"/>
      <c r="DPQ92" s="294"/>
      <c r="DPW92" s="292"/>
      <c r="DPX92" s="293"/>
      <c r="DPY92" s="294"/>
      <c r="DQE92" s="292"/>
      <c r="DQF92" s="293"/>
      <c r="DQG92" s="294"/>
      <c r="DQM92" s="292"/>
      <c r="DQN92" s="293"/>
      <c r="DQO92" s="294"/>
      <c r="DQU92" s="292"/>
      <c r="DQV92" s="293"/>
      <c r="DQW92" s="294"/>
      <c r="DRC92" s="292"/>
      <c r="DRD92" s="293"/>
      <c r="DRE92" s="294"/>
      <c r="DRK92" s="292"/>
      <c r="DRL92" s="293"/>
      <c r="DRM92" s="294"/>
      <c r="DRS92" s="292"/>
      <c r="DRT92" s="293"/>
      <c r="DRU92" s="294"/>
      <c r="DSA92" s="292"/>
      <c r="DSB92" s="293"/>
      <c r="DSC92" s="294"/>
      <c r="DSI92" s="292"/>
      <c r="DSJ92" s="293"/>
      <c r="DSK92" s="294"/>
      <c r="DSQ92" s="292"/>
      <c r="DSR92" s="293"/>
      <c r="DSS92" s="294"/>
      <c r="DSY92" s="292"/>
      <c r="DSZ92" s="293"/>
      <c r="DTA92" s="294"/>
      <c r="DTG92" s="292"/>
      <c r="DTH92" s="293"/>
      <c r="DTI92" s="294"/>
      <c r="DTO92" s="292"/>
      <c r="DTP92" s="293"/>
      <c r="DTQ92" s="294"/>
      <c r="DTW92" s="292"/>
      <c r="DTX92" s="293"/>
      <c r="DTY92" s="294"/>
      <c r="DUE92" s="292"/>
      <c r="DUF92" s="293"/>
      <c r="DUG92" s="294"/>
      <c r="DUM92" s="292"/>
      <c r="DUN92" s="293"/>
      <c r="DUO92" s="294"/>
      <c r="DUU92" s="292"/>
      <c r="DUV92" s="293"/>
      <c r="DUW92" s="294"/>
      <c r="DVC92" s="292"/>
      <c r="DVD92" s="293"/>
      <c r="DVE92" s="294"/>
      <c r="DVK92" s="292"/>
      <c r="DVL92" s="293"/>
      <c r="DVM92" s="294"/>
      <c r="DVS92" s="292"/>
      <c r="DVT92" s="293"/>
      <c r="DVU92" s="294"/>
      <c r="DWA92" s="292"/>
      <c r="DWB92" s="293"/>
      <c r="DWC92" s="294"/>
      <c r="DWI92" s="292"/>
      <c r="DWJ92" s="293"/>
      <c r="DWK92" s="294"/>
      <c r="DWQ92" s="292"/>
      <c r="DWR92" s="293"/>
      <c r="DWS92" s="294"/>
      <c r="DWY92" s="292"/>
      <c r="DWZ92" s="293"/>
      <c r="DXA92" s="294"/>
      <c r="DXG92" s="292"/>
      <c r="DXH92" s="293"/>
      <c r="DXI92" s="294"/>
      <c r="DXO92" s="292"/>
      <c r="DXP92" s="293"/>
      <c r="DXQ92" s="294"/>
      <c r="DXW92" s="292"/>
      <c r="DXX92" s="293"/>
      <c r="DXY92" s="294"/>
      <c r="DYE92" s="292"/>
      <c r="DYF92" s="293"/>
      <c r="DYG92" s="294"/>
      <c r="DYM92" s="292"/>
      <c r="DYN92" s="293"/>
      <c r="DYO92" s="294"/>
      <c r="DYU92" s="292"/>
      <c r="DYV92" s="293"/>
      <c r="DYW92" s="294"/>
      <c r="DZC92" s="292"/>
      <c r="DZD92" s="293"/>
      <c r="DZE92" s="294"/>
      <c r="DZK92" s="292"/>
      <c r="DZL92" s="293"/>
      <c r="DZM92" s="294"/>
      <c r="DZS92" s="292"/>
      <c r="DZT92" s="293"/>
      <c r="DZU92" s="294"/>
      <c r="EAA92" s="292"/>
      <c r="EAB92" s="293"/>
      <c r="EAC92" s="294"/>
      <c r="EAI92" s="292"/>
      <c r="EAJ92" s="293"/>
      <c r="EAK92" s="294"/>
      <c r="EAQ92" s="292"/>
      <c r="EAR92" s="293"/>
      <c r="EAS92" s="294"/>
      <c r="EAY92" s="292"/>
      <c r="EAZ92" s="293"/>
      <c r="EBA92" s="294"/>
      <c r="EBG92" s="292"/>
      <c r="EBH92" s="293"/>
      <c r="EBI92" s="294"/>
      <c r="EBO92" s="292"/>
      <c r="EBP92" s="293"/>
      <c r="EBQ92" s="294"/>
      <c r="EBW92" s="292"/>
      <c r="EBX92" s="293"/>
      <c r="EBY92" s="294"/>
      <c r="ECE92" s="292"/>
      <c r="ECF92" s="293"/>
      <c r="ECG92" s="294"/>
      <c r="ECM92" s="292"/>
      <c r="ECN92" s="293"/>
      <c r="ECO92" s="294"/>
      <c r="ECU92" s="292"/>
      <c r="ECV92" s="293"/>
      <c r="ECW92" s="294"/>
      <c r="EDC92" s="292"/>
      <c r="EDD92" s="293"/>
      <c r="EDE92" s="294"/>
      <c r="EDK92" s="292"/>
      <c r="EDL92" s="293"/>
      <c r="EDM92" s="294"/>
      <c r="EDS92" s="292"/>
      <c r="EDT92" s="293"/>
      <c r="EDU92" s="294"/>
      <c r="EEA92" s="292"/>
      <c r="EEB92" s="293"/>
      <c r="EEC92" s="294"/>
      <c r="EEI92" s="292"/>
      <c r="EEJ92" s="293"/>
      <c r="EEK92" s="294"/>
      <c r="EEQ92" s="292"/>
      <c r="EER92" s="293"/>
      <c r="EES92" s="294"/>
      <c r="EEY92" s="292"/>
      <c r="EEZ92" s="293"/>
      <c r="EFA92" s="294"/>
      <c r="EFG92" s="292"/>
      <c r="EFH92" s="293"/>
      <c r="EFI92" s="294"/>
      <c r="EFO92" s="292"/>
      <c r="EFP92" s="293"/>
      <c r="EFQ92" s="294"/>
      <c r="EFW92" s="292"/>
      <c r="EFX92" s="293"/>
      <c r="EFY92" s="294"/>
      <c r="EGE92" s="292"/>
      <c r="EGF92" s="293"/>
      <c r="EGG92" s="294"/>
      <c r="EGM92" s="292"/>
      <c r="EGN92" s="293"/>
      <c r="EGO92" s="294"/>
      <c r="EGU92" s="292"/>
      <c r="EGV92" s="293"/>
      <c r="EGW92" s="294"/>
      <c r="EHC92" s="292"/>
      <c r="EHD92" s="293"/>
      <c r="EHE92" s="294"/>
      <c r="EHK92" s="292"/>
      <c r="EHL92" s="293"/>
      <c r="EHM92" s="294"/>
      <c r="EHS92" s="292"/>
      <c r="EHT92" s="293"/>
      <c r="EHU92" s="294"/>
      <c r="EIA92" s="292"/>
      <c r="EIB92" s="293"/>
      <c r="EIC92" s="294"/>
      <c r="EII92" s="292"/>
      <c r="EIJ92" s="293"/>
      <c r="EIK92" s="294"/>
      <c r="EIQ92" s="292"/>
      <c r="EIR92" s="293"/>
      <c r="EIS92" s="294"/>
      <c r="EIY92" s="292"/>
      <c r="EIZ92" s="293"/>
      <c r="EJA92" s="294"/>
      <c r="EJG92" s="292"/>
      <c r="EJH92" s="293"/>
      <c r="EJI92" s="294"/>
      <c r="EJO92" s="292"/>
      <c r="EJP92" s="293"/>
      <c r="EJQ92" s="294"/>
      <c r="EJW92" s="292"/>
      <c r="EJX92" s="293"/>
      <c r="EJY92" s="294"/>
      <c r="EKE92" s="292"/>
      <c r="EKF92" s="293"/>
      <c r="EKG92" s="294"/>
      <c r="EKM92" s="292"/>
      <c r="EKN92" s="293"/>
      <c r="EKO92" s="294"/>
      <c r="EKU92" s="292"/>
      <c r="EKV92" s="293"/>
      <c r="EKW92" s="294"/>
      <c r="ELC92" s="292"/>
      <c r="ELD92" s="293"/>
      <c r="ELE92" s="294"/>
      <c r="ELK92" s="292"/>
      <c r="ELL92" s="293"/>
      <c r="ELM92" s="294"/>
      <c r="ELS92" s="292"/>
      <c r="ELT92" s="293"/>
      <c r="ELU92" s="294"/>
      <c r="EMA92" s="292"/>
      <c r="EMB92" s="293"/>
      <c r="EMC92" s="294"/>
      <c r="EMI92" s="292"/>
      <c r="EMJ92" s="293"/>
      <c r="EMK92" s="294"/>
      <c r="EMQ92" s="292"/>
      <c r="EMR92" s="293"/>
      <c r="EMS92" s="294"/>
      <c r="EMY92" s="292"/>
      <c r="EMZ92" s="293"/>
      <c r="ENA92" s="294"/>
      <c r="ENG92" s="292"/>
      <c r="ENH92" s="293"/>
      <c r="ENI92" s="294"/>
      <c r="ENO92" s="292"/>
      <c r="ENP92" s="293"/>
      <c r="ENQ92" s="294"/>
      <c r="ENW92" s="292"/>
      <c r="ENX92" s="293"/>
      <c r="ENY92" s="294"/>
      <c r="EOE92" s="292"/>
      <c r="EOF92" s="293"/>
      <c r="EOG92" s="294"/>
      <c r="EOM92" s="292"/>
      <c r="EON92" s="293"/>
      <c r="EOO92" s="294"/>
      <c r="EOU92" s="292"/>
      <c r="EOV92" s="293"/>
      <c r="EOW92" s="294"/>
      <c r="EPC92" s="292"/>
      <c r="EPD92" s="293"/>
      <c r="EPE92" s="294"/>
      <c r="EPK92" s="292"/>
      <c r="EPL92" s="293"/>
      <c r="EPM92" s="294"/>
      <c r="EPS92" s="292"/>
      <c r="EPT92" s="293"/>
      <c r="EPU92" s="294"/>
      <c r="EQA92" s="292"/>
      <c r="EQB92" s="293"/>
      <c r="EQC92" s="294"/>
      <c r="EQI92" s="292"/>
      <c r="EQJ92" s="293"/>
      <c r="EQK92" s="294"/>
      <c r="EQQ92" s="292"/>
      <c r="EQR92" s="293"/>
      <c r="EQS92" s="294"/>
      <c r="EQY92" s="292"/>
      <c r="EQZ92" s="293"/>
      <c r="ERA92" s="294"/>
      <c r="ERG92" s="292"/>
      <c r="ERH92" s="293"/>
      <c r="ERI92" s="294"/>
      <c r="ERO92" s="292"/>
      <c r="ERP92" s="293"/>
      <c r="ERQ92" s="294"/>
      <c r="ERW92" s="292"/>
      <c r="ERX92" s="293"/>
      <c r="ERY92" s="294"/>
      <c r="ESE92" s="292"/>
      <c r="ESF92" s="293"/>
      <c r="ESG92" s="294"/>
      <c r="ESM92" s="292"/>
      <c r="ESN92" s="293"/>
      <c r="ESO92" s="294"/>
      <c r="ESU92" s="292"/>
      <c r="ESV92" s="293"/>
      <c r="ESW92" s="294"/>
      <c r="ETC92" s="292"/>
      <c r="ETD92" s="293"/>
      <c r="ETE92" s="294"/>
      <c r="ETK92" s="292"/>
      <c r="ETL92" s="293"/>
      <c r="ETM92" s="294"/>
      <c r="ETS92" s="292"/>
      <c r="ETT92" s="293"/>
      <c r="ETU92" s="294"/>
      <c r="EUA92" s="292"/>
      <c r="EUB92" s="293"/>
      <c r="EUC92" s="294"/>
      <c r="EUI92" s="292"/>
      <c r="EUJ92" s="293"/>
      <c r="EUK92" s="294"/>
      <c r="EUQ92" s="292"/>
      <c r="EUR92" s="293"/>
      <c r="EUS92" s="294"/>
      <c r="EUY92" s="292"/>
      <c r="EUZ92" s="293"/>
      <c r="EVA92" s="294"/>
      <c r="EVG92" s="292"/>
      <c r="EVH92" s="293"/>
      <c r="EVI92" s="294"/>
      <c r="EVO92" s="292"/>
      <c r="EVP92" s="293"/>
      <c r="EVQ92" s="294"/>
      <c r="EVW92" s="292"/>
      <c r="EVX92" s="293"/>
      <c r="EVY92" s="294"/>
      <c r="EWE92" s="292"/>
      <c r="EWF92" s="293"/>
      <c r="EWG92" s="294"/>
      <c r="EWM92" s="292"/>
      <c r="EWN92" s="293"/>
      <c r="EWO92" s="294"/>
      <c r="EWU92" s="292"/>
      <c r="EWV92" s="293"/>
      <c r="EWW92" s="294"/>
      <c r="EXC92" s="292"/>
      <c r="EXD92" s="293"/>
      <c r="EXE92" s="294"/>
      <c r="EXK92" s="292"/>
      <c r="EXL92" s="293"/>
      <c r="EXM92" s="294"/>
      <c r="EXS92" s="292"/>
      <c r="EXT92" s="293"/>
      <c r="EXU92" s="294"/>
      <c r="EYA92" s="292"/>
      <c r="EYB92" s="293"/>
      <c r="EYC92" s="294"/>
      <c r="EYI92" s="292"/>
      <c r="EYJ92" s="293"/>
      <c r="EYK92" s="294"/>
      <c r="EYQ92" s="292"/>
      <c r="EYR92" s="293"/>
      <c r="EYS92" s="294"/>
      <c r="EYY92" s="292"/>
      <c r="EYZ92" s="293"/>
      <c r="EZA92" s="294"/>
      <c r="EZG92" s="292"/>
      <c r="EZH92" s="293"/>
      <c r="EZI92" s="294"/>
      <c r="EZO92" s="292"/>
      <c r="EZP92" s="293"/>
      <c r="EZQ92" s="294"/>
      <c r="EZW92" s="292"/>
      <c r="EZX92" s="293"/>
      <c r="EZY92" s="294"/>
      <c r="FAE92" s="292"/>
      <c r="FAF92" s="293"/>
      <c r="FAG92" s="294"/>
      <c r="FAM92" s="292"/>
      <c r="FAN92" s="293"/>
      <c r="FAO92" s="294"/>
      <c r="FAU92" s="292"/>
      <c r="FAV92" s="293"/>
      <c r="FAW92" s="294"/>
      <c r="FBC92" s="292"/>
      <c r="FBD92" s="293"/>
      <c r="FBE92" s="294"/>
      <c r="FBK92" s="292"/>
      <c r="FBL92" s="293"/>
      <c r="FBM92" s="294"/>
      <c r="FBS92" s="292"/>
      <c r="FBT92" s="293"/>
      <c r="FBU92" s="294"/>
      <c r="FCA92" s="292"/>
      <c r="FCB92" s="293"/>
      <c r="FCC92" s="294"/>
      <c r="FCI92" s="292"/>
      <c r="FCJ92" s="293"/>
      <c r="FCK92" s="294"/>
      <c r="FCQ92" s="292"/>
      <c r="FCR92" s="293"/>
      <c r="FCS92" s="294"/>
      <c r="FCY92" s="292"/>
      <c r="FCZ92" s="293"/>
      <c r="FDA92" s="294"/>
      <c r="FDG92" s="292"/>
      <c r="FDH92" s="293"/>
      <c r="FDI92" s="294"/>
      <c r="FDO92" s="292"/>
      <c r="FDP92" s="293"/>
      <c r="FDQ92" s="294"/>
      <c r="FDW92" s="292"/>
      <c r="FDX92" s="293"/>
      <c r="FDY92" s="294"/>
      <c r="FEE92" s="292"/>
      <c r="FEF92" s="293"/>
      <c r="FEG92" s="294"/>
      <c r="FEM92" s="292"/>
      <c r="FEN92" s="293"/>
      <c r="FEO92" s="294"/>
      <c r="FEU92" s="292"/>
      <c r="FEV92" s="293"/>
      <c r="FEW92" s="294"/>
      <c r="FFC92" s="292"/>
      <c r="FFD92" s="293"/>
      <c r="FFE92" s="294"/>
      <c r="FFK92" s="292"/>
      <c r="FFL92" s="293"/>
      <c r="FFM92" s="294"/>
      <c r="FFS92" s="292"/>
      <c r="FFT92" s="293"/>
      <c r="FFU92" s="294"/>
      <c r="FGA92" s="292"/>
      <c r="FGB92" s="293"/>
      <c r="FGC92" s="294"/>
      <c r="FGI92" s="292"/>
      <c r="FGJ92" s="293"/>
      <c r="FGK92" s="294"/>
      <c r="FGQ92" s="292"/>
      <c r="FGR92" s="293"/>
      <c r="FGS92" s="294"/>
      <c r="FGY92" s="292"/>
      <c r="FGZ92" s="293"/>
      <c r="FHA92" s="294"/>
      <c r="FHG92" s="292"/>
      <c r="FHH92" s="293"/>
      <c r="FHI92" s="294"/>
      <c r="FHO92" s="292"/>
      <c r="FHP92" s="293"/>
      <c r="FHQ92" s="294"/>
      <c r="FHW92" s="292"/>
      <c r="FHX92" s="293"/>
      <c r="FHY92" s="294"/>
      <c r="FIE92" s="292"/>
      <c r="FIF92" s="293"/>
      <c r="FIG92" s="294"/>
      <c r="FIM92" s="292"/>
      <c r="FIN92" s="293"/>
      <c r="FIO92" s="294"/>
      <c r="FIU92" s="292"/>
      <c r="FIV92" s="293"/>
      <c r="FIW92" s="294"/>
      <c r="FJC92" s="292"/>
      <c r="FJD92" s="293"/>
      <c r="FJE92" s="294"/>
      <c r="FJK92" s="292"/>
      <c r="FJL92" s="293"/>
      <c r="FJM92" s="294"/>
      <c r="FJS92" s="292"/>
      <c r="FJT92" s="293"/>
      <c r="FJU92" s="294"/>
      <c r="FKA92" s="292"/>
      <c r="FKB92" s="293"/>
      <c r="FKC92" s="294"/>
      <c r="FKI92" s="292"/>
      <c r="FKJ92" s="293"/>
      <c r="FKK92" s="294"/>
      <c r="FKQ92" s="292"/>
      <c r="FKR92" s="293"/>
      <c r="FKS92" s="294"/>
      <c r="FKY92" s="292"/>
      <c r="FKZ92" s="293"/>
      <c r="FLA92" s="294"/>
      <c r="FLG92" s="292"/>
      <c r="FLH92" s="293"/>
      <c r="FLI92" s="294"/>
      <c r="FLO92" s="292"/>
      <c r="FLP92" s="293"/>
      <c r="FLQ92" s="294"/>
      <c r="FLW92" s="292"/>
      <c r="FLX92" s="293"/>
      <c r="FLY92" s="294"/>
      <c r="FME92" s="292"/>
      <c r="FMF92" s="293"/>
      <c r="FMG92" s="294"/>
      <c r="FMM92" s="292"/>
      <c r="FMN92" s="293"/>
      <c r="FMO92" s="294"/>
      <c r="FMU92" s="292"/>
      <c r="FMV92" s="293"/>
      <c r="FMW92" s="294"/>
      <c r="FNC92" s="292"/>
      <c r="FND92" s="293"/>
      <c r="FNE92" s="294"/>
      <c r="FNK92" s="292"/>
      <c r="FNL92" s="293"/>
      <c r="FNM92" s="294"/>
      <c r="FNS92" s="292"/>
      <c r="FNT92" s="293"/>
      <c r="FNU92" s="294"/>
      <c r="FOA92" s="292"/>
      <c r="FOB92" s="293"/>
      <c r="FOC92" s="294"/>
      <c r="FOI92" s="292"/>
      <c r="FOJ92" s="293"/>
      <c r="FOK92" s="294"/>
      <c r="FOQ92" s="292"/>
      <c r="FOR92" s="293"/>
      <c r="FOS92" s="294"/>
      <c r="FOY92" s="292"/>
      <c r="FOZ92" s="293"/>
      <c r="FPA92" s="294"/>
      <c r="FPG92" s="292"/>
      <c r="FPH92" s="293"/>
      <c r="FPI92" s="294"/>
      <c r="FPO92" s="292"/>
      <c r="FPP92" s="293"/>
      <c r="FPQ92" s="294"/>
      <c r="FPW92" s="292"/>
      <c r="FPX92" s="293"/>
      <c r="FPY92" s="294"/>
      <c r="FQE92" s="292"/>
      <c r="FQF92" s="293"/>
      <c r="FQG92" s="294"/>
      <c r="FQM92" s="292"/>
      <c r="FQN92" s="293"/>
      <c r="FQO92" s="294"/>
      <c r="FQU92" s="292"/>
      <c r="FQV92" s="293"/>
      <c r="FQW92" s="294"/>
      <c r="FRC92" s="292"/>
      <c r="FRD92" s="293"/>
      <c r="FRE92" s="294"/>
      <c r="FRK92" s="292"/>
      <c r="FRL92" s="293"/>
      <c r="FRM92" s="294"/>
      <c r="FRS92" s="292"/>
      <c r="FRT92" s="293"/>
      <c r="FRU92" s="294"/>
      <c r="FSA92" s="292"/>
      <c r="FSB92" s="293"/>
      <c r="FSC92" s="294"/>
      <c r="FSI92" s="292"/>
      <c r="FSJ92" s="293"/>
      <c r="FSK92" s="294"/>
      <c r="FSQ92" s="292"/>
      <c r="FSR92" s="293"/>
      <c r="FSS92" s="294"/>
      <c r="FSY92" s="292"/>
      <c r="FSZ92" s="293"/>
      <c r="FTA92" s="294"/>
      <c r="FTG92" s="292"/>
      <c r="FTH92" s="293"/>
      <c r="FTI92" s="294"/>
      <c r="FTO92" s="292"/>
      <c r="FTP92" s="293"/>
      <c r="FTQ92" s="294"/>
      <c r="FTW92" s="292"/>
      <c r="FTX92" s="293"/>
      <c r="FTY92" s="294"/>
      <c r="FUE92" s="292"/>
      <c r="FUF92" s="293"/>
      <c r="FUG92" s="294"/>
      <c r="FUM92" s="292"/>
      <c r="FUN92" s="293"/>
      <c r="FUO92" s="294"/>
      <c r="FUU92" s="292"/>
      <c r="FUV92" s="293"/>
      <c r="FUW92" s="294"/>
      <c r="FVC92" s="292"/>
      <c r="FVD92" s="293"/>
      <c r="FVE92" s="294"/>
      <c r="FVK92" s="292"/>
      <c r="FVL92" s="293"/>
      <c r="FVM92" s="294"/>
      <c r="FVS92" s="292"/>
      <c r="FVT92" s="293"/>
      <c r="FVU92" s="294"/>
      <c r="FWA92" s="292"/>
      <c r="FWB92" s="293"/>
      <c r="FWC92" s="294"/>
      <c r="FWI92" s="292"/>
      <c r="FWJ92" s="293"/>
      <c r="FWK92" s="294"/>
      <c r="FWQ92" s="292"/>
      <c r="FWR92" s="293"/>
      <c r="FWS92" s="294"/>
      <c r="FWY92" s="292"/>
      <c r="FWZ92" s="293"/>
      <c r="FXA92" s="294"/>
      <c r="FXG92" s="292"/>
      <c r="FXH92" s="293"/>
      <c r="FXI92" s="294"/>
      <c r="FXO92" s="292"/>
      <c r="FXP92" s="293"/>
      <c r="FXQ92" s="294"/>
      <c r="FXW92" s="292"/>
      <c r="FXX92" s="293"/>
      <c r="FXY92" s="294"/>
      <c r="FYE92" s="292"/>
      <c r="FYF92" s="293"/>
      <c r="FYG92" s="294"/>
      <c r="FYM92" s="292"/>
      <c r="FYN92" s="293"/>
      <c r="FYO92" s="294"/>
      <c r="FYU92" s="292"/>
      <c r="FYV92" s="293"/>
      <c r="FYW92" s="294"/>
      <c r="FZC92" s="292"/>
      <c r="FZD92" s="293"/>
      <c r="FZE92" s="294"/>
      <c r="FZK92" s="292"/>
      <c r="FZL92" s="293"/>
      <c r="FZM92" s="294"/>
      <c r="FZS92" s="292"/>
      <c r="FZT92" s="293"/>
      <c r="FZU92" s="294"/>
      <c r="GAA92" s="292"/>
      <c r="GAB92" s="293"/>
      <c r="GAC92" s="294"/>
      <c r="GAI92" s="292"/>
      <c r="GAJ92" s="293"/>
      <c r="GAK92" s="294"/>
      <c r="GAQ92" s="292"/>
      <c r="GAR92" s="293"/>
      <c r="GAS92" s="294"/>
      <c r="GAY92" s="292"/>
      <c r="GAZ92" s="293"/>
      <c r="GBA92" s="294"/>
      <c r="GBG92" s="292"/>
      <c r="GBH92" s="293"/>
      <c r="GBI92" s="294"/>
      <c r="GBO92" s="292"/>
      <c r="GBP92" s="293"/>
      <c r="GBQ92" s="294"/>
      <c r="GBW92" s="292"/>
      <c r="GBX92" s="293"/>
      <c r="GBY92" s="294"/>
      <c r="GCE92" s="292"/>
      <c r="GCF92" s="293"/>
      <c r="GCG92" s="294"/>
      <c r="GCM92" s="292"/>
      <c r="GCN92" s="293"/>
      <c r="GCO92" s="294"/>
      <c r="GCU92" s="292"/>
      <c r="GCV92" s="293"/>
      <c r="GCW92" s="294"/>
      <c r="GDC92" s="292"/>
      <c r="GDD92" s="293"/>
      <c r="GDE92" s="294"/>
      <c r="GDK92" s="292"/>
      <c r="GDL92" s="293"/>
      <c r="GDM92" s="294"/>
      <c r="GDS92" s="292"/>
      <c r="GDT92" s="293"/>
      <c r="GDU92" s="294"/>
      <c r="GEA92" s="292"/>
      <c r="GEB92" s="293"/>
      <c r="GEC92" s="294"/>
      <c r="GEI92" s="292"/>
      <c r="GEJ92" s="293"/>
      <c r="GEK92" s="294"/>
      <c r="GEQ92" s="292"/>
      <c r="GER92" s="293"/>
      <c r="GES92" s="294"/>
      <c r="GEY92" s="292"/>
      <c r="GEZ92" s="293"/>
      <c r="GFA92" s="294"/>
      <c r="GFG92" s="292"/>
      <c r="GFH92" s="293"/>
      <c r="GFI92" s="294"/>
      <c r="GFO92" s="292"/>
      <c r="GFP92" s="293"/>
      <c r="GFQ92" s="294"/>
      <c r="GFW92" s="292"/>
      <c r="GFX92" s="293"/>
      <c r="GFY92" s="294"/>
      <c r="GGE92" s="292"/>
      <c r="GGF92" s="293"/>
      <c r="GGG92" s="294"/>
      <c r="GGM92" s="292"/>
      <c r="GGN92" s="293"/>
      <c r="GGO92" s="294"/>
      <c r="GGU92" s="292"/>
      <c r="GGV92" s="293"/>
      <c r="GGW92" s="294"/>
      <c r="GHC92" s="292"/>
      <c r="GHD92" s="293"/>
      <c r="GHE92" s="294"/>
      <c r="GHK92" s="292"/>
      <c r="GHL92" s="293"/>
      <c r="GHM92" s="294"/>
      <c r="GHS92" s="292"/>
      <c r="GHT92" s="293"/>
      <c r="GHU92" s="294"/>
      <c r="GIA92" s="292"/>
      <c r="GIB92" s="293"/>
      <c r="GIC92" s="294"/>
      <c r="GII92" s="292"/>
      <c r="GIJ92" s="293"/>
      <c r="GIK92" s="294"/>
      <c r="GIQ92" s="292"/>
      <c r="GIR92" s="293"/>
      <c r="GIS92" s="294"/>
      <c r="GIY92" s="292"/>
      <c r="GIZ92" s="293"/>
      <c r="GJA92" s="294"/>
      <c r="GJG92" s="292"/>
      <c r="GJH92" s="293"/>
      <c r="GJI92" s="294"/>
      <c r="GJO92" s="292"/>
      <c r="GJP92" s="293"/>
      <c r="GJQ92" s="294"/>
      <c r="GJW92" s="292"/>
      <c r="GJX92" s="293"/>
      <c r="GJY92" s="294"/>
      <c r="GKE92" s="292"/>
      <c r="GKF92" s="293"/>
      <c r="GKG92" s="294"/>
      <c r="GKM92" s="292"/>
      <c r="GKN92" s="293"/>
      <c r="GKO92" s="294"/>
      <c r="GKU92" s="292"/>
      <c r="GKV92" s="293"/>
      <c r="GKW92" s="294"/>
      <c r="GLC92" s="292"/>
      <c r="GLD92" s="293"/>
      <c r="GLE92" s="294"/>
      <c r="GLK92" s="292"/>
      <c r="GLL92" s="293"/>
      <c r="GLM92" s="294"/>
      <c r="GLS92" s="292"/>
      <c r="GLT92" s="293"/>
      <c r="GLU92" s="294"/>
      <c r="GMA92" s="292"/>
      <c r="GMB92" s="293"/>
      <c r="GMC92" s="294"/>
      <c r="GMI92" s="292"/>
      <c r="GMJ92" s="293"/>
      <c r="GMK92" s="294"/>
      <c r="GMQ92" s="292"/>
      <c r="GMR92" s="293"/>
      <c r="GMS92" s="294"/>
      <c r="GMY92" s="292"/>
      <c r="GMZ92" s="293"/>
      <c r="GNA92" s="294"/>
      <c r="GNG92" s="292"/>
      <c r="GNH92" s="293"/>
      <c r="GNI92" s="294"/>
      <c r="GNO92" s="292"/>
      <c r="GNP92" s="293"/>
      <c r="GNQ92" s="294"/>
      <c r="GNW92" s="292"/>
      <c r="GNX92" s="293"/>
      <c r="GNY92" s="294"/>
      <c r="GOE92" s="292"/>
      <c r="GOF92" s="293"/>
      <c r="GOG92" s="294"/>
      <c r="GOM92" s="292"/>
      <c r="GON92" s="293"/>
      <c r="GOO92" s="294"/>
      <c r="GOU92" s="292"/>
      <c r="GOV92" s="293"/>
      <c r="GOW92" s="294"/>
      <c r="GPC92" s="292"/>
      <c r="GPD92" s="293"/>
      <c r="GPE92" s="294"/>
      <c r="GPK92" s="292"/>
      <c r="GPL92" s="293"/>
      <c r="GPM92" s="294"/>
      <c r="GPS92" s="292"/>
      <c r="GPT92" s="293"/>
      <c r="GPU92" s="294"/>
      <c r="GQA92" s="292"/>
      <c r="GQB92" s="293"/>
      <c r="GQC92" s="294"/>
      <c r="GQI92" s="292"/>
      <c r="GQJ92" s="293"/>
      <c r="GQK92" s="294"/>
      <c r="GQQ92" s="292"/>
      <c r="GQR92" s="293"/>
      <c r="GQS92" s="294"/>
      <c r="GQY92" s="292"/>
      <c r="GQZ92" s="293"/>
      <c r="GRA92" s="294"/>
      <c r="GRG92" s="292"/>
      <c r="GRH92" s="293"/>
      <c r="GRI92" s="294"/>
      <c r="GRO92" s="292"/>
      <c r="GRP92" s="293"/>
      <c r="GRQ92" s="294"/>
      <c r="GRW92" s="292"/>
      <c r="GRX92" s="293"/>
      <c r="GRY92" s="294"/>
      <c r="GSE92" s="292"/>
      <c r="GSF92" s="293"/>
      <c r="GSG92" s="294"/>
      <c r="GSM92" s="292"/>
      <c r="GSN92" s="293"/>
      <c r="GSO92" s="294"/>
      <c r="GSU92" s="292"/>
      <c r="GSV92" s="293"/>
      <c r="GSW92" s="294"/>
      <c r="GTC92" s="292"/>
      <c r="GTD92" s="293"/>
      <c r="GTE92" s="294"/>
      <c r="GTK92" s="292"/>
      <c r="GTL92" s="293"/>
      <c r="GTM92" s="294"/>
      <c r="GTS92" s="292"/>
      <c r="GTT92" s="293"/>
      <c r="GTU92" s="294"/>
      <c r="GUA92" s="292"/>
      <c r="GUB92" s="293"/>
      <c r="GUC92" s="294"/>
      <c r="GUI92" s="292"/>
      <c r="GUJ92" s="293"/>
      <c r="GUK92" s="294"/>
      <c r="GUQ92" s="292"/>
      <c r="GUR92" s="293"/>
      <c r="GUS92" s="294"/>
      <c r="GUY92" s="292"/>
      <c r="GUZ92" s="293"/>
      <c r="GVA92" s="294"/>
      <c r="GVG92" s="292"/>
      <c r="GVH92" s="293"/>
      <c r="GVI92" s="294"/>
      <c r="GVO92" s="292"/>
      <c r="GVP92" s="293"/>
      <c r="GVQ92" s="294"/>
      <c r="GVW92" s="292"/>
      <c r="GVX92" s="293"/>
      <c r="GVY92" s="294"/>
      <c r="GWE92" s="292"/>
      <c r="GWF92" s="293"/>
      <c r="GWG92" s="294"/>
      <c r="GWM92" s="292"/>
      <c r="GWN92" s="293"/>
      <c r="GWO92" s="294"/>
      <c r="GWU92" s="292"/>
      <c r="GWV92" s="293"/>
      <c r="GWW92" s="294"/>
      <c r="GXC92" s="292"/>
      <c r="GXD92" s="293"/>
      <c r="GXE92" s="294"/>
      <c r="GXK92" s="292"/>
      <c r="GXL92" s="293"/>
      <c r="GXM92" s="294"/>
      <c r="GXS92" s="292"/>
      <c r="GXT92" s="293"/>
      <c r="GXU92" s="294"/>
      <c r="GYA92" s="292"/>
      <c r="GYB92" s="293"/>
      <c r="GYC92" s="294"/>
      <c r="GYI92" s="292"/>
      <c r="GYJ92" s="293"/>
      <c r="GYK92" s="294"/>
      <c r="GYQ92" s="292"/>
      <c r="GYR92" s="293"/>
      <c r="GYS92" s="294"/>
      <c r="GYY92" s="292"/>
      <c r="GYZ92" s="293"/>
      <c r="GZA92" s="294"/>
      <c r="GZG92" s="292"/>
      <c r="GZH92" s="293"/>
      <c r="GZI92" s="294"/>
      <c r="GZO92" s="292"/>
      <c r="GZP92" s="293"/>
      <c r="GZQ92" s="294"/>
      <c r="GZW92" s="292"/>
      <c r="GZX92" s="293"/>
      <c r="GZY92" s="294"/>
      <c r="HAE92" s="292"/>
      <c r="HAF92" s="293"/>
      <c r="HAG92" s="294"/>
      <c r="HAM92" s="292"/>
      <c r="HAN92" s="293"/>
      <c r="HAO92" s="294"/>
      <c r="HAU92" s="292"/>
      <c r="HAV92" s="293"/>
      <c r="HAW92" s="294"/>
      <c r="HBC92" s="292"/>
      <c r="HBD92" s="293"/>
      <c r="HBE92" s="294"/>
      <c r="HBK92" s="292"/>
      <c r="HBL92" s="293"/>
      <c r="HBM92" s="294"/>
      <c r="HBS92" s="292"/>
      <c r="HBT92" s="293"/>
      <c r="HBU92" s="294"/>
      <c r="HCA92" s="292"/>
      <c r="HCB92" s="293"/>
      <c r="HCC92" s="294"/>
      <c r="HCI92" s="292"/>
      <c r="HCJ92" s="293"/>
      <c r="HCK92" s="294"/>
      <c r="HCQ92" s="292"/>
      <c r="HCR92" s="293"/>
      <c r="HCS92" s="294"/>
      <c r="HCY92" s="292"/>
      <c r="HCZ92" s="293"/>
      <c r="HDA92" s="294"/>
      <c r="HDG92" s="292"/>
      <c r="HDH92" s="293"/>
      <c r="HDI92" s="294"/>
      <c r="HDO92" s="292"/>
      <c r="HDP92" s="293"/>
      <c r="HDQ92" s="294"/>
      <c r="HDW92" s="292"/>
      <c r="HDX92" s="293"/>
      <c r="HDY92" s="294"/>
      <c r="HEE92" s="292"/>
      <c r="HEF92" s="293"/>
      <c r="HEG92" s="294"/>
      <c r="HEM92" s="292"/>
      <c r="HEN92" s="293"/>
      <c r="HEO92" s="294"/>
      <c r="HEU92" s="292"/>
      <c r="HEV92" s="293"/>
      <c r="HEW92" s="294"/>
      <c r="HFC92" s="292"/>
      <c r="HFD92" s="293"/>
      <c r="HFE92" s="294"/>
      <c r="HFK92" s="292"/>
      <c r="HFL92" s="293"/>
      <c r="HFM92" s="294"/>
      <c r="HFS92" s="292"/>
      <c r="HFT92" s="293"/>
      <c r="HFU92" s="294"/>
      <c r="HGA92" s="292"/>
      <c r="HGB92" s="293"/>
      <c r="HGC92" s="294"/>
      <c r="HGI92" s="292"/>
      <c r="HGJ92" s="293"/>
      <c r="HGK92" s="294"/>
      <c r="HGQ92" s="292"/>
      <c r="HGR92" s="293"/>
      <c r="HGS92" s="294"/>
      <c r="HGY92" s="292"/>
      <c r="HGZ92" s="293"/>
      <c r="HHA92" s="294"/>
      <c r="HHG92" s="292"/>
      <c r="HHH92" s="293"/>
      <c r="HHI92" s="294"/>
      <c r="HHO92" s="292"/>
      <c r="HHP92" s="293"/>
      <c r="HHQ92" s="294"/>
      <c r="HHW92" s="292"/>
      <c r="HHX92" s="293"/>
      <c r="HHY92" s="294"/>
      <c r="HIE92" s="292"/>
      <c r="HIF92" s="293"/>
      <c r="HIG92" s="294"/>
      <c r="HIM92" s="292"/>
      <c r="HIN92" s="293"/>
      <c r="HIO92" s="294"/>
      <c r="HIU92" s="292"/>
      <c r="HIV92" s="293"/>
      <c r="HIW92" s="294"/>
      <c r="HJC92" s="292"/>
      <c r="HJD92" s="293"/>
      <c r="HJE92" s="294"/>
      <c r="HJK92" s="292"/>
      <c r="HJL92" s="293"/>
      <c r="HJM92" s="294"/>
      <c r="HJS92" s="292"/>
      <c r="HJT92" s="293"/>
      <c r="HJU92" s="294"/>
      <c r="HKA92" s="292"/>
      <c r="HKB92" s="293"/>
      <c r="HKC92" s="294"/>
      <c r="HKI92" s="292"/>
      <c r="HKJ92" s="293"/>
      <c r="HKK92" s="294"/>
      <c r="HKQ92" s="292"/>
      <c r="HKR92" s="293"/>
      <c r="HKS92" s="294"/>
      <c r="HKY92" s="292"/>
      <c r="HKZ92" s="293"/>
      <c r="HLA92" s="294"/>
      <c r="HLG92" s="292"/>
      <c r="HLH92" s="293"/>
      <c r="HLI92" s="294"/>
      <c r="HLO92" s="292"/>
      <c r="HLP92" s="293"/>
      <c r="HLQ92" s="294"/>
      <c r="HLW92" s="292"/>
      <c r="HLX92" s="293"/>
      <c r="HLY92" s="294"/>
      <c r="HME92" s="292"/>
      <c r="HMF92" s="293"/>
      <c r="HMG92" s="294"/>
      <c r="HMM92" s="292"/>
      <c r="HMN92" s="293"/>
      <c r="HMO92" s="294"/>
      <c r="HMU92" s="292"/>
      <c r="HMV92" s="293"/>
      <c r="HMW92" s="294"/>
      <c r="HNC92" s="292"/>
      <c r="HND92" s="293"/>
      <c r="HNE92" s="294"/>
      <c r="HNK92" s="292"/>
      <c r="HNL92" s="293"/>
      <c r="HNM92" s="294"/>
      <c r="HNS92" s="292"/>
      <c r="HNT92" s="293"/>
      <c r="HNU92" s="294"/>
      <c r="HOA92" s="292"/>
      <c r="HOB92" s="293"/>
      <c r="HOC92" s="294"/>
      <c r="HOI92" s="292"/>
      <c r="HOJ92" s="293"/>
      <c r="HOK92" s="294"/>
      <c r="HOQ92" s="292"/>
      <c r="HOR92" s="293"/>
      <c r="HOS92" s="294"/>
      <c r="HOY92" s="292"/>
      <c r="HOZ92" s="293"/>
      <c r="HPA92" s="294"/>
      <c r="HPG92" s="292"/>
      <c r="HPH92" s="293"/>
      <c r="HPI92" s="294"/>
      <c r="HPO92" s="292"/>
      <c r="HPP92" s="293"/>
      <c r="HPQ92" s="294"/>
      <c r="HPW92" s="292"/>
      <c r="HPX92" s="293"/>
      <c r="HPY92" s="294"/>
      <c r="HQE92" s="292"/>
      <c r="HQF92" s="293"/>
      <c r="HQG92" s="294"/>
      <c r="HQM92" s="292"/>
      <c r="HQN92" s="293"/>
      <c r="HQO92" s="294"/>
      <c r="HQU92" s="292"/>
      <c r="HQV92" s="293"/>
      <c r="HQW92" s="294"/>
      <c r="HRC92" s="292"/>
      <c r="HRD92" s="293"/>
      <c r="HRE92" s="294"/>
      <c r="HRK92" s="292"/>
      <c r="HRL92" s="293"/>
      <c r="HRM92" s="294"/>
      <c r="HRS92" s="292"/>
      <c r="HRT92" s="293"/>
      <c r="HRU92" s="294"/>
      <c r="HSA92" s="292"/>
      <c r="HSB92" s="293"/>
      <c r="HSC92" s="294"/>
      <c r="HSI92" s="292"/>
      <c r="HSJ92" s="293"/>
      <c r="HSK92" s="294"/>
      <c r="HSQ92" s="292"/>
      <c r="HSR92" s="293"/>
      <c r="HSS92" s="294"/>
      <c r="HSY92" s="292"/>
      <c r="HSZ92" s="293"/>
      <c r="HTA92" s="294"/>
      <c r="HTG92" s="292"/>
      <c r="HTH92" s="293"/>
      <c r="HTI92" s="294"/>
      <c r="HTO92" s="292"/>
      <c r="HTP92" s="293"/>
      <c r="HTQ92" s="294"/>
      <c r="HTW92" s="292"/>
      <c r="HTX92" s="293"/>
      <c r="HTY92" s="294"/>
      <c r="HUE92" s="292"/>
      <c r="HUF92" s="293"/>
      <c r="HUG92" s="294"/>
      <c r="HUM92" s="292"/>
      <c r="HUN92" s="293"/>
      <c r="HUO92" s="294"/>
      <c r="HUU92" s="292"/>
      <c r="HUV92" s="293"/>
      <c r="HUW92" s="294"/>
      <c r="HVC92" s="292"/>
      <c r="HVD92" s="293"/>
      <c r="HVE92" s="294"/>
      <c r="HVK92" s="292"/>
      <c r="HVL92" s="293"/>
      <c r="HVM92" s="294"/>
      <c r="HVS92" s="292"/>
      <c r="HVT92" s="293"/>
      <c r="HVU92" s="294"/>
      <c r="HWA92" s="292"/>
      <c r="HWB92" s="293"/>
      <c r="HWC92" s="294"/>
      <c r="HWI92" s="292"/>
      <c r="HWJ92" s="293"/>
      <c r="HWK92" s="294"/>
      <c r="HWQ92" s="292"/>
      <c r="HWR92" s="293"/>
      <c r="HWS92" s="294"/>
      <c r="HWY92" s="292"/>
      <c r="HWZ92" s="293"/>
      <c r="HXA92" s="294"/>
      <c r="HXG92" s="292"/>
      <c r="HXH92" s="293"/>
      <c r="HXI92" s="294"/>
      <c r="HXO92" s="292"/>
      <c r="HXP92" s="293"/>
      <c r="HXQ92" s="294"/>
      <c r="HXW92" s="292"/>
      <c r="HXX92" s="293"/>
      <c r="HXY92" s="294"/>
      <c r="HYE92" s="292"/>
      <c r="HYF92" s="293"/>
      <c r="HYG92" s="294"/>
      <c r="HYM92" s="292"/>
      <c r="HYN92" s="293"/>
      <c r="HYO92" s="294"/>
      <c r="HYU92" s="292"/>
      <c r="HYV92" s="293"/>
      <c r="HYW92" s="294"/>
      <c r="HZC92" s="292"/>
      <c r="HZD92" s="293"/>
      <c r="HZE92" s="294"/>
      <c r="HZK92" s="292"/>
      <c r="HZL92" s="293"/>
      <c r="HZM92" s="294"/>
      <c r="HZS92" s="292"/>
      <c r="HZT92" s="293"/>
      <c r="HZU92" s="294"/>
      <c r="IAA92" s="292"/>
      <c r="IAB92" s="293"/>
      <c r="IAC92" s="294"/>
      <c r="IAI92" s="292"/>
      <c r="IAJ92" s="293"/>
      <c r="IAK92" s="294"/>
      <c r="IAQ92" s="292"/>
      <c r="IAR92" s="293"/>
      <c r="IAS92" s="294"/>
      <c r="IAY92" s="292"/>
      <c r="IAZ92" s="293"/>
      <c r="IBA92" s="294"/>
      <c r="IBG92" s="292"/>
      <c r="IBH92" s="293"/>
      <c r="IBI92" s="294"/>
      <c r="IBO92" s="292"/>
      <c r="IBP92" s="293"/>
      <c r="IBQ92" s="294"/>
      <c r="IBW92" s="292"/>
      <c r="IBX92" s="293"/>
      <c r="IBY92" s="294"/>
      <c r="ICE92" s="292"/>
      <c r="ICF92" s="293"/>
      <c r="ICG92" s="294"/>
      <c r="ICM92" s="292"/>
      <c r="ICN92" s="293"/>
      <c r="ICO92" s="294"/>
      <c r="ICU92" s="292"/>
      <c r="ICV92" s="293"/>
      <c r="ICW92" s="294"/>
      <c r="IDC92" s="292"/>
      <c r="IDD92" s="293"/>
      <c r="IDE92" s="294"/>
      <c r="IDK92" s="292"/>
      <c r="IDL92" s="293"/>
      <c r="IDM92" s="294"/>
      <c r="IDS92" s="292"/>
      <c r="IDT92" s="293"/>
      <c r="IDU92" s="294"/>
      <c r="IEA92" s="292"/>
      <c r="IEB92" s="293"/>
      <c r="IEC92" s="294"/>
      <c r="IEI92" s="292"/>
      <c r="IEJ92" s="293"/>
      <c r="IEK92" s="294"/>
      <c r="IEQ92" s="292"/>
      <c r="IER92" s="293"/>
      <c r="IES92" s="294"/>
      <c r="IEY92" s="292"/>
      <c r="IEZ92" s="293"/>
      <c r="IFA92" s="294"/>
      <c r="IFG92" s="292"/>
      <c r="IFH92" s="293"/>
      <c r="IFI92" s="294"/>
      <c r="IFO92" s="292"/>
      <c r="IFP92" s="293"/>
      <c r="IFQ92" s="294"/>
      <c r="IFW92" s="292"/>
      <c r="IFX92" s="293"/>
      <c r="IFY92" s="294"/>
      <c r="IGE92" s="292"/>
      <c r="IGF92" s="293"/>
      <c r="IGG92" s="294"/>
      <c r="IGM92" s="292"/>
      <c r="IGN92" s="293"/>
      <c r="IGO92" s="294"/>
      <c r="IGU92" s="292"/>
      <c r="IGV92" s="293"/>
      <c r="IGW92" s="294"/>
      <c r="IHC92" s="292"/>
      <c r="IHD92" s="293"/>
      <c r="IHE92" s="294"/>
      <c r="IHK92" s="292"/>
      <c r="IHL92" s="293"/>
      <c r="IHM92" s="294"/>
      <c r="IHS92" s="292"/>
      <c r="IHT92" s="293"/>
      <c r="IHU92" s="294"/>
      <c r="IIA92" s="292"/>
      <c r="IIB92" s="293"/>
      <c r="IIC92" s="294"/>
      <c r="III92" s="292"/>
      <c r="IIJ92" s="293"/>
      <c r="IIK92" s="294"/>
      <c r="IIQ92" s="292"/>
      <c r="IIR92" s="293"/>
      <c r="IIS92" s="294"/>
      <c r="IIY92" s="292"/>
      <c r="IIZ92" s="293"/>
      <c r="IJA92" s="294"/>
      <c r="IJG92" s="292"/>
      <c r="IJH92" s="293"/>
      <c r="IJI92" s="294"/>
      <c r="IJO92" s="292"/>
      <c r="IJP92" s="293"/>
      <c r="IJQ92" s="294"/>
      <c r="IJW92" s="292"/>
      <c r="IJX92" s="293"/>
      <c r="IJY92" s="294"/>
      <c r="IKE92" s="292"/>
      <c r="IKF92" s="293"/>
      <c r="IKG92" s="294"/>
      <c r="IKM92" s="292"/>
      <c r="IKN92" s="293"/>
      <c r="IKO92" s="294"/>
      <c r="IKU92" s="292"/>
      <c r="IKV92" s="293"/>
      <c r="IKW92" s="294"/>
      <c r="ILC92" s="292"/>
      <c r="ILD92" s="293"/>
      <c r="ILE92" s="294"/>
      <c r="ILK92" s="292"/>
      <c r="ILL92" s="293"/>
      <c r="ILM92" s="294"/>
      <c r="ILS92" s="292"/>
      <c r="ILT92" s="293"/>
      <c r="ILU92" s="294"/>
      <c r="IMA92" s="292"/>
      <c r="IMB92" s="293"/>
      <c r="IMC92" s="294"/>
      <c r="IMI92" s="292"/>
      <c r="IMJ92" s="293"/>
      <c r="IMK92" s="294"/>
      <c r="IMQ92" s="292"/>
      <c r="IMR92" s="293"/>
      <c r="IMS92" s="294"/>
      <c r="IMY92" s="292"/>
      <c r="IMZ92" s="293"/>
      <c r="INA92" s="294"/>
      <c r="ING92" s="292"/>
      <c r="INH92" s="293"/>
      <c r="INI92" s="294"/>
      <c r="INO92" s="292"/>
      <c r="INP92" s="293"/>
      <c r="INQ92" s="294"/>
      <c r="INW92" s="292"/>
      <c r="INX92" s="293"/>
      <c r="INY92" s="294"/>
      <c r="IOE92" s="292"/>
      <c r="IOF92" s="293"/>
      <c r="IOG92" s="294"/>
      <c r="IOM92" s="292"/>
      <c r="ION92" s="293"/>
      <c r="IOO92" s="294"/>
      <c r="IOU92" s="292"/>
      <c r="IOV92" s="293"/>
      <c r="IOW92" s="294"/>
      <c r="IPC92" s="292"/>
      <c r="IPD92" s="293"/>
      <c r="IPE92" s="294"/>
      <c r="IPK92" s="292"/>
      <c r="IPL92" s="293"/>
      <c r="IPM92" s="294"/>
      <c r="IPS92" s="292"/>
      <c r="IPT92" s="293"/>
      <c r="IPU92" s="294"/>
      <c r="IQA92" s="292"/>
      <c r="IQB92" s="293"/>
      <c r="IQC92" s="294"/>
      <c r="IQI92" s="292"/>
      <c r="IQJ92" s="293"/>
      <c r="IQK92" s="294"/>
      <c r="IQQ92" s="292"/>
      <c r="IQR92" s="293"/>
      <c r="IQS92" s="294"/>
      <c r="IQY92" s="292"/>
      <c r="IQZ92" s="293"/>
      <c r="IRA92" s="294"/>
      <c r="IRG92" s="292"/>
      <c r="IRH92" s="293"/>
      <c r="IRI92" s="294"/>
      <c r="IRO92" s="292"/>
      <c r="IRP92" s="293"/>
      <c r="IRQ92" s="294"/>
      <c r="IRW92" s="292"/>
      <c r="IRX92" s="293"/>
      <c r="IRY92" s="294"/>
      <c r="ISE92" s="292"/>
      <c r="ISF92" s="293"/>
      <c r="ISG92" s="294"/>
      <c r="ISM92" s="292"/>
      <c r="ISN92" s="293"/>
      <c r="ISO92" s="294"/>
      <c r="ISU92" s="292"/>
      <c r="ISV92" s="293"/>
      <c r="ISW92" s="294"/>
      <c r="ITC92" s="292"/>
      <c r="ITD92" s="293"/>
      <c r="ITE92" s="294"/>
      <c r="ITK92" s="292"/>
      <c r="ITL92" s="293"/>
      <c r="ITM92" s="294"/>
      <c r="ITS92" s="292"/>
      <c r="ITT92" s="293"/>
      <c r="ITU92" s="294"/>
      <c r="IUA92" s="292"/>
      <c r="IUB92" s="293"/>
      <c r="IUC92" s="294"/>
      <c r="IUI92" s="292"/>
      <c r="IUJ92" s="293"/>
      <c r="IUK92" s="294"/>
      <c r="IUQ92" s="292"/>
      <c r="IUR92" s="293"/>
      <c r="IUS92" s="294"/>
      <c r="IUY92" s="292"/>
      <c r="IUZ92" s="293"/>
      <c r="IVA92" s="294"/>
      <c r="IVG92" s="292"/>
      <c r="IVH92" s="293"/>
      <c r="IVI92" s="294"/>
      <c r="IVO92" s="292"/>
      <c r="IVP92" s="293"/>
      <c r="IVQ92" s="294"/>
      <c r="IVW92" s="292"/>
      <c r="IVX92" s="293"/>
      <c r="IVY92" s="294"/>
      <c r="IWE92" s="292"/>
      <c r="IWF92" s="293"/>
      <c r="IWG92" s="294"/>
      <c r="IWM92" s="292"/>
      <c r="IWN92" s="293"/>
      <c r="IWO92" s="294"/>
      <c r="IWU92" s="292"/>
      <c r="IWV92" s="293"/>
      <c r="IWW92" s="294"/>
      <c r="IXC92" s="292"/>
      <c r="IXD92" s="293"/>
      <c r="IXE92" s="294"/>
      <c r="IXK92" s="292"/>
      <c r="IXL92" s="293"/>
      <c r="IXM92" s="294"/>
      <c r="IXS92" s="292"/>
      <c r="IXT92" s="293"/>
      <c r="IXU92" s="294"/>
      <c r="IYA92" s="292"/>
      <c r="IYB92" s="293"/>
      <c r="IYC92" s="294"/>
      <c r="IYI92" s="292"/>
      <c r="IYJ92" s="293"/>
      <c r="IYK92" s="294"/>
      <c r="IYQ92" s="292"/>
      <c r="IYR92" s="293"/>
      <c r="IYS92" s="294"/>
      <c r="IYY92" s="292"/>
      <c r="IYZ92" s="293"/>
      <c r="IZA92" s="294"/>
      <c r="IZG92" s="292"/>
      <c r="IZH92" s="293"/>
      <c r="IZI92" s="294"/>
      <c r="IZO92" s="292"/>
      <c r="IZP92" s="293"/>
      <c r="IZQ92" s="294"/>
      <c r="IZW92" s="292"/>
      <c r="IZX92" s="293"/>
      <c r="IZY92" s="294"/>
      <c r="JAE92" s="292"/>
      <c r="JAF92" s="293"/>
      <c r="JAG92" s="294"/>
      <c r="JAM92" s="292"/>
      <c r="JAN92" s="293"/>
      <c r="JAO92" s="294"/>
      <c r="JAU92" s="292"/>
      <c r="JAV92" s="293"/>
      <c r="JAW92" s="294"/>
      <c r="JBC92" s="292"/>
      <c r="JBD92" s="293"/>
      <c r="JBE92" s="294"/>
      <c r="JBK92" s="292"/>
      <c r="JBL92" s="293"/>
      <c r="JBM92" s="294"/>
      <c r="JBS92" s="292"/>
      <c r="JBT92" s="293"/>
      <c r="JBU92" s="294"/>
      <c r="JCA92" s="292"/>
      <c r="JCB92" s="293"/>
      <c r="JCC92" s="294"/>
      <c r="JCI92" s="292"/>
      <c r="JCJ92" s="293"/>
      <c r="JCK92" s="294"/>
      <c r="JCQ92" s="292"/>
      <c r="JCR92" s="293"/>
      <c r="JCS92" s="294"/>
      <c r="JCY92" s="292"/>
      <c r="JCZ92" s="293"/>
      <c r="JDA92" s="294"/>
      <c r="JDG92" s="292"/>
      <c r="JDH92" s="293"/>
      <c r="JDI92" s="294"/>
      <c r="JDO92" s="292"/>
      <c r="JDP92" s="293"/>
      <c r="JDQ92" s="294"/>
      <c r="JDW92" s="292"/>
      <c r="JDX92" s="293"/>
      <c r="JDY92" s="294"/>
      <c r="JEE92" s="292"/>
      <c r="JEF92" s="293"/>
      <c r="JEG92" s="294"/>
      <c r="JEM92" s="292"/>
      <c r="JEN92" s="293"/>
      <c r="JEO92" s="294"/>
      <c r="JEU92" s="292"/>
      <c r="JEV92" s="293"/>
      <c r="JEW92" s="294"/>
      <c r="JFC92" s="292"/>
      <c r="JFD92" s="293"/>
      <c r="JFE92" s="294"/>
      <c r="JFK92" s="292"/>
      <c r="JFL92" s="293"/>
      <c r="JFM92" s="294"/>
      <c r="JFS92" s="292"/>
      <c r="JFT92" s="293"/>
      <c r="JFU92" s="294"/>
      <c r="JGA92" s="292"/>
      <c r="JGB92" s="293"/>
      <c r="JGC92" s="294"/>
      <c r="JGI92" s="292"/>
      <c r="JGJ92" s="293"/>
      <c r="JGK92" s="294"/>
      <c r="JGQ92" s="292"/>
      <c r="JGR92" s="293"/>
      <c r="JGS92" s="294"/>
      <c r="JGY92" s="292"/>
      <c r="JGZ92" s="293"/>
      <c r="JHA92" s="294"/>
      <c r="JHG92" s="292"/>
      <c r="JHH92" s="293"/>
      <c r="JHI92" s="294"/>
      <c r="JHO92" s="292"/>
      <c r="JHP92" s="293"/>
      <c r="JHQ92" s="294"/>
      <c r="JHW92" s="292"/>
      <c r="JHX92" s="293"/>
      <c r="JHY92" s="294"/>
      <c r="JIE92" s="292"/>
      <c r="JIF92" s="293"/>
      <c r="JIG92" s="294"/>
      <c r="JIM92" s="292"/>
      <c r="JIN92" s="293"/>
      <c r="JIO92" s="294"/>
      <c r="JIU92" s="292"/>
      <c r="JIV92" s="293"/>
      <c r="JIW92" s="294"/>
      <c r="JJC92" s="292"/>
      <c r="JJD92" s="293"/>
      <c r="JJE92" s="294"/>
      <c r="JJK92" s="292"/>
      <c r="JJL92" s="293"/>
      <c r="JJM92" s="294"/>
      <c r="JJS92" s="292"/>
      <c r="JJT92" s="293"/>
      <c r="JJU92" s="294"/>
      <c r="JKA92" s="292"/>
      <c r="JKB92" s="293"/>
      <c r="JKC92" s="294"/>
      <c r="JKI92" s="292"/>
      <c r="JKJ92" s="293"/>
      <c r="JKK92" s="294"/>
      <c r="JKQ92" s="292"/>
      <c r="JKR92" s="293"/>
      <c r="JKS92" s="294"/>
      <c r="JKY92" s="292"/>
      <c r="JKZ92" s="293"/>
      <c r="JLA92" s="294"/>
      <c r="JLG92" s="292"/>
      <c r="JLH92" s="293"/>
      <c r="JLI92" s="294"/>
      <c r="JLO92" s="292"/>
      <c r="JLP92" s="293"/>
      <c r="JLQ92" s="294"/>
      <c r="JLW92" s="292"/>
      <c r="JLX92" s="293"/>
      <c r="JLY92" s="294"/>
      <c r="JME92" s="292"/>
      <c r="JMF92" s="293"/>
      <c r="JMG92" s="294"/>
      <c r="JMM92" s="292"/>
      <c r="JMN92" s="293"/>
      <c r="JMO92" s="294"/>
      <c r="JMU92" s="292"/>
      <c r="JMV92" s="293"/>
      <c r="JMW92" s="294"/>
      <c r="JNC92" s="292"/>
      <c r="JND92" s="293"/>
      <c r="JNE92" s="294"/>
      <c r="JNK92" s="292"/>
      <c r="JNL92" s="293"/>
      <c r="JNM92" s="294"/>
      <c r="JNS92" s="292"/>
      <c r="JNT92" s="293"/>
      <c r="JNU92" s="294"/>
      <c r="JOA92" s="292"/>
      <c r="JOB92" s="293"/>
      <c r="JOC92" s="294"/>
      <c r="JOI92" s="292"/>
      <c r="JOJ92" s="293"/>
      <c r="JOK92" s="294"/>
      <c r="JOQ92" s="292"/>
      <c r="JOR92" s="293"/>
      <c r="JOS92" s="294"/>
      <c r="JOY92" s="292"/>
      <c r="JOZ92" s="293"/>
      <c r="JPA92" s="294"/>
      <c r="JPG92" s="292"/>
      <c r="JPH92" s="293"/>
      <c r="JPI92" s="294"/>
      <c r="JPO92" s="292"/>
      <c r="JPP92" s="293"/>
      <c r="JPQ92" s="294"/>
      <c r="JPW92" s="292"/>
      <c r="JPX92" s="293"/>
      <c r="JPY92" s="294"/>
      <c r="JQE92" s="292"/>
      <c r="JQF92" s="293"/>
      <c r="JQG92" s="294"/>
      <c r="JQM92" s="292"/>
      <c r="JQN92" s="293"/>
      <c r="JQO92" s="294"/>
      <c r="JQU92" s="292"/>
      <c r="JQV92" s="293"/>
      <c r="JQW92" s="294"/>
      <c r="JRC92" s="292"/>
      <c r="JRD92" s="293"/>
      <c r="JRE92" s="294"/>
      <c r="JRK92" s="292"/>
      <c r="JRL92" s="293"/>
      <c r="JRM92" s="294"/>
      <c r="JRS92" s="292"/>
      <c r="JRT92" s="293"/>
      <c r="JRU92" s="294"/>
      <c r="JSA92" s="292"/>
      <c r="JSB92" s="293"/>
      <c r="JSC92" s="294"/>
      <c r="JSI92" s="292"/>
      <c r="JSJ92" s="293"/>
      <c r="JSK92" s="294"/>
      <c r="JSQ92" s="292"/>
      <c r="JSR92" s="293"/>
      <c r="JSS92" s="294"/>
      <c r="JSY92" s="292"/>
      <c r="JSZ92" s="293"/>
      <c r="JTA92" s="294"/>
      <c r="JTG92" s="292"/>
      <c r="JTH92" s="293"/>
      <c r="JTI92" s="294"/>
      <c r="JTO92" s="292"/>
      <c r="JTP92" s="293"/>
      <c r="JTQ92" s="294"/>
      <c r="JTW92" s="292"/>
      <c r="JTX92" s="293"/>
      <c r="JTY92" s="294"/>
      <c r="JUE92" s="292"/>
      <c r="JUF92" s="293"/>
      <c r="JUG92" s="294"/>
      <c r="JUM92" s="292"/>
      <c r="JUN92" s="293"/>
      <c r="JUO92" s="294"/>
      <c r="JUU92" s="292"/>
      <c r="JUV92" s="293"/>
      <c r="JUW92" s="294"/>
      <c r="JVC92" s="292"/>
      <c r="JVD92" s="293"/>
      <c r="JVE92" s="294"/>
      <c r="JVK92" s="292"/>
      <c r="JVL92" s="293"/>
      <c r="JVM92" s="294"/>
      <c r="JVS92" s="292"/>
      <c r="JVT92" s="293"/>
      <c r="JVU92" s="294"/>
      <c r="JWA92" s="292"/>
      <c r="JWB92" s="293"/>
      <c r="JWC92" s="294"/>
      <c r="JWI92" s="292"/>
      <c r="JWJ92" s="293"/>
      <c r="JWK92" s="294"/>
      <c r="JWQ92" s="292"/>
      <c r="JWR92" s="293"/>
      <c r="JWS92" s="294"/>
      <c r="JWY92" s="292"/>
      <c r="JWZ92" s="293"/>
      <c r="JXA92" s="294"/>
      <c r="JXG92" s="292"/>
      <c r="JXH92" s="293"/>
      <c r="JXI92" s="294"/>
      <c r="JXO92" s="292"/>
      <c r="JXP92" s="293"/>
      <c r="JXQ92" s="294"/>
      <c r="JXW92" s="292"/>
      <c r="JXX92" s="293"/>
      <c r="JXY92" s="294"/>
      <c r="JYE92" s="292"/>
      <c r="JYF92" s="293"/>
      <c r="JYG92" s="294"/>
      <c r="JYM92" s="292"/>
      <c r="JYN92" s="293"/>
      <c r="JYO92" s="294"/>
      <c r="JYU92" s="292"/>
      <c r="JYV92" s="293"/>
      <c r="JYW92" s="294"/>
      <c r="JZC92" s="292"/>
      <c r="JZD92" s="293"/>
      <c r="JZE92" s="294"/>
      <c r="JZK92" s="292"/>
      <c r="JZL92" s="293"/>
      <c r="JZM92" s="294"/>
      <c r="JZS92" s="292"/>
      <c r="JZT92" s="293"/>
      <c r="JZU92" s="294"/>
      <c r="KAA92" s="292"/>
      <c r="KAB92" s="293"/>
      <c r="KAC92" s="294"/>
      <c r="KAI92" s="292"/>
      <c r="KAJ92" s="293"/>
      <c r="KAK92" s="294"/>
      <c r="KAQ92" s="292"/>
      <c r="KAR92" s="293"/>
      <c r="KAS92" s="294"/>
      <c r="KAY92" s="292"/>
      <c r="KAZ92" s="293"/>
      <c r="KBA92" s="294"/>
      <c r="KBG92" s="292"/>
      <c r="KBH92" s="293"/>
      <c r="KBI92" s="294"/>
      <c r="KBO92" s="292"/>
      <c r="KBP92" s="293"/>
      <c r="KBQ92" s="294"/>
      <c r="KBW92" s="292"/>
      <c r="KBX92" s="293"/>
      <c r="KBY92" s="294"/>
      <c r="KCE92" s="292"/>
      <c r="KCF92" s="293"/>
      <c r="KCG92" s="294"/>
      <c r="KCM92" s="292"/>
      <c r="KCN92" s="293"/>
      <c r="KCO92" s="294"/>
      <c r="KCU92" s="292"/>
      <c r="KCV92" s="293"/>
      <c r="KCW92" s="294"/>
      <c r="KDC92" s="292"/>
      <c r="KDD92" s="293"/>
      <c r="KDE92" s="294"/>
      <c r="KDK92" s="292"/>
      <c r="KDL92" s="293"/>
      <c r="KDM92" s="294"/>
      <c r="KDS92" s="292"/>
      <c r="KDT92" s="293"/>
      <c r="KDU92" s="294"/>
      <c r="KEA92" s="292"/>
      <c r="KEB92" s="293"/>
      <c r="KEC92" s="294"/>
      <c r="KEI92" s="292"/>
      <c r="KEJ92" s="293"/>
      <c r="KEK92" s="294"/>
      <c r="KEQ92" s="292"/>
      <c r="KER92" s="293"/>
      <c r="KES92" s="294"/>
      <c r="KEY92" s="292"/>
      <c r="KEZ92" s="293"/>
      <c r="KFA92" s="294"/>
      <c r="KFG92" s="292"/>
      <c r="KFH92" s="293"/>
      <c r="KFI92" s="294"/>
      <c r="KFO92" s="292"/>
      <c r="KFP92" s="293"/>
      <c r="KFQ92" s="294"/>
      <c r="KFW92" s="292"/>
      <c r="KFX92" s="293"/>
      <c r="KFY92" s="294"/>
      <c r="KGE92" s="292"/>
      <c r="KGF92" s="293"/>
      <c r="KGG92" s="294"/>
      <c r="KGM92" s="292"/>
      <c r="KGN92" s="293"/>
      <c r="KGO92" s="294"/>
      <c r="KGU92" s="292"/>
      <c r="KGV92" s="293"/>
      <c r="KGW92" s="294"/>
      <c r="KHC92" s="292"/>
      <c r="KHD92" s="293"/>
      <c r="KHE92" s="294"/>
      <c r="KHK92" s="292"/>
      <c r="KHL92" s="293"/>
      <c r="KHM92" s="294"/>
      <c r="KHS92" s="292"/>
      <c r="KHT92" s="293"/>
      <c r="KHU92" s="294"/>
      <c r="KIA92" s="292"/>
      <c r="KIB92" s="293"/>
      <c r="KIC92" s="294"/>
      <c r="KII92" s="292"/>
      <c r="KIJ92" s="293"/>
      <c r="KIK92" s="294"/>
      <c r="KIQ92" s="292"/>
      <c r="KIR92" s="293"/>
      <c r="KIS92" s="294"/>
      <c r="KIY92" s="292"/>
      <c r="KIZ92" s="293"/>
      <c r="KJA92" s="294"/>
      <c r="KJG92" s="292"/>
      <c r="KJH92" s="293"/>
      <c r="KJI92" s="294"/>
      <c r="KJO92" s="292"/>
      <c r="KJP92" s="293"/>
      <c r="KJQ92" s="294"/>
      <c r="KJW92" s="292"/>
      <c r="KJX92" s="293"/>
      <c r="KJY92" s="294"/>
      <c r="KKE92" s="292"/>
      <c r="KKF92" s="293"/>
      <c r="KKG92" s="294"/>
      <c r="KKM92" s="292"/>
      <c r="KKN92" s="293"/>
      <c r="KKO92" s="294"/>
      <c r="KKU92" s="292"/>
      <c r="KKV92" s="293"/>
      <c r="KKW92" s="294"/>
      <c r="KLC92" s="292"/>
      <c r="KLD92" s="293"/>
      <c r="KLE92" s="294"/>
      <c r="KLK92" s="292"/>
      <c r="KLL92" s="293"/>
      <c r="KLM92" s="294"/>
      <c r="KLS92" s="292"/>
      <c r="KLT92" s="293"/>
      <c r="KLU92" s="294"/>
      <c r="KMA92" s="292"/>
      <c r="KMB92" s="293"/>
      <c r="KMC92" s="294"/>
      <c r="KMI92" s="292"/>
      <c r="KMJ92" s="293"/>
      <c r="KMK92" s="294"/>
      <c r="KMQ92" s="292"/>
      <c r="KMR92" s="293"/>
      <c r="KMS92" s="294"/>
      <c r="KMY92" s="292"/>
      <c r="KMZ92" s="293"/>
      <c r="KNA92" s="294"/>
      <c r="KNG92" s="292"/>
      <c r="KNH92" s="293"/>
      <c r="KNI92" s="294"/>
      <c r="KNO92" s="292"/>
      <c r="KNP92" s="293"/>
      <c r="KNQ92" s="294"/>
      <c r="KNW92" s="292"/>
      <c r="KNX92" s="293"/>
      <c r="KNY92" s="294"/>
      <c r="KOE92" s="292"/>
      <c r="KOF92" s="293"/>
      <c r="KOG92" s="294"/>
      <c r="KOM92" s="292"/>
      <c r="KON92" s="293"/>
      <c r="KOO92" s="294"/>
      <c r="KOU92" s="292"/>
      <c r="KOV92" s="293"/>
      <c r="KOW92" s="294"/>
      <c r="KPC92" s="292"/>
      <c r="KPD92" s="293"/>
      <c r="KPE92" s="294"/>
      <c r="KPK92" s="292"/>
      <c r="KPL92" s="293"/>
      <c r="KPM92" s="294"/>
      <c r="KPS92" s="292"/>
      <c r="KPT92" s="293"/>
      <c r="KPU92" s="294"/>
      <c r="KQA92" s="292"/>
      <c r="KQB92" s="293"/>
      <c r="KQC92" s="294"/>
      <c r="KQI92" s="292"/>
      <c r="KQJ92" s="293"/>
      <c r="KQK92" s="294"/>
      <c r="KQQ92" s="292"/>
      <c r="KQR92" s="293"/>
      <c r="KQS92" s="294"/>
      <c r="KQY92" s="292"/>
      <c r="KQZ92" s="293"/>
      <c r="KRA92" s="294"/>
      <c r="KRG92" s="292"/>
      <c r="KRH92" s="293"/>
      <c r="KRI92" s="294"/>
      <c r="KRO92" s="292"/>
      <c r="KRP92" s="293"/>
      <c r="KRQ92" s="294"/>
      <c r="KRW92" s="292"/>
      <c r="KRX92" s="293"/>
      <c r="KRY92" s="294"/>
      <c r="KSE92" s="292"/>
      <c r="KSF92" s="293"/>
      <c r="KSG92" s="294"/>
      <c r="KSM92" s="292"/>
      <c r="KSN92" s="293"/>
      <c r="KSO92" s="294"/>
      <c r="KSU92" s="292"/>
      <c r="KSV92" s="293"/>
      <c r="KSW92" s="294"/>
      <c r="KTC92" s="292"/>
      <c r="KTD92" s="293"/>
      <c r="KTE92" s="294"/>
      <c r="KTK92" s="292"/>
      <c r="KTL92" s="293"/>
      <c r="KTM92" s="294"/>
      <c r="KTS92" s="292"/>
      <c r="KTT92" s="293"/>
      <c r="KTU92" s="294"/>
      <c r="KUA92" s="292"/>
      <c r="KUB92" s="293"/>
      <c r="KUC92" s="294"/>
      <c r="KUI92" s="292"/>
      <c r="KUJ92" s="293"/>
      <c r="KUK92" s="294"/>
      <c r="KUQ92" s="292"/>
      <c r="KUR92" s="293"/>
      <c r="KUS92" s="294"/>
      <c r="KUY92" s="292"/>
      <c r="KUZ92" s="293"/>
      <c r="KVA92" s="294"/>
      <c r="KVG92" s="292"/>
      <c r="KVH92" s="293"/>
      <c r="KVI92" s="294"/>
      <c r="KVO92" s="292"/>
      <c r="KVP92" s="293"/>
      <c r="KVQ92" s="294"/>
      <c r="KVW92" s="292"/>
      <c r="KVX92" s="293"/>
      <c r="KVY92" s="294"/>
      <c r="KWE92" s="292"/>
      <c r="KWF92" s="293"/>
      <c r="KWG92" s="294"/>
      <c r="KWM92" s="292"/>
      <c r="KWN92" s="293"/>
      <c r="KWO92" s="294"/>
      <c r="KWU92" s="292"/>
      <c r="KWV92" s="293"/>
      <c r="KWW92" s="294"/>
      <c r="KXC92" s="292"/>
      <c r="KXD92" s="293"/>
      <c r="KXE92" s="294"/>
      <c r="KXK92" s="292"/>
      <c r="KXL92" s="293"/>
      <c r="KXM92" s="294"/>
      <c r="KXS92" s="292"/>
      <c r="KXT92" s="293"/>
      <c r="KXU92" s="294"/>
      <c r="KYA92" s="292"/>
      <c r="KYB92" s="293"/>
      <c r="KYC92" s="294"/>
      <c r="KYI92" s="292"/>
      <c r="KYJ92" s="293"/>
      <c r="KYK92" s="294"/>
      <c r="KYQ92" s="292"/>
      <c r="KYR92" s="293"/>
      <c r="KYS92" s="294"/>
      <c r="KYY92" s="292"/>
      <c r="KYZ92" s="293"/>
      <c r="KZA92" s="294"/>
      <c r="KZG92" s="292"/>
      <c r="KZH92" s="293"/>
      <c r="KZI92" s="294"/>
      <c r="KZO92" s="292"/>
      <c r="KZP92" s="293"/>
      <c r="KZQ92" s="294"/>
      <c r="KZW92" s="292"/>
      <c r="KZX92" s="293"/>
      <c r="KZY92" s="294"/>
      <c r="LAE92" s="292"/>
      <c r="LAF92" s="293"/>
      <c r="LAG92" s="294"/>
      <c r="LAM92" s="292"/>
      <c r="LAN92" s="293"/>
      <c r="LAO92" s="294"/>
      <c r="LAU92" s="292"/>
      <c r="LAV92" s="293"/>
      <c r="LAW92" s="294"/>
      <c r="LBC92" s="292"/>
      <c r="LBD92" s="293"/>
      <c r="LBE92" s="294"/>
      <c r="LBK92" s="292"/>
      <c r="LBL92" s="293"/>
      <c r="LBM92" s="294"/>
      <c r="LBS92" s="292"/>
      <c r="LBT92" s="293"/>
      <c r="LBU92" s="294"/>
      <c r="LCA92" s="292"/>
      <c r="LCB92" s="293"/>
      <c r="LCC92" s="294"/>
      <c r="LCI92" s="292"/>
      <c r="LCJ92" s="293"/>
      <c r="LCK92" s="294"/>
      <c r="LCQ92" s="292"/>
      <c r="LCR92" s="293"/>
      <c r="LCS92" s="294"/>
      <c r="LCY92" s="292"/>
      <c r="LCZ92" s="293"/>
      <c r="LDA92" s="294"/>
      <c r="LDG92" s="292"/>
      <c r="LDH92" s="293"/>
      <c r="LDI92" s="294"/>
      <c r="LDO92" s="292"/>
      <c r="LDP92" s="293"/>
      <c r="LDQ92" s="294"/>
      <c r="LDW92" s="292"/>
      <c r="LDX92" s="293"/>
      <c r="LDY92" s="294"/>
      <c r="LEE92" s="292"/>
      <c r="LEF92" s="293"/>
      <c r="LEG92" s="294"/>
      <c r="LEM92" s="292"/>
      <c r="LEN92" s="293"/>
      <c r="LEO92" s="294"/>
      <c r="LEU92" s="292"/>
      <c r="LEV92" s="293"/>
      <c r="LEW92" s="294"/>
      <c r="LFC92" s="292"/>
      <c r="LFD92" s="293"/>
      <c r="LFE92" s="294"/>
      <c r="LFK92" s="292"/>
      <c r="LFL92" s="293"/>
      <c r="LFM92" s="294"/>
      <c r="LFS92" s="292"/>
      <c r="LFT92" s="293"/>
      <c r="LFU92" s="294"/>
      <c r="LGA92" s="292"/>
      <c r="LGB92" s="293"/>
      <c r="LGC92" s="294"/>
      <c r="LGI92" s="292"/>
      <c r="LGJ92" s="293"/>
      <c r="LGK92" s="294"/>
      <c r="LGQ92" s="292"/>
      <c r="LGR92" s="293"/>
      <c r="LGS92" s="294"/>
      <c r="LGY92" s="292"/>
      <c r="LGZ92" s="293"/>
      <c r="LHA92" s="294"/>
      <c r="LHG92" s="292"/>
      <c r="LHH92" s="293"/>
      <c r="LHI92" s="294"/>
      <c r="LHO92" s="292"/>
      <c r="LHP92" s="293"/>
      <c r="LHQ92" s="294"/>
      <c r="LHW92" s="292"/>
      <c r="LHX92" s="293"/>
      <c r="LHY92" s="294"/>
      <c r="LIE92" s="292"/>
      <c r="LIF92" s="293"/>
      <c r="LIG92" s="294"/>
      <c r="LIM92" s="292"/>
      <c r="LIN92" s="293"/>
      <c r="LIO92" s="294"/>
      <c r="LIU92" s="292"/>
      <c r="LIV92" s="293"/>
      <c r="LIW92" s="294"/>
      <c r="LJC92" s="292"/>
      <c r="LJD92" s="293"/>
      <c r="LJE92" s="294"/>
      <c r="LJK92" s="292"/>
      <c r="LJL92" s="293"/>
      <c r="LJM92" s="294"/>
      <c r="LJS92" s="292"/>
      <c r="LJT92" s="293"/>
      <c r="LJU92" s="294"/>
      <c r="LKA92" s="292"/>
      <c r="LKB92" s="293"/>
      <c r="LKC92" s="294"/>
      <c r="LKI92" s="292"/>
      <c r="LKJ92" s="293"/>
      <c r="LKK92" s="294"/>
      <c r="LKQ92" s="292"/>
      <c r="LKR92" s="293"/>
      <c r="LKS92" s="294"/>
      <c r="LKY92" s="292"/>
      <c r="LKZ92" s="293"/>
      <c r="LLA92" s="294"/>
      <c r="LLG92" s="292"/>
      <c r="LLH92" s="293"/>
      <c r="LLI92" s="294"/>
      <c r="LLO92" s="292"/>
      <c r="LLP92" s="293"/>
      <c r="LLQ92" s="294"/>
      <c r="LLW92" s="292"/>
      <c r="LLX92" s="293"/>
      <c r="LLY92" s="294"/>
      <c r="LME92" s="292"/>
      <c r="LMF92" s="293"/>
      <c r="LMG92" s="294"/>
      <c r="LMM92" s="292"/>
      <c r="LMN92" s="293"/>
      <c r="LMO92" s="294"/>
      <c r="LMU92" s="292"/>
      <c r="LMV92" s="293"/>
      <c r="LMW92" s="294"/>
      <c r="LNC92" s="292"/>
      <c r="LND92" s="293"/>
      <c r="LNE92" s="294"/>
      <c r="LNK92" s="292"/>
      <c r="LNL92" s="293"/>
      <c r="LNM92" s="294"/>
      <c r="LNS92" s="292"/>
      <c r="LNT92" s="293"/>
      <c r="LNU92" s="294"/>
      <c r="LOA92" s="292"/>
      <c r="LOB92" s="293"/>
      <c r="LOC92" s="294"/>
      <c r="LOI92" s="292"/>
      <c r="LOJ92" s="293"/>
      <c r="LOK92" s="294"/>
      <c r="LOQ92" s="292"/>
      <c r="LOR92" s="293"/>
      <c r="LOS92" s="294"/>
      <c r="LOY92" s="292"/>
      <c r="LOZ92" s="293"/>
      <c r="LPA92" s="294"/>
      <c r="LPG92" s="292"/>
      <c r="LPH92" s="293"/>
      <c r="LPI92" s="294"/>
      <c r="LPO92" s="292"/>
      <c r="LPP92" s="293"/>
      <c r="LPQ92" s="294"/>
      <c r="LPW92" s="292"/>
      <c r="LPX92" s="293"/>
      <c r="LPY92" s="294"/>
      <c r="LQE92" s="292"/>
      <c r="LQF92" s="293"/>
      <c r="LQG92" s="294"/>
      <c r="LQM92" s="292"/>
      <c r="LQN92" s="293"/>
      <c r="LQO92" s="294"/>
      <c r="LQU92" s="292"/>
      <c r="LQV92" s="293"/>
      <c r="LQW92" s="294"/>
      <c r="LRC92" s="292"/>
      <c r="LRD92" s="293"/>
      <c r="LRE92" s="294"/>
      <c r="LRK92" s="292"/>
      <c r="LRL92" s="293"/>
      <c r="LRM92" s="294"/>
      <c r="LRS92" s="292"/>
      <c r="LRT92" s="293"/>
      <c r="LRU92" s="294"/>
      <c r="LSA92" s="292"/>
      <c r="LSB92" s="293"/>
      <c r="LSC92" s="294"/>
      <c r="LSI92" s="292"/>
      <c r="LSJ92" s="293"/>
      <c r="LSK92" s="294"/>
      <c r="LSQ92" s="292"/>
      <c r="LSR92" s="293"/>
      <c r="LSS92" s="294"/>
      <c r="LSY92" s="292"/>
      <c r="LSZ92" s="293"/>
      <c r="LTA92" s="294"/>
      <c r="LTG92" s="292"/>
      <c r="LTH92" s="293"/>
      <c r="LTI92" s="294"/>
      <c r="LTO92" s="292"/>
      <c r="LTP92" s="293"/>
      <c r="LTQ92" s="294"/>
      <c r="LTW92" s="292"/>
      <c r="LTX92" s="293"/>
      <c r="LTY92" s="294"/>
      <c r="LUE92" s="292"/>
      <c r="LUF92" s="293"/>
      <c r="LUG92" s="294"/>
      <c r="LUM92" s="292"/>
      <c r="LUN92" s="293"/>
      <c r="LUO92" s="294"/>
      <c r="LUU92" s="292"/>
      <c r="LUV92" s="293"/>
      <c r="LUW92" s="294"/>
      <c r="LVC92" s="292"/>
      <c r="LVD92" s="293"/>
      <c r="LVE92" s="294"/>
      <c r="LVK92" s="292"/>
      <c r="LVL92" s="293"/>
      <c r="LVM92" s="294"/>
      <c r="LVS92" s="292"/>
      <c r="LVT92" s="293"/>
      <c r="LVU92" s="294"/>
      <c r="LWA92" s="292"/>
      <c r="LWB92" s="293"/>
      <c r="LWC92" s="294"/>
      <c r="LWI92" s="292"/>
      <c r="LWJ92" s="293"/>
      <c r="LWK92" s="294"/>
      <c r="LWQ92" s="292"/>
      <c r="LWR92" s="293"/>
      <c r="LWS92" s="294"/>
      <c r="LWY92" s="292"/>
      <c r="LWZ92" s="293"/>
      <c r="LXA92" s="294"/>
      <c r="LXG92" s="292"/>
      <c r="LXH92" s="293"/>
      <c r="LXI92" s="294"/>
      <c r="LXO92" s="292"/>
      <c r="LXP92" s="293"/>
      <c r="LXQ92" s="294"/>
      <c r="LXW92" s="292"/>
      <c r="LXX92" s="293"/>
      <c r="LXY92" s="294"/>
      <c r="LYE92" s="292"/>
      <c r="LYF92" s="293"/>
      <c r="LYG92" s="294"/>
      <c r="LYM92" s="292"/>
      <c r="LYN92" s="293"/>
      <c r="LYO92" s="294"/>
      <c r="LYU92" s="292"/>
      <c r="LYV92" s="293"/>
      <c r="LYW92" s="294"/>
      <c r="LZC92" s="292"/>
      <c r="LZD92" s="293"/>
      <c r="LZE92" s="294"/>
      <c r="LZK92" s="292"/>
      <c r="LZL92" s="293"/>
      <c r="LZM92" s="294"/>
      <c r="LZS92" s="292"/>
      <c r="LZT92" s="293"/>
      <c r="LZU92" s="294"/>
      <c r="MAA92" s="292"/>
      <c r="MAB92" s="293"/>
      <c r="MAC92" s="294"/>
      <c r="MAI92" s="292"/>
      <c r="MAJ92" s="293"/>
      <c r="MAK92" s="294"/>
      <c r="MAQ92" s="292"/>
      <c r="MAR92" s="293"/>
      <c r="MAS92" s="294"/>
      <c r="MAY92" s="292"/>
      <c r="MAZ92" s="293"/>
      <c r="MBA92" s="294"/>
      <c r="MBG92" s="292"/>
      <c r="MBH92" s="293"/>
      <c r="MBI92" s="294"/>
      <c r="MBO92" s="292"/>
      <c r="MBP92" s="293"/>
      <c r="MBQ92" s="294"/>
      <c r="MBW92" s="292"/>
      <c r="MBX92" s="293"/>
      <c r="MBY92" s="294"/>
      <c r="MCE92" s="292"/>
      <c r="MCF92" s="293"/>
      <c r="MCG92" s="294"/>
      <c r="MCM92" s="292"/>
      <c r="MCN92" s="293"/>
      <c r="MCO92" s="294"/>
      <c r="MCU92" s="292"/>
      <c r="MCV92" s="293"/>
      <c r="MCW92" s="294"/>
      <c r="MDC92" s="292"/>
      <c r="MDD92" s="293"/>
      <c r="MDE92" s="294"/>
      <c r="MDK92" s="292"/>
      <c r="MDL92" s="293"/>
      <c r="MDM92" s="294"/>
      <c r="MDS92" s="292"/>
      <c r="MDT92" s="293"/>
      <c r="MDU92" s="294"/>
      <c r="MEA92" s="292"/>
      <c r="MEB92" s="293"/>
      <c r="MEC92" s="294"/>
      <c r="MEI92" s="292"/>
      <c r="MEJ92" s="293"/>
      <c r="MEK92" s="294"/>
      <c r="MEQ92" s="292"/>
      <c r="MER92" s="293"/>
      <c r="MES92" s="294"/>
      <c r="MEY92" s="292"/>
      <c r="MEZ92" s="293"/>
      <c r="MFA92" s="294"/>
      <c r="MFG92" s="292"/>
      <c r="MFH92" s="293"/>
      <c r="MFI92" s="294"/>
      <c r="MFO92" s="292"/>
      <c r="MFP92" s="293"/>
      <c r="MFQ92" s="294"/>
      <c r="MFW92" s="292"/>
      <c r="MFX92" s="293"/>
      <c r="MFY92" s="294"/>
      <c r="MGE92" s="292"/>
      <c r="MGF92" s="293"/>
      <c r="MGG92" s="294"/>
      <c r="MGM92" s="292"/>
      <c r="MGN92" s="293"/>
      <c r="MGO92" s="294"/>
      <c r="MGU92" s="292"/>
      <c r="MGV92" s="293"/>
      <c r="MGW92" s="294"/>
      <c r="MHC92" s="292"/>
      <c r="MHD92" s="293"/>
      <c r="MHE92" s="294"/>
      <c r="MHK92" s="292"/>
      <c r="MHL92" s="293"/>
      <c r="MHM92" s="294"/>
      <c r="MHS92" s="292"/>
      <c r="MHT92" s="293"/>
      <c r="MHU92" s="294"/>
      <c r="MIA92" s="292"/>
      <c r="MIB92" s="293"/>
      <c r="MIC92" s="294"/>
      <c r="MII92" s="292"/>
      <c r="MIJ92" s="293"/>
      <c r="MIK92" s="294"/>
      <c r="MIQ92" s="292"/>
      <c r="MIR92" s="293"/>
      <c r="MIS92" s="294"/>
      <c r="MIY92" s="292"/>
      <c r="MIZ92" s="293"/>
      <c r="MJA92" s="294"/>
      <c r="MJG92" s="292"/>
      <c r="MJH92" s="293"/>
      <c r="MJI92" s="294"/>
      <c r="MJO92" s="292"/>
      <c r="MJP92" s="293"/>
      <c r="MJQ92" s="294"/>
      <c r="MJW92" s="292"/>
      <c r="MJX92" s="293"/>
      <c r="MJY92" s="294"/>
      <c r="MKE92" s="292"/>
      <c r="MKF92" s="293"/>
      <c r="MKG92" s="294"/>
      <c r="MKM92" s="292"/>
      <c r="MKN92" s="293"/>
      <c r="MKO92" s="294"/>
      <c r="MKU92" s="292"/>
      <c r="MKV92" s="293"/>
      <c r="MKW92" s="294"/>
      <c r="MLC92" s="292"/>
      <c r="MLD92" s="293"/>
      <c r="MLE92" s="294"/>
      <c r="MLK92" s="292"/>
      <c r="MLL92" s="293"/>
      <c r="MLM92" s="294"/>
      <c r="MLS92" s="292"/>
      <c r="MLT92" s="293"/>
      <c r="MLU92" s="294"/>
      <c r="MMA92" s="292"/>
      <c r="MMB92" s="293"/>
      <c r="MMC92" s="294"/>
      <c r="MMI92" s="292"/>
      <c r="MMJ92" s="293"/>
      <c r="MMK92" s="294"/>
      <c r="MMQ92" s="292"/>
      <c r="MMR92" s="293"/>
      <c r="MMS92" s="294"/>
      <c r="MMY92" s="292"/>
      <c r="MMZ92" s="293"/>
      <c r="MNA92" s="294"/>
      <c r="MNG92" s="292"/>
      <c r="MNH92" s="293"/>
      <c r="MNI92" s="294"/>
      <c r="MNO92" s="292"/>
      <c r="MNP92" s="293"/>
      <c r="MNQ92" s="294"/>
      <c r="MNW92" s="292"/>
      <c r="MNX92" s="293"/>
      <c r="MNY92" s="294"/>
      <c r="MOE92" s="292"/>
      <c r="MOF92" s="293"/>
      <c r="MOG92" s="294"/>
      <c r="MOM92" s="292"/>
      <c r="MON92" s="293"/>
      <c r="MOO92" s="294"/>
      <c r="MOU92" s="292"/>
      <c r="MOV92" s="293"/>
      <c r="MOW92" s="294"/>
      <c r="MPC92" s="292"/>
      <c r="MPD92" s="293"/>
      <c r="MPE92" s="294"/>
      <c r="MPK92" s="292"/>
      <c r="MPL92" s="293"/>
      <c r="MPM92" s="294"/>
      <c r="MPS92" s="292"/>
      <c r="MPT92" s="293"/>
      <c r="MPU92" s="294"/>
      <c r="MQA92" s="292"/>
      <c r="MQB92" s="293"/>
      <c r="MQC92" s="294"/>
      <c r="MQI92" s="292"/>
      <c r="MQJ92" s="293"/>
      <c r="MQK92" s="294"/>
      <c r="MQQ92" s="292"/>
      <c r="MQR92" s="293"/>
      <c r="MQS92" s="294"/>
      <c r="MQY92" s="292"/>
      <c r="MQZ92" s="293"/>
      <c r="MRA92" s="294"/>
      <c r="MRG92" s="292"/>
      <c r="MRH92" s="293"/>
      <c r="MRI92" s="294"/>
      <c r="MRO92" s="292"/>
      <c r="MRP92" s="293"/>
      <c r="MRQ92" s="294"/>
      <c r="MRW92" s="292"/>
      <c r="MRX92" s="293"/>
      <c r="MRY92" s="294"/>
      <c r="MSE92" s="292"/>
      <c r="MSF92" s="293"/>
      <c r="MSG92" s="294"/>
      <c r="MSM92" s="292"/>
      <c r="MSN92" s="293"/>
      <c r="MSO92" s="294"/>
      <c r="MSU92" s="292"/>
      <c r="MSV92" s="293"/>
      <c r="MSW92" s="294"/>
      <c r="MTC92" s="292"/>
      <c r="MTD92" s="293"/>
      <c r="MTE92" s="294"/>
      <c r="MTK92" s="292"/>
      <c r="MTL92" s="293"/>
      <c r="MTM92" s="294"/>
      <c r="MTS92" s="292"/>
      <c r="MTT92" s="293"/>
      <c r="MTU92" s="294"/>
      <c r="MUA92" s="292"/>
      <c r="MUB92" s="293"/>
      <c r="MUC92" s="294"/>
      <c r="MUI92" s="292"/>
      <c r="MUJ92" s="293"/>
      <c r="MUK92" s="294"/>
      <c r="MUQ92" s="292"/>
      <c r="MUR92" s="293"/>
      <c r="MUS92" s="294"/>
      <c r="MUY92" s="292"/>
      <c r="MUZ92" s="293"/>
      <c r="MVA92" s="294"/>
      <c r="MVG92" s="292"/>
      <c r="MVH92" s="293"/>
      <c r="MVI92" s="294"/>
      <c r="MVO92" s="292"/>
      <c r="MVP92" s="293"/>
      <c r="MVQ92" s="294"/>
      <c r="MVW92" s="292"/>
      <c r="MVX92" s="293"/>
      <c r="MVY92" s="294"/>
      <c r="MWE92" s="292"/>
      <c r="MWF92" s="293"/>
      <c r="MWG92" s="294"/>
      <c r="MWM92" s="292"/>
      <c r="MWN92" s="293"/>
      <c r="MWO92" s="294"/>
      <c r="MWU92" s="292"/>
      <c r="MWV92" s="293"/>
      <c r="MWW92" s="294"/>
      <c r="MXC92" s="292"/>
      <c r="MXD92" s="293"/>
      <c r="MXE92" s="294"/>
      <c r="MXK92" s="292"/>
      <c r="MXL92" s="293"/>
      <c r="MXM92" s="294"/>
      <c r="MXS92" s="292"/>
      <c r="MXT92" s="293"/>
      <c r="MXU92" s="294"/>
      <c r="MYA92" s="292"/>
      <c r="MYB92" s="293"/>
      <c r="MYC92" s="294"/>
      <c r="MYI92" s="292"/>
      <c r="MYJ92" s="293"/>
      <c r="MYK92" s="294"/>
      <c r="MYQ92" s="292"/>
      <c r="MYR92" s="293"/>
      <c r="MYS92" s="294"/>
      <c r="MYY92" s="292"/>
      <c r="MYZ92" s="293"/>
      <c r="MZA92" s="294"/>
      <c r="MZG92" s="292"/>
      <c r="MZH92" s="293"/>
      <c r="MZI92" s="294"/>
      <c r="MZO92" s="292"/>
      <c r="MZP92" s="293"/>
      <c r="MZQ92" s="294"/>
      <c r="MZW92" s="292"/>
      <c r="MZX92" s="293"/>
      <c r="MZY92" s="294"/>
      <c r="NAE92" s="292"/>
      <c r="NAF92" s="293"/>
      <c r="NAG92" s="294"/>
      <c r="NAM92" s="292"/>
      <c r="NAN92" s="293"/>
      <c r="NAO92" s="294"/>
      <c r="NAU92" s="292"/>
      <c r="NAV92" s="293"/>
      <c r="NAW92" s="294"/>
      <c r="NBC92" s="292"/>
      <c r="NBD92" s="293"/>
      <c r="NBE92" s="294"/>
      <c r="NBK92" s="292"/>
      <c r="NBL92" s="293"/>
      <c r="NBM92" s="294"/>
      <c r="NBS92" s="292"/>
      <c r="NBT92" s="293"/>
      <c r="NBU92" s="294"/>
      <c r="NCA92" s="292"/>
      <c r="NCB92" s="293"/>
      <c r="NCC92" s="294"/>
      <c r="NCI92" s="292"/>
      <c r="NCJ92" s="293"/>
      <c r="NCK92" s="294"/>
      <c r="NCQ92" s="292"/>
      <c r="NCR92" s="293"/>
      <c r="NCS92" s="294"/>
      <c r="NCY92" s="292"/>
      <c r="NCZ92" s="293"/>
      <c r="NDA92" s="294"/>
      <c r="NDG92" s="292"/>
      <c r="NDH92" s="293"/>
      <c r="NDI92" s="294"/>
      <c r="NDO92" s="292"/>
      <c r="NDP92" s="293"/>
      <c r="NDQ92" s="294"/>
      <c r="NDW92" s="292"/>
      <c r="NDX92" s="293"/>
      <c r="NDY92" s="294"/>
      <c r="NEE92" s="292"/>
      <c r="NEF92" s="293"/>
      <c r="NEG92" s="294"/>
      <c r="NEM92" s="292"/>
      <c r="NEN92" s="293"/>
      <c r="NEO92" s="294"/>
      <c r="NEU92" s="292"/>
      <c r="NEV92" s="293"/>
      <c r="NEW92" s="294"/>
      <c r="NFC92" s="292"/>
      <c r="NFD92" s="293"/>
      <c r="NFE92" s="294"/>
      <c r="NFK92" s="292"/>
      <c r="NFL92" s="293"/>
      <c r="NFM92" s="294"/>
      <c r="NFS92" s="292"/>
      <c r="NFT92" s="293"/>
      <c r="NFU92" s="294"/>
      <c r="NGA92" s="292"/>
      <c r="NGB92" s="293"/>
      <c r="NGC92" s="294"/>
      <c r="NGI92" s="292"/>
      <c r="NGJ92" s="293"/>
      <c r="NGK92" s="294"/>
      <c r="NGQ92" s="292"/>
      <c r="NGR92" s="293"/>
      <c r="NGS92" s="294"/>
      <c r="NGY92" s="292"/>
      <c r="NGZ92" s="293"/>
      <c r="NHA92" s="294"/>
      <c r="NHG92" s="292"/>
      <c r="NHH92" s="293"/>
      <c r="NHI92" s="294"/>
      <c r="NHO92" s="292"/>
      <c r="NHP92" s="293"/>
      <c r="NHQ92" s="294"/>
      <c r="NHW92" s="292"/>
      <c r="NHX92" s="293"/>
      <c r="NHY92" s="294"/>
      <c r="NIE92" s="292"/>
      <c r="NIF92" s="293"/>
      <c r="NIG92" s="294"/>
      <c r="NIM92" s="292"/>
      <c r="NIN92" s="293"/>
      <c r="NIO92" s="294"/>
      <c r="NIU92" s="292"/>
      <c r="NIV92" s="293"/>
      <c r="NIW92" s="294"/>
      <c r="NJC92" s="292"/>
      <c r="NJD92" s="293"/>
      <c r="NJE92" s="294"/>
      <c r="NJK92" s="292"/>
      <c r="NJL92" s="293"/>
      <c r="NJM92" s="294"/>
      <c r="NJS92" s="292"/>
      <c r="NJT92" s="293"/>
      <c r="NJU92" s="294"/>
      <c r="NKA92" s="292"/>
      <c r="NKB92" s="293"/>
      <c r="NKC92" s="294"/>
      <c r="NKI92" s="292"/>
      <c r="NKJ92" s="293"/>
      <c r="NKK92" s="294"/>
      <c r="NKQ92" s="292"/>
      <c r="NKR92" s="293"/>
      <c r="NKS92" s="294"/>
      <c r="NKY92" s="292"/>
      <c r="NKZ92" s="293"/>
      <c r="NLA92" s="294"/>
      <c r="NLG92" s="292"/>
      <c r="NLH92" s="293"/>
      <c r="NLI92" s="294"/>
      <c r="NLO92" s="292"/>
      <c r="NLP92" s="293"/>
      <c r="NLQ92" s="294"/>
      <c r="NLW92" s="292"/>
      <c r="NLX92" s="293"/>
      <c r="NLY92" s="294"/>
      <c r="NME92" s="292"/>
      <c r="NMF92" s="293"/>
      <c r="NMG92" s="294"/>
      <c r="NMM92" s="292"/>
      <c r="NMN92" s="293"/>
      <c r="NMO92" s="294"/>
      <c r="NMU92" s="292"/>
      <c r="NMV92" s="293"/>
      <c r="NMW92" s="294"/>
      <c r="NNC92" s="292"/>
      <c r="NND92" s="293"/>
      <c r="NNE92" s="294"/>
      <c r="NNK92" s="292"/>
      <c r="NNL92" s="293"/>
      <c r="NNM92" s="294"/>
      <c r="NNS92" s="292"/>
      <c r="NNT92" s="293"/>
      <c r="NNU92" s="294"/>
      <c r="NOA92" s="292"/>
      <c r="NOB92" s="293"/>
      <c r="NOC92" s="294"/>
      <c r="NOI92" s="292"/>
      <c r="NOJ92" s="293"/>
      <c r="NOK92" s="294"/>
      <c r="NOQ92" s="292"/>
      <c r="NOR92" s="293"/>
      <c r="NOS92" s="294"/>
      <c r="NOY92" s="292"/>
      <c r="NOZ92" s="293"/>
      <c r="NPA92" s="294"/>
      <c r="NPG92" s="292"/>
      <c r="NPH92" s="293"/>
      <c r="NPI92" s="294"/>
      <c r="NPO92" s="292"/>
      <c r="NPP92" s="293"/>
      <c r="NPQ92" s="294"/>
      <c r="NPW92" s="292"/>
      <c r="NPX92" s="293"/>
      <c r="NPY92" s="294"/>
      <c r="NQE92" s="292"/>
      <c r="NQF92" s="293"/>
      <c r="NQG92" s="294"/>
      <c r="NQM92" s="292"/>
      <c r="NQN92" s="293"/>
      <c r="NQO92" s="294"/>
      <c r="NQU92" s="292"/>
      <c r="NQV92" s="293"/>
      <c r="NQW92" s="294"/>
      <c r="NRC92" s="292"/>
      <c r="NRD92" s="293"/>
      <c r="NRE92" s="294"/>
      <c r="NRK92" s="292"/>
      <c r="NRL92" s="293"/>
      <c r="NRM92" s="294"/>
      <c r="NRS92" s="292"/>
      <c r="NRT92" s="293"/>
      <c r="NRU92" s="294"/>
      <c r="NSA92" s="292"/>
      <c r="NSB92" s="293"/>
      <c r="NSC92" s="294"/>
      <c r="NSI92" s="292"/>
      <c r="NSJ92" s="293"/>
      <c r="NSK92" s="294"/>
      <c r="NSQ92" s="292"/>
      <c r="NSR92" s="293"/>
      <c r="NSS92" s="294"/>
      <c r="NSY92" s="292"/>
      <c r="NSZ92" s="293"/>
      <c r="NTA92" s="294"/>
      <c r="NTG92" s="292"/>
      <c r="NTH92" s="293"/>
      <c r="NTI92" s="294"/>
      <c r="NTO92" s="292"/>
      <c r="NTP92" s="293"/>
      <c r="NTQ92" s="294"/>
      <c r="NTW92" s="292"/>
      <c r="NTX92" s="293"/>
      <c r="NTY92" s="294"/>
      <c r="NUE92" s="292"/>
      <c r="NUF92" s="293"/>
      <c r="NUG92" s="294"/>
      <c r="NUM92" s="292"/>
      <c r="NUN92" s="293"/>
      <c r="NUO92" s="294"/>
      <c r="NUU92" s="292"/>
      <c r="NUV92" s="293"/>
      <c r="NUW92" s="294"/>
      <c r="NVC92" s="292"/>
      <c r="NVD92" s="293"/>
      <c r="NVE92" s="294"/>
      <c r="NVK92" s="292"/>
      <c r="NVL92" s="293"/>
      <c r="NVM92" s="294"/>
      <c r="NVS92" s="292"/>
      <c r="NVT92" s="293"/>
      <c r="NVU92" s="294"/>
      <c r="NWA92" s="292"/>
      <c r="NWB92" s="293"/>
      <c r="NWC92" s="294"/>
      <c r="NWI92" s="292"/>
      <c r="NWJ92" s="293"/>
      <c r="NWK92" s="294"/>
      <c r="NWQ92" s="292"/>
      <c r="NWR92" s="293"/>
      <c r="NWS92" s="294"/>
      <c r="NWY92" s="292"/>
      <c r="NWZ92" s="293"/>
      <c r="NXA92" s="294"/>
      <c r="NXG92" s="292"/>
      <c r="NXH92" s="293"/>
      <c r="NXI92" s="294"/>
      <c r="NXO92" s="292"/>
      <c r="NXP92" s="293"/>
      <c r="NXQ92" s="294"/>
      <c r="NXW92" s="292"/>
      <c r="NXX92" s="293"/>
      <c r="NXY92" s="294"/>
      <c r="NYE92" s="292"/>
      <c r="NYF92" s="293"/>
      <c r="NYG92" s="294"/>
      <c r="NYM92" s="292"/>
      <c r="NYN92" s="293"/>
      <c r="NYO92" s="294"/>
      <c r="NYU92" s="292"/>
      <c r="NYV92" s="293"/>
      <c r="NYW92" s="294"/>
      <c r="NZC92" s="292"/>
      <c r="NZD92" s="293"/>
      <c r="NZE92" s="294"/>
      <c r="NZK92" s="292"/>
      <c r="NZL92" s="293"/>
      <c r="NZM92" s="294"/>
      <c r="NZS92" s="292"/>
      <c r="NZT92" s="293"/>
      <c r="NZU92" s="294"/>
      <c r="OAA92" s="292"/>
      <c r="OAB92" s="293"/>
      <c r="OAC92" s="294"/>
      <c r="OAI92" s="292"/>
      <c r="OAJ92" s="293"/>
      <c r="OAK92" s="294"/>
      <c r="OAQ92" s="292"/>
      <c r="OAR92" s="293"/>
      <c r="OAS92" s="294"/>
      <c r="OAY92" s="292"/>
      <c r="OAZ92" s="293"/>
      <c r="OBA92" s="294"/>
      <c r="OBG92" s="292"/>
      <c r="OBH92" s="293"/>
      <c r="OBI92" s="294"/>
      <c r="OBO92" s="292"/>
      <c r="OBP92" s="293"/>
      <c r="OBQ92" s="294"/>
      <c r="OBW92" s="292"/>
      <c r="OBX92" s="293"/>
      <c r="OBY92" s="294"/>
      <c r="OCE92" s="292"/>
      <c r="OCF92" s="293"/>
      <c r="OCG92" s="294"/>
      <c r="OCM92" s="292"/>
      <c r="OCN92" s="293"/>
      <c r="OCO92" s="294"/>
      <c r="OCU92" s="292"/>
      <c r="OCV92" s="293"/>
      <c r="OCW92" s="294"/>
      <c r="ODC92" s="292"/>
      <c r="ODD92" s="293"/>
      <c r="ODE92" s="294"/>
      <c r="ODK92" s="292"/>
      <c r="ODL92" s="293"/>
      <c r="ODM92" s="294"/>
      <c r="ODS92" s="292"/>
      <c r="ODT92" s="293"/>
      <c r="ODU92" s="294"/>
      <c r="OEA92" s="292"/>
      <c r="OEB92" s="293"/>
      <c r="OEC92" s="294"/>
      <c r="OEI92" s="292"/>
      <c r="OEJ92" s="293"/>
      <c r="OEK92" s="294"/>
      <c r="OEQ92" s="292"/>
      <c r="OER92" s="293"/>
      <c r="OES92" s="294"/>
      <c r="OEY92" s="292"/>
      <c r="OEZ92" s="293"/>
      <c r="OFA92" s="294"/>
      <c r="OFG92" s="292"/>
      <c r="OFH92" s="293"/>
      <c r="OFI92" s="294"/>
      <c r="OFO92" s="292"/>
      <c r="OFP92" s="293"/>
      <c r="OFQ92" s="294"/>
      <c r="OFW92" s="292"/>
      <c r="OFX92" s="293"/>
      <c r="OFY92" s="294"/>
      <c r="OGE92" s="292"/>
      <c r="OGF92" s="293"/>
      <c r="OGG92" s="294"/>
      <c r="OGM92" s="292"/>
      <c r="OGN92" s="293"/>
      <c r="OGO92" s="294"/>
      <c r="OGU92" s="292"/>
      <c r="OGV92" s="293"/>
      <c r="OGW92" s="294"/>
      <c r="OHC92" s="292"/>
      <c r="OHD92" s="293"/>
      <c r="OHE92" s="294"/>
      <c r="OHK92" s="292"/>
      <c r="OHL92" s="293"/>
      <c r="OHM92" s="294"/>
      <c r="OHS92" s="292"/>
      <c r="OHT92" s="293"/>
      <c r="OHU92" s="294"/>
      <c r="OIA92" s="292"/>
      <c r="OIB92" s="293"/>
      <c r="OIC92" s="294"/>
      <c r="OII92" s="292"/>
      <c r="OIJ92" s="293"/>
      <c r="OIK92" s="294"/>
      <c r="OIQ92" s="292"/>
      <c r="OIR92" s="293"/>
      <c r="OIS92" s="294"/>
      <c r="OIY92" s="292"/>
      <c r="OIZ92" s="293"/>
      <c r="OJA92" s="294"/>
      <c r="OJG92" s="292"/>
      <c r="OJH92" s="293"/>
      <c r="OJI92" s="294"/>
      <c r="OJO92" s="292"/>
      <c r="OJP92" s="293"/>
      <c r="OJQ92" s="294"/>
      <c r="OJW92" s="292"/>
      <c r="OJX92" s="293"/>
      <c r="OJY92" s="294"/>
      <c r="OKE92" s="292"/>
      <c r="OKF92" s="293"/>
      <c r="OKG92" s="294"/>
      <c r="OKM92" s="292"/>
      <c r="OKN92" s="293"/>
      <c r="OKO92" s="294"/>
      <c r="OKU92" s="292"/>
      <c r="OKV92" s="293"/>
      <c r="OKW92" s="294"/>
      <c r="OLC92" s="292"/>
      <c r="OLD92" s="293"/>
      <c r="OLE92" s="294"/>
      <c r="OLK92" s="292"/>
      <c r="OLL92" s="293"/>
      <c r="OLM92" s="294"/>
      <c r="OLS92" s="292"/>
      <c r="OLT92" s="293"/>
      <c r="OLU92" s="294"/>
      <c r="OMA92" s="292"/>
      <c r="OMB92" s="293"/>
      <c r="OMC92" s="294"/>
      <c r="OMI92" s="292"/>
      <c r="OMJ92" s="293"/>
      <c r="OMK92" s="294"/>
      <c r="OMQ92" s="292"/>
      <c r="OMR92" s="293"/>
      <c r="OMS92" s="294"/>
      <c r="OMY92" s="292"/>
      <c r="OMZ92" s="293"/>
      <c r="ONA92" s="294"/>
      <c r="ONG92" s="292"/>
      <c r="ONH92" s="293"/>
      <c r="ONI92" s="294"/>
      <c r="ONO92" s="292"/>
      <c r="ONP92" s="293"/>
      <c r="ONQ92" s="294"/>
      <c r="ONW92" s="292"/>
      <c r="ONX92" s="293"/>
      <c r="ONY92" s="294"/>
      <c r="OOE92" s="292"/>
      <c r="OOF92" s="293"/>
      <c r="OOG92" s="294"/>
      <c r="OOM92" s="292"/>
      <c r="OON92" s="293"/>
      <c r="OOO92" s="294"/>
      <c r="OOU92" s="292"/>
      <c r="OOV92" s="293"/>
      <c r="OOW92" s="294"/>
      <c r="OPC92" s="292"/>
      <c r="OPD92" s="293"/>
      <c r="OPE92" s="294"/>
      <c r="OPK92" s="292"/>
      <c r="OPL92" s="293"/>
      <c r="OPM92" s="294"/>
      <c r="OPS92" s="292"/>
      <c r="OPT92" s="293"/>
      <c r="OPU92" s="294"/>
      <c r="OQA92" s="292"/>
      <c r="OQB92" s="293"/>
      <c r="OQC92" s="294"/>
      <c r="OQI92" s="292"/>
      <c r="OQJ92" s="293"/>
      <c r="OQK92" s="294"/>
      <c r="OQQ92" s="292"/>
      <c r="OQR92" s="293"/>
      <c r="OQS92" s="294"/>
      <c r="OQY92" s="292"/>
      <c r="OQZ92" s="293"/>
      <c r="ORA92" s="294"/>
      <c r="ORG92" s="292"/>
      <c r="ORH92" s="293"/>
      <c r="ORI92" s="294"/>
      <c r="ORO92" s="292"/>
      <c r="ORP92" s="293"/>
      <c r="ORQ92" s="294"/>
      <c r="ORW92" s="292"/>
      <c r="ORX92" s="293"/>
      <c r="ORY92" s="294"/>
      <c r="OSE92" s="292"/>
      <c r="OSF92" s="293"/>
      <c r="OSG92" s="294"/>
      <c r="OSM92" s="292"/>
      <c r="OSN92" s="293"/>
      <c r="OSO92" s="294"/>
      <c r="OSU92" s="292"/>
      <c r="OSV92" s="293"/>
      <c r="OSW92" s="294"/>
      <c r="OTC92" s="292"/>
      <c r="OTD92" s="293"/>
      <c r="OTE92" s="294"/>
      <c r="OTK92" s="292"/>
      <c r="OTL92" s="293"/>
      <c r="OTM92" s="294"/>
      <c r="OTS92" s="292"/>
      <c r="OTT92" s="293"/>
      <c r="OTU92" s="294"/>
      <c r="OUA92" s="292"/>
      <c r="OUB92" s="293"/>
      <c r="OUC92" s="294"/>
      <c r="OUI92" s="292"/>
      <c r="OUJ92" s="293"/>
      <c r="OUK92" s="294"/>
      <c r="OUQ92" s="292"/>
      <c r="OUR92" s="293"/>
      <c r="OUS92" s="294"/>
      <c r="OUY92" s="292"/>
      <c r="OUZ92" s="293"/>
      <c r="OVA92" s="294"/>
      <c r="OVG92" s="292"/>
      <c r="OVH92" s="293"/>
      <c r="OVI92" s="294"/>
      <c r="OVO92" s="292"/>
      <c r="OVP92" s="293"/>
      <c r="OVQ92" s="294"/>
      <c r="OVW92" s="292"/>
      <c r="OVX92" s="293"/>
      <c r="OVY92" s="294"/>
      <c r="OWE92" s="292"/>
      <c r="OWF92" s="293"/>
      <c r="OWG92" s="294"/>
      <c r="OWM92" s="292"/>
      <c r="OWN92" s="293"/>
      <c r="OWO92" s="294"/>
      <c r="OWU92" s="292"/>
      <c r="OWV92" s="293"/>
      <c r="OWW92" s="294"/>
      <c r="OXC92" s="292"/>
      <c r="OXD92" s="293"/>
      <c r="OXE92" s="294"/>
      <c r="OXK92" s="292"/>
      <c r="OXL92" s="293"/>
      <c r="OXM92" s="294"/>
      <c r="OXS92" s="292"/>
      <c r="OXT92" s="293"/>
      <c r="OXU92" s="294"/>
      <c r="OYA92" s="292"/>
      <c r="OYB92" s="293"/>
      <c r="OYC92" s="294"/>
      <c r="OYI92" s="292"/>
      <c r="OYJ92" s="293"/>
      <c r="OYK92" s="294"/>
      <c r="OYQ92" s="292"/>
      <c r="OYR92" s="293"/>
      <c r="OYS92" s="294"/>
      <c r="OYY92" s="292"/>
      <c r="OYZ92" s="293"/>
      <c r="OZA92" s="294"/>
      <c r="OZG92" s="292"/>
      <c r="OZH92" s="293"/>
      <c r="OZI92" s="294"/>
      <c r="OZO92" s="292"/>
      <c r="OZP92" s="293"/>
      <c r="OZQ92" s="294"/>
      <c r="OZW92" s="292"/>
      <c r="OZX92" s="293"/>
      <c r="OZY92" s="294"/>
      <c r="PAE92" s="292"/>
      <c r="PAF92" s="293"/>
      <c r="PAG92" s="294"/>
      <c r="PAM92" s="292"/>
      <c r="PAN92" s="293"/>
      <c r="PAO92" s="294"/>
      <c r="PAU92" s="292"/>
      <c r="PAV92" s="293"/>
      <c r="PAW92" s="294"/>
      <c r="PBC92" s="292"/>
      <c r="PBD92" s="293"/>
      <c r="PBE92" s="294"/>
      <c r="PBK92" s="292"/>
      <c r="PBL92" s="293"/>
      <c r="PBM92" s="294"/>
      <c r="PBS92" s="292"/>
      <c r="PBT92" s="293"/>
      <c r="PBU92" s="294"/>
      <c r="PCA92" s="292"/>
      <c r="PCB92" s="293"/>
      <c r="PCC92" s="294"/>
      <c r="PCI92" s="292"/>
      <c r="PCJ92" s="293"/>
      <c r="PCK92" s="294"/>
      <c r="PCQ92" s="292"/>
      <c r="PCR92" s="293"/>
      <c r="PCS92" s="294"/>
      <c r="PCY92" s="292"/>
      <c r="PCZ92" s="293"/>
      <c r="PDA92" s="294"/>
      <c r="PDG92" s="292"/>
      <c r="PDH92" s="293"/>
      <c r="PDI92" s="294"/>
      <c r="PDO92" s="292"/>
      <c r="PDP92" s="293"/>
      <c r="PDQ92" s="294"/>
      <c r="PDW92" s="292"/>
      <c r="PDX92" s="293"/>
      <c r="PDY92" s="294"/>
      <c r="PEE92" s="292"/>
      <c r="PEF92" s="293"/>
      <c r="PEG92" s="294"/>
      <c r="PEM92" s="292"/>
      <c r="PEN92" s="293"/>
      <c r="PEO92" s="294"/>
      <c r="PEU92" s="292"/>
      <c r="PEV92" s="293"/>
      <c r="PEW92" s="294"/>
      <c r="PFC92" s="292"/>
      <c r="PFD92" s="293"/>
      <c r="PFE92" s="294"/>
      <c r="PFK92" s="292"/>
      <c r="PFL92" s="293"/>
      <c r="PFM92" s="294"/>
      <c r="PFS92" s="292"/>
      <c r="PFT92" s="293"/>
      <c r="PFU92" s="294"/>
      <c r="PGA92" s="292"/>
      <c r="PGB92" s="293"/>
      <c r="PGC92" s="294"/>
      <c r="PGI92" s="292"/>
      <c r="PGJ92" s="293"/>
      <c r="PGK92" s="294"/>
      <c r="PGQ92" s="292"/>
      <c r="PGR92" s="293"/>
      <c r="PGS92" s="294"/>
      <c r="PGY92" s="292"/>
      <c r="PGZ92" s="293"/>
      <c r="PHA92" s="294"/>
      <c r="PHG92" s="292"/>
      <c r="PHH92" s="293"/>
      <c r="PHI92" s="294"/>
      <c r="PHO92" s="292"/>
      <c r="PHP92" s="293"/>
      <c r="PHQ92" s="294"/>
      <c r="PHW92" s="292"/>
      <c r="PHX92" s="293"/>
      <c r="PHY92" s="294"/>
      <c r="PIE92" s="292"/>
      <c r="PIF92" s="293"/>
      <c r="PIG92" s="294"/>
      <c r="PIM92" s="292"/>
      <c r="PIN92" s="293"/>
      <c r="PIO92" s="294"/>
      <c r="PIU92" s="292"/>
      <c r="PIV92" s="293"/>
      <c r="PIW92" s="294"/>
      <c r="PJC92" s="292"/>
      <c r="PJD92" s="293"/>
      <c r="PJE92" s="294"/>
      <c r="PJK92" s="292"/>
      <c r="PJL92" s="293"/>
      <c r="PJM92" s="294"/>
      <c r="PJS92" s="292"/>
      <c r="PJT92" s="293"/>
      <c r="PJU92" s="294"/>
      <c r="PKA92" s="292"/>
      <c r="PKB92" s="293"/>
      <c r="PKC92" s="294"/>
      <c r="PKI92" s="292"/>
      <c r="PKJ92" s="293"/>
      <c r="PKK92" s="294"/>
      <c r="PKQ92" s="292"/>
      <c r="PKR92" s="293"/>
      <c r="PKS92" s="294"/>
      <c r="PKY92" s="292"/>
      <c r="PKZ92" s="293"/>
      <c r="PLA92" s="294"/>
      <c r="PLG92" s="292"/>
      <c r="PLH92" s="293"/>
      <c r="PLI92" s="294"/>
      <c r="PLO92" s="292"/>
      <c r="PLP92" s="293"/>
      <c r="PLQ92" s="294"/>
      <c r="PLW92" s="292"/>
      <c r="PLX92" s="293"/>
      <c r="PLY92" s="294"/>
      <c r="PME92" s="292"/>
      <c r="PMF92" s="293"/>
      <c r="PMG92" s="294"/>
      <c r="PMM92" s="292"/>
      <c r="PMN92" s="293"/>
      <c r="PMO92" s="294"/>
      <c r="PMU92" s="292"/>
      <c r="PMV92" s="293"/>
      <c r="PMW92" s="294"/>
      <c r="PNC92" s="292"/>
      <c r="PND92" s="293"/>
      <c r="PNE92" s="294"/>
      <c r="PNK92" s="292"/>
      <c r="PNL92" s="293"/>
      <c r="PNM92" s="294"/>
      <c r="PNS92" s="292"/>
      <c r="PNT92" s="293"/>
      <c r="PNU92" s="294"/>
      <c r="POA92" s="292"/>
      <c r="POB92" s="293"/>
      <c r="POC92" s="294"/>
      <c r="POI92" s="292"/>
      <c r="POJ92" s="293"/>
      <c r="POK92" s="294"/>
      <c r="POQ92" s="292"/>
      <c r="POR92" s="293"/>
      <c r="POS92" s="294"/>
      <c r="POY92" s="292"/>
      <c r="POZ92" s="293"/>
      <c r="PPA92" s="294"/>
      <c r="PPG92" s="292"/>
      <c r="PPH92" s="293"/>
      <c r="PPI92" s="294"/>
      <c r="PPO92" s="292"/>
      <c r="PPP92" s="293"/>
      <c r="PPQ92" s="294"/>
      <c r="PPW92" s="292"/>
      <c r="PPX92" s="293"/>
      <c r="PPY92" s="294"/>
      <c r="PQE92" s="292"/>
      <c r="PQF92" s="293"/>
      <c r="PQG92" s="294"/>
      <c r="PQM92" s="292"/>
      <c r="PQN92" s="293"/>
      <c r="PQO92" s="294"/>
      <c r="PQU92" s="292"/>
      <c r="PQV92" s="293"/>
      <c r="PQW92" s="294"/>
      <c r="PRC92" s="292"/>
      <c r="PRD92" s="293"/>
      <c r="PRE92" s="294"/>
      <c r="PRK92" s="292"/>
      <c r="PRL92" s="293"/>
      <c r="PRM92" s="294"/>
      <c r="PRS92" s="292"/>
      <c r="PRT92" s="293"/>
      <c r="PRU92" s="294"/>
      <c r="PSA92" s="292"/>
      <c r="PSB92" s="293"/>
      <c r="PSC92" s="294"/>
      <c r="PSI92" s="292"/>
      <c r="PSJ92" s="293"/>
      <c r="PSK92" s="294"/>
      <c r="PSQ92" s="292"/>
      <c r="PSR92" s="293"/>
      <c r="PSS92" s="294"/>
      <c r="PSY92" s="292"/>
      <c r="PSZ92" s="293"/>
      <c r="PTA92" s="294"/>
      <c r="PTG92" s="292"/>
      <c r="PTH92" s="293"/>
      <c r="PTI92" s="294"/>
      <c r="PTO92" s="292"/>
      <c r="PTP92" s="293"/>
      <c r="PTQ92" s="294"/>
      <c r="PTW92" s="292"/>
      <c r="PTX92" s="293"/>
      <c r="PTY92" s="294"/>
      <c r="PUE92" s="292"/>
      <c r="PUF92" s="293"/>
      <c r="PUG92" s="294"/>
      <c r="PUM92" s="292"/>
      <c r="PUN92" s="293"/>
      <c r="PUO92" s="294"/>
      <c r="PUU92" s="292"/>
      <c r="PUV92" s="293"/>
      <c r="PUW92" s="294"/>
      <c r="PVC92" s="292"/>
      <c r="PVD92" s="293"/>
      <c r="PVE92" s="294"/>
      <c r="PVK92" s="292"/>
      <c r="PVL92" s="293"/>
      <c r="PVM92" s="294"/>
      <c r="PVS92" s="292"/>
      <c r="PVT92" s="293"/>
      <c r="PVU92" s="294"/>
      <c r="PWA92" s="292"/>
      <c r="PWB92" s="293"/>
      <c r="PWC92" s="294"/>
      <c r="PWI92" s="292"/>
      <c r="PWJ92" s="293"/>
      <c r="PWK92" s="294"/>
      <c r="PWQ92" s="292"/>
      <c r="PWR92" s="293"/>
      <c r="PWS92" s="294"/>
      <c r="PWY92" s="292"/>
      <c r="PWZ92" s="293"/>
      <c r="PXA92" s="294"/>
      <c r="PXG92" s="292"/>
      <c r="PXH92" s="293"/>
      <c r="PXI92" s="294"/>
      <c r="PXO92" s="292"/>
      <c r="PXP92" s="293"/>
      <c r="PXQ92" s="294"/>
      <c r="PXW92" s="292"/>
      <c r="PXX92" s="293"/>
      <c r="PXY92" s="294"/>
      <c r="PYE92" s="292"/>
      <c r="PYF92" s="293"/>
      <c r="PYG92" s="294"/>
      <c r="PYM92" s="292"/>
      <c r="PYN92" s="293"/>
      <c r="PYO92" s="294"/>
      <c r="PYU92" s="292"/>
      <c r="PYV92" s="293"/>
      <c r="PYW92" s="294"/>
      <c r="PZC92" s="292"/>
      <c r="PZD92" s="293"/>
      <c r="PZE92" s="294"/>
      <c r="PZK92" s="292"/>
      <c r="PZL92" s="293"/>
      <c r="PZM92" s="294"/>
      <c r="PZS92" s="292"/>
      <c r="PZT92" s="293"/>
      <c r="PZU92" s="294"/>
      <c r="QAA92" s="292"/>
      <c r="QAB92" s="293"/>
      <c r="QAC92" s="294"/>
      <c r="QAI92" s="292"/>
      <c r="QAJ92" s="293"/>
      <c r="QAK92" s="294"/>
      <c r="QAQ92" s="292"/>
      <c r="QAR92" s="293"/>
      <c r="QAS92" s="294"/>
      <c r="QAY92" s="292"/>
      <c r="QAZ92" s="293"/>
      <c r="QBA92" s="294"/>
      <c r="QBG92" s="292"/>
      <c r="QBH92" s="293"/>
      <c r="QBI92" s="294"/>
      <c r="QBO92" s="292"/>
      <c r="QBP92" s="293"/>
      <c r="QBQ92" s="294"/>
      <c r="QBW92" s="292"/>
      <c r="QBX92" s="293"/>
      <c r="QBY92" s="294"/>
      <c r="QCE92" s="292"/>
      <c r="QCF92" s="293"/>
      <c r="QCG92" s="294"/>
      <c r="QCM92" s="292"/>
      <c r="QCN92" s="293"/>
      <c r="QCO92" s="294"/>
      <c r="QCU92" s="292"/>
      <c r="QCV92" s="293"/>
      <c r="QCW92" s="294"/>
      <c r="QDC92" s="292"/>
      <c r="QDD92" s="293"/>
      <c r="QDE92" s="294"/>
      <c r="QDK92" s="292"/>
      <c r="QDL92" s="293"/>
      <c r="QDM92" s="294"/>
      <c r="QDS92" s="292"/>
      <c r="QDT92" s="293"/>
      <c r="QDU92" s="294"/>
      <c r="QEA92" s="292"/>
      <c r="QEB92" s="293"/>
      <c r="QEC92" s="294"/>
      <c r="QEI92" s="292"/>
      <c r="QEJ92" s="293"/>
      <c r="QEK92" s="294"/>
      <c r="QEQ92" s="292"/>
      <c r="QER92" s="293"/>
      <c r="QES92" s="294"/>
      <c r="QEY92" s="292"/>
      <c r="QEZ92" s="293"/>
      <c r="QFA92" s="294"/>
      <c r="QFG92" s="292"/>
      <c r="QFH92" s="293"/>
      <c r="QFI92" s="294"/>
      <c r="QFO92" s="292"/>
      <c r="QFP92" s="293"/>
      <c r="QFQ92" s="294"/>
      <c r="QFW92" s="292"/>
      <c r="QFX92" s="293"/>
      <c r="QFY92" s="294"/>
      <c r="QGE92" s="292"/>
      <c r="QGF92" s="293"/>
      <c r="QGG92" s="294"/>
      <c r="QGM92" s="292"/>
      <c r="QGN92" s="293"/>
      <c r="QGO92" s="294"/>
      <c r="QGU92" s="292"/>
      <c r="QGV92" s="293"/>
      <c r="QGW92" s="294"/>
      <c r="QHC92" s="292"/>
      <c r="QHD92" s="293"/>
      <c r="QHE92" s="294"/>
      <c r="QHK92" s="292"/>
      <c r="QHL92" s="293"/>
      <c r="QHM92" s="294"/>
      <c r="QHS92" s="292"/>
      <c r="QHT92" s="293"/>
      <c r="QHU92" s="294"/>
      <c r="QIA92" s="292"/>
      <c r="QIB92" s="293"/>
      <c r="QIC92" s="294"/>
      <c r="QII92" s="292"/>
      <c r="QIJ92" s="293"/>
      <c r="QIK92" s="294"/>
      <c r="QIQ92" s="292"/>
      <c r="QIR92" s="293"/>
      <c r="QIS92" s="294"/>
      <c r="QIY92" s="292"/>
      <c r="QIZ92" s="293"/>
      <c r="QJA92" s="294"/>
      <c r="QJG92" s="292"/>
      <c r="QJH92" s="293"/>
      <c r="QJI92" s="294"/>
      <c r="QJO92" s="292"/>
      <c r="QJP92" s="293"/>
      <c r="QJQ92" s="294"/>
      <c r="QJW92" s="292"/>
      <c r="QJX92" s="293"/>
      <c r="QJY92" s="294"/>
      <c r="QKE92" s="292"/>
      <c r="QKF92" s="293"/>
      <c r="QKG92" s="294"/>
      <c r="QKM92" s="292"/>
      <c r="QKN92" s="293"/>
      <c r="QKO92" s="294"/>
      <c r="QKU92" s="292"/>
      <c r="QKV92" s="293"/>
      <c r="QKW92" s="294"/>
      <c r="QLC92" s="292"/>
      <c r="QLD92" s="293"/>
      <c r="QLE92" s="294"/>
      <c r="QLK92" s="292"/>
      <c r="QLL92" s="293"/>
      <c r="QLM92" s="294"/>
      <c r="QLS92" s="292"/>
      <c r="QLT92" s="293"/>
      <c r="QLU92" s="294"/>
      <c r="QMA92" s="292"/>
      <c r="QMB92" s="293"/>
      <c r="QMC92" s="294"/>
      <c r="QMI92" s="292"/>
      <c r="QMJ92" s="293"/>
      <c r="QMK92" s="294"/>
      <c r="QMQ92" s="292"/>
      <c r="QMR92" s="293"/>
      <c r="QMS92" s="294"/>
      <c r="QMY92" s="292"/>
      <c r="QMZ92" s="293"/>
      <c r="QNA92" s="294"/>
      <c r="QNG92" s="292"/>
      <c r="QNH92" s="293"/>
      <c r="QNI92" s="294"/>
      <c r="QNO92" s="292"/>
      <c r="QNP92" s="293"/>
      <c r="QNQ92" s="294"/>
      <c r="QNW92" s="292"/>
      <c r="QNX92" s="293"/>
      <c r="QNY92" s="294"/>
      <c r="QOE92" s="292"/>
      <c r="QOF92" s="293"/>
      <c r="QOG92" s="294"/>
      <c r="QOM92" s="292"/>
      <c r="QON92" s="293"/>
      <c r="QOO92" s="294"/>
      <c r="QOU92" s="292"/>
      <c r="QOV92" s="293"/>
      <c r="QOW92" s="294"/>
      <c r="QPC92" s="292"/>
      <c r="QPD92" s="293"/>
      <c r="QPE92" s="294"/>
      <c r="QPK92" s="292"/>
      <c r="QPL92" s="293"/>
      <c r="QPM92" s="294"/>
      <c r="QPS92" s="292"/>
      <c r="QPT92" s="293"/>
      <c r="QPU92" s="294"/>
      <c r="QQA92" s="292"/>
      <c r="QQB92" s="293"/>
      <c r="QQC92" s="294"/>
      <c r="QQI92" s="292"/>
      <c r="QQJ92" s="293"/>
      <c r="QQK92" s="294"/>
      <c r="QQQ92" s="292"/>
      <c r="QQR92" s="293"/>
      <c r="QQS92" s="294"/>
      <c r="QQY92" s="292"/>
      <c r="QQZ92" s="293"/>
      <c r="QRA92" s="294"/>
      <c r="QRG92" s="292"/>
      <c r="QRH92" s="293"/>
      <c r="QRI92" s="294"/>
      <c r="QRO92" s="292"/>
      <c r="QRP92" s="293"/>
      <c r="QRQ92" s="294"/>
      <c r="QRW92" s="292"/>
      <c r="QRX92" s="293"/>
      <c r="QRY92" s="294"/>
      <c r="QSE92" s="292"/>
      <c r="QSF92" s="293"/>
      <c r="QSG92" s="294"/>
      <c r="QSM92" s="292"/>
      <c r="QSN92" s="293"/>
      <c r="QSO92" s="294"/>
      <c r="QSU92" s="292"/>
      <c r="QSV92" s="293"/>
      <c r="QSW92" s="294"/>
      <c r="QTC92" s="292"/>
      <c r="QTD92" s="293"/>
      <c r="QTE92" s="294"/>
      <c r="QTK92" s="292"/>
      <c r="QTL92" s="293"/>
      <c r="QTM92" s="294"/>
      <c r="QTS92" s="292"/>
      <c r="QTT92" s="293"/>
      <c r="QTU92" s="294"/>
      <c r="QUA92" s="292"/>
      <c r="QUB92" s="293"/>
      <c r="QUC92" s="294"/>
      <c r="QUI92" s="292"/>
      <c r="QUJ92" s="293"/>
      <c r="QUK92" s="294"/>
      <c r="QUQ92" s="292"/>
      <c r="QUR92" s="293"/>
      <c r="QUS92" s="294"/>
      <c r="QUY92" s="292"/>
      <c r="QUZ92" s="293"/>
      <c r="QVA92" s="294"/>
      <c r="QVG92" s="292"/>
      <c r="QVH92" s="293"/>
      <c r="QVI92" s="294"/>
      <c r="QVO92" s="292"/>
      <c r="QVP92" s="293"/>
      <c r="QVQ92" s="294"/>
      <c r="QVW92" s="292"/>
      <c r="QVX92" s="293"/>
      <c r="QVY92" s="294"/>
      <c r="QWE92" s="292"/>
      <c r="QWF92" s="293"/>
      <c r="QWG92" s="294"/>
      <c r="QWM92" s="292"/>
      <c r="QWN92" s="293"/>
      <c r="QWO92" s="294"/>
      <c r="QWU92" s="292"/>
      <c r="QWV92" s="293"/>
      <c r="QWW92" s="294"/>
      <c r="QXC92" s="292"/>
      <c r="QXD92" s="293"/>
      <c r="QXE92" s="294"/>
      <c r="QXK92" s="292"/>
      <c r="QXL92" s="293"/>
      <c r="QXM92" s="294"/>
      <c r="QXS92" s="292"/>
      <c r="QXT92" s="293"/>
      <c r="QXU92" s="294"/>
      <c r="QYA92" s="292"/>
      <c r="QYB92" s="293"/>
      <c r="QYC92" s="294"/>
      <c r="QYI92" s="292"/>
      <c r="QYJ92" s="293"/>
      <c r="QYK92" s="294"/>
      <c r="QYQ92" s="292"/>
      <c r="QYR92" s="293"/>
      <c r="QYS92" s="294"/>
      <c r="QYY92" s="292"/>
      <c r="QYZ92" s="293"/>
      <c r="QZA92" s="294"/>
      <c r="QZG92" s="292"/>
      <c r="QZH92" s="293"/>
      <c r="QZI92" s="294"/>
      <c r="QZO92" s="292"/>
      <c r="QZP92" s="293"/>
      <c r="QZQ92" s="294"/>
      <c r="QZW92" s="292"/>
      <c r="QZX92" s="293"/>
      <c r="QZY92" s="294"/>
      <c r="RAE92" s="292"/>
      <c r="RAF92" s="293"/>
      <c r="RAG92" s="294"/>
      <c r="RAM92" s="292"/>
      <c r="RAN92" s="293"/>
      <c r="RAO92" s="294"/>
      <c r="RAU92" s="292"/>
      <c r="RAV92" s="293"/>
      <c r="RAW92" s="294"/>
      <c r="RBC92" s="292"/>
      <c r="RBD92" s="293"/>
      <c r="RBE92" s="294"/>
      <c r="RBK92" s="292"/>
      <c r="RBL92" s="293"/>
      <c r="RBM92" s="294"/>
      <c r="RBS92" s="292"/>
      <c r="RBT92" s="293"/>
      <c r="RBU92" s="294"/>
      <c r="RCA92" s="292"/>
      <c r="RCB92" s="293"/>
      <c r="RCC92" s="294"/>
      <c r="RCI92" s="292"/>
      <c r="RCJ92" s="293"/>
      <c r="RCK92" s="294"/>
      <c r="RCQ92" s="292"/>
      <c r="RCR92" s="293"/>
      <c r="RCS92" s="294"/>
      <c r="RCY92" s="292"/>
      <c r="RCZ92" s="293"/>
      <c r="RDA92" s="294"/>
      <c r="RDG92" s="292"/>
      <c r="RDH92" s="293"/>
      <c r="RDI92" s="294"/>
      <c r="RDO92" s="292"/>
      <c r="RDP92" s="293"/>
      <c r="RDQ92" s="294"/>
      <c r="RDW92" s="292"/>
      <c r="RDX92" s="293"/>
      <c r="RDY92" s="294"/>
      <c r="REE92" s="292"/>
      <c r="REF92" s="293"/>
      <c r="REG92" s="294"/>
      <c r="REM92" s="292"/>
      <c r="REN92" s="293"/>
      <c r="REO92" s="294"/>
      <c r="REU92" s="292"/>
      <c r="REV92" s="293"/>
      <c r="REW92" s="294"/>
      <c r="RFC92" s="292"/>
      <c r="RFD92" s="293"/>
      <c r="RFE92" s="294"/>
      <c r="RFK92" s="292"/>
      <c r="RFL92" s="293"/>
      <c r="RFM92" s="294"/>
      <c r="RFS92" s="292"/>
      <c r="RFT92" s="293"/>
      <c r="RFU92" s="294"/>
      <c r="RGA92" s="292"/>
      <c r="RGB92" s="293"/>
      <c r="RGC92" s="294"/>
      <c r="RGI92" s="292"/>
      <c r="RGJ92" s="293"/>
      <c r="RGK92" s="294"/>
      <c r="RGQ92" s="292"/>
      <c r="RGR92" s="293"/>
      <c r="RGS92" s="294"/>
      <c r="RGY92" s="292"/>
      <c r="RGZ92" s="293"/>
      <c r="RHA92" s="294"/>
      <c r="RHG92" s="292"/>
      <c r="RHH92" s="293"/>
      <c r="RHI92" s="294"/>
      <c r="RHO92" s="292"/>
      <c r="RHP92" s="293"/>
      <c r="RHQ92" s="294"/>
      <c r="RHW92" s="292"/>
      <c r="RHX92" s="293"/>
      <c r="RHY92" s="294"/>
      <c r="RIE92" s="292"/>
      <c r="RIF92" s="293"/>
      <c r="RIG92" s="294"/>
      <c r="RIM92" s="292"/>
      <c r="RIN92" s="293"/>
      <c r="RIO92" s="294"/>
      <c r="RIU92" s="292"/>
      <c r="RIV92" s="293"/>
      <c r="RIW92" s="294"/>
      <c r="RJC92" s="292"/>
      <c r="RJD92" s="293"/>
      <c r="RJE92" s="294"/>
      <c r="RJK92" s="292"/>
      <c r="RJL92" s="293"/>
      <c r="RJM92" s="294"/>
      <c r="RJS92" s="292"/>
      <c r="RJT92" s="293"/>
      <c r="RJU92" s="294"/>
      <c r="RKA92" s="292"/>
      <c r="RKB92" s="293"/>
      <c r="RKC92" s="294"/>
      <c r="RKI92" s="292"/>
      <c r="RKJ92" s="293"/>
      <c r="RKK92" s="294"/>
      <c r="RKQ92" s="292"/>
      <c r="RKR92" s="293"/>
      <c r="RKS92" s="294"/>
      <c r="RKY92" s="292"/>
      <c r="RKZ92" s="293"/>
      <c r="RLA92" s="294"/>
      <c r="RLG92" s="292"/>
      <c r="RLH92" s="293"/>
      <c r="RLI92" s="294"/>
      <c r="RLO92" s="292"/>
      <c r="RLP92" s="293"/>
      <c r="RLQ92" s="294"/>
      <c r="RLW92" s="292"/>
      <c r="RLX92" s="293"/>
      <c r="RLY92" s="294"/>
      <c r="RME92" s="292"/>
      <c r="RMF92" s="293"/>
      <c r="RMG92" s="294"/>
      <c r="RMM92" s="292"/>
      <c r="RMN92" s="293"/>
      <c r="RMO92" s="294"/>
      <c r="RMU92" s="292"/>
      <c r="RMV92" s="293"/>
      <c r="RMW92" s="294"/>
      <c r="RNC92" s="292"/>
      <c r="RND92" s="293"/>
      <c r="RNE92" s="294"/>
      <c r="RNK92" s="292"/>
      <c r="RNL92" s="293"/>
      <c r="RNM92" s="294"/>
      <c r="RNS92" s="292"/>
      <c r="RNT92" s="293"/>
      <c r="RNU92" s="294"/>
      <c r="ROA92" s="292"/>
      <c r="ROB92" s="293"/>
      <c r="ROC92" s="294"/>
      <c r="ROI92" s="292"/>
      <c r="ROJ92" s="293"/>
      <c r="ROK92" s="294"/>
      <c r="ROQ92" s="292"/>
      <c r="ROR92" s="293"/>
      <c r="ROS92" s="294"/>
      <c r="ROY92" s="292"/>
      <c r="ROZ92" s="293"/>
      <c r="RPA92" s="294"/>
      <c r="RPG92" s="292"/>
      <c r="RPH92" s="293"/>
      <c r="RPI92" s="294"/>
      <c r="RPO92" s="292"/>
      <c r="RPP92" s="293"/>
      <c r="RPQ92" s="294"/>
      <c r="RPW92" s="292"/>
      <c r="RPX92" s="293"/>
      <c r="RPY92" s="294"/>
      <c r="RQE92" s="292"/>
      <c r="RQF92" s="293"/>
      <c r="RQG92" s="294"/>
      <c r="RQM92" s="292"/>
      <c r="RQN92" s="293"/>
      <c r="RQO92" s="294"/>
      <c r="RQU92" s="292"/>
      <c r="RQV92" s="293"/>
      <c r="RQW92" s="294"/>
      <c r="RRC92" s="292"/>
      <c r="RRD92" s="293"/>
      <c r="RRE92" s="294"/>
      <c r="RRK92" s="292"/>
      <c r="RRL92" s="293"/>
      <c r="RRM92" s="294"/>
      <c r="RRS92" s="292"/>
      <c r="RRT92" s="293"/>
      <c r="RRU92" s="294"/>
      <c r="RSA92" s="292"/>
      <c r="RSB92" s="293"/>
      <c r="RSC92" s="294"/>
      <c r="RSI92" s="292"/>
      <c r="RSJ92" s="293"/>
      <c r="RSK92" s="294"/>
      <c r="RSQ92" s="292"/>
      <c r="RSR92" s="293"/>
      <c r="RSS92" s="294"/>
      <c r="RSY92" s="292"/>
      <c r="RSZ92" s="293"/>
      <c r="RTA92" s="294"/>
      <c r="RTG92" s="292"/>
      <c r="RTH92" s="293"/>
      <c r="RTI92" s="294"/>
      <c r="RTO92" s="292"/>
      <c r="RTP92" s="293"/>
      <c r="RTQ92" s="294"/>
      <c r="RTW92" s="292"/>
      <c r="RTX92" s="293"/>
      <c r="RTY92" s="294"/>
      <c r="RUE92" s="292"/>
      <c r="RUF92" s="293"/>
      <c r="RUG92" s="294"/>
      <c r="RUM92" s="292"/>
      <c r="RUN92" s="293"/>
      <c r="RUO92" s="294"/>
      <c r="RUU92" s="292"/>
      <c r="RUV92" s="293"/>
      <c r="RUW92" s="294"/>
      <c r="RVC92" s="292"/>
      <c r="RVD92" s="293"/>
      <c r="RVE92" s="294"/>
      <c r="RVK92" s="292"/>
      <c r="RVL92" s="293"/>
      <c r="RVM92" s="294"/>
      <c r="RVS92" s="292"/>
      <c r="RVT92" s="293"/>
      <c r="RVU92" s="294"/>
      <c r="RWA92" s="292"/>
      <c r="RWB92" s="293"/>
      <c r="RWC92" s="294"/>
      <c r="RWI92" s="292"/>
      <c r="RWJ92" s="293"/>
      <c r="RWK92" s="294"/>
      <c r="RWQ92" s="292"/>
      <c r="RWR92" s="293"/>
      <c r="RWS92" s="294"/>
      <c r="RWY92" s="292"/>
      <c r="RWZ92" s="293"/>
      <c r="RXA92" s="294"/>
      <c r="RXG92" s="292"/>
      <c r="RXH92" s="293"/>
      <c r="RXI92" s="294"/>
      <c r="RXO92" s="292"/>
      <c r="RXP92" s="293"/>
      <c r="RXQ92" s="294"/>
      <c r="RXW92" s="292"/>
      <c r="RXX92" s="293"/>
      <c r="RXY92" s="294"/>
      <c r="RYE92" s="292"/>
      <c r="RYF92" s="293"/>
      <c r="RYG92" s="294"/>
      <c r="RYM92" s="292"/>
      <c r="RYN92" s="293"/>
      <c r="RYO92" s="294"/>
      <c r="RYU92" s="292"/>
      <c r="RYV92" s="293"/>
      <c r="RYW92" s="294"/>
      <c r="RZC92" s="292"/>
      <c r="RZD92" s="293"/>
      <c r="RZE92" s="294"/>
      <c r="RZK92" s="292"/>
      <c r="RZL92" s="293"/>
      <c r="RZM92" s="294"/>
      <c r="RZS92" s="292"/>
      <c r="RZT92" s="293"/>
      <c r="RZU92" s="294"/>
      <c r="SAA92" s="292"/>
      <c r="SAB92" s="293"/>
      <c r="SAC92" s="294"/>
      <c r="SAI92" s="292"/>
      <c r="SAJ92" s="293"/>
      <c r="SAK92" s="294"/>
      <c r="SAQ92" s="292"/>
      <c r="SAR92" s="293"/>
      <c r="SAS92" s="294"/>
      <c r="SAY92" s="292"/>
      <c r="SAZ92" s="293"/>
      <c r="SBA92" s="294"/>
      <c r="SBG92" s="292"/>
      <c r="SBH92" s="293"/>
      <c r="SBI92" s="294"/>
      <c r="SBO92" s="292"/>
      <c r="SBP92" s="293"/>
      <c r="SBQ92" s="294"/>
      <c r="SBW92" s="292"/>
      <c r="SBX92" s="293"/>
      <c r="SBY92" s="294"/>
      <c r="SCE92" s="292"/>
      <c r="SCF92" s="293"/>
      <c r="SCG92" s="294"/>
      <c r="SCM92" s="292"/>
      <c r="SCN92" s="293"/>
      <c r="SCO92" s="294"/>
      <c r="SCU92" s="292"/>
      <c r="SCV92" s="293"/>
      <c r="SCW92" s="294"/>
      <c r="SDC92" s="292"/>
      <c r="SDD92" s="293"/>
      <c r="SDE92" s="294"/>
      <c r="SDK92" s="292"/>
      <c r="SDL92" s="293"/>
      <c r="SDM92" s="294"/>
      <c r="SDS92" s="292"/>
      <c r="SDT92" s="293"/>
      <c r="SDU92" s="294"/>
      <c r="SEA92" s="292"/>
      <c r="SEB92" s="293"/>
      <c r="SEC92" s="294"/>
      <c r="SEI92" s="292"/>
      <c r="SEJ92" s="293"/>
      <c r="SEK92" s="294"/>
      <c r="SEQ92" s="292"/>
      <c r="SER92" s="293"/>
      <c r="SES92" s="294"/>
      <c r="SEY92" s="292"/>
      <c r="SEZ92" s="293"/>
      <c r="SFA92" s="294"/>
      <c r="SFG92" s="292"/>
      <c r="SFH92" s="293"/>
      <c r="SFI92" s="294"/>
      <c r="SFO92" s="292"/>
      <c r="SFP92" s="293"/>
      <c r="SFQ92" s="294"/>
      <c r="SFW92" s="292"/>
      <c r="SFX92" s="293"/>
      <c r="SFY92" s="294"/>
      <c r="SGE92" s="292"/>
      <c r="SGF92" s="293"/>
      <c r="SGG92" s="294"/>
      <c r="SGM92" s="292"/>
      <c r="SGN92" s="293"/>
      <c r="SGO92" s="294"/>
      <c r="SGU92" s="292"/>
      <c r="SGV92" s="293"/>
      <c r="SGW92" s="294"/>
      <c r="SHC92" s="292"/>
      <c r="SHD92" s="293"/>
      <c r="SHE92" s="294"/>
      <c r="SHK92" s="292"/>
      <c r="SHL92" s="293"/>
      <c r="SHM92" s="294"/>
      <c r="SHS92" s="292"/>
      <c r="SHT92" s="293"/>
      <c r="SHU92" s="294"/>
      <c r="SIA92" s="292"/>
      <c r="SIB92" s="293"/>
      <c r="SIC92" s="294"/>
      <c r="SII92" s="292"/>
      <c r="SIJ92" s="293"/>
      <c r="SIK92" s="294"/>
      <c r="SIQ92" s="292"/>
      <c r="SIR92" s="293"/>
      <c r="SIS92" s="294"/>
      <c r="SIY92" s="292"/>
      <c r="SIZ92" s="293"/>
      <c r="SJA92" s="294"/>
      <c r="SJG92" s="292"/>
      <c r="SJH92" s="293"/>
      <c r="SJI92" s="294"/>
      <c r="SJO92" s="292"/>
      <c r="SJP92" s="293"/>
      <c r="SJQ92" s="294"/>
      <c r="SJW92" s="292"/>
      <c r="SJX92" s="293"/>
      <c r="SJY92" s="294"/>
      <c r="SKE92" s="292"/>
      <c r="SKF92" s="293"/>
      <c r="SKG92" s="294"/>
      <c r="SKM92" s="292"/>
      <c r="SKN92" s="293"/>
      <c r="SKO92" s="294"/>
      <c r="SKU92" s="292"/>
      <c r="SKV92" s="293"/>
      <c r="SKW92" s="294"/>
      <c r="SLC92" s="292"/>
      <c r="SLD92" s="293"/>
      <c r="SLE92" s="294"/>
      <c r="SLK92" s="292"/>
      <c r="SLL92" s="293"/>
      <c r="SLM92" s="294"/>
      <c r="SLS92" s="292"/>
      <c r="SLT92" s="293"/>
      <c r="SLU92" s="294"/>
      <c r="SMA92" s="292"/>
      <c r="SMB92" s="293"/>
      <c r="SMC92" s="294"/>
      <c r="SMI92" s="292"/>
      <c r="SMJ92" s="293"/>
      <c r="SMK92" s="294"/>
      <c r="SMQ92" s="292"/>
      <c r="SMR92" s="293"/>
      <c r="SMS92" s="294"/>
      <c r="SMY92" s="292"/>
      <c r="SMZ92" s="293"/>
      <c r="SNA92" s="294"/>
      <c r="SNG92" s="292"/>
      <c r="SNH92" s="293"/>
      <c r="SNI92" s="294"/>
      <c r="SNO92" s="292"/>
      <c r="SNP92" s="293"/>
      <c r="SNQ92" s="294"/>
      <c r="SNW92" s="292"/>
      <c r="SNX92" s="293"/>
      <c r="SNY92" s="294"/>
      <c r="SOE92" s="292"/>
      <c r="SOF92" s="293"/>
      <c r="SOG92" s="294"/>
      <c r="SOM92" s="292"/>
      <c r="SON92" s="293"/>
      <c r="SOO92" s="294"/>
      <c r="SOU92" s="292"/>
      <c r="SOV92" s="293"/>
      <c r="SOW92" s="294"/>
      <c r="SPC92" s="292"/>
      <c r="SPD92" s="293"/>
      <c r="SPE92" s="294"/>
      <c r="SPK92" s="292"/>
      <c r="SPL92" s="293"/>
      <c r="SPM92" s="294"/>
      <c r="SPS92" s="292"/>
      <c r="SPT92" s="293"/>
      <c r="SPU92" s="294"/>
      <c r="SQA92" s="292"/>
      <c r="SQB92" s="293"/>
      <c r="SQC92" s="294"/>
      <c r="SQI92" s="292"/>
      <c r="SQJ92" s="293"/>
      <c r="SQK92" s="294"/>
      <c r="SQQ92" s="292"/>
      <c r="SQR92" s="293"/>
      <c r="SQS92" s="294"/>
      <c r="SQY92" s="292"/>
      <c r="SQZ92" s="293"/>
      <c r="SRA92" s="294"/>
      <c r="SRG92" s="292"/>
      <c r="SRH92" s="293"/>
      <c r="SRI92" s="294"/>
      <c r="SRO92" s="292"/>
      <c r="SRP92" s="293"/>
      <c r="SRQ92" s="294"/>
      <c r="SRW92" s="292"/>
      <c r="SRX92" s="293"/>
      <c r="SRY92" s="294"/>
      <c r="SSE92" s="292"/>
      <c r="SSF92" s="293"/>
      <c r="SSG92" s="294"/>
      <c r="SSM92" s="292"/>
      <c r="SSN92" s="293"/>
      <c r="SSO92" s="294"/>
      <c r="SSU92" s="292"/>
      <c r="SSV92" s="293"/>
      <c r="SSW92" s="294"/>
      <c r="STC92" s="292"/>
      <c r="STD92" s="293"/>
      <c r="STE92" s="294"/>
      <c r="STK92" s="292"/>
      <c r="STL92" s="293"/>
      <c r="STM92" s="294"/>
      <c r="STS92" s="292"/>
      <c r="STT92" s="293"/>
      <c r="STU92" s="294"/>
      <c r="SUA92" s="292"/>
      <c r="SUB92" s="293"/>
      <c r="SUC92" s="294"/>
      <c r="SUI92" s="292"/>
      <c r="SUJ92" s="293"/>
      <c r="SUK92" s="294"/>
      <c r="SUQ92" s="292"/>
      <c r="SUR92" s="293"/>
      <c r="SUS92" s="294"/>
      <c r="SUY92" s="292"/>
      <c r="SUZ92" s="293"/>
      <c r="SVA92" s="294"/>
      <c r="SVG92" s="292"/>
      <c r="SVH92" s="293"/>
      <c r="SVI92" s="294"/>
      <c r="SVO92" s="292"/>
      <c r="SVP92" s="293"/>
      <c r="SVQ92" s="294"/>
      <c r="SVW92" s="292"/>
      <c r="SVX92" s="293"/>
      <c r="SVY92" s="294"/>
      <c r="SWE92" s="292"/>
      <c r="SWF92" s="293"/>
      <c r="SWG92" s="294"/>
      <c r="SWM92" s="292"/>
      <c r="SWN92" s="293"/>
      <c r="SWO92" s="294"/>
      <c r="SWU92" s="292"/>
      <c r="SWV92" s="293"/>
      <c r="SWW92" s="294"/>
      <c r="SXC92" s="292"/>
      <c r="SXD92" s="293"/>
      <c r="SXE92" s="294"/>
      <c r="SXK92" s="292"/>
      <c r="SXL92" s="293"/>
      <c r="SXM92" s="294"/>
      <c r="SXS92" s="292"/>
      <c r="SXT92" s="293"/>
      <c r="SXU92" s="294"/>
      <c r="SYA92" s="292"/>
      <c r="SYB92" s="293"/>
      <c r="SYC92" s="294"/>
      <c r="SYI92" s="292"/>
      <c r="SYJ92" s="293"/>
      <c r="SYK92" s="294"/>
      <c r="SYQ92" s="292"/>
      <c r="SYR92" s="293"/>
      <c r="SYS92" s="294"/>
      <c r="SYY92" s="292"/>
      <c r="SYZ92" s="293"/>
      <c r="SZA92" s="294"/>
      <c r="SZG92" s="292"/>
      <c r="SZH92" s="293"/>
      <c r="SZI92" s="294"/>
      <c r="SZO92" s="292"/>
      <c r="SZP92" s="293"/>
      <c r="SZQ92" s="294"/>
      <c r="SZW92" s="292"/>
      <c r="SZX92" s="293"/>
      <c r="SZY92" s="294"/>
      <c r="TAE92" s="292"/>
      <c r="TAF92" s="293"/>
      <c r="TAG92" s="294"/>
      <c r="TAM92" s="292"/>
      <c r="TAN92" s="293"/>
      <c r="TAO92" s="294"/>
      <c r="TAU92" s="292"/>
      <c r="TAV92" s="293"/>
      <c r="TAW92" s="294"/>
      <c r="TBC92" s="292"/>
      <c r="TBD92" s="293"/>
      <c r="TBE92" s="294"/>
      <c r="TBK92" s="292"/>
      <c r="TBL92" s="293"/>
      <c r="TBM92" s="294"/>
      <c r="TBS92" s="292"/>
      <c r="TBT92" s="293"/>
      <c r="TBU92" s="294"/>
      <c r="TCA92" s="292"/>
      <c r="TCB92" s="293"/>
      <c r="TCC92" s="294"/>
      <c r="TCI92" s="292"/>
      <c r="TCJ92" s="293"/>
      <c r="TCK92" s="294"/>
      <c r="TCQ92" s="292"/>
      <c r="TCR92" s="293"/>
      <c r="TCS92" s="294"/>
      <c r="TCY92" s="292"/>
      <c r="TCZ92" s="293"/>
      <c r="TDA92" s="294"/>
      <c r="TDG92" s="292"/>
      <c r="TDH92" s="293"/>
      <c r="TDI92" s="294"/>
      <c r="TDO92" s="292"/>
      <c r="TDP92" s="293"/>
      <c r="TDQ92" s="294"/>
      <c r="TDW92" s="292"/>
      <c r="TDX92" s="293"/>
      <c r="TDY92" s="294"/>
      <c r="TEE92" s="292"/>
      <c r="TEF92" s="293"/>
      <c r="TEG92" s="294"/>
      <c r="TEM92" s="292"/>
      <c r="TEN92" s="293"/>
      <c r="TEO92" s="294"/>
      <c r="TEU92" s="292"/>
      <c r="TEV92" s="293"/>
      <c r="TEW92" s="294"/>
      <c r="TFC92" s="292"/>
      <c r="TFD92" s="293"/>
      <c r="TFE92" s="294"/>
      <c r="TFK92" s="292"/>
      <c r="TFL92" s="293"/>
      <c r="TFM92" s="294"/>
      <c r="TFS92" s="292"/>
      <c r="TFT92" s="293"/>
      <c r="TFU92" s="294"/>
      <c r="TGA92" s="292"/>
      <c r="TGB92" s="293"/>
      <c r="TGC92" s="294"/>
      <c r="TGI92" s="292"/>
      <c r="TGJ92" s="293"/>
      <c r="TGK92" s="294"/>
      <c r="TGQ92" s="292"/>
      <c r="TGR92" s="293"/>
      <c r="TGS92" s="294"/>
      <c r="TGY92" s="292"/>
      <c r="TGZ92" s="293"/>
      <c r="THA92" s="294"/>
      <c r="THG92" s="292"/>
      <c r="THH92" s="293"/>
      <c r="THI92" s="294"/>
      <c r="THO92" s="292"/>
      <c r="THP92" s="293"/>
      <c r="THQ92" s="294"/>
      <c r="THW92" s="292"/>
      <c r="THX92" s="293"/>
      <c r="THY92" s="294"/>
      <c r="TIE92" s="292"/>
      <c r="TIF92" s="293"/>
      <c r="TIG92" s="294"/>
      <c r="TIM92" s="292"/>
      <c r="TIN92" s="293"/>
      <c r="TIO92" s="294"/>
      <c r="TIU92" s="292"/>
      <c r="TIV92" s="293"/>
      <c r="TIW92" s="294"/>
      <c r="TJC92" s="292"/>
      <c r="TJD92" s="293"/>
      <c r="TJE92" s="294"/>
      <c r="TJK92" s="292"/>
      <c r="TJL92" s="293"/>
      <c r="TJM92" s="294"/>
      <c r="TJS92" s="292"/>
      <c r="TJT92" s="293"/>
      <c r="TJU92" s="294"/>
      <c r="TKA92" s="292"/>
      <c r="TKB92" s="293"/>
      <c r="TKC92" s="294"/>
      <c r="TKI92" s="292"/>
      <c r="TKJ92" s="293"/>
      <c r="TKK92" s="294"/>
      <c r="TKQ92" s="292"/>
      <c r="TKR92" s="293"/>
      <c r="TKS92" s="294"/>
      <c r="TKY92" s="292"/>
      <c r="TKZ92" s="293"/>
      <c r="TLA92" s="294"/>
      <c r="TLG92" s="292"/>
      <c r="TLH92" s="293"/>
      <c r="TLI92" s="294"/>
      <c r="TLO92" s="292"/>
      <c r="TLP92" s="293"/>
      <c r="TLQ92" s="294"/>
      <c r="TLW92" s="292"/>
      <c r="TLX92" s="293"/>
      <c r="TLY92" s="294"/>
      <c r="TME92" s="292"/>
      <c r="TMF92" s="293"/>
      <c r="TMG92" s="294"/>
      <c r="TMM92" s="292"/>
      <c r="TMN92" s="293"/>
      <c r="TMO92" s="294"/>
      <c r="TMU92" s="292"/>
      <c r="TMV92" s="293"/>
      <c r="TMW92" s="294"/>
      <c r="TNC92" s="292"/>
      <c r="TND92" s="293"/>
      <c r="TNE92" s="294"/>
      <c r="TNK92" s="292"/>
      <c r="TNL92" s="293"/>
      <c r="TNM92" s="294"/>
      <c r="TNS92" s="292"/>
      <c r="TNT92" s="293"/>
      <c r="TNU92" s="294"/>
      <c r="TOA92" s="292"/>
      <c r="TOB92" s="293"/>
      <c r="TOC92" s="294"/>
      <c r="TOI92" s="292"/>
      <c r="TOJ92" s="293"/>
      <c r="TOK92" s="294"/>
      <c r="TOQ92" s="292"/>
      <c r="TOR92" s="293"/>
      <c r="TOS92" s="294"/>
      <c r="TOY92" s="292"/>
      <c r="TOZ92" s="293"/>
      <c r="TPA92" s="294"/>
      <c r="TPG92" s="292"/>
      <c r="TPH92" s="293"/>
      <c r="TPI92" s="294"/>
      <c r="TPO92" s="292"/>
      <c r="TPP92" s="293"/>
      <c r="TPQ92" s="294"/>
      <c r="TPW92" s="292"/>
      <c r="TPX92" s="293"/>
      <c r="TPY92" s="294"/>
      <c r="TQE92" s="292"/>
      <c r="TQF92" s="293"/>
      <c r="TQG92" s="294"/>
      <c r="TQM92" s="292"/>
      <c r="TQN92" s="293"/>
      <c r="TQO92" s="294"/>
      <c r="TQU92" s="292"/>
      <c r="TQV92" s="293"/>
      <c r="TQW92" s="294"/>
      <c r="TRC92" s="292"/>
      <c r="TRD92" s="293"/>
      <c r="TRE92" s="294"/>
      <c r="TRK92" s="292"/>
      <c r="TRL92" s="293"/>
      <c r="TRM92" s="294"/>
      <c r="TRS92" s="292"/>
      <c r="TRT92" s="293"/>
      <c r="TRU92" s="294"/>
      <c r="TSA92" s="292"/>
      <c r="TSB92" s="293"/>
      <c r="TSC92" s="294"/>
      <c r="TSI92" s="292"/>
      <c r="TSJ92" s="293"/>
      <c r="TSK92" s="294"/>
      <c r="TSQ92" s="292"/>
      <c r="TSR92" s="293"/>
      <c r="TSS92" s="294"/>
      <c r="TSY92" s="292"/>
      <c r="TSZ92" s="293"/>
      <c r="TTA92" s="294"/>
      <c r="TTG92" s="292"/>
      <c r="TTH92" s="293"/>
      <c r="TTI92" s="294"/>
      <c r="TTO92" s="292"/>
      <c r="TTP92" s="293"/>
      <c r="TTQ92" s="294"/>
      <c r="TTW92" s="292"/>
      <c r="TTX92" s="293"/>
      <c r="TTY92" s="294"/>
      <c r="TUE92" s="292"/>
      <c r="TUF92" s="293"/>
      <c r="TUG92" s="294"/>
      <c r="TUM92" s="292"/>
      <c r="TUN92" s="293"/>
      <c r="TUO92" s="294"/>
      <c r="TUU92" s="292"/>
      <c r="TUV92" s="293"/>
      <c r="TUW92" s="294"/>
      <c r="TVC92" s="292"/>
      <c r="TVD92" s="293"/>
      <c r="TVE92" s="294"/>
      <c r="TVK92" s="292"/>
      <c r="TVL92" s="293"/>
      <c r="TVM92" s="294"/>
      <c r="TVS92" s="292"/>
      <c r="TVT92" s="293"/>
      <c r="TVU92" s="294"/>
      <c r="TWA92" s="292"/>
      <c r="TWB92" s="293"/>
      <c r="TWC92" s="294"/>
      <c r="TWI92" s="292"/>
      <c r="TWJ92" s="293"/>
      <c r="TWK92" s="294"/>
      <c r="TWQ92" s="292"/>
      <c r="TWR92" s="293"/>
      <c r="TWS92" s="294"/>
      <c r="TWY92" s="292"/>
      <c r="TWZ92" s="293"/>
      <c r="TXA92" s="294"/>
      <c r="TXG92" s="292"/>
      <c r="TXH92" s="293"/>
      <c r="TXI92" s="294"/>
      <c r="TXO92" s="292"/>
      <c r="TXP92" s="293"/>
      <c r="TXQ92" s="294"/>
      <c r="TXW92" s="292"/>
      <c r="TXX92" s="293"/>
      <c r="TXY92" s="294"/>
      <c r="TYE92" s="292"/>
      <c r="TYF92" s="293"/>
      <c r="TYG92" s="294"/>
      <c r="TYM92" s="292"/>
      <c r="TYN92" s="293"/>
      <c r="TYO92" s="294"/>
      <c r="TYU92" s="292"/>
      <c r="TYV92" s="293"/>
      <c r="TYW92" s="294"/>
      <c r="TZC92" s="292"/>
      <c r="TZD92" s="293"/>
      <c r="TZE92" s="294"/>
      <c r="TZK92" s="292"/>
      <c r="TZL92" s="293"/>
      <c r="TZM92" s="294"/>
      <c r="TZS92" s="292"/>
      <c r="TZT92" s="293"/>
      <c r="TZU92" s="294"/>
      <c r="UAA92" s="292"/>
      <c r="UAB92" s="293"/>
      <c r="UAC92" s="294"/>
      <c r="UAI92" s="292"/>
      <c r="UAJ92" s="293"/>
      <c r="UAK92" s="294"/>
      <c r="UAQ92" s="292"/>
      <c r="UAR92" s="293"/>
      <c r="UAS92" s="294"/>
      <c r="UAY92" s="292"/>
      <c r="UAZ92" s="293"/>
      <c r="UBA92" s="294"/>
      <c r="UBG92" s="292"/>
      <c r="UBH92" s="293"/>
      <c r="UBI92" s="294"/>
      <c r="UBO92" s="292"/>
      <c r="UBP92" s="293"/>
      <c r="UBQ92" s="294"/>
      <c r="UBW92" s="292"/>
      <c r="UBX92" s="293"/>
      <c r="UBY92" s="294"/>
      <c r="UCE92" s="292"/>
      <c r="UCF92" s="293"/>
      <c r="UCG92" s="294"/>
      <c r="UCM92" s="292"/>
      <c r="UCN92" s="293"/>
      <c r="UCO92" s="294"/>
      <c r="UCU92" s="292"/>
      <c r="UCV92" s="293"/>
      <c r="UCW92" s="294"/>
      <c r="UDC92" s="292"/>
      <c r="UDD92" s="293"/>
      <c r="UDE92" s="294"/>
      <c r="UDK92" s="292"/>
      <c r="UDL92" s="293"/>
      <c r="UDM92" s="294"/>
      <c r="UDS92" s="292"/>
      <c r="UDT92" s="293"/>
      <c r="UDU92" s="294"/>
      <c r="UEA92" s="292"/>
      <c r="UEB92" s="293"/>
      <c r="UEC92" s="294"/>
      <c r="UEI92" s="292"/>
      <c r="UEJ92" s="293"/>
      <c r="UEK92" s="294"/>
      <c r="UEQ92" s="292"/>
      <c r="UER92" s="293"/>
      <c r="UES92" s="294"/>
      <c r="UEY92" s="292"/>
      <c r="UEZ92" s="293"/>
      <c r="UFA92" s="294"/>
      <c r="UFG92" s="292"/>
      <c r="UFH92" s="293"/>
      <c r="UFI92" s="294"/>
      <c r="UFO92" s="292"/>
      <c r="UFP92" s="293"/>
      <c r="UFQ92" s="294"/>
      <c r="UFW92" s="292"/>
      <c r="UFX92" s="293"/>
      <c r="UFY92" s="294"/>
      <c r="UGE92" s="292"/>
      <c r="UGF92" s="293"/>
      <c r="UGG92" s="294"/>
      <c r="UGM92" s="292"/>
      <c r="UGN92" s="293"/>
      <c r="UGO92" s="294"/>
      <c r="UGU92" s="292"/>
      <c r="UGV92" s="293"/>
      <c r="UGW92" s="294"/>
      <c r="UHC92" s="292"/>
      <c r="UHD92" s="293"/>
      <c r="UHE92" s="294"/>
      <c r="UHK92" s="292"/>
      <c r="UHL92" s="293"/>
      <c r="UHM92" s="294"/>
      <c r="UHS92" s="292"/>
      <c r="UHT92" s="293"/>
      <c r="UHU92" s="294"/>
      <c r="UIA92" s="292"/>
      <c r="UIB92" s="293"/>
      <c r="UIC92" s="294"/>
      <c r="UII92" s="292"/>
      <c r="UIJ92" s="293"/>
      <c r="UIK92" s="294"/>
      <c r="UIQ92" s="292"/>
      <c r="UIR92" s="293"/>
      <c r="UIS92" s="294"/>
      <c r="UIY92" s="292"/>
      <c r="UIZ92" s="293"/>
      <c r="UJA92" s="294"/>
      <c r="UJG92" s="292"/>
      <c r="UJH92" s="293"/>
      <c r="UJI92" s="294"/>
      <c r="UJO92" s="292"/>
      <c r="UJP92" s="293"/>
      <c r="UJQ92" s="294"/>
      <c r="UJW92" s="292"/>
      <c r="UJX92" s="293"/>
      <c r="UJY92" s="294"/>
      <c r="UKE92" s="292"/>
      <c r="UKF92" s="293"/>
      <c r="UKG92" s="294"/>
      <c r="UKM92" s="292"/>
      <c r="UKN92" s="293"/>
      <c r="UKO92" s="294"/>
      <c r="UKU92" s="292"/>
      <c r="UKV92" s="293"/>
      <c r="UKW92" s="294"/>
      <c r="ULC92" s="292"/>
      <c r="ULD92" s="293"/>
      <c r="ULE92" s="294"/>
      <c r="ULK92" s="292"/>
      <c r="ULL92" s="293"/>
      <c r="ULM92" s="294"/>
      <c r="ULS92" s="292"/>
      <c r="ULT92" s="293"/>
      <c r="ULU92" s="294"/>
      <c r="UMA92" s="292"/>
      <c r="UMB92" s="293"/>
      <c r="UMC92" s="294"/>
      <c r="UMI92" s="292"/>
      <c r="UMJ92" s="293"/>
      <c r="UMK92" s="294"/>
      <c r="UMQ92" s="292"/>
      <c r="UMR92" s="293"/>
      <c r="UMS92" s="294"/>
      <c r="UMY92" s="292"/>
      <c r="UMZ92" s="293"/>
      <c r="UNA92" s="294"/>
      <c r="UNG92" s="292"/>
      <c r="UNH92" s="293"/>
      <c r="UNI92" s="294"/>
      <c r="UNO92" s="292"/>
      <c r="UNP92" s="293"/>
      <c r="UNQ92" s="294"/>
      <c r="UNW92" s="292"/>
      <c r="UNX92" s="293"/>
      <c r="UNY92" s="294"/>
      <c r="UOE92" s="292"/>
      <c r="UOF92" s="293"/>
      <c r="UOG92" s="294"/>
      <c r="UOM92" s="292"/>
      <c r="UON92" s="293"/>
      <c r="UOO92" s="294"/>
      <c r="UOU92" s="292"/>
      <c r="UOV92" s="293"/>
      <c r="UOW92" s="294"/>
      <c r="UPC92" s="292"/>
      <c r="UPD92" s="293"/>
      <c r="UPE92" s="294"/>
      <c r="UPK92" s="292"/>
      <c r="UPL92" s="293"/>
      <c r="UPM92" s="294"/>
      <c r="UPS92" s="292"/>
      <c r="UPT92" s="293"/>
      <c r="UPU92" s="294"/>
      <c r="UQA92" s="292"/>
      <c r="UQB92" s="293"/>
      <c r="UQC92" s="294"/>
      <c r="UQI92" s="292"/>
      <c r="UQJ92" s="293"/>
      <c r="UQK92" s="294"/>
      <c r="UQQ92" s="292"/>
      <c r="UQR92" s="293"/>
      <c r="UQS92" s="294"/>
      <c r="UQY92" s="292"/>
      <c r="UQZ92" s="293"/>
      <c r="URA92" s="294"/>
      <c r="URG92" s="292"/>
      <c r="URH92" s="293"/>
      <c r="URI92" s="294"/>
      <c r="URO92" s="292"/>
      <c r="URP92" s="293"/>
      <c r="URQ92" s="294"/>
      <c r="URW92" s="292"/>
      <c r="URX92" s="293"/>
      <c r="URY92" s="294"/>
      <c r="USE92" s="292"/>
      <c r="USF92" s="293"/>
      <c r="USG92" s="294"/>
      <c r="USM92" s="292"/>
      <c r="USN92" s="293"/>
      <c r="USO92" s="294"/>
      <c r="USU92" s="292"/>
      <c r="USV92" s="293"/>
      <c r="USW92" s="294"/>
      <c r="UTC92" s="292"/>
      <c r="UTD92" s="293"/>
      <c r="UTE92" s="294"/>
      <c r="UTK92" s="292"/>
      <c r="UTL92" s="293"/>
      <c r="UTM92" s="294"/>
      <c r="UTS92" s="292"/>
      <c r="UTT92" s="293"/>
      <c r="UTU92" s="294"/>
      <c r="UUA92" s="292"/>
      <c r="UUB92" s="293"/>
      <c r="UUC92" s="294"/>
      <c r="UUI92" s="292"/>
      <c r="UUJ92" s="293"/>
      <c r="UUK92" s="294"/>
      <c r="UUQ92" s="292"/>
      <c r="UUR92" s="293"/>
      <c r="UUS92" s="294"/>
      <c r="UUY92" s="292"/>
      <c r="UUZ92" s="293"/>
      <c r="UVA92" s="294"/>
      <c r="UVG92" s="292"/>
      <c r="UVH92" s="293"/>
      <c r="UVI92" s="294"/>
      <c r="UVO92" s="292"/>
      <c r="UVP92" s="293"/>
      <c r="UVQ92" s="294"/>
      <c r="UVW92" s="292"/>
      <c r="UVX92" s="293"/>
      <c r="UVY92" s="294"/>
      <c r="UWE92" s="292"/>
      <c r="UWF92" s="293"/>
      <c r="UWG92" s="294"/>
      <c r="UWM92" s="292"/>
      <c r="UWN92" s="293"/>
      <c r="UWO92" s="294"/>
      <c r="UWU92" s="292"/>
      <c r="UWV92" s="293"/>
      <c r="UWW92" s="294"/>
      <c r="UXC92" s="292"/>
      <c r="UXD92" s="293"/>
      <c r="UXE92" s="294"/>
      <c r="UXK92" s="292"/>
      <c r="UXL92" s="293"/>
      <c r="UXM92" s="294"/>
      <c r="UXS92" s="292"/>
      <c r="UXT92" s="293"/>
      <c r="UXU92" s="294"/>
      <c r="UYA92" s="292"/>
      <c r="UYB92" s="293"/>
      <c r="UYC92" s="294"/>
      <c r="UYI92" s="292"/>
      <c r="UYJ92" s="293"/>
      <c r="UYK92" s="294"/>
      <c r="UYQ92" s="292"/>
      <c r="UYR92" s="293"/>
      <c r="UYS92" s="294"/>
      <c r="UYY92" s="292"/>
      <c r="UYZ92" s="293"/>
      <c r="UZA92" s="294"/>
      <c r="UZG92" s="292"/>
      <c r="UZH92" s="293"/>
      <c r="UZI92" s="294"/>
      <c r="UZO92" s="292"/>
      <c r="UZP92" s="293"/>
      <c r="UZQ92" s="294"/>
      <c r="UZW92" s="292"/>
      <c r="UZX92" s="293"/>
      <c r="UZY92" s="294"/>
      <c r="VAE92" s="292"/>
      <c r="VAF92" s="293"/>
      <c r="VAG92" s="294"/>
      <c r="VAM92" s="292"/>
      <c r="VAN92" s="293"/>
      <c r="VAO92" s="294"/>
      <c r="VAU92" s="292"/>
      <c r="VAV92" s="293"/>
      <c r="VAW92" s="294"/>
      <c r="VBC92" s="292"/>
      <c r="VBD92" s="293"/>
      <c r="VBE92" s="294"/>
      <c r="VBK92" s="292"/>
      <c r="VBL92" s="293"/>
      <c r="VBM92" s="294"/>
      <c r="VBS92" s="292"/>
      <c r="VBT92" s="293"/>
      <c r="VBU92" s="294"/>
      <c r="VCA92" s="292"/>
      <c r="VCB92" s="293"/>
      <c r="VCC92" s="294"/>
      <c r="VCI92" s="292"/>
      <c r="VCJ92" s="293"/>
      <c r="VCK92" s="294"/>
      <c r="VCQ92" s="292"/>
      <c r="VCR92" s="293"/>
      <c r="VCS92" s="294"/>
      <c r="VCY92" s="292"/>
      <c r="VCZ92" s="293"/>
      <c r="VDA92" s="294"/>
      <c r="VDG92" s="292"/>
      <c r="VDH92" s="293"/>
      <c r="VDI92" s="294"/>
      <c r="VDO92" s="292"/>
      <c r="VDP92" s="293"/>
      <c r="VDQ92" s="294"/>
      <c r="VDW92" s="292"/>
      <c r="VDX92" s="293"/>
      <c r="VDY92" s="294"/>
      <c r="VEE92" s="292"/>
      <c r="VEF92" s="293"/>
      <c r="VEG92" s="294"/>
      <c r="VEM92" s="292"/>
      <c r="VEN92" s="293"/>
      <c r="VEO92" s="294"/>
      <c r="VEU92" s="292"/>
      <c r="VEV92" s="293"/>
      <c r="VEW92" s="294"/>
      <c r="VFC92" s="292"/>
      <c r="VFD92" s="293"/>
      <c r="VFE92" s="294"/>
      <c r="VFK92" s="292"/>
      <c r="VFL92" s="293"/>
      <c r="VFM92" s="294"/>
      <c r="VFS92" s="292"/>
      <c r="VFT92" s="293"/>
      <c r="VFU92" s="294"/>
      <c r="VGA92" s="292"/>
      <c r="VGB92" s="293"/>
      <c r="VGC92" s="294"/>
      <c r="VGI92" s="292"/>
      <c r="VGJ92" s="293"/>
      <c r="VGK92" s="294"/>
      <c r="VGQ92" s="292"/>
      <c r="VGR92" s="293"/>
      <c r="VGS92" s="294"/>
      <c r="VGY92" s="292"/>
      <c r="VGZ92" s="293"/>
      <c r="VHA92" s="294"/>
      <c r="VHG92" s="292"/>
      <c r="VHH92" s="293"/>
      <c r="VHI92" s="294"/>
      <c r="VHO92" s="292"/>
      <c r="VHP92" s="293"/>
      <c r="VHQ92" s="294"/>
      <c r="VHW92" s="292"/>
      <c r="VHX92" s="293"/>
      <c r="VHY92" s="294"/>
      <c r="VIE92" s="292"/>
      <c r="VIF92" s="293"/>
      <c r="VIG92" s="294"/>
      <c r="VIM92" s="292"/>
      <c r="VIN92" s="293"/>
      <c r="VIO92" s="294"/>
      <c r="VIU92" s="292"/>
      <c r="VIV92" s="293"/>
      <c r="VIW92" s="294"/>
      <c r="VJC92" s="292"/>
      <c r="VJD92" s="293"/>
      <c r="VJE92" s="294"/>
      <c r="VJK92" s="292"/>
      <c r="VJL92" s="293"/>
      <c r="VJM92" s="294"/>
      <c r="VJS92" s="292"/>
      <c r="VJT92" s="293"/>
      <c r="VJU92" s="294"/>
      <c r="VKA92" s="292"/>
      <c r="VKB92" s="293"/>
      <c r="VKC92" s="294"/>
      <c r="VKI92" s="292"/>
      <c r="VKJ92" s="293"/>
      <c r="VKK92" s="294"/>
      <c r="VKQ92" s="292"/>
      <c r="VKR92" s="293"/>
      <c r="VKS92" s="294"/>
      <c r="VKY92" s="292"/>
      <c r="VKZ92" s="293"/>
      <c r="VLA92" s="294"/>
      <c r="VLG92" s="292"/>
      <c r="VLH92" s="293"/>
      <c r="VLI92" s="294"/>
      <c r="VLO92" s="292"/>
      <c r="VLP92" s="293"/>
      <c r="VLQ92" s="294"/>
      <c r="VLW92" s="292"/>
      <c r="VLX92" s="293"/>
      <c r="VLY92" s="294"/>
      <c r="VME92" s="292"/>
      <c r="VMF92" s="293"/>
      <c r="VMG92" s="294"/>
      <c r="VMM92" s="292"/>
      <c r="VMN92" s="293"/>
      <c r="VMO92" s="294"/>
      <c r="VMU92" s="292"/>
      <c r="VMV92" s="293"/>
      <c r="VMW92" s="294"/>
      <c r="VNC92" s="292"/>
      <c r="VND92" s="293"/>
      <c r="VNE92" s="294"/>
      <c r="VNK92" s="292"/>
      <c r="VNL92" s="293"/>
      <c r="VNM92" s="294"/>
      <c r="VNS92" s="292"/>
      <c r="VNT92" s="293"/>
      <c r="VNU92" s="294"/>
      <c r="VOA92" s="292"/>
      <c r="VOB92" s="293"/>
      <c r="VOC92" s="294"/>
      <c r="VOI92" s="292"/>
      <c r="VOJ92" s="293"/>
      <c r="VOK92" s="294"/>
      <c r="VOQ92" s="292"/>
      <c r="VOR92" s="293"/>
      <c r="VOS92" s="294"/>
      <c r="VOY92" s="292"/>
      <c r="VOZ92" s="293"/>
      <c r="VPA92" s="294"/>
      <c r="VPG92" s="292"/>
      <c r="VPH92" s="293"/>
      <c r="VPI92" s="294"/>
      <c r="VPO92" s="292"/>
      <c r="VPP92" s="293"/>
      <c r="VPQ92" s="294"/>
      <c r="VPW92" s="292"/>
      <c r="VPX92" s="293"/>
      <c r="VPY92" s="294"/>
      <c r="VQE92" s="292"/>
      <c r="VQF92" s="293"/>
      <c r="VQG92" s="294"/>
      <c r="VQM92" s="292"/>
      <c r="VQN92" s="293"/>
      <c r="VQO92" s="294"/>
      <c r="VQU92" s="292"/>
      <c r="VQV92" s="293"/>
      <c r="VQW92" s="294"/>
      <c r="VRC92" s="292"/>
      <c r="VRD92" s="293"/>
      <c r="VRE92" s="294"/>
      <c r="VRK92" s="292"/>
      <c r="VRL92" s="293"/>
      <c r="VRM92" s="294"/>
      <c r="VRS92" s="292"/>
      <c r="VRT92" s="293"/>
      <c r="VRU92" s="294"/>
      <c r="VSA92" s="292"/>
      <c r="VSB92" s="293"/>
      <c r="VSC92" s="294"/>
      <c r="VSI92" s="292"/>
      <c r="VSJ92" s="293"/>
      <c r="VSK92" s="294"/>
      <c r="VSQ92" s="292"/>
      <c r="VSR92" s="293"/>
      <c r="VSS92" s="294"/>
      <c r="VSY92" s="292"/>
      <c r="VSZ92" s="293"/>
      <c r="VTA92" s="294"/>
      <c r="VTG92" s="292"/>
      <c r="VTH92" s="293"/>
      <c r="VTI92" s="294"/>
      <c r="VTO92" s="292"/>
      <c r="VTP92" s="293"/>
      <c r="VTQ92" s="294"/>
      <c r="VTW92" s="292"/>
      <c r="VTX92" s="293"/>
      <c r="VTY92" s="294"/>
      <c r="VUE92" s="292"/>
      <c r="VUF92" s="293"/>
      <c r="VUG92" s="294"/>
      <c r="VUM92" s="292"/>
      <c r="VUN92" s="293"/>
      <c r="VUO92" s="294"/>
      <c r="VUU92" s="292"/>
      <c r="VUV92" s="293"/>
      <c r="VUW92" s="294"/>
      <c r="VVC92" s="292"/>
      <c r="VVD92" s="293"/>
      <c r="VVE92" s="294"/>
      <c r="VVK92" s="292"/>
      <c r="VVL92" s="293"/>
      <c r="VVM92" s="294"/>
      <c r="VVS92" s="292"/>
      <c r="VVT92" s="293"/>
      <c r="VVU92" s="294"/>
      <c r="VWA92" s="292"/>
      <c r="VWB92" s="293"/>
      <c r="VWC92" s="294"/>
      <c r="VWI92" s="292"/>
      <c r="VWJ92" s="293"/>
      <c r="VWK92" s="294"/>
      <c r="VWQ92" s="292"/>
      <c r="VWR92" s="293"/>
      <c r="VWS92" s="294"/>
      <c r="VWY92" s="292"/>
      <c r="VWZ92" s="293"/>
      <c r="VXA92" s="294"/>
      <c r="VXG92" s="292"/>
      <c r="VXH92" s="293"/>
      <c r="VXI92" s="294"/>
      <c r="VXO92" s="292"/>
      <c r="VXP92" s="293"/>
      <c r="VXQ92" s="294"/>
      <c r="VXW92" s="292"/>
      <c r="VXX92" s="293"/>
      <c r="VXY92" s="294"/>
      <c r="VYE92" s="292"/>
      <c r="VYF92" s="293"/>
      <c r="VYG92" s="294"/>
      <c r="VYM92" s="292"/>
      <c r="VYN92" s="293"/>
      <c r="VYO92" s="294"/>
      <c r="VYU92" s="292"/>
      <c r="VYV92" s="293"/>
      <c r="VYW92" s="294"/>
      <c r="VZC92" s="292"/>
      <c r="VZD92" s="293"/>
      <c r="VZE92" s="294"/>
      <c r="VZK92" s="292"/>
      <c r="VZL92" s="293"/>
      <c r="VZM92" s="294"/>
      <c r="VZS92" s="292"/>
      <c r="VZT92" s="293"/>
      <c r="VZU92" s="294"/>
      <c r="WAA92" s="292"/>
      <c r="WAB92" s="293"/>
      <c r="WAC92" s="294"/>
      <c r="WAI92" s="292"/>
      <c r="WAJ92" s="293"/>
      <c r="WAK92" s="294"/>
      <c r="WAQ92" s="292"/>
      <c r="WAR92" s="293"/>
      <c r="WAS92" s="294"/>
      <c r="WAY92" s="292"/>
      <c r="WAZ92" s="293"/>
      <c r="WBA92" s="294"/>
      <c r="WBG92" s="292"/>
      <c r="WBH92" s="293"/>
      <c r="WBI92" s="294"/>
      <c r="WBO92" s="292"/>
      <c r="WBP92" s="293"/>
      <c r="WBQ92" s="294"/>
      <c r="WBW92" s="292"/>
      <c r="WBX92" s="293"/>
      <c r="WBY92" s="294"/>
      <c r="WCE92" s="292"/>
      <c r="WCF92" s="293"/>
      <c r="WCG92" s="294"/>
      <c r="WCM92" s="292"/>
      <c r="WCN92" s="293"/>
      <c r="WCO92" s="294"/>
      <c r="WCU92" s="292"/>
      <c r="WCV92" s="293"/>
      <c r="WCW92" s="294"/>
      <c r="WDC92" s="292"/>
      <c r="WDD92" s="293"/>
      <c r="WDE92" s="294"/>
      <c r="WDK92" s="292"/>
      <c r="WDL92" s="293"/>
      <c r="WDM92" s="294"/>
      <c r="WDS92" s="292"/>
      <c r="WDT92" s="293"/>
      <c r="WDU92" s="294"/>
      <c r="WEA92" s="292"/>
      <c r="WEB92" s="293"/>
      <c r="WEC92" s="294"/>
      <c r="WEI92" s="292"/>
      <c r="WEJ92" s="293"/>
      <c r="WEK92" s="294"/>
      <c r="WEQ92" s="292"/>
      <c r="WER92" s="293"/>
      <c r="WES92" s="294"/>
      <c r="WEY92" s="292"/>
      <c r="WEZ92" s="293"/>
      <c r="WFA92" s="294"/>
      <c r="WFG92" s="292"/>
      <c r="WFH92" s="293"/>
      <c r="WFI92" s="294"/>
      <c r="WFO92" s="292"/>
      <c r="WFP92" s="293"/>
      <c r="WFQ92" s="294"/>
      <c r="WFW92" s="292"/>
      <c r="WFX92" s="293"/>
      <c r="WFY92" s="294"/>
      <c r="WGE92" s="292"/>
      <c r="WGF92" s="293"/>
      <c r="WGG92" s="294"/>
      <c r="WGM92" s="292"/>
      <c r="WGN92" s="293"/>
      <c r="WGO92" s="294"/>
      <c r="WGU92" s="292"/>
      <c r="WGV92" s="293"/>
      <c r="WGW92" s="294"/>
      <c r="WHC92" s="292"/>
      <c r="WHD92" s="293"/>
      <c r="WHE92" s="294"/>
      <c r="WHK92" s="292"/>
      <c r="WHL92" s="293"/>
      <c r="WHM92" s="294"/>
      <c r="WHS92" s="292"/>
      <c r="WHT92" s="293"/>
      <c r="WHU92" s="294"/>
      <c r="WIA92" s="292"/>
      <c r="WIB92" s="293"/>
      <c r="WIC92" s="294"/>
      <c r="WII92" s="292"/>
      <c r="WIJ92" s="293"/>
      <c r="WIK92" s="294"/>
      <c r="WIQ92" s="292"/>
      <c r="WIR92" s="293"/>
      <c r="WIS92" s="294"/>
      <c r="WIY92" s="292"/>
      <c r="WIZ92" s="293"/>
      <c r="WJA92" s="294"/>
      <c r="WJG92" s="292"/>
      <c r="WJH92" s="293"/>
      <c r="WJI92" s="294"/>
      <c r="WJO92" s="292"/>
      <c r="WJP92" s="293"/>
      <c r="WJQ92" s="294"/>
      <c r="WJW92" s="292"/>
      <c r="WJX92" s="293"/>
      <c r="WJY92" s="294"/>
      <c r="WKE92" s="292"/>
      <c r="WKF92" s="293"/>
      <c r="WKG92" s="294"/>
      <c r="WKM92" s="292"/>
      <c r="WKN92" s="293"/>
      <c r="WKO92" s="294"/>
      <c r="WKU92" s="292"/>
      <c r="WKV92" s="293"/>
      <c r="WKW92" s="294"/>
      <c r="WLC92" s="292"/>
      <c r="WLD92" s="293"/>
      <c r="WLE92" s="294"/>
      <c r="WLK92" s="292"/>
      <c r="WLL92" s="293"/>
      <c r="WLM92" s="294"/>
      <c r="WLS92" s="292"/>
      <c r="WLT92" s="293"/>
      <c r="WLU92" s="294"/>
      <c r="WMA92" s="292"/>
      <c r="WMB92" s="293"/>
      <c r="WMC92" s="294"/>
      <c r="WMI92" s="292"/>
      <c r="WMJ92" s="293"/>
      <c r="WMK92" s="294"/>
      <c r="WMQ92" s="292"/>
      <c r="WMR92" s="293"/>
      <c r="WMS92" s="294"/>
      <c r="WMY92" s="292"/>
      <c r="WMZ92" s="293"/>
      <c r="WNA92" s="294"/>
      <c r="WNG92" s="292"/>
      <c r="WNH92" s="293"/>
      <c r="WNI92" s="294"/>
      <c r="WNO92" s="292"/>
      <c r="WNP92" s="293"/>
      <c r="WNQ92" s="294"/>
      <c r="WNW92" s="292"/>
      <c r="WNX92" s="293"/>
      <c r="WNY92" s="294"/>
      <c r="WOE92" s="292"/>
      <c r="WOF92" s="293"/>
      <c r="WOG92" s="294"/>
      <c r="WOM92" s="292"/>
      <c r="WON92" s="293"/>
      <c r="WOO92" s="294"/>
      <c r="WOU92" s="292"/>
      <c r="WOV92" s="293"/>
      <c r="WOW92" s="294"/>
      <c r="WPC92" s="292"/>
      <c r="WPD92" s="293"/>
      <c r="WPE92" s="294"/>
      <c r="WPK92" s="292"/>
      <c r="WPL92" s="293"/>
      <c r="WPM92" s="294"/>
      <c r="WPS92" s="292"/>
      <c r="WPT92" s="293"/>
      <c r="WPU92" s="294"/>
      <c r="WQA92" s="292"/>
      <c r="WQB92" s="293"/>
      <c r="WQC92" s="294"/>
      <c r="WQI92" s="292"/>
      <c r="WQJ92" s="293"/>
      <c r="WQK92" s="294"/>
      <c r="WQQ92" s="292"/>
      <c r="WQR92" s="293"/>
      <c r="WQS92" s="294"/>
      <c r="WQY92" s="292"/>
      <c r="WQZ92" s="293"/>
      <c r="WRA92" s="294"/>
      <c r="WRG92" s="292"/>
      <c r="WRH92" s="293"/>
      <c r="WRI92" s="294"/>
      <c r="WRO92" s="292"/>
      <c r="WRP92" s="293"/>
      <c r="WRQ92" s="294"/>
      <c r="WRW92" s="292"/>
      <c r="WRX92" s="293"/>
      <c r="WRY92" s="294"/>
      <c r="WSE92" s="292"/>
      <c r="WSF92" s="293"/>
      <c r="WSG92" s="294"/>
      <c r="WSM92" s="292"/>
      <c r="WSN92" s="293"/>
      <c r="WSO92" s="294"/>
      <c r="WSU92" s="292"/>
      <c r="WSV92" s="293"/>
      <c r="WSW92" s="294"/>
      <c r="WTC92" s="292"/>
      <c r="WTD92" s="293"/>
      <c r="WTE92" s="294"/>
      <c r="WTK92" s="292"/>
      <c r="WTL92" s="293"/>
      <c r="WTM92" s="294"/>
      <c r="WTS92" s="292"/>
      <c r="WTT92" s="293"/>
      <c r="WTU92" s="294"/>
      <c r="WUA92" s="292"/>
      <c r="WUB92" s="293"/>
      <c r="WUC92" s="294"/>
      <c r="WUI92" s="292"/>
      <c r="WUJ92" s="293"/>
      <c r="WUK92" s="294"/>
      <c r="WUQ92" s="292"/>
      <c r="WUR92" s="293"/>
      <c r="WUS92" s="294"/>
      <c r="WUY92" s="292"/>
      <c r="WUZ92" s="293"/>
      <c r="WVA92" s="294"/>
      <c r="WVG92" s="292"/>
      <c r="WVH92" s="293"/>
      <c r="WVI92" s="294"/>
      <c r="WVO92" s="292"/>
      <c r="WVP92" s="293"/>
      <c r="WVQ92" s="294"/>
      <c r="WVW92" s="292"/>
      <c r="WVX92" s="293"/>
      <c r="WVY92" s="294"/>
      <c r="WWE92" s="292"/>
      <c r="WWF92" s="293"/>
      <c r="WWG92" s="294"/>
      <c r="WWM92" s="292"/>
      <c r="WWN92" s="293"/>
      <c r="WWO92" s="294"/>
      <c r="WWU92" s="292"/>
      <c r="WWV92" s="293"/>
      <c r="WWW92" s="294"/>
      <c r="WXC92" s="292"/>
      <c r="WXD92" s="293"/>
      <c r="WXE92" s="294"/>
      <c r="WXK92" s="292"/>
      <c r="WXL92" s="293"/>
      <c r="WXM92" s="294"/>
      <c r="WXS92" s="292"/>
      <c r="WXT92" s="293"/>
      <c r="WXU92" s="294"/>
      <c r="WYA92" s="292"/>
      <c r="WYB92" s="293"/>
      <c r="WYC92" s="294"/>
      <c r="WYI92" s="292"/>
      <c r="WYJ92" s="293"/>
      <c r="WYK92" s="294"/>
      <c r="WYQ92" s="292"/>
      <c r="WYR92" s="293"/>
      <c r="WYS92" s="294"/>
      <c r="WYY92" s="292"/>
      <c r="WYZ92" s="293"/>
      <c r="WZA92" s="294"/>
      <c r="WZG92" s="292"/>
      <c r="WZH92" s="293"/>
      <c r="WZI92" s="294"/>
      <c r="WZO92" s="292"/>
      <c r="WZP92" s="293"/>
      <c r="WZQ92" s="294"/>
      <c r="WZW92" s="292"/>
      <c r="WZX92" s="293"/>
      <c r="WZY92" s="294"/>
      <c r="XAE92" s="292"/>
      <c r="XAF92" s="293"/>
      <c r="XAG92" s="294"/>
      <c r="XAM92" s="292"/>
      <c r="XAN92" s="293"/>
      <c r="XAO92" s="294"/>
      <c r="XAU92" s="292"/>
      <c r="XAV92" s="293"/>
      <c r="XAW92" s="294"/>
      <c r="XBC92" s="292"/>
      <c r="XBD92" s="293"/>
      <c r="XBE92" s="294"/>
      <c r="XBK92" s="292"/>
      <c r="XBL92" s="293"/>
      <c r="XBM92" s="294"/>
      <c r="XBS92" s="292"/>
      <c r="XBT92" s="293"/>
      <c r="XBU92" s="294"/>
      <c r="XCA92" s="292"/>
      <c r="XCB92" s="293"/>
      <c r="XCC92" s="294"/>
      <c r="XCI92" s="292"/>
      <c r="XCJ92" s="293"/>
      <c r="XCK92" s="294"/>
      <c r="XCQ92" s="292"/>
      <c r="XCR92" s="293"/>
      <c r="XCS92" s="294"/>
      <c r="XCY92" s="292"/>
      <c r="XCZ92" s="293"/>
      <c r="XDA92" s="294"/>
      <c r="XDG92" s="292"/>
      <c r="XDH92" s="293"/>
      <c r="XDI92" s="294"/>
      <c r="XDO92" s="292"/>
      <c r="XDP92" s="293"/>
      <c r="XDQ92" s="294"/>
      <c r="XDW92" s="292"/>
      <c r="XDX92" s="293"/>
      <c r="XDY92" s="294"/>
      <c r="XEE92" s="292"/>
      <c r="XEF92" s="293"/>
      <c r="XEG92" s="294"/>
      <c r="XEM92" s="292"/>
      <c r="XEN92" s="293"/>
      <c r="XEO92" s="294"/>
      <c r="XEU92" s="292"/>
      <c r="XEV92" s="293"/>
      <c r="XEW92" s="294"/>
    </row>
    <row r="93" spans="1:16377" ht="15" customHeight="1" x14ac:dyDescent="0.35">
      <c r="A93" s="402"/>
      <c r="B93" s="308"/>
      <c r="C93" s="308"/>
      <c r="D93" s="347"/>
      <c r="E93" s="347"/>
      <c r="F93" s="347"/>
      <c r="G93" s="347"/>
    </row>
    <row r="94" spans="1:16377" ht="27" customHeight="1" x14ac:dyDescent="0.3">
      <c r="A94" s="428" t="s">
        <v>1387</v>
      </c>
      <c r="B94" s="428"/>
      <c r="C94" s="428"/>
      <c r="D94" s="428"/>
      <c r="E94" s="428"/>
      <c r="F94" s="428"/>
      <c r="G94" s="428"/>
    </row>
    <row r="95" spans="1:16377" ht="12.75" customHeight="1" x14ac:dyDescent="0.3">
      <c r="A95" s="431" t="s">
        <v>1337</v>
      </c>
      <c r="B95" s="431"/>
      <c r="C95" s="431"/>
      <c r="D95" s="431"/>
      <c r="E95" s="431"/>
      <c r="F95" s="431"/>
      <c r="G95" s="431"/>
    </row>
    <row r="96" spans="1:16377" ht="12.75" customHeight="1" x14ac:dyDescent="0.3">
      <c r="A96" s="378"/>
      <c r="B96" s="378"/>
      <c r="C96" s="378"/>
      <c r="D96" s="378"/>
      <c r="E96" s="378"/>
      <c r="F96" s="378"/>
      <c r="G96" s="378"/>
    </row>
    <row r="97" spans="1:8" s="372" customFormat="1" ht="15" customHeight="1" x14ac:dyDescent="0.3">
      <c r="A97" s="432" t="s">
        <v>1038</v>
      </c>
      <c r="B97" s="434" t="s">
        <v>1037</v>
      </c>
      <c r="C97" s="433" t="s">
        <v>91</v>
      </c>
      <c r="D97" s="433" t="s">
        <v>90</v>
      </c>
      <c r="E97" s="433" t="s">
        <v>89</v>
      </c>
      <c r="F97" s="433" t="s">
        <v>1186</v>
      </c>
      <c r="G97" s="433"/>
      <c r="H97" s="271"/>
    </row>
    <row r="98" spans="1:8" ht="50.15" customHeight="1" x14ac:dyDescent="0.3">
      <c r="A98" s="432"/>
      <c r="B98" s="434"/>
      <c r="C98" s="433"/>
      <c r="D98" s="433"/>
      <c r="E98" s="433"/>
      <c r="F98" s="273" t="s">
        <v>88</v>
      </c>
      <c r="G98" s="273" t="s">
        <v>87</v>
      </c>
    </row>
    <row r="99" spans="1:8" x14ac:dyDescent="0.3">
      <c r="A99" s="274"/>
      <c r="B99" s="275"/>
      <c r="C99" s="276"/>
      <c r="D99" s="276"/>
      <c r="E99" s="276"/>
      <c r="F99" s="276"/>
      <c r="G99" s="365"/>
    </row>
    <row r="100" spans="1:8" s="279" customFormat="1" x14ac:dyDescent="0.3">
      <c r="A100" s="445" t="s">
        <v>1027</v>
      </c>
      <c r="B100" s="354" t="s">
        <v>1028</v>
      </c>
      <c r="C100" s="575">
        <v>1393.9639999999999</v>
      </c>
      <c r="D100" s="576">
        <v>149.7978</v>
      </c>
      <c r="E100" s="577">
        <f>IF(C100&lt;&gt;"",D100/C100*100,"")</f>
        <v>10.746174219707253</v>
      </c>
      <c r="F100" s="576">
        <v>1147.549</v>
      </c>
      <c r="G100" s="578">
        <v>1640.3789999999999</v>
      </c>
      <c r="H100" s="380"/>
    </row>
    <row r="101" spans="1:8" ht="12.75" customHeight="1" x14ac:dyDescent="0.3">
      <c r="A101" s="377" t="s">
        <v>1135</v>
      </c>
      <c r="B101" s="298" t="s">
        <v>1134</v>
      </c>
      <c r="C101" s="579">
        <v>1317.952</v>
      </c>
      <c r="D101" s="579">
        <v>163.48390000000001</v>
      </c>
      <c r="E101" s="580">
        <v>12.404389537706988</v>
      </c>
      <c r="F101" s="579">
        <v>1049.0239999999999</v>
      </c>
      <c r="G101" s="581">
        <v>1586.88</v>
      </c>
      <c r="H101" s="380"/>
    </row>
    <row r="102" spans="1:8" ht="28" x14ac:dyDescent="0.3">
      <c r="A102" s="377" t="s">
        <v>209</v>
      </c>
      <c r="B102" s="298" t="s">
        <v>1133</v>
      </c>
      <c r="C102" s="579">
        <v>2020.114</v>
      </c>
      <c r="D102" s="579">
        <v>426.56920000000002</v>
      </c>
      <c r="E102" s="580">
        <v>21.116095428277813</v>
      </c>
      <c r="F102" s="579">
        <v>1318.415</v>
      </c>
      <c r="G102" s="581">
        <v>2721.8130000000001</v>
      </c>
      <c r="H102" s="380"/>
    </row>
    <row r="103" spans="1:8" ht="28" x14ac:dyDescent="0.3">
      <c r="A103" s="377" t="s">
        <v>1026</v>
      </c>
      <c r="B103" s="298" t="s">
        <v>1132</v>
      </c>
      <c r="C103" s="579">
        <v>1137.8989999999999</v>
      </c>
      <c r="D103" s="579">
        <v>294.31169999999997</v>
      </c>
      <c r="E103" s="580">
        <v>25.86448357894681</v>
      </c>
      <c r="F103" s="579">
        <v>653.76149999999996</v>
      </c>
      <c r="G103" s="581">
        <v>1622.037</v>
      </c>
      <c r="H103" s="380"/>
    </row>
    <row r="104" spans="1:8" x14ac:dyDescent="0.3">
      <c r="A104" s="377"/>
      <c r="B104" s="298"/>
      <c r="C104" s="596"/>
      <c r="D104" s="579"/>
      <c r="E104" s="580"/>
      <c r="F104" s="579"/>
      <c r="G104" s="581"/>
    </row>
    <row r="105" spans="1:8" s="279" customFormat="1" x14ac:dyDescent="0.3">
      <c r="A105" s="445" t="s">
        <v>192</v>
      </c>
      <c r="B105" s="354" t="s">
        <v>1025</v>
      </c>
      <c r="C105" s="575">
        <v>1207.796</v>
      </c>
      <c r="D105" s="575">
        <v>535.35170000000005</v>
      </c>
      <c r="E105" s="582">
        <v>44.324679002083137</v>
      </c>
      <c r="F105" s="575">
        <v>327.15129999999999</v>
      </c>
      <c r="G105" s="583">
        <v>2088.44</v>
      </c>
      <c r="H105" s="380"/>
    </row>
    <row r="106" spans="1:8" x14ac:dyDescent="0.3">
      <c r="A106" s="459"/>
      <c r="B106" s="392"/>
      <c r="C106" s="575"/>
      <c r="D106" s="579"/>
      <c r="E106" s="580"/>
      <c r="F106" s="579"/>
      <c r="G106" s="583"/>
    </row>
    <row r="107" spans="1:8" ht="25.5" customHeight="1" x14ac:dyDescent="0.3">
      <c r="A107" s="445" t="s">
        <v>1023</v>
      </c>
      <c r="B107" s="354" t="s">
        <v>1121</v>
      </c>
      <c r="C107" s="575">
        <v>3691.2269999999999</v>
      </c>
      <c r="D107" s="576">
        <v>1443.9829999999999</v>
      </c>
      <c r="E107" s="577">
        <f t="shared" ref="E107:E114" si="2">IF(C107&lt;&gt;"",D107/C107*100,"")</f>
        <v>39.119322653415786</v>
      </c>
      <c r="F107" s="576">
        <v>1315.8989999999999</v>
      </c>
      <c r="G107" s="578">
        <v>6066.5550000000003</v>
      </c>
      <c r="H107" s="380"/>
    </row>
    <row r="108" spans="1:8" ht="26.5" customHeight="1" x14ac:dyDescent="0.3">
      <c r="A108" s="377" t="s">
        <v>1022</v>
      </c>
      <c r="B108" s="588" t="s">
        <v>1267</v>
      </c>
      <c r="C108" s="579">
        <v>2400.174</v>
      </c>
      <c r="D108" s="584">
        <v>351.1352</v>
      </c>
      <c r="E108" s="585">
        <f t="shared" si="2"/>
        <v>14.629572689313358</v>
      </c>
      <c r="F108" s="586">
        <v>1822.5630000000001</v>
      </c>
      <c r="G108" s="587">
        <v>2977.7849999999999</v>
      </c>
      <c r="H108" s="375"/>
    </row>
    <row r="109" spans="1:8" ht="28" x14ac:dyDescent="0.3">
      <c r="A109" s="377" t="s">
        <v>1190</v>
      </c>
      <c r="B109" s="588" t="s">
        <v>1270</v>
      </c>
      <c r="C109" s="579">
        <v>2348.5819999999999</v>
      </c>
      <c r="D109" s="584">
        <v>477.80360000000002</v>
      </c>
      <c r="E109" s="585">
        <f t="shared" si="2"/>
        <v>20.344343948816775</v>
      </c>
      <c r="F109" s="586">
        <v>1562.604</v>
      </c>
      <c r="G109" s="587">
        <v>3134.5610000000001</v>
      </c>
      <c r="H109" s="375"/>
    </row>
    <row r="110" spans="1:8" ht="28" x14ac:dyDescent="0.3">
      <c r="A110" s="377" t="s">
        <v>1191</v>
      </c>
      <c r="B110" s="588" t="s">
        <v>1272</v>
      </c>
      <c r="C110" s="579">
        <v>7555.326</v>
      </c>
      <c r="D110" s="584">
        <v>4891.4040000000005</v>
      </c>
      <c r="E110" s="585">
        <f t="shared" si="2"/>
        <v>64.741137576326963</v>
      </c>
      <c r="F110" s="586">
        <v>-490.94970000000001</v>
      </c>
      <c r="G110" s="587">
        <v>15601.6</v>
      </c>
      <c r="H110" s="375"/>
    </row>
    <row r="111" spans="1:8" x14ac:dyDescent="0.3">
      <c r="A111" s="377" t="s">
        <v>1192</v>
      </c>
      <c r="B111" s="588" t="s">
        <v>1275</v>
      </c>
      <c r="C111" s="579">
        <v>4443.1530000000002</v>
      </c>
      <c r="D111" s="584">
        <v>1796.134</v>
      </c>
      <c r="E111" s="585">
        <f t="shared" si="2"/>
        <v>40.424761425051081</v>
      </c>
      <c r="F111" s="586">
        <v>1488.5429999999999</v>
      </c>
      <c r="G111" s="587">
        <v>7397.7629999999999</v>
      </c>
      <c r="H111" s="375"/>
    </row>
    <row r="112" spans="1:8" s="279" customFormat="1" ht="25.5" customHeight="1" x14ac:dyDescent="0.3">
      <c r="A112" s="377" t="s">
        <v>1193</v>
      </c>
      <c r="B112" s="588" t="s">
        <v>1276</v>
      </c>
      <c r="C112" s="579">
        <v>1004.415</v>
      </c>
      <c r="D112" s="584">
        <v>314.84070000000003</v>
      </c>
      <c r="E112" s="585">
        <f t="shared" si="2"/>
        <v>31.345678827974499</v>
      </c>
      <c r="F112" s="586">
        <v>486.50740000000002</v>
      </c>
      <c r="G112" s="587">
        <v>1522.3219999999999</v>
      </c>
      <c r="H112" s="375"/>
    </row>
    <row r="113" spans="1:8" ht="38.25" customHeight="1" x14ac:dyDescent="0.3">
      <c r="A113" s="377" t="s">
        <v>1194</v>
      </c>
      <c r="B113" s="588" t="s">
        <v>1280</v>
      </c>
      <c r="C113" s="579">
        <v>2756.5569999999998</v>
      </c>
      <c r="D113" s="584">
        <v>449.82330000000002</v>
      </c>
      <c r="E113" s="585">
        <f t="shared" si="2"/>
        <v>16.318302142854293</v>
      </c>
      <c r="F113" s="586">
        <v>2016.605</v>
      </c>
      <c r="G113" s="587">
        <v>3496.5079999999998</v>
      </c>
      <c r="H113" s="375"/>
    </row>
    <row r="114" spans="1:8" x14ac:dyDescent="0.3">
      <c r="A114" s="377" t="s">
        <v>1195</v>
      </c>
      <c r="B114" s="588" t="s">
        <v>1281</v>
      </c>
      <c r="C114" s="579">
        <v>1049.6690000000001</v>
      </c>
      <c r="D114" s="584">
        <v>128.61019999999999</v>
      </c>
      <c r="E114" s="585">
        <f t="shared" si="2"/>
        <v>12.252452916109743</v>
      </c>
      <c r="F114" s="586">
        <v>838.10739999999998</v>
      </c>
      <c r="G114" s="587">
        <v>1261.231</v>
      </c>
      <c r="H114" s="375"/>
    </row>
    <row r="115" spans="1:8" x14ac:dyDescent="0.3">
      <c r="A115" s="377"/>
      <c r="B115" s="588"/>
      <c r="C115" s="579"/>
      <c r="D115" s="584"/>
      <c r="E115" s="585"/>
      <c r="F115" s="586"/>
      <c r="G115" s="587"/>
      <c r="H115" s="375"/>
    </row>
    <row r="116" spans="1:8" ht="27.75" customHeight="1" x14ac:dyDescent="0.3">
      <c r="A116" s="445" t="s">
        <v>1020</v>
      </c>
      <c r="B116" s="354" t="s">
        <v>1148</v>
      </c>
      <c r="C116" s="575">
        <v>2593.2689999999998</v>
      </c>
      <c r="D116" s="576">
        <v>394.59440000000001</v>
      </c>
      <c r="E116" s="577">
        <f t="shared" ref="E116:E124" si="3">IF(C116&lt;&gt;"",D116/C116*100,"")</f>
        <v>15.216099833839067</v>
      </c>
      <c r="F116" s="576">
        <v>1944.1669999999999</v>
      </c>
      <c r="G116" s="578">
        <v>3242.37</v>
      </c>
      <c r="H116" s="380"/>
    </row>
    <row r="117" spans="1:8" ht="40.5" customHeight="1" x14ac:dyDescent="0.3">
      <c r="A117" s="377" t="s">
        <v>1019</v>
      </c>
      <c r="B117" s="588" t="s">
        <v>1285</v>
      </c>
      <c r="C117" s="579">
        <v>467.9667</v>
      </c>
      <c r="D117" s="584">
        <v>132.8082</v>
      </c>
      <c r="E117" s="585">
        <f t="shared" si="3"/>
        <v>28.379839847578896</v>
      </c>
      <c r="F117" s="586">
        <v>249.49950000000001</v>
      </c>
      <c r="G117" s="587">
        <v>686.43389999999999</v>
      </c>
      <c r="H117" s="375"/>
    </row>
    <row r="118" spans="1:8" ht="12.75" customHeight="1" x14ac:dyDescent="0.3">
      <c r="A118" s="377" t="s">
        <v>1017</v>
      </c>
      <c r="B118" s="588" t="s">
        <v>1018</v>
      </c>
      <c r="C118" s="579">
        <v>498.30509999999998</v>
      </c>
      <c r="D118" s="584">
        <v>117.0132</v>
      </c>
      <c r="E118" s="585">
        <f t="shared" si="3"/>
        <v>23.482240097482446</v>
      </c>
      <c r="F118" s="586">
        <v>305.82029999999997</v>
      </c>
      <c r="G118" s="587">
        <v>690.78980000000001</v>
      </c>
      <c r="H118" s="375"/>
    </row>
    <row r="119" spans="1:8" ht="28" x14ac:dyDescent="0.3">
      <c r="A119" s="377" t="s">
        <v>135</v>
      </c>
      <c r="B119" s="588" t="s">
        <v>1344</v>
      </c>
      <c r="C119" s="579">
        <v>1760.883</v>
      </c>
      <c r="D119" s="584">
        <v>425.76589999999999</v>
      </c>
      <c r="E119" s="585">
        <f t="shared" si="3"/>
        <v>24.179113547010221</v>
      </c>
      <c r="F119" s="586">
        <v>1060.5050000000001</v>
      </c>
      <c r="G119" s="587">
        <v>2461.2600000000002</v>
      </c>
      <c r="H119" s="375"/>
    </row>
    <row r="120" spans="1:8" x14ac:dyDescent="0.3">
      <c r="A120" s="377" t="s">
        <v>1196</v>
      </c>
      <c r="B120" s="588" t="s">
        <v>1290</v>
      </c>
      <c r="C120" s="579">
        <v>171.60230000000001</v>
      </c>
      <c r="D120" s="584">
        <v>19.241700000000002</v>
      </c>
      <c r="E120" s="585">
        <f t="shared" si="3"/>
        <v>11.212961597834061</v>
      </c>
      <c r="F120" s="586">
        <v>139.94999999999999</v>
      </c>
      <c r="G120" s="587">
        <v>203.25460000000001</v>
      </c>
      <c r="H120" s="375"/>
    </row>
    <row r="121" spans="1:8" x14ac:dyDescent="0.3">
      <c r="A121" s="377" t="s">
        <v>1197</v>
      </c>
      <c r="B121" s="588" t="s">
        <v>1292</v>
      </c>
      <c r="C121" s="579">
        <v>85.725250000000003</v>
      </c>
      <c r="D121" s="584">
        <v>53.774439999999998</v>
      </c>
      <c r="E121" s="585">
        <f t="shared" si="3"/>
        <v>62.728822604775139</v>
      </c>
      <c r="F121" s="586">
        <v>-2.732783</v>
      </c>
      <c r="G121" s="587">
        <v>174.1833</v>
      </c>
      <c r="H121" s="375"/>
    </row>
    <row r="122" spans="1:8" ht="56" x14ac:dyDescent="0.3">
      <c r="A122" s="377" t="s">
        <v>1347</v>
      </c>
      <c r="B122" s="588" t="s">
        <v>1293</v>
      </c>
      <c r="C122" s="579">
        <v>2439.5300000000002</v>
      </c>
      <c r="D122" s="584">
        <v>1123.8150000000001</v>
      </c>
      <c r="E122" s="585">
        <f t="shared" si="3"/>
        <v>46.066865338815262</v>
      </c>
      <c r="F122" s="586">
        <v>590.8741</v>
      </c>
      <c r="G122" s="587">
        <v>4288.1859999999997</v>
      </c>
      <c r="H122" s="375"/>
    </row>
    <row r="123" spans="1:8" x14ac:dyDescent="0.3">
      <c r="A123" s="377" t="s">
        <v>120</v>
      </c>
      <c r="B123" s="588" t="s">
        <v>1294</v>
      </c>
      <c r="C123" s="579">
        <v>3680.4059999999999</v>
      </c>
      <c r="D123" s="584">
        <v>640.44960000000003</v>
      </c>
      <c r="E123" s="585">
        <f t="shared" si="3"/>
        <v>17.401601888487303</v>
      </c>
      <c r="F123" s="586">
        <v>2626.877</v>
      </c>
      <c r="G123" s="587">
        <v>4733.9340000000002</v>
      </c>
      <c r="H123" s="375"/>
    </row>
    <row r="124" spans="1:8" x14ac:dyDescent="0.3">
      <c r="A124" s="377" t="s">
        <v>96</v>
      </c>
      <c r="B124" s="588" t="s">
        <v>1297</v>
      </c>
      <c r="C124" s="579">
        <v>4077.625</v>
      </c>
      <c r="D124" s="584">
        <v>1036.335</v>
      </c>
      <c r="E124" s="585">
        <f t="shared" si="3"/>
        <v>25.415162012200732</v>
      </c>
      <c r="F124" s="586">
        <v>2372.8710000000001</v>
      </c>
      <c r="G124" s="587">
        <v>5782.3789999999999</v>
      </c>
      <c r="H124" s="375"/>
    </row>
    <row r="125" spans="1:8" ht="12" customHeight="1" x14ac:dyDescent="0.3">
      <c r="A125" s="448"/>
      <c r="B125" s="367"/>
      <c r="C125" s="568"/>
      <c r="D125" s="569"/>
      <c r="E125" s="569"/>
      <c r="F125" s="569"/>
      <c r="G125" s="595"/>
    </row>
    <row r="126" spans="1:8" ht="12" customHeight="1" x14ac:dyDescent="0.3">
      <c r="A126" s="315"/>
      <c r="B126" s="315"/>
      <c r="C126" s="315"/>
      <c r="D126" s="315"/>
      <c r="E126" s="315"/>
      <c r="F126" s="315"/>
      <c r="G126" s="315"/>
    </row>
    <row r="127" spans="1:8" s="372" customFormat="1" ht="33" customHeight="1" x14ac:dyDescent="0.3">
      <c r="A127" s="452" t="s">
        <v>1387</v>
      </c>
      <c r="B127" s="452"/>
      <c r="C127" s="452"/>
      <c r="D127" s="452"/>
      <c r="E127" s="452"/>
      <c r="F127" s="452"/>
      <c r="G127" s="452"/>
      <c r="H127" s="271"/>
    </row>
    <row r="128" spans="1:8" ht="15.5" customHeight="1" x14ac:dyDescent="0.3">
      <c r="A128" s="453" t="s">
        <v>1337</v>
      </c>
      <c r="B128" s="453"/>
      <c r="C128" s="453"/>
      <c r="D128" s="453"/>
      <c r="E128" s="453"/>
      <c r="F128" s="453"/>
      <c r="G128" s="453"/>
    </row>
    <row r="129" spans="1:8" x14ac:dyDescent="0.3">
      <c r="A129" s="539"/>
      <c r="B129" s="539"/>
      <c r="C129" s="539"/>
      <c r="D129" s="539"/>
      <c r="E129" s="539"/>
      <c r="F129" s="539"/>
      <c r="G129" s="539"/>
    </row>
    <row r="130" spans="1:8" ht="24" customHeight="1" x14ac:dyDescent="0.3">
      <c r="A130" s="432" t="s">
        <v>1038</v>
      </c>
      <c r="B130" s="434" t="s">
        <v>1037</v>
      </c>
      <c r="C130" s="433" t="s">
        <v>91</v>
      </c>
      <c r="D130" s="433" t="s">
        <v>90</v>
      </c>
      <c r="E130" s="433" t="s">
        <v>89</v>
      </c>
      <c r="F130" s="433" t="s">
        <v>1186</v>
      </c>
      <c r="G130" s="433"/>
      <c r="H130" s="380"/>
    </row>
    <row r="131" spans="1:8" ht="39.5" customHeight="1" x14ac:dyDescent="0.3">
      <c r="A131" s="432"/>
      <c r="B131" s="434"/>
      <c r="C131" s="433"/>
      <c r="D131" s="433"/>
      <c r="E131" s="433"/>
      <c r="F131" s="273" t="s">
        <v>88</v>
      </c>
      <c r="G131" s="273" t="s">
        <v>87</v>
      </c>
    </row>
    <row r="132" spans="1:8" x14ac:dyDescent="0.3">
      <c r="A132" s="506"/>
      <c r="B132" s="396"/>
      <c r="C132" s="507"/>
      <c r="D132" s="508"/>
      <c r="E132" s="508"/>
      <c r="F132" s="508"/>
      <c r="G132" s="509"/>
      <c r="H132" s="380"/>
    </row>
    <row r="133" spans="1:8" ht="27" customHeight="1" x14ac:dyDescent="0.3">
      <c r="A133" s="445" t="s">
        <v>54</v>
      </c>
      <c r="B133" s="354" t="s">
        <v>1015</v>
      </c>
      <c r="C133" s="597">
        <v>798.3229</v>
      </c>
      <c r="D133" s="597">
        <v>51.738410000000002</v>
      </c>
      <c r="E133" s="598">
        <f>IF(C133&lt;&gt;"",D133/C133*100,"")</f>
        <v>6.4808876207860262</v>
      </c>
      <c r="F133" s="597">
        <v>713.21410000000003</v>
      </c>
      <c r="G133" s="599">
        <v>883.43169999999998</v>
      </c>
      <c r="H133" s="380"/>
    </row>
    <row r="134" spans="1:8" ht="13" customHeight="1" x14ac:dyDescent="0.3">
      <c r="A134" s="377"/>
      <c r="B134" s="330"/>
      <c r="C134" s="579"/>
      <c r="D134" s="575"/>
      <c r="E134" s="582"/>
      <c r="F134" s="575"/>
      <c r="G134" s="583"/>
      <c r="H134" s="380"/>
    </row>
    <row r="135" spans="1:8" ht="28" x14ac:dyDescent="0.3">
      <c r="A135" s="445" t="s">
        <v>1013</v>
      </c>
      <c r="B135" s="354" t="s">
        <v>1014</v>
      </c>
      <c r="C135" s="575">
        <v>1597.962</v>
      </c>
      <c r="D135" s="576">
        <v>141.08279999999999</v>
      </c>
      <c r="E135" s="577">
        <f>IF(C135&lt;&gt;"",D135/C135*100,"")</f>
        <v>8.8289208379172965</v>
      </c>
      <c r="F135" s="576">
        <v>1365.883</v>
      </c>
      <c r="G135" s="578">
        <v>1830.0409999999999</v>
      </c>
    </row>
    <row r="136" spans="1:8" s="279" customFormat="1" ht="28" x14ac:dyDescent="0.3">
      <c r="A136" s="377" t="s">
        <v>22</v>
      </c>
      <c r="B136" s="298" t="s">
        <v>1130</v>
      </c>
      <c r="C136" s="584">
        <v>1610.3109999999999</v>
      </c>
      <c r="D136" s="584">
        <v>144.0669</v>
      </c>
      <c r="E136" s="585">
        <f>IF(C136&lt;&gt;"",D136/C136*100,"")</f>
        <v>8.9465264784255965</v>
      </c>
      <c r="F136" s="584">
        <v>1373.3240000000001</v>
      </c>
      <c r="G136" s="600">
        <v>1847.299</v>
      </c>
      <c r="H136" s="380"/>
    </row>
    <row r="137" spans="1:8" ht="28" x14ac:dyDescent="0.3">
      <c r="A137" s="377" t="s">
        <v>1012</v>
      </c>
      <c r="B137" s="298" t="s">
        <v>1308</v>
      </c>
      <c r="C137" s="584">
        <v>1044.547</v>
      </c>
      <c r="D137" s="584">
        <v>106.1534</v>
      </c>
      <c r="E137" s="585">
        <f>IF(C137&lt;&gt;"",D137/C137*100,"")</f>
        <v>10.162625520919596</v>
      </c>
      <c r="F137" s="584">
        <v>869.92639999999994</v>
      </c>
      <c r="G137" s="600">
        <v>1219.1679999999999</v>
      </c>
    </row>
    <row r="138" spans="1:8" s="279" customFormat="1" ht="9" customHeight="1" x14ac:dyDescent="0.3">
      <c r="A138" s="517"/>
      <c r="B138" s="518"/>
      <c r="C138" s="579"/>
      <c r="D138" s="579"/>
      <c r="E138" s="580"/>
      <c r="F138" s="579"/>
      <c r="G138" s="581"/>
      <c r="H138" s="380"/>
    </row>
    <row r="139" spans="1:8" ht="28" x14ac:dyDescent="0.3">
      <c r="A139" s="445" t="s">
        <v>1008</v>
      </c>
      <c r="B139" s="354" t="s">
        <v>1009</v>
      </c>
      <c r="C139" s="575">
        <v>1772.403</v>
      </c>
      <c r="D139" s="576">
        <v>994.06600000000003</v>
      </c>
      <c r="E139" s="577">
        <f>IF(C139&lt;&gt;"",D139/C139*100,"")</f>
        <v>56.08577733167909</v>
      </c>
      <c r="F139" s="576">
        <v>137.18170000000001</v>
      </c>
      <c r="G139" s="578">
        <v>3407.625</v>
      </c>
      <c r="H139" s="380"/>
    </row>
    <row r="140" spans="1:8" x14ac:dyDescent="0.3">
      <c r="A140" s="377" t="s">
        <v>1200</v>
      </c>
      <c r="B140" s="588" t="s">
        <v>1309</v>
      </c>
      <c r="C140" s="584">
        <v>335.40370000000001</v>
      </c>
      <c r="D140" s="584">
        <v>179.90379999999999</v>
      </c>
      <c r="E140" s="585">
        <f>IF(C140&lt;&gt;"",D140/C140*100,"")</f>
        <v>53.637989085988011</v>
      </c>
      <c r="F140" s="584">
        <v>39.465130000000002</v>
      </c>
      <c r="G140" s="600">
        <v>631.34230000000002</v>
      </c>
      <c r="H140" s="380"/>
    </row>
    <row r="141" spans="1:8" ht="28" x14ac:dyDescent="0.3">
      <c r="A141" s="377" t="s">
        <v>1201</v>
      </c>
      <c r="B141" s="588" t="s">
        <v>1311</v>
      </c>
      <c r="C141" s="584">
        <v>586.9434</v>
      </c>
      <c r="D141" s="584">
        <v>42.15607</v>
      </c>
      <c r="E141" s="585">
        <f>IF(C141&lt;&gt;"",D141/C141*100,"")</f>
        <v>7.1823058236961179</v>
      </c>
      <c r="F141" s="584">
        <v>517.59739999999999</v>
      </c>
      <c r="G141" s="600">
        <v>656.28949999999998</v>
      </c>
      <c r="H141" s="380"/>
    </row>
    <row r="142" spans="1:8" x14ac:dyDescent="0.3">
      <c r="A142" s="377" t="s">
        <v>1202</v>
      </c>
      <c r="B142" s="588" t="s">
        <v>1312</v>
      </c>
      <c r="C142" s="584">
        <v>3191.2849999999999</v>
      </c>
      <c r="D142" s="584">
        <v>1891.575</v>
      </c>
      <c r="E142" s="585">
        <f>IF(C142&lt;&gt;"",D142/C142*100,"")</f>
        <v>59.273145457080766</v>
      </c>
      <c r="F142" s="584">
        <v>79.675960000000003</v>
      </c>
      <c r="G142" s="600">
        <v>6302.8940000000002</v>
      </c>
      <c r="H142" s="380"/>
    </row>
    <row r="143" spans="1:8" ht="28" x14ac:dyDescent="0.3">
      <c r="A143" s="377" t="s">
        <v>1203</v>
      </c>
      <c r="B143" s="588" t="s">
        <v>1315</v>
      </c>
      <c r="C143" s="584">
        <v>406.12470000000002</v>
      </c>
      <c r="D143" s="584">
        <v>123.3677</v>
      </c>
      <c r="E143" s="585">
        <f>IF(C143&lt;&gt;"",D143/C143*100,"")</f>
        <v>30.376802986865854</v>
      </c>
      <c r="F143" s="584">
        <v>203.18690000000001</v>
      </c>
      <c r="G143" s="600">
        <v>609.0625</v>
      </c>
      <c r="H143" s="380"/>
    </row>
    <row r="144" spans="1:8" x14ac:dyDescent="0.3">
      <c r="A144" s="377"/>
      <c r="B144" s="298"/>
      <c r="C144" s="579"/>
      <c r="D144" s="579"/>
      <c r="E144" s="580"/>
      <c r="F144" s="579"/>
      <c r="G144" s="581"/>
      <c r="H144" s="380"/>
    </row>
    <row r="145" spans="1:7" ht="42" x14ac:dyDescent="0.3">
      <c r="A145" s="445" t="s">
        <v>1006</v>
      </c>
      <c r="B145" s="335" t="s">
        <v>1147</v>
      </c>
      <c r="C145" s="575">
        <v>580.22760000000005</v>
      </c>
      <c r="D145" s="576">
        <v>33.11092</v>
      </c>
      <c r="E145" s="577">
        <f>IF(C145&lt;&gt;"",D145/C145*100,"")</f>
        <v>5.7065399853436816</v>
      </c>
      <c r="F145" s="576">
        <v>525.76070000000004</v>
      </c>
      <c r="G145" s="578">
        <v>634.69449999999995</v>
      </c>
    </row>
    <row r="146" spans="1:7" s="279" customFormat="1" ht="28" x14ac:dyDescent="0.3">
      <c r="A146" s="377" t="s">
        <v>1004</v>
      </c>
      <c r="B146" s="397" t="s">
        <v>1128</v>
      </c>
      <c r="C146" s="584">
        <v>354.82209999999998</v>
      </c>
      <c r="D146" s="584">
        <v>39.156790000000001</v>
      </c>
      <c r="E146" s="585">
        <f>IF(C146&lt;&gt;"",D146/C146*100,"")</f>
        <v>11.035611930598462</v>
      </c>
      <c r="F146" s="584">
        <v>290.40989999999999</v>
      </c>
      <c r="G146" s="600">
        <v>419.23439999999999</v>
      </c>
    </row>
    <row r="147" spans="1:7" s="313" customFormat="1" ht="20.149999999999999" customHeight="1" x14ac:dyDescent="0.3">
      <c r="A147" s="377" t="s">
        <v>6</v>
      </c>
      <c r="B147" s="397" t="s">
        <v>1097</v>
      </c>
      <c r="C147" s="584">
        <v>598.03499999999997</v>
      </c>
      <c r="D147" s="584">
        <v>35.649160000000002</v>
      </c>
      <c r="E147" s="585">
        <f>IF(C147&lt;&gt;"",D147/C147*100,"")</f>
        <v>5.96104910247728</v>
      </c>
      <c r="F147" s="584">
        <v>539.39269999999999</v>
      </c>
      <c r="G147" s="600">
        <v>656.67719999999997</v>
      </c>
    </row>
    <row r="148" spans="1:7" s="313" customFormat="1" x14ac:dyDescent="0.3">
      <c r="A148" s="448"/>
      <c r="B148" s="367"/>
      <c r="C148" s="568"/>
      <c r="D148" s="569"/>
      <c r="E148" s="569"/>
      <c r="F148" s="569"/>
      <c r="G148" s="594"/>
    </row>
    <row r="149" spans="1:7" s="313" customFormat="1" x14ac:dyDescent="0.3">
      <c r="A149" s="302"/>
      <c r="B149" s="302"/>
      <c r="C149" s="386"/>
      <c r="D149" s="376"/>
      <c r="E149" s="376"/>
      <c r="F149" s="376"/>
      <c r="G149" s="376"/>
    </row>
    <row r="150" spans="1:7" s="313" customFormat="1" ht="14.5" x14ac:dyDescent="0.35">
      <c r="A150" s="311" t="s">
        <v>1127</v>
      </c>
      <c r="B150" s="312"/>
    </row>
    <row r="151" spans="1:7" s="313" customFormat="1" ht="14.5" x14ac:dyDescent="0.35">
      <c r="A151" s="311" t="s">
        <v>1126</v>
      </c>
      <c r="B151" s="312"/>
    </row>
    <row r="152" spans="1:7" ht="14.5" x14ac:dyDescent="0.35">
      <c r="A152" s="314" t="s">
        <v>1125</v>
      </c>
      <c r="B152" s="312"/>
      <c r="C152" s="313"/>
      <c r="D152" s="313"/>
      <c r="E152" s="313"/>
      <c r="F152" s="313"/>
      <c r="G152" s="313"/>
    </row>
    <row r="153" spans="1:7" ht="14.5" x14ac:dyDescent="0.3">
      <c r="A153" s="387" t="s">
        <v>1356</v>
      </c>
      <c r="B153" s="312"/>
      <c r="C153" s="313"/>
      <c r="D153" s="313"/>
      <c r="E153" s="313"/>
      <c r="F153" s="313"/>
      <c r="G153" s="313"/>
    </row>
  </sheetData>
  <mergeCells count="40">
    <mergeCell ref="A127:G127"/>
    <mergeCell ref="A128:G128"/>
    <mergeCell ref="A130:A131"/>
    <mergeCell ref="B130:B131"/>
    <mergeCell ref="C130:C131"/>
    <mergeCell ref="D130:D131"/>
    <mergeCell ref="E130:E131"/>
    <mergeCell ref="F130:G130"/>
    <mergeCell ref="A94:G94"/>
    <mergeCell ref="A95:G95"/>
    <mergeCell ref="A97:A98"/>
    <mergeCell ref="B97:B98"/>
    <mergeCell ref="C97:C98"/>
    <mergeCell ref="D97:D98"/>
    <mergeCell ref="E97:E98"/>
    <mergeCell ref="F97:G97"/>
    <mergeCell ref="A60:G60"/>
    <mergeCell ref="A61:G61"/>
    <mergeCell ref="A63:A64"/>
    <mergeCell ref="B63:B64"/>
    <mergeCell ref="C63:C64"/>
    <mergeCell ref="D63:D64"/>
    <mergeCell ref="E63:E64"/>
    <mergeCell ref="F63:G63"/>
    <mergeCell ref="A32:G32"/>
    <mergeCell ref="A33:G33"/>
    <mergeCell ref="A35:A36"/>
    <mergeCell ref="B35:B36"/>
    <mergeCell ref="C35:C36"/>
    <mergeCell ref="D35:D36"/>
    <mergeCell ref="E35:E36"/>
    <mergeCell ref="F35:G35"/>
    <mergeCell ref="A1:G1"/>
    <mergeCell ref="A2:G2"/>
    <mergeCell ref="A4:A5"/>
    <mergeCell ref="B4:B5"/>
    <mergeCell ref="C4:C5"/>
    <mergeCell ref="D4:D5"/>
    <mergeCell ref="E4:E5"/>
    <mergeCell ref="F4:G4"/>
  </mergeCells>
  <printOptions horizontalCentered="1"/>
  <pageMargins left="0.23622047244094491" right="0.23622047244094491" top="0.51181102362204722" bottom="0.23622047244094491" header="0.31496062992125984" footer="0.23622047244094491"/>
  <pageSetup paperSize="9" scale="88" orientation="landscape" useFirstPageNumber="1" r:id="rId1"/>
  <headerFooter>
    <oddFooter>&amp;C&amp;"Arial,Regular"&amp;10&amp;P</oddFooter>
  </headerFooter>
  <rowBreaks count="4" manualBreakCount="4">
    <brk id="31" max="16383" man="1"/>
    <brk id="59" max="16383" man="1"/>
    <brk id="92" max="8" man="1"/>
    <brk id="12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B6FB-ED9F-4621-956D-D8CF57FE4F84}">
  <sheetPr>
    <pageSetUpPr fitToPage="1"/>
  </sheetPr>
  <dimension ref="A1:J32"/>
  <sheetViews>
    <sheetView view="pageBreakPreview" zoomScale="115" zoomScaleNormal="115" zoomScaleSheetLayoutView="115" workbookViewId="0">
      <selection activeCell="B24" sqref="B24"/>
    </sheetView>
  </sheetViews>
  <sheetFormatPr defaultColWidth="9.1796875" defaultRowHeight="12.5" x14ac:dyDescent="0.25"/>
  <cols>
    <col min="1" max="1" width="49.7265625" style="76" customWidth="1"/>
    <col min="2" max="6" width="15.7265625" style="76" customWidth="1"/>
    <col min="7" max="7" width="9.1796875" style="113"/>
    <col min="8" max="16384" width="9.1796875" style="76"/>
  </cols>
  <sheetData>
    <row r="1" spans="1:10" s="75" customFormat="1" ht="31.5" customHeight="1" x14ac:dyDescent="0.3">
      <c r="A1" s="428" t="s">
        <v>1393</v>
      </c>
      <c r="B1" s="428"/>
      <c r="C1" s="428"/>
      <c r="D1" s="428"/>
      <c r="E1" s="428"/>
      <c r="F1" s="428"/>
      <c r="G1" s="112"/>
    </row>
    <row r="2" spans="1:10" ht="15" customHeight="1" x14ac:dyDescent="0.25">
      <c r="A2" s="429" t="s">
        <v>1337</v>
      </c>
      <c r="B2" s="429"/>
      <c r="C2" s="429"/>
      <c r="D2" s="429"/>
      <c r="E2" s="429"/>
      <c r="F2" s="429"/>
      <c r="G2" s="104"/>
      <c r="H2" s="104"/>
    </row>
    <row r="3" spans="1:10" ht="15" customHeight="1" x14ac:dyDescent="0.25">
      <c r="A3" s="77"/>
      <c r="B3" s="77"/>
      <c r="C3" s="77"/>
      <c r="D3" s="77"/>
      <c r="E3" s="77"/>
      <c r="F3" s="77"/>
    </row>
    <row r="4" spans="1:10" ht="15" customHeight="1" x14ac:dyDescent="0.25">
      <c r="A4" s="442" t="s">
        <v>1094</v>
      </c>
      <c r="B4" s="419" t="s">
        <v>91</v>
      </c>
      <c r="C4" s="419" t="s">
        <v>90</v>
      </c>
      <c r="D4" s="419" t="s">
        <v>89</v>
      </c>
      <c r="E4" s="419" t="s">
        <v>1186</v>
      </c>
      <c r="F4" s="419"/>
    </row>
    <row r="5" spans="1:10" s="83" customFormat="1" ht="32.5" customHeight="1" x14ac:dyDescent="0.3">
      <c r="A5" s="443"/>
      <c r="B5" s="419"/>
      <c r="C5" s="419"/>
      <c r="D5" s="419"/>
      <c r="E5" s="5" t="s">
        <v>88</v>
      </c>
      <c r="F5" s="5" t="s">
        <v>87</v>
      </c>
      <c r="G5" s="82"/>
    </row>
    <row r="6" spans="1:10" s="83" customFormat="1" ht="15" customHeight="1" x14ac:dyDescent="0.3">
      <c r="A6" s="78"/>
      <c r="B6" s="79"/>
      <c r="C6" s="80"/>
      <c r="D6" s="80"/>
      <c r="E6" s="80"/>
      <c r="F6" s="246"/>
      <c r="G6" s="82"/>
    </row>
    <row r="7" spans="1:10" s="83" customFormat="1" ht="15" customHeight="1" x14ac:dyDescent="0.3">
      <c r="A7" s="57" t="s">
        <v>1389</v>
      </c>
      <c r="B7" s="601">
        <v>20309.03</v>
      </c>
      <c r="C7" s="602">
        <v>282.03250000000003</v>
      </c>
      <c r="D7" s="205">
        <v>1.3887049258384081</v>
      </c>
      <c r="E7" s="602">
        <v>19845.09</v>
      </c>
      <c r="F7" s="608">
        <v>20772.97</v>
      </c>
      <c r="G7" s="82"/>
    </row>
    <row r="8" spans="1:10" s="83" customFormat="1" ht="15" customHeight="1" x14ac:dyDescent="0.3">
      <c r="A8" s="57"/>
      <c r="B8" s="601"/>
      <c r="C8" s="603"/>
      <c r="D8" s="207"/>
      <c r="E8" s="603"/>
      <c r="F8" s="609"/>
      <c r="G8" s="82"/>
    </row>
    <row r="9" spans="1:10" ht="15" customHeight="1" x14ac:dyDescent="0.3">
      <c r="A9" s="56" t="s">
        <v>1092</v>
      </c>
      <c r="B9" s="604">
        <v>27318.1</v>
      </c>
      <c r="C9" s="603">
        <v>658.94920000000002</v>
      </c>
      <c r="D9" s="207">
        <v>2.4121340796029007</v>
      </c>
      <c r="E9" s="603">
        <v>26234.14</v>
      </c>
      <c r="F9" s="609">
        <v>28402.06</v>
      </c>
      <c r="G9" s="82"/>
    </row>
    <row r="10" spans="1:10" ht="15" customHeight="1" x14ac:dyDescent="0.3">
      <c r="A10" s="56" t="s">
        <v>1091</v>
      </c>
      <c r="B10" s="604">
        <v>16548.32</v>
      </c>
      <c r="C10" s="603">
        <v>402.65890000000002</v>
      </c>
      <c r="D10" s="207">
        <v>2.4332312887350502</v>
      </c>
      <c r="E10" s="603">
        <v>15885.95</v>
      </c>
      <c r="F10" s="609">
        <v>17210.689999999999</v>
      </c>
      <c r="G10" s="82"/>
    </row>
    <row r="11" spans="1:10" s="83" customFormat="1" ht="15" customHeight="1" x14ac:dyDescent="0.3">
      <c r="A11" s="56" t="s">
        <v>1090</v>
      </c>
      <c r="B11" s="604">
        <v>14247.54</v>
      </c>
      <c r="C11" s="603">
        <v>281.95659999999998</v>
      </c>
      <c r="D11" s="207">
        <v>1.9789844422265175</v>
      </c>
      <c r="E11" s="603">
        <v>13783.73</v>
      </c>
      <c r="F11" s="609">
        <v>14711.35</v>
      </c>
      <c r="G11" s="82"/>
    </row>
    <row r="12" spans="1:10" s="83" customFormat="1" ht="15" customHeight="1" x14ac:dyDescent="0.3">
      <c r="A12" s="56" t="s">
        <v>1089</v>
      </c>
      <c r="B12" s="604">
        <v>14849.03</v>
      </c>
      <c r="C12" s="603">
        <v>250.63329999999999</v>
      </c>
      <c r="D12" s="207">
        <v>1.687876581837332</v>
      </c>
      <c r="E12" s="603">
        <v>14436.74</v>
      </c>
      <c r="F12" s="609">
        <v>15261.32</v>
      </c>
      <c r="G12" s="82"/>
      <c r="J12" s="83" t="s">
        <v>1107</v>
      </c>
    </row>
    <row r="13" spans="1:10" ht="15" customHeight="1" x14ac:dyDescent="0.3">
      <c r="A13" s="56" t="s">
        <v>1088</v>
      </c>
      <c r="B13" s="604">
        <v>17372.5</v>
      </c>
      <c r="C13" s="603">
        <v>708.80970000000002</v>
      </c>
      <c r="D13" s="207">
        <v>4.0800673478198304</v>
      </c>
      <c r="E13" s="603">
        <v>16206.52</v>
      </c>
      <c r="F13" s="609">
        <v>18538.48</v>
      </c>
      <c r="G13" s="82"/>
    </row>
    <row r="14" spans="1:10" ht="15" customHeight="1" x14ac:dyDescent="0.3">
      <c r="A14" s="56" t="s">
        <v>1087</v>
      </c>
      <c r="B14" s="604">
        <v>18753.73</v>
      </c>
      <c r="C14" s="603">
        <v>577.46519999999998</v>
      </c>
      <c r="D14" s="207">
        <v>3.0792018441131446</v>
      </c>
      <c r="E14" s="603">
        <v>17803.810000000001</v>
      </c>
      <c r="F14" s="609">
        <v>19703.650000000001</v>
      </c>
      <c r="G14" s="82"/>
    </row>
    <row r="15" spans="1:10" ht="15" customHeight="1" x14ac:dyDescent="0.3">
      <c r="A15" s="56" t="s">
        <v>1086</v>
      </c>
      <c r="B15" s="604">
        <v>13418.2</v>
      </c>
      <c r="C15" s="603">
        <v>247.8681</v>
      </c>
      <c r="D15" s="207">
        <v>1.8472529847520531</v>
      </c>
      <c r="E15" s="603">
        <v>13010.46</v>
      </c>
      <c r="F15" s="609">
        <v>13825.94</v>
      </c>
      <c r="G15" s="82"/>
    </row>
    <row r="16" spans="1:10" s="83" customFormat="1" ht="15" customHeight="1" x14ac:dyDescent="0.3">
      <c r="A16" s="56" t="s">
        <v>1085</v>
      </c>
      <c r="B16" s="604">
        <v>13045.03</v>
      </c>
      <c r="C16" s="603">
        <v>292.19380000000001</v>
      </c>
      <c r="D16" s="207">
        <v>2.2398859948961407</v>
      </c>
      <c r="E16" s="603">
        <v>12564.37</v>
      </c>
      <c r="F16" s="609">
        <v>13525.68</v>
      </c>
      <c r="G16" s="82"/>
    </row>
    <row r="17" spans="1:7" ht="15" customHeight="1" x14ac:dyDescent="0.3">
      <c r="A17" s="56" t="s">
        <v>1084</v>
      </c>
      <c r="B17" s="604">
        <v>15326.45</v>
      </c>
      <c r="C17" s="603">
        <v>340.63249999999999</v>
      </c>
      <c r="D17" s="207">
        <v>2.2225140198806637</v>
      </c>
      <c r="E17" s="603">
        <v>14766.12</v>
      </c>
      <c r="F17" s="609">
        <v>15886.79</v>
      </c>
      <c r="G17" s="82"/>
    </row>
    <row r="18" spans="1:7" ht="15" customHeight="1" x14ac:dyDescent="0.3">
      <c r="A18" s="56" t="s">
        <v>1083</v>
      </c>
      <c r="B18" s="604">
        <v>18055.02</v>
      </c>
      <c r="C18" s="603">
        <v>384.97039999999998</v>
      </c>
      <c r="D18" s="207">
        <v>2.1322069983860445</v>
      </c>
      <c r="E18" s="603">
        <v>17421.75</v>
      </c>
      <c r="F18" s="609">
        <v>18688.29</v>
      </c>
      <c r="G18" s="82"/>
    </row>
    <row r="19" spans="1:7" ht="15" customHeight="1" x14ac:dyDescent="0.3">
      <c r="A19" s="56" t="s">
        <v>1082</v>
      </c>
      <c r="B19" s="604">
        <v>12828.08</v>
      </c>
      <c r="C19" s="603">
        <v>205.59129999999999</v>
      </c>
      <c r="D19" s="207">
        <v>1.6026661823125516</v>
      </c>
      <c r="E19" s="603">
        <v>12489.89</v>
      </c>
      <c r="F19" s="609">
        <v>13166.28</v>
      </c>
      <c r="G19" s="82"/>
    </row>
    <row r="20" spans="1:7" ht="15" customHeight="1" x14ac:dyDescent="0.3">
      <c r="A20" s="56" t="s">
        <v>1081</v>
      </c>
      <c r="B20" s="604">
        <v>11861.93</v>
      </c>
      <c r="C20" s="603">
        <v>152.08869999999999</v>
      </c>
      <c r="D20" s="207">
        <v>1.2821581310967101</v>
      </c>
      <c r="E20" s="603">
        <v>11611.74</v>
      </c>
      <c r="F20" s="609">
        <v>12112.11</v>
      </c>
      <c r="G20" s="82"/>
    </row>
    <row r="21" spans="1:7" ht="15" customHeight="1" x14ac:dyDescent="0.3">
      <c r="A21" s="73" t="s">
        <v>1080</v>
      </c>
      <c r="B21" s="604">
        <v>14072.33</v>
      </c>
      <c r="C21" s="603">
        <v>276.45569999999998</v>
      </c>
      <c r="D21" s="207">
        <v>1.9645339471146568</v>
      </c>
      <c r="E21" s="603">
        <v>13617.56</v>
      </c>
      <c r="F21" s="609">
        <v>14527.09</v>
      </c>
      <c r="G21" s="82"/>
    </row>
    <row r="22" spans="1:7" ht="15" customHeight="1" x14ac:dyDescent="0.3">
      <c r="A22" s="56" t="s">
        <v>1079</v>
      </c>
      <c r="B22" s="604">
        <v>17162.98</v>
      </c>
      <c r="C22" s="603">
        <v>901.19680000000005</v>
      </c>
      <c r="D22" s="207">
        <v>5.250817748432965</v>
      </c>
      <c r="E22" s="603">
        <v>15680.52</v>
      </c>
      <c r="F22" s="609">
        <v>18645.43</v>
      </c>
      <c r="G22" s="82"/>
    </row>
    <row r="23" spans="1:7" ht="15" customHeight="1" x14ac:dyDescent="0.3">
      <c r="A23" s="56" t="s">
        <v>1078</v>
      </c>
      <c r="B23" s="604">
        <v>12621.73</v>
      </c>
      <c r="C23" s="603">
        <v>400.96719999999999</v>
      </c>
      <c r="D23" s="207">
        <v>3.1768006446026025</v>
      </c>
      <c r="E23" s="603">
        <v>11962.14</v>
      </c>
      <c r="F23" s="609">
        <v>13281.31</v>
      </c>
      <c r="G23" s="82"/>
    </row>
    <row r="24" spans="1:7" ht="15" customHeight="1" x14ac:dyDescent="0.3">
      <c r="A24" s="56" t="s">
        <v>1077</v>
      </c>
      <c r="B24" s="604">
        <v>13459.43</v>
      </c>
      <c r="C24" s="603">
        <v>243.27180000000001</v>
      </c>
      <c r="D24" s="207">
        <v>1.807445040391755</v>
      </c>
      <c r="E24" s="603">
        <v>13059.25</v>
      </c>
      <c r="F24" s="609">
        <v>13859.6</v>
      </c>
      <c r="G24" s="82"/>
    </row>
    <row r="25" spans="1:7" ht="15" customHeight="1" x14ac:dyDescent="0.3">
      <c r="A25" s="56" t="s">
        <v>1076</v>
      </c>
      <c r="B25" s="604">
        <v>11168.63</v>
      </c>
      <c r="C25" s="603" t="s">
        <v>289</v>
      </c>
      <c r="D25" s="207"/>
      <c r="E25" s="603" t="s">
        <v>289</v>
      </c>
      <c r="F25" s="609" t="s">
        <v>289</v>
      </c>
      <c r="G25" s="82"/>
    </row>
    <row r="26" spans="1:7" x14ac:dyDescent="0.25">
      <c r="A26" s="55"/>
      <c r="B26" s="72"/>
      <c r="C26" s="94"/>
      <c r="D26" s="94"/>
      <c r="E26" s="94"/>
      <c r="F26" s="257"/>
    </row>
    <row r="27" spans="1:7" s="66" customFormat="1" ht="20.149999999999999" customHeight="1" x14ac:dyDescent="0.25">
      <c r="A27" s="70" t="s">
        <v>1123</v>
      </c>
      <c r="B27" s="67"/>
    </row>
    <row r="28" spans="1:7" s="66" customFormat="1" x14ac:dyDescent="0.25">
      <c r="A28" s="70" t="s">
        <v>1124</v>
      </c>
      <c r="B28" s="67"/>
    </row>
    <row r="29" spans="1:7" s="66" customFormat="1" x14ac:dyDescent="0.25">
      <c r="A29" s="69" t="s">
        <v>1125</v>
      </c>
      <c r="B29" s="67"/>
    </row>
    <row r="30" spans="1:7" s="66" customFormat="1" x14ac:dyDescent="0.25">
      <c r="A30" s="68" t="s">
        <v>1357</v>
      </c>
      <c r="B30" s="67"/>
    </row>
    <row r="32" spans="1:7" ht="14" x14ac:dyDescent="0.3">
      <c r="A32" s="428"/>
      <c r="B32" s="428"/>
      <c r="C32" s="428"/>
      <c r="D32" s="428"/>
      <c r="E32" s="428"/>
      <c r="F32" s="428"/>
    </row>
  </sheetData>
  <mergeCells count="8">
    <mergeCell ref="A32:F32"/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>
    <oddFooter>&amp;C&amp;"Arial,Regular"&amp;10&amp;P</oddFooter>
  </headerFooter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90E5-9FAC-43B5-85D1-438CC8EB998F}">
  <sheetPr>
    <pageSetUpPr fitToPage="1"/>
  </sheetPr>
  <dimension ref="A1:J30"/>
  <sheetViews>
    <sheetView view="pageBreakPreview" topLeftCell="A4" zoomScale="85" zoomScaleNormal="85" zoomScaleSheetLayoutView="85" workbookViewId="0">
      <selection activeCell="E27" sqref="E27"/>
    </sheetView>
  </sheetViews>
  <sheetFormatPr defaultColWidth="9.1796875" defaultRowHeight="12.5" x14ac:dyDescent="0.25"/>
  <cols>
    <col min="1" max="1" width="49.7265625" style="76" customWidth="1"/>
    <col min="2" max="6" width="15.7265625" style="76" customWidth="1"/>
    <col min="7" max="7" width="9.1796875" style="113"/>
    <col min="8" max="16384" width="9.1796875" style="76"/>
  </cols>
  <sheetData>
    <row r="1" spans="1:10" s="75" customFormat="1" ht="42" customHeight="1" x14ac:dyDescent="0.3">
      <c r="A1" s="428" t="s">
        <v>1397</v>
      </c>
      <c r="B1" s="428"/>
      <c r="C1" s="428"/>
      <c r="D1" s="428"/>
      <c r="E1" s="428"/>
      <c r="F1" s="428"/>
      <c r="G1" s="112"/>
    </row>
    <row r="2" spans="1:10" ht="15" customHeight="1" x14ac:dyDescent="0.25">
      <c r="A2" s="429" t="s">
        <v>1337</v>
      </c>
      <c r="B2" s="429"/>
      <c r="C2" s="429"/>
      <c r="D2" s="429"/>
      <c r="E2" s="429"/>
      <c r="F2" s="429"/>
      <c r="G2" s="104"/>
    </row>
    <row r="3" spans="1:10" ht="15" customHeight="1" x14ac:dyDescent="0.25">
      <c r="A3" s="77"/>
      <c r="B3" s="77"/>
      <c r="C3" s="77"/>
      <c r="D3" s="77"/>
      <c r="E3" s="77"/>
      <c r="F3" s="77"/>
    </row>
    <row r="4" spans="1:10" ht="15" customHeight="1" x14ac:dyDescent="0.25">
      <c r="A4" s="442" t="s">
        <v>1094</v>
      </c>
      <c r="B4" s="419" t="s">
        <v>91</v>
      </c>
      <c r="C4" s="419" t="s">
        <v>90</v>
      </c>
      <c r="D4" s="419" t="s">
        <v>89</v>
      </c>
      <c r="E4" s="419" t="s">
        <v>1186</v>
      </c>
      <c r="F4" s="419"/>
    </row>
    <row r="5" spans="1:10" s="83" customFormat="1" ht="27.5" customHeight="1" x14ac:dyDescent="0.3">
      <c r="A5" s="443"/>
      <c r="B5" s="419"/>
      <c r="C5" s="419"/>
      <c r="D5" s="419"/>
      <c r="E5" s="5" t="s">
        <v>88</v>
      </c>
      <c r="F5" s="5" t="s">
        <v>87</v>
      </c>
      <c r="G5" s="82"/>
    </row>
    <row r="6" spans="1:10" ht="15" customHeight="1" x14ac:dyDescent="0.25">
      <c r="A6" s="78"/>
      <c r="B6" s="79"/>
      <c r="C6" s="80"/>
      <c r="D6" s="80"/>
      <c r="E6" s="80"/>
      <c r="F6" s="246"/>
    </row>
    <row r="7" spans="1:10" s="83" customFormat="1" ht="15" customHeight="1" x14ac:dyDescent="0.3">
      <c r="A7" s="57" t="s">
        <v>1093</v>
      </c>
      <c r="B7" s="74">
        <v>19861.87</v>
      </c>
      <c r="C7" s="105">
        <v>262.68900000000002</v>
      </c>
      <c r="D7" s="105">
        <v>1.3225793945887272</v>
      </c>
      <c r="E7" s="602">
        <v>19429.75</v>
      </c>
      <c r="F7" s="608">
        <v>20293.990000000002</v>
      </c>
      <c r="G7" s="82"/>
    </row>
    <row r="8" spans="1:10" s="83" customFormat="1" ht="15" customHeight="1" x14ac:dyDescent="0.3">
      <c r="A8" s="57"/>
      <c r="B8" s="74"/>
      <c r="C8" s="91"/>
      <c r="D8" s="91"/>
      <c r="E8" s="606"/>
      <c r="F8" s="615"/>
      <c r="G8" s="82"/>
    </row>
    <row r="9" spans="1:10" s="83" customFormat="1" ht="15" customHeight="1" x14ac:dyDescent="0.3">
      <c r="A9" s="56" t="s">
        <v>1092</v>
      </c>
      <c r="B9" s="605">
        <v>26278.02</v>
      </c>
      <c r="C9" s="207">
        <v>664.274</v>
      </c>
      <c r="D9" s="207">
        <v>2.5278692991328877</v>
      </c>
      <c r="E9" s="603">
        <v>25185.3</v>
      </c>
      <c r="F9" s="609">
        <v>27370.74</v>
      </c>
      <c r="G9" s="82"/>
    </row>
    <row r="10" spans="1:10" s="83" customFormat="1" ht="15" customHeight="1" x14ac:dyDescent="0.3">
      <c r="A10" s="56" t="s">
        <v>1091</v>
      </c>
      <c r="B10" s="605">
        <v>16993.54</v>
      </c>
      <c r="C10" s="207">
        <v>397.67540000000002</v>
      </c>
      <c r="D10" s="207">
        <v>2.3401563182244547</v>
      </c>
      <c r="E10" s="603">
        <v>16339.37</v>
      </c>
      <c r="F10" s="609">
        <v>17647.71</v>
      </c>
      <c r="G10" s="82"/>
    </row>
    <row r="11" spans="1:10" ht="15" customHeight="1" x14ac:dyDescent="0.3">
      <c r="A11" s="56" t="s">
        <v>1090</v>
      </c>
      <c r="B11" s="605">
        <v>14579.47</v>
      </c>
      <c r="C11" s="207">
        <v>369.50729999999999</v>
      </c>
      <c r="D11" s="207">
        <v>2.5344357510938327</v>
      </c>
      <c r="E11" s="603">
        <v>13971.64</v>
      </c>
      <c r="F11" s="609">
        <v>15187.3</v>
      </c>
      <c r="G11" s="82"/>
    </row>
    <row r="12" spans="1:10" ht="15" customHeight="1" x14ac:dyDescent="0.3">
      <c r="A12" s="56" t="s">
        <v>1089</v>
      </c>
      <c r="B12" s="605">
        <v>14653.66</v>
      </c>
      <c r="C12" s="207">
        <v>305.14069999999998</v>
      </c>
      <c r="D12" s="207">
        <v>2.0823514398450627</v>
      </c>
      <c r="E12" s="603">
        <v>14151.71</v>
      </c>
      <c r="F12" s="609">
        <v>15155.61</v>
      </c>
      <c r="G12" s="82"/>
    </row>
    <row r="13" spans="1:10" s="83" customFormat="1" ht="15" customHeight="1" x14ac:dyDescent="0.3">
      <c r="A13" s="56" t="s">
        <v>1088</v>
      </c>
      <c r="B13" s="605">
        <v>16996.25</v>
      </c>
      <c r="C13" s="207">
        <v>629.43460000000005</v>
      </c>
      <c r="D13" s="207">
        <v>3.703373391189233</v>
      </c>
      <c r="E13" s="603">
        <v>15960.84</v>
      </c>
      <c r="F13" s="609">
        <v>18031.66</v>
      </c>
      <c r="G13" s="82"/>
    </row>
    <row r="14" spans="1:10" s="83" customFormat="1" ht="15" customHeight="1" x14ac:dyDescent="0.3">
      <c r="A14" s="56" t="s">
        <v>1087</v>
      </c>
      <c r="B14" s="605">
        <v>19323.259999999998</v>
      </c>
      <c r="C14" s="207">
        <v>522.12329999999997</v>
      </c>
      <c r="D14" s="207">
        <v>2.702045617561426</v>
      </c>
      <c r="E14" s="603">
        <v>18464.38</v>
      </c>
      <c r="F14" s="609">
        <v>20182.150000000001</v>
      </c>
      <c r="G14" s="82"/>
      <c r="J14" s="83" t="s">
        <v>1107</v>
      </c>
    </row>
    <row r="15" spans="1:10" ht="15" customHeight="1" x14ac:dyDescent="0.3">
      <c r="A15" s="56" t="s">
        <v>1086</v>
      </c>
      <c r="B15" s="605">
        <v>13570.2</v>
      </c>
      <c r="C15" s="207">
        <v>374.3648</v>
      </c>
      <c r="D15" s="207">
        <v>2.7587272110948988</v>
      </c>
      <c r="E15" s="603">
        <v>12954.38</v>
      </c>
      <c r="F15" s="609">
        <v>14186.03</v>
      </c>
      <c r="G15" s="82"/>
    </row>
    <row r="16" spans="1:10" ht="15" customHeight="1" x14ac:dyDescent="0.3">
      <c r="A16" s="56" t="s">
        <v>1085</v>
      </c>
      <c r="B16" s="605">
        <v>13055.84</v>
      </c>
      <c r="C16" s="207">
        <v>398.28089999999997</v>
      </c>
      <c r="D16" s="207">
        <v>3.0505957487224107</v>
      </c>
      <c r="E16" s="603">
        <v>12400.67</v>
      </c>
      <c r="F16" s="609">
        <v>13711</v>
      </c>
      <c r="G16" s="82"/>
    </row>
    <row r="17" spans="1:7" ht="15" customHeight="1" x14ac:dyDescent="0.3">
      <c r="A17" s="56" t="s">
        <v>1084</v>
      </c>
      <c r="B17" s="605">
        <v>14655.84</v>
      </c>
      <c r="C17" s="207">
        <v>300.2552</v>
      </c>
      <c r="D17" s="207">
        <v>2.0487068636120482</v>
      </c>
      <c r="E17" s="603">
        <v>14161.92</v>
      </c>
      <c r="F17" s="609">
        <v>15149.75</v>
      </c>
      <c r="G17" s="82"/>
    </row>
    <row r="18" spans="1:7" s="83" customFormat="1" ht="15" customHeight="1" x14ac:dyDescent="0.3">
      <c r="A18" s="56" t="s">
        <v>1083</v>
      </c>
      <c r="B18" s="605">
        <v>17954.04</v>
      </c>
      <c r="C18" s="207">
        <v>379.20670000000001</v>
      </c>
      <c r="D18" s="207">
        <v>2.1120967759902505</v>
      </c>
      <c r="E18" s="603">
        <v>17330.25</v>
      </c>
      <c r="F18" s="609">
        <v>18577.830000000002</v>
      </c>
      <c r="G18" s="82"/>
    </row>
    <row r="19" spans="1:7" ht="15" customHeight="1" x14ac:dyDescent="0.3">
      <c r="A19" s="56" t="s">
        <v>1082</v>
      </c>
      <c r="B19" s="605">
        <v>12706.67</v>
      </c>
      <c r="C19" s="207">
        <v>229.40020000000001</v>
      </c>
      <c r="D19" s="207">
        <v>1.8053526218907081</v>
      </c>
      <c r="E19" s="603">
        <v>12329.31</v>
      </c>
      <c r="F19" s="609">
        <v>13084.03</v>
      </c>
      <c r="G19" s="82"/>
    </row>
    <row r="20" spans="1:7" ht="15" customHeight="1" x14ac:dyDescent="0.3">
      <c r="A20" s="56" t="s">
        <v>1081</v>
      </c>
      <c r="B20" s="605">
        <v>11673.28</v>
      </c>
      <c r="C20" s="207">
        <v>189.27549999999999</v>
      </c>
      <c r="D20" s="207">
        <v>1.6214423024205706</v>
      </c>
      <c r="E20" s="603">
        <v>11361.92</v>
      </c>
      <c r="F20" s="609">
        <v>11984.64</v>
      </c>
      <c r="G20" s="82"/>
    </row>
    <row r="21" spans="1:7" ht="15" customHeight="1" x14ac:dyDescent="0.3">
      <c r="A21" s="73" t="s">
        <v>1080</v>
      </c>
      <c r="B21" s="605">
        <v>13860.86</v>
      </c>
      <c r="C21" s="207">
        <v>337.73540000000003</v>
      </c>
      <c r="D21" s="207">
        <v>2.4366121582643498</v>
      </c>
      <c r="E21" s="603">
        <v>13305.29</v>
      </c>
      <c r="F21" s="609">
        <v>14416.43</v>
      </c>
      <c r="G21" s="82"/>
    </row>
    <row r="22" spans="1:7" ht="15" customHeight="1" x14ac:dyDescent="0.3">
      <c r="A22" s="56" t="s">
        <v>1079</v>
      </c>
      <c r="B22" s="605">
        <v>16148.88</v>
      </c>
      <c r="C22" s="207">
        <v>730.57349999999997</v>
      </c>
      <c r="D22" s="207">
        <v>4.5239886605139183</v>
      </c>
      <c r="E22" s="603">
        <v>14947.1</v>
      </c>
      <c r="F22" s="609">
        <v>17350.669999999998</v>
      </c>
      <c r="G22" s="82"/>
    </row>
    <row r="23" spans="1:7" ht="15" customHeight="1" x14ac:dyDescent="0.3">
      <c r="A23" s="56" t="s">
        <v>1078</v>
      </c>
      <c r="B23" s="605">
        <v>12385.94</v>
      </c>
      <c r="C23" s="207">
        <v>309.1397</v>
      </c>
      <c r="D23" s="207">
        <v>2.4958921163835766</v>
      </c>
      <c r="E23" s="603">
        <v>11877.41</v>
      </c>
      <c r="F23" s="609">
        <v>12894.47</v>
      </c>
      <c r="G23" s="82"/>
    </row>
    <row r="24" spans="1:7" ht="15" customHeight="1" x14ac:dyDescent="0.3">
      <c r="A24" s="56" t="s">
        <v>1077</v>
      </c>
      <c r="B24" s="605">
        <v>13614.31</v>
      </c>
      <c r="C24" s="207">
        <v>302.0754</v>
      </c>
      <c r="D24" s="207">
        <v>2.2188080042249663</v>
      </c>
      <c r="E24" s="603">
        <v>13117.4</v>
      </c>
      <c r="F24" s="609">
        <v>14111.22</v>
      </c>
      <c r="G24" s="82"/>
    </row>
    <row r="25" spans="1:7" ht="15" customHeight="1" x14ac:dyDescent="0.3">
      <c r="A25" s="56" t="s">
        <v>1076</v>
      </c>
      <c r="B25" s="605">
        <v>10767.41</v>
      </c>
      <c r="C25" s="207" t="s">
        <v>289</v>
      </c>
      <c r="D25" s="207"/>
      <c r="E25" s="603" t="s">
        <v>289</v>
      </c>
      <c r="F25" s="609" t="s">
        <v>289</v>
      </c>
      <c r="G25" s="82"/>
    </row>
    <row r="26" spans="1:7" x14ac:dyDescent="0.25">
      <c r="A26" s="55"/>
      <c r="B26" s="72"/>
      <c r="C26" s="94"/>
      <c r="D26" s="94"/>
      <c r="E26" s="94"/>
      <c r="F26" s="257"/>
    </row>
    <row r="27" spans="1:7" s="66" customFormat="1" ht="20.149999999999999" customHeight="1" x14ac:dyDescent="0.25">
      <c r="A27" s="70" t="s">
        <v>1123</v>
      </c>
      <c r="B27" s="67"/>
    </row>
    <row r="28" spans="1:7" s="66" customFormat="1" x14ac:dyDescent="0.25">
      <c r="A28" s="70" t="s">
        <v>1124</v>
      </c>
      <c r="B28" s="67"/>
    </row>
    <row r="29" spans="1:7" s="66" customFormat="1" x14ac:dyDescent="0.25">
      <c r="A29" s="69" t="s">
        <v>1125</v>
      </c>
      <c r="B29" s="67"/>
    </row>
    <row r="30" spans="1:7" s="66" customFormat="1" x14ac:dyDescent="0.25">
      <c r="A30" s="68" t="s">
        <v>1356</v>
      </c>
      <c r="B30" s="67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>
    <oddFooter>&amp;C&amp;"Arial,Regular"&amp;10&amp;P</oddFooter>
  </headerFooter>
  <colBreaks count="1" manualBreakCount="1">
    <brk id="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8C97-7984-41B6-B33A-6DF0048DA537}">
  <sheetPr>
    <pageSetUpPr fitToPage="1"/>
  </sheetPr>
  <dimension ref="A1:J30"/>
  <sheetViews>
    <sheetView view="pageBreakPreview" zoomScale="115" zoomScaleNormal="85" zoomScaleSheetLayoutView="115" workbookViewId="0">
      <selection activeCell="B24" sqref="B24"/>
    </sheetView>
  </sheetViews>
  <sheetFormatPr defaultColWidth="9.1796875" defaultRowHeight="12.5" x14ac:dyDescent="0.25"/>
  <cols>
    <col min="1" max="1" width="49.7265625" style="76" customWidth="1"/>
    <col min="2" max="6" width="15.7265625" style="76" customWidth="1"/>
    <col min="7" max="7" width="9.1796875" style="113"/>
    <col min="8" max="16384" width="9.1796875" style="76"/>
  </cols>
  <sheetData>
    <row r="1" spans="1:10" s="75" customFormat="1" ht="30" customHeight="1" x14ac:dyDescent="0.3">
      <c r="A1" s="428" t="s">
        <v>1396</v>
      </c>
      <c r="B1" s="428"/>
      <c r="C1" s="428"/>
      <c r="D1" s="428"/>
      <c r="E1" s="428"/>
      <c r="F1" s="428"/>
      <c r="G1" s="112"/>
    </row>
    <row r="2" spans="1:10" ht="15" customHeight="1" x14ac:dyDescent="0.25">
      <c r="A2" s="429" t="s">
        <v>1337</v>
      </c>
      <c r="B2" s="429"/>
      <c r="C2" s="429"/>
      <c r="D2" s="429"/>
      <c r="E2" s="429"/>
      <c r="F2" s="429"/>
    </row>
    <row r="3" spans="1:10" ht="15" customHeight="1" x14ac:dyDescent="0.25">
      <c r="A3" s="77"/>
      <c r="B3" s="77"/>
      <c r="C3" s="77"/>
      <c r="D3" s="77"/>
      <c r="E3" s="77"/>
      <c r="F3" s="77"/>
    </row>
    <row r="4" spans="1:10" ht="15" customHeight="1" x14ac:dyDescent="0.25">
      <c r="A4" s="442" t="s">
        <v>1094</v>
      </c>
      <c r="B4" s="419" t="s">
        <v>91</v>
      </c>
      <c r="C4" s="419" t="s">
        <v>90</v>
      </c>
      <c r="D4" s="419" t="s">
        <v>89</v>
      </c>
      <c r="E4" s="419" t="s">
        <v>1186</v>
      </c>
      <c r="F4" s="419"/>
    </row>
    <row r="5" spans="1:10" s="83" customFormat="1" ht="36.5" customHeight="1" x14ac:dyDescent="0.3">
      <c r="A5" s="443"/>
      <c r="B5" s="419"/>
      <c r="C5" s="419"/>
      <c r="D5" s="419"/>
      <c r="E5" s="5" t="s">
        <v>88</v>
      </c>
      <c r="F5" s="5" t="s">
        <v>87</v>
      </c>
      <c r="G5" s="82"/>
    </row>
    <row r="6" spans="1:10" ht="15" customHeight="1" x14ac:dyDescent="0.25">
      <c r="A6" s="78"/>
      <c r="B6" s="79"/>
      <c r="C6" s="80"/>
      <c r="D6" s="80"/>
      <c r="E6" s="80"/>
      <c r="F6" s="246"/>
    </row>
    <row r="7" spans="1:10" s="83" customFormat="1" ht="15" customHeight="1" x14ac:dyDescent="0.3">
      <c r="A7" s="57" t="s">
        <v>1390</v>
      </c>
      <c r="B7" s="601">
        <v>20888.439999999999</v>
      </c>
      <c r="C7" s="602">
        <v>333.70580000000001</v>
      </c>
      <c r="D7" s="205">
        <v>1.5975620965471813</v>
      </c>
      <c r="E7" s="602">
        <v>20339.5</v>
      </c>
      <c r="F7" s="608">
        <v>21437.38</v>
      </c>
      <c r="G7" s="82"/>
    </row>
    <row r="8" spans="1:10" s="83" customFormat="1" ht="15" customHeight="1" x14ac:dyDescent="0.3">
      <c r="A8" s="57"/>
      <c r="B8" s="601"/>
      <c r="C8" s="603"/>
      <c r="D8" s="207"/>
      <c r="E8" s="603"/>
      <c r="F8" s="609"/>
      <c r="G8" s="82"/>
    </row>
    <row r="9" spans="1:10" s="83" customFormat="1" ht="15" customHeight="1" x14ac:dyDescent="0.3">
      <c r="A9" s="56" t="s">
        <v>1092</v>
      </c>
      <c r="B9" s="604">
        <v>28697.599999999999</v>
      </c>
      <c r="C9" s="603">
        <v>719.00699999999995</v>
      </c>
      <c r="D9" s="207">
        <v>2.5054603869313112</v>
      </c>
      <c r="E9" s="603">
        <v>27514.85</v>
      </c>
      <c r="F9" s="609">
        <v>29880.36</v>
      </c>
      <c r="G9" s="82"/>
    </row>
    <row r="10" spans="1:10" s="83" customFormat="1" ht="15" customHeight="1" x14ac:dyDescent="0.3">
      <c r="A10" s="56" t="s">
        <v>1091</v>
      </c>
      <c r="B10" s="604">
        <v>16042.73</v>
      </c>
      <c r="C10" s="603">
        <v>480.2561</v>
      </c>
      <c r="D10" s="207">
        <v>2.9936058264397643</v>
      </c>
      <c r="E10" s="603">
        <v>15252.72</v>
      </c>
      <c r="F10" s="609">
        <v>16832.740000000002</v>
      </c>
      <c r="G10" s="82"/>
    </row>
    <row r="11" spans="1:10" ht="15" customHeight="1" x14ac:dyDescent="0.3">
      <c r="A11" s="56" t="s">
        <v>1090</v>
      </c>
      <c r="B11" s="604">
        <v>13816.78</v>
      </c>
      <c r="C11" s="603">
        <v>271.56400000000002</v>
      </c>
      <c r="D11" s="207">
        <v>1.965465180743994</v>
      </c>
      <c r="E11" s="603">
        <v>13370.07</v>
      </c>
      <c r="F11" s="609">
        <v>14263.5</v>
      </c>
      <c r="G11" s="82"/>
    </row>
    <row r="12" spans="1:10" ht="15" customHeight="1" x14ac:dyDescent="0.3">
      <c r="A12" s="56" t="s">
        <v>1089</v>
      </c>
      <c r="B12" s="604">
        <v>15103.06</v>
      </c>
      <c r="C12" s="603">
        <v>307.98480000000001</v>
      </c>
      <c r="D12" s="207">
        <v>2.0392211909374658</v>
      </c>
      <c r="E12" s="603">
        <v>14596.43</v>
      </c>
      <c r="F12" s="609">
        <v>15609.69</v>
      </c>
      <c r="G12" s="82"/>
    </row>
    <row r="13" spans="1:10" s="83" customFormat="1" ht="15" customHeight="1" x14ac:dyDescent="0.3">
      <c r="A13" s="56" t="s">
        <v>1088</v>
      </c>
      <c r="B13" s="604">
        <v>17859.97</v>
      </c>
      <c r="C13" s="603">
        <v>854.50459999999998</v>
      </c>
      <c r="D13" s="207">
        <v>4.7844682829814378</v>
      </c>
      <c r="E13" s="603">
        <v>16454.32</v>
      </c>
      <c r="F13" s="609">
        <v>19265.62</v>
      </c>
      <c r="G13" s="82"/>
    </row>
    <row r="14" spans="1:10" s="83" customFormat="1" ht="15" customHeight="1" x14ac:dyDescent="0.3">
      <c r="A14" s="56" t="s">
        <v>1087</v>
      </c>
      <c r="B14" s="604">
        <v>18104.11</v>
      </c>
      <c r="C14" s="603">
        <v>702.3365</v>
      </c>
      <c r="D14" s="207">
        <v>3.8794312451702959</v>
      </c>
      <c r="E14" s="603">
        <v>16948.78</v>
      </c>
      <c r="F14" s="609">
        <v>19259.439999999999</v>
      </c>
      <c r="G14" s="82"/>
      <c r="J14" s="83" t="s">
        <v>1107</v>
      </c>
    </row>
    <row r="15" spans="1:10" ht="15" customHeight="1" x14ac:dyDescent="0.3">
      <c r="A15" s="56" t="s">
        <v>1086</v>
      </c>
      <c r="B15" s="604">
        <v>13215.3</v>
      </c>
      <c r="C15" s="603">
        <v>155.36420000000001</v>
      </c>
      <c r="D15" s="207">
        <v>1.1756388428563862</v>
      </c>
      <c r="E15" s="603">
        <v>12959.73</v>
      </c>
      <c r="F15" s="609">
        <v>13470.87</v>
      </c>
      <c r="G15" s="82"/>
    </row>
    <row r="16" spans="1:10" ht="15" customHeight="1" x14ac:dyDescent="0.3">
      <c r="A16" s="56" t="s">
        <v>1085</v>
      </c>
      <c r="B16" s="604">
        <v>13030.49</v>
      </c>
      <c r="C16" s="603">
        <v>213.9384</v>
      </c>
      <c r="D16" s="207">
        <v>1.6418292788682545</v>
      </c>
      <c r="E16" s="603">
        <v>12678.56</v>
      </c>
      <c r="F16" s="609">
        <v>13382.41</v>
      </c>
      <c r="G16" s="82"/>
    </row>
    <row r="17" spans="1:7" ht="15" customHeight="1" x14ac:dyDescent="0.3">
      <c r="A17" s="56" t="s">
        <v>1084</v>
      </c>
      <c r="B17" s="604">
        <v>16210.77</v>
      </c>
      <c r="C17" s="603">
        <v>481.78059999999999</v>
      </c>
      <c r="D17" s="207">
        <v>2.9719785056477885</v>
      </c>
      <c r="E17" s="603">
        <v>15418.24</v>
      </c>
      <c r="F17" s="609">
        <v>17003.29</v>
      </c>
      <c r="G17" s="82"/>
    </row>
    <row r="18" spans="1:7" s="83" customFormat="1" ht="15" customHeight="1" x14ac:dyDescent="0.3">
      <c r="A18" s="56" t="s">
        <v>1083</v>
      </c>
      <c r="B18" s="604">
        <v>18165.599999999999</v>
      </c>
      <c r="C18" s="603">
        <v>498.92160000000001</v>
      </c>
      <c r="D18" s="207">
        <v>2.7465186946756508</v>
      </c>
      <c r="E18" s="603">
        <v>17344.89</v>
      </c>
      <c r="F18" s="609">
        <v>18986.32</v>
      </c>
      <c r="G18" s="82"/>
    </row>
    <row r="19" spans="1:7" ht="15" customHeight="1" x14ac:dyDescent="0.3">
      <c r="A19" s="56" t="s">
        <v>1082</v>
      </c>
      <c r="B19" s="604">
        <v>12999.79</v>
      </c>
      <c r="C19" s="603">
        <v>239.84299999999999</v>
      </c>
      <c r="D19" s="207">
        <v>1.8449759573039255</v>
      </c>
      <c r="E19" s="603">
        <v>12605.25</v>
      </c>
      <c r="F19" s="609">
        <v>13394.33</v>
      </c>
      <c r="G19" s="82"/>
    </row>
    <row r="20" spans="1:7" ht="15" customHeight="1" x14ac:dyDescent="0.3">
      <c r="A20" s="56" t="s">
        <v>1081</v>
      </c>
      <c r="B20" s="604">
        <v>12141.48</v>
      </c>
      <c r="C20" s="603">
        <v>155.88399999999999</v>
      </c>
      <c r="D20" s="207">
        <v>1.2838961971687142</v>
      </c>
      <c r="E20" s="603">
        <v>11885.05</v>
      </c>
      <c r="F20" s="609">
        <v>12397.91</v>
      </c>
      <c r="G20" s="82"/>
    </row>
    <row r="21" spans="1:7" ht="15" customHeight="1" x14ac:dyDescent="0.3">
      <c r="A21" s="73" t="s">
        <v>1080</v>
      </c>
      <c r="B21" s="604">
        <v>14398.94</v>
      </c>
      <c r="C21" s="603">
        <v>252.11750000000001</v>
      </c>
      <c r="D21" s="207">
        <v>1.7509448612189509</v>
      </c>
      <c r="E21" s="603">
        <v>13984.21</v>
      </c>
      <c r="F21" s="609">
        <v>14813.67</v>
      </c>
      <c r="G21" s="82"/>
    </row>
    <row r="22" spans="1:7" ht="15" customHeight="1" x14ac:dyDescent="0.3">
      <c r="A22" s="56" t="s">
        <v>1079</v>
      </c>
      <c r="B22" s="604">
        <v>18787.990000000002</v>
      </c>
      <c r="C22" s="603">
        <v>1190.7809999999999</v>
      </c>
      <c r="D22" s="207">
        <v>6.3379903864117448</v>
      </c>
      <c r="E22" s="603">
        <v>16829.18</v>
      </c>
      <c r="F22" s="609">
        <v>20746.810000000001</v>
      </c>
      <c r="G22" s="82"/>
    </row>
    <row r="23" spans="1:7" ht="15" customHeight="1" x14ac:dyDescent="0.3">
      <c r="A23" s="56" t="s">
        <v>1078</v>
      </c>
      <c r="B23" s="604">
        <v>12949.4</v>
      </c>
      <c r="C23" s="603">
        <v>562.6508</v>
      </c>
      <c r="D23" s="207">
        <v>4.344995134909726</v>
      </c>
      <c r="E23" s="603">
        <v>12023.85</v>
      </c>
      <c r="F23" s="609">
        <v>13874.95</v>
      </c>
      <c r="G23" s="82"/>
    </row>
    <row r="24" spans="1:7" ht="15" customHeight="1" x14ac:dyDescent="0.3">
      <c r="A24" s="56" t="s">
        <v>1077</v>
      </c>
      <c r="B24" s="604">
        <v>13213.05</v>
      </c>
      <c r="C24" s="603">
        <v>225.63800000000001</v>
      </c>
      <c r="D24" s="207">
        <v>1.7076905029497356</v>
      </c>
      <c r="E24" s="603">
        <v>12841.88</v>
      </c>
      <c r="F24" s="609">
        <v>13584.22</v>
      </c>
      <c r="G24" s="82"/>
    </row>
    <row r="25" spans="1:7" ht="15" customHeight="1" x14ac:dyDescent="0.3">
      <c r="A25" s="56" t="s">
        <v>1076</v>
      </c>
      <c r="B25" s="604">
        <v>11746.4</v>
      </c>
      <c r="C25" s="603" t="s">
        <v>289</v>
      </c>
      <c r="D25" s="207"/>
      <c r="E25" s="603" t="s">
        <v>289</v>
      </c>
      <c r="F25" s="609" t="s">
        <v>289</v>
      </c>
      <c r="G25" s="82"/>
    </row>
    <row r="26" spans="1:7" x14ac:dyDescent="0.25">
      <c r="A26" s="55"/>
      <c r="B26" s="72"/>
      <c r="C26" s="94"/>
      <c r="D26" s="94"/>
      <c r="E26" s="94"/>
      <c r="F26" s="257"/>
    </row>
    <row r="27" spans="1:7" s="66" customFormat="1" ht="15" customHeight="1" x14ac:dyDescent="0.25">
      <c r="A27" s="70" t="s">
        <v>1123</v>
      </c>
      <c r="B27" s="67"/>
    </row>
    <row r="28" spans="1:7" s="66" customFormat="1" x14ac:dyDescent="0.25">
      <c r="A28" s="70" t="s">
        <v>1124</v>
      </c>
      <c r="B28" s="67"/>
    </row>
    <row r="29" spans="1:7" s="66" customFormat="1" x14ac:dyDescent="0.25">
      <c r="A29" s="69" t="s">
        <v>1125</v>
      </c>
      <c r="B29" s="67"/>
    </row>
    <row r="30" spans="1:7" s="66" customFormat="1" x14ac:dyDescent="0.25">
      <c r="A30" s="68" t="s">
        <v>1356</v>
      </c>
      <c r="B30" s="67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>
    <oddFooter>&amp;C&amp;"Arial,Regular"&amp;10&amp;P</oddFooter>
  </headerFooter>
  <colBreaks count="1" manualBreakCount="1">
    <brk id="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9566-3F13-491F-A0DB-AFC41FA35832}">
  <sheetPr>
    <pageSetUpPr fitToPage="1"/>
  </sheetPr>
  <dimension ref="A1:G30"/>
  <sheetViews>
    <sheetView view="pageBreakPreview" zoomScaleNormal="100" zoomScaleSheetLayoutView="100" workbookViewId="0">
      <selection activeCell="D27" sqref="D27"/>
    </sheetView>
  </sheetViews>
  <sheetFormatPr defaultRowHeight="14.5" x14ac:dyDescent="0.35"/>
  <cols>
    <col min="1" max="1" width="53.7265625" style="76" customWidth="1"/>
    <col min="2" max="6" width="15.7265625" style="76" customWidth="1"/>
  </cols>
  <sheetData>
    <row r="1" spans="1:7" ht="32" customHeight="1" x14ac:dyDescent="0.35">
      <c r="A1" s="428" t="s">
        <v>1394</v>
      </c>
      <c r="B1" s="428"/>
      <c r="C1" s="428"/>
      <c r="D1" s="428"/>
      <c r="E1" s="428"/>
      <c r="F1" s="428"/>
    </row>
    <row r="2" spans="1:7" x14ac:dyDescent="0.35">
      <c r="A2" s="444" t="s">
        <v>1337</v>
      </c>
      <c r="B2" s="444"/>
      <c r="C2" s="444"/>
      <c r="D2" s="444"/>
      <c r="E2" s="444"/>
      <c r="F2" s="444"/>
    </row>
    <row r="3" spans="1:7" x14ac:dyDescent="0.35">
      <c r="A3" s="77"/>
      <c r="B3" s="77"/>
      <c r="C3" s="77"/>
      <c r="D3" s="77"/>
      <c r="E3" s="77"/>
      <c r="F3" s="77"/>
    </row>
    <row r="4" spans="1:7" ht="15" customHeight="1" x14ac:dyDescent="0.35">
      <c r="A4" s="442" t="s">
        <v>1094</v>
      </c>
      <c r="B4" s="419" t="s">
        <v>91</v>
      </c>
      <c r="C4" s="419" t="s">
        <v>90</v>
      </c>
      <c r="D4" s="419" t="s">
        <v>89</v>
      </c>
      <c r="E4" s="419" t="s">
        <v>1186</v>
      </c>
      <c r="F4" s="419"/>
    </row>
    <row r="5" spans="1:7" ht="50.15" customHeight="1" x14ac:dyDescent="0.35">
      <c r="A5" s="443"/>
      <c r="B5" s="419"/>
      <c r="C5" s="419"/>
      <c r="D5" s="419"/>
      <c r="E5" s="5" t="s">
        <v>88</v>
      </c>
      <c r="F5" s="5" t="s">
        <v>87</v>
      </c>
    </row>
    <row r="6" spans="1:7" x14ac:dyDescent="0.35">
      <c r="A6" s="78"/>
      <c r="B6" s="79"/>
      <c r="C6" s="80"/>
      <c r="D6" s="80"/>
      <c r="E6" s="80"/>
      <c r="F6" s="246"/>
    </row>
    <row r="7" spans="1:7" x14ac:dyDescent="0.35">
      <c r="A7" s="57" t="s">
        <v>1093</v>
      </c>
      <c r="B7" s="601">
        <v>1234.614</v>
      </c>
      <c r="C7" s="602">
        <v>86.467460000000003</v>
      </c>
      <c r="D7" s="205">
        <v>7.0036027454734837</v>
      </c>
      <c r="E7" s="602">
        <v>1092.377</v>
      </c>
      <c r="F7" s="608">
        <v>1376.8520000000001</v>
      </c>
      <c r="G7" s="114"/>
    </row>
    <row r="8" spans="1:7" x14ac:dyDescent="0.35">
      <c r="A8" s="57"/>
      <c r="B8" s="601"/>
      <c r="C8" s="603"/>
      <c r="D8" s="207"/>
      <c r="E8" s="603"/>
      <c r="F8" s="609"/>
    </row>
    <row r="9" spans="1:7" x14ac:dyDescent="0.35">
      <c r="A9" s="56" t="s">
        <v>1092</v>
      </c>
      <c r="B9" s="612">
        <v>1991.684</v>
      </c>
      <c r="C9" s="612">
        <v>227.5085</v>
      </c>
      <c r="D9" s="613">
        <f t="shared" ref="D9:D24" si="0">IF(B9&lt;&gt;"",C9/B9*100,"")</f>
        <v>11.42292150762872</v>
      </c>
      <c r="E9" s="612">
        <v>1617.4359999999999</v>
      </c>
      <c r="F9" s="614">
        <v>2365.9319999999998</v>
      </c>
      <c r="G9" s="114"/>
    </row>
    <row r="10" spans="1:7" x14ac:dyDescent="0.35">
      <c r="A10" s="56" t="s">
        <v>1091</v>
      </c>
      <c r="B10" s="612">
        <v>884.10789999999997</v>
      </c>
      <c r="C10" s="612">
        <v>78.599159999999998</v>
      </c>
      <c r="D10" s="613">
        <f t="shared" si="0"/>
        <v>8.8902225622008348</v>
      </c>
      <c r="E10" s="612">
        <v>754.81349999999998</v>
      </c>
      <c r="F10" s="614">
        <v>1013.402</v>
      </c>
      <c r="G10" s="114"/>
    </row>
    <row r="11" spans="1:7" x14ac:dyDescent="0.35">
      <c r="A11" s="56" t="s">
        <v>1090</v>
      </c>
      <c r="B11" s="612">
        <v>531.96259999999995</v>
      </c>
      <c r="C11" s="612">
        <v>26.02768</v>
      </c>
      <c r="D11" s="613">
        <f t="shared" si="0"/>
        <v>4.8927650176910937</v>
      </c>
      <c r="E11" s="612">
        <v>489.14749999999998</v>
      </c>
      <c r="F11" s="614">
        <v>574.77769999999998</v>
      </c>
      <c r="G11" s="114"/>
    </row>
    <row r="12" spans="1:7" x14ac:dyDescent="0.35">
      <c r="A12" s="56" t="s">
        <v>1089</v>
      </c>
      <c r="B12" s="612">
        <v>303.66590000000002</v>
      </c>
      <c r="C12" s="612">
        <v>34.526919999999997</v>
      </c>
      <c r="D12" s="613">
        <f t="shared" si="0"/>
        <v>11.370035292075928</v>
      </c>
      <c r="E12" s="612">
        <v>246.86969999999999</v>
      </c>
      <c r="F12" s="614">
        <v>360.46210000000002</v>
      </c>
      <c r="G12" s="114"/>
    </row>
    <row r="13" spans="1:7" x14ac:dyDescent="0.35">
      <c r="A13" s="56" t="s">
        <v>1088</v>
      </c>
      <c r="B13" s="612">
        <v>901.84950000000003</v>
      </c>
      <c r="C13" s="612">
        <v>79.625339999999994</v>
      </c>
      <c r="D13" s="613">
        <f t="shared" si="0"/>
        <v>8.8291161662782969</v>
      </c>
      <c r="E13" s="612">
        <v>770.86710000000005</v>
      </c>
      <c r="F13" s="614">
        <v>1032.8320000000001</v>
      </c>
      <c r="G13" s="114"/>
    </row>
    <row r="14" spans="1:7" x14ac:dyDescent="0.35">
      <c r="A14" s="56" t="s">
        <v>1087</v>
      </c>
      <c r="B14" s="612">
        <v>957.73320000000001</v>
      </c>
      <c r="C14" s="612">
        <v>72.613770000000002</v>
      </c>
      <c r="D14" s="613">
        <f t="shared" si="0"/>
        <v>7.5818369875869402</v>
      </c>
      <c r="E14" s="612">
        <v>838.28470000000004</v>
      </c>
      <c r="F14" s="614">
        <v>1077.182</v>
      </c>
      <c r="G14" s="114"/>
    </row>
    <row r="15" spans="1:7" x14ac:dyDescent="0.35">
      <c r="A15" s="56" t="s">
        <v>1086</v>
      </c>
      <c r="B15" s="612">
        <v>819.85299999999995</v>
      </c>
      <c r="C15" s="612">
        <v>60.295630000000003</v>
      </c>
      <c r="D15" s="613">
        <f t="shared" si="0"/>
        <v>7.3544440283806978</v>
      </c>
      <c r="E15" s="612">
        <v>720.66769999999997</v>
      </c>
      <c r="F15" s="614">
        <v>919.03830000000005</v>
      </c>
      <c r="G15" s="114"/>
    </row>
    <row r="16" spans="1:7" x14ac:dyDescent="0.35">
      <c r="A16" s="56" t="s">
        <v>1085</v>
      </c>
      <c r="B16" s="612">
        <v>706.40899999999999</v>
      </c>
      <c r="C16" s="612">
        <v>51.1419</v>
      </c>
      <c r="D16" s="613">
        <f t="shared" si="0"/>
        <v>7.2397010796861307</v>
      </c>
      <c r="E16" s="612">
        <v>622.28139999999996</v>
      </c>
      <c r="F16" s="614">
        <v>790.53660000000002</v>
      </c>
      <c r="G16" s="114"/>
    </row>
    <row r="17" spans="1:7" x14ac:dyDescent="0.35">
      <c r="A17" s="56" t="s">
        <v>1084</v>
      </c>
      <c r="B17" s="612">
        <v>777.47090000000003</v>
      </c>
      <c r="C17" s="612">
        <v>103.7713</v>
      </c>
      <c r="D17" s="613">
        <f t="shared" si="0"/>
        <v>13.34729055454037</v>
      </c>
      <c r="E17" s="612">
        <v>606.76869999999997</v>
      </c>
      <c r="F17" s="614">
        <v>948.17309999999998</v>
      </c>
      <c r="G17" s="114"/>
    </row>
    <row r="18" spans="1:7" x14ac:dyDescent="0.35">
      <c r="A18" s="56" t="s">
        <v>1083</v>
      </c>
      <c r="B18" s="612">
        <v>1028.5160000000001</v>
      </c>
      <c r="C18" s="612">
        <v>105.7354</v>
      </c>
      <c r="D18" s="613">
        <f t="shared" si="0"/>
        <v>10.280384554056523</v>
      </c>
      <c r="E18" s="612">
        <v>854.58339999999998</v>
      </c>
      <c r="F18" s="614">
        <v>1202.4490000000001</v>
      </c>
      <c r="G18" s="114"/>
    </row>
    <row r="19" spans="1:7" x14ac:dyDescent="0.35">
      <c r="A19" s="56" t="s">
        <v>1082</v>
      </c>
      <c r="B19" s="612">
        <v>638.96180000000004</v>
      </c>
      <c r="C19" s="612">
        <v>44.683660000000003</v>
      </c>
      <c r="D19" s="613">
        <f t="shared" si="0"/>
        <v>6.9931661016354969</v>
      </c>
      <c r="E19" s="612">
        <v>565.4579</v>
      </c>
      <c r="F19" s="614">
        <v>712.46569999999997</v>
      </c>
      <c r="G19" s="114"/>
    </row>
    <row r="20" spans="1:7" x14ac:dyDescent="0.35">
      <c r="A20" s="56" t="s">
        <v>1081</v>
      </c>
      <c r="B20" s="612">
        <v>358.423</v>
      </c>
      <c r="C20" s="612">
        <v>33.157040000000002</v>
      </c>
      <c r="D20" s="613">
        <f t="shared" si="0"/>
        <v>9.2508125873618603</v>
      </c>
      <c r="E20" s="612">
        <v>303.8802</v>
      </c>
      <c r="F20" s="614">
        <v>412.9658</v>
      </c>
      <c r="G20" s="114"/>
    </row>
    <row r="21" spans="1:7" x14ac:dyDescent="0.35">
      <c r="A21" s="73" t="s">
        <v>1080</v>
      </c>
      <c r="B21" s="612">
        <v>446.62860000000001</v>
      </c>
      <c r="C21" s="612">
        <v>51.800579999999997</v>
      </c>
      <c r="D21" s="613">
        <f t="shared" si="0"/>
        <v>11.598133214039583</v>
      </c>
      <c r="E21" s="612">
        <v>361.41750000000002</v>
      </c>
      <c r="F21" s="614">
        <v>531.83979999999997</v>
      </c>
      <c r="G21" s="114"/>
    </row>
    <row r="22" spans="1:7" x14ac:dyDescent="0.35">
      <c r="A22" s="56" t="s">
        <v>1079</v>
      </c>
      <c r="B22" s="612">
        <v>789.82749999999999</v>
      </c>
      <c r="C22" s="612">
        <v>88.729889999999997</v>
      </c>
      <c r="D22" s="613">
        <f t="shared" si="0"/>
        <v>11.234084657725896</v>
      </c>
      <c r="E22" s="612">
        <v>643.8682</v>
      </c>
      <c r="F22" s="614">
        <v>935.7867</v>
      </c>
      <c r="G22" s="114"/>
    </row>
    <row r="23" spans="1:7" x14ac:dyDescent="0.35">
      <c r="A23" s="56" t="s">
        <v>1078</v>
      </c>
      <c r="B23" s="612">
        <v>516.29420000000005</v>
      </c>
      <c r="C23" s="612">
        <v>44.437989999999999</v>
      </c>
      <c r="D23" s="613">
        <f t="shared" si="0"/>
        <v>8.6071061809332736</v>
      </c>
      <c r="E23" s="612">
        <v>443.19450000000001</v>
      </c>
      <c r="F23" s="614">
        <v>589.39400000000001</v>
      </c>
      <c r="G23" s="114"/>
    </row>
    <row r="24" spans="1:7" x14ac:dyDescent="0.35">
      <c r="A24" s="56" t="s">
        <v>1077</v>
      </c>
      <c r="B24" s="612">
        <v>759.84289999999999</v>
      </c>
      <c r="C24" s="612">
        <v>63.21951</v>
      </c>
      <c r="D24" s="613">
        <f t="shared" si="0"/>
        <v>8.3200764263244427</v>
      </c>
      <c r="E24" s="612">
        <v>655.84780000000001</v>
      </c>
      <c r="F24" s="614">
        <v>863.83799999999997</v>
      </c>
      <c r="G24" s="114"/>
    </row>
    <row r="25" spans="1:7" x14ac:dyDescent="0.35">
      <c r="A25" s="56" t="s">
        <v>1076</v>
      </c>
      <c r="B25" s="612">
        <v>326.33</v>
      </c>
      <c r="C25" s="612" t="s">
        <v>289</v>
      </c>
      <c r="D25" s="613"/>
      <c r="E25" s="612" t="s">
        <v>289</v>
      </c>
      <c r="F25" s="614" t="s">
        <v>289</v>
      </c>
      <c r="G25" s="114"/>
    </row>
    <row r="26" spans="1:7" s="76" customFormat="1" ht="12.5" x14ac:dyDescent="0.25">
      <c r="A26" s="55"/>
      <c r="B26" s="72"/>
      <c r="C26" s="94"/>
      <c r="D26" s="94"/>
      <c r="E26" s="94"/>
      <c r="F26" s="257"/>
    </row>
    <row r="27" spans="1:7" s="66" customFormat="1" ht="20.149999999999999" customHeight="1" x14ac:dyDescent="0.25">
      <c r="A27" s="70" t="s">
        <v>1127</v>
      </c>
      <c r="B27" s="67"/>
    </row>
    <row r="28" spans="1:7" s="66" customFormat="1" ht="12.5" x14ac:dyDescent="0.25">
      <c r="A28" s="70" t="s">
        <v>1126</v>
      </c>
      <c r="B28" s="67"/>
    </row>
    <row r="29" spans="1:7" s="66" customFormat="1" ht="12.5" x14ac:dyDescent="0.25">
      <c r="A29" s="69" t="s">
        <v>1125</v>
      </c>
      <c r="B29" s="67"/>
    </row>
    <row r="30" spans="1:7" s="66" customFormat="1" ht="12.5" x14ac:dyDescent="0.25">
      <c r="A30" s="68" t="s">
        <v>1356</v>
      </c>
      <c r="B30" s="67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scale="98" fitToHeight="0" orientation="landscape" useFirstPageNumber="1" r:id="rId1"/>
  <headerFooter>
    <oddFooter>&amp;C&amp;"Arial,Regular"&amp;10&amp;P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13FB-BCA8-4B0A-8711-719A3D8C2C7F}">
  <sheetPr>
    <pageSetUpPr fitToPage="1"/>
  </sheetPr>
  <dimension ref="A1:G30"/>
  <sheetViews>
    <sheetView topLeftCell="A6" zoomScale="90" zoomScaleNormal="90" workbookViewId="0">
      <selection activeCell="E4" sqref="A4:F26"/>
    </sheetView>
  </sheetViews>
  <sheetFormatPr defaultRowHeight="14.5" x14ac:dyDescent="0.35"/>
  <cols>
    <col min="1" max="1" width="53.7265625" style="76" customWidth="1"/>
    <col min="2" max="6" width="15.7265625" style="76" customWidth="1"/>
  </cols>
  <sheetData>
    <row r="1" spans="1:7" ht="30.75" customHeight="1" x14ac:dyDescent="0.35">
      <c r="A1" s="428" t="s">
        <v>1395</v>
      </c>
      <c r="B1" s="428"/>
      <c r="C1" s="428"/>
      <c r="D1" s="428"/>
      <c r="E1" s="428"/>
      <c r="F1" s="428"/>
    </row>
    <row r="2" spans="1:7" x14ac:dyDescent="0.35">
      <c r="A2" s="444" t="s">
        <v>1337</v>
      </c>
      <c r="B2" s="444"/>
      <c r="C2" s="444"/>
      <c r="D2" s="444"/>
      <c r="E2" s="444"/>
      <c r="F2" s="444"/>
    </row>
    <row r="3" spans="1:7" x14ac:dyDescent="0.35">
      <c r="A3" s="77"/>
      <c r="B3" s="77"/>
      <c r="C3" s="77"/>
      <c r="D3" s="77"/>
      <c r="E3" s="77"/>
      <c r="F3" s="77"/>
    </row>
    <row r="4" spans="1:7" ht="15" customHeight="1" x14ac:dyDescent="0.35">
      <c r="A4" s="442" t="s">
        <v>1094</v>
      </c>
      <c r="B4" s="419" t="s">
        <v>91</v>
      </c>
      <c r="C4" s="419" t="s">
        <v>90</v>
      </c>
      <c r="D4" s="419" t="s">
        <v>89</v>
      </c>
      <c r="E4" s="419" t="s">
        <v>1186</v>
      </c>
      <c r="F4" s="419"/>
    </row>
    <row r="5" spans="1:7" ht="50.15" customHeight="1" x14ac:dyDescent="0.35">
      <c r="A5" s="443"/>
      <c r="B5" s="419"/>
      <c r="C5" s="419"/>
      <c r="D5" s="419"/>
      <c r="E5" s="5" t="s">
        <v>88</v>
      </c>
      <c r="F5" s="5" t="s">
        <v>87</v>
      </c>
    </row>
    <row r="6" spans="1:7" x14ac:dyDescent="0.35">
      <c r="A6" s="78"/>
      <c r="B6" s="79"/>
      <c r="C6" s="80"/>
      <c r="D6" s="80"/>
      <c r="E6" s="80"/>
      <c r="F6" s="246"/>
    </row>
    <row r="7" spans="1:7" x14ac:dyDescent="0.35">
      <c r="A7" s="57" t="s">
        <v>1093</v>
      </c>
      <c r="B7" s="74">
        <v>1147.317</v>
      </c>
      <c r="C7" s="105">
        <v>75.687460000000002</v>
      </c>
      <c r="D7" s="105">
        <v>6.5969091367076409</v>
      </c>
      <c r="E7" s="205">
        <v>1022.812</v>
      </c>
      <c r="F7" s="610">
        <v>1271.8219999999999</v>
      </c>
      <c r="G7" s="114"/>
    </row>
    <row r="8" spans="1:7" x14ac:dyDescent="0.35">
      <c r="A8" s="57"/>
      <c r="B8" s="74"/>
      <c r="C8" s="91"/>
      <c r="D8" s="91"/>
      <c r="E8" s="91"/>
      <c r="F8" s="253"/>
    </row>
    <row r="9" spans="1:7" x14ac:dyDescent="0.35">
      <c r="A9" s="56" t="s">
        <v>1092</v>
      </c>
      <c r="B9" s="206">
        <v>1792.3230000000001</v>
      </c>
      <c r="C9" s="207">
        <v>201.1978</v>
      </c>
      <c r="D9" s="207">
        <v>11.225532451461035</v>
      </c>
      <c r="E9" s="207">
        <v>1461.356</v>
      </c>
      <c r="F9" s="611">
        <v>2123.29</v>
      </c>
      <c r="G9" s="114"/>
    </row>
    <row r="10" spans="1:7" x14ac:dyDescent="0.35">
      <c r="A10" s="56" t="s">
        <v>1091</v>
      </c>
      <c r="B10" s="206">
        <v>915.58720000000005</v>
      </c>
      <c r="C10" s="207">
        <v>75.783640000000005</v>
      </c>
      <c r="D10" s="207">
        <v>8.2770532397132683</v>
      </c>
      <c r="E10" s="207">
        <v>790.92430000000002</v>
      </c>
      <c r="F10" s="611">
        <v>1040.25</v>
      </c>
      <c r="G10" s="114"/>
    </row>
    <row r="11" spans="1:7" x14ac:dyDescent="0.35">
      <c r="A11" s="56" t="s">
        <v>1090</v>
      </c>
      <c r="B11" s="206">
        <v>505.83210000000003</v>
      </c>
      <c r="C11" s="207">
        <v>28.758179999999999</v>
      </c>
      <c r="D11" s="207">
        <v>5.6853212755774098</v>
      </c>
      <c r="E11" s="207">
        <v>458.52530000000002</v>
      </c>
      <c r="F11" s="611">
        <v>553.13879999999995</v>
      </c>
      <c r="G11" s="114"/>
    </row>
    <row r="12" spans="1:7" x14ac:dyDescent="0.35">
      <c r="A12" s="56" t="s">
        <v>1089</v>
      </c>
      <c r="B12" s="206">
        <v>326.73950000000002</v>
      </c>
      <c r="C12" s="207">
        <v>42.910629999999998</v>
      </c>
      <c r="D12" s="207">
        <v>13.13297902457462</v>
      </c>
      <c r="E12" s="207">
        <v>256.15219999999999</v>
      </c>
      <c r="F12" s="611">
        <v>397.32679999999999</v>
      </c>
      <c r="G12" s="114"/>
    </row>
    <row r="13" spans="1:7" x14ac:dyDescent="0.35">
      <c r="A13" s="56" t="s">
        <v>1088</v>
      </c>
      <c r="B13" s="206">
        <v>866.46010000000001</v>
      </c>
      <c r="C13" s="207">
        <v>76.917950000000005</v>
      </c>
      <c r="D13" s="207">
        <v>8.8772639386395298</v>
      </c>
      <c r="E13" s="207">
        <v>739.93129999999996</v>
      </c>
      <c r="F13" s="611">
        <v>992.98889999999994</v>
      </c>
      <c r="G13" s="114"/>
    </row>
    <row r="14" spans="1:7" x14ac:dyDescent="0.35">
      <c r="A14" s="56" t="s">
        <v>1087</v>
      </c>
      <c r="B14" s="206">
        <v>989.73099999999999</v>
      </c>
      <c r="C14" s="207">
        <v>75.757050000000007</v>
      </c>
      <c r="D14" s="207">
        <v>7.6543070793983423</v>
      </c>
      <c r="E14" s="207">
        <v>865.11180000000002</v>
      </c>
      <c r="F14" s="611">
        <v>1114.3499999999999</v>
      </c>
      <c r="G14" s="114"/>
    </row>
    <row r="15" spans="1:7" x14ac:dyDescent="0.35">
      <c r="A15" s="56" t="s">
        <v>1086</v>
      </c>
      <c r="B15" s="206">
        <v>820.84969999999998</v>
      </c>
      <c r="C15" s="207">
        <v>59.750770000000003</v>
      </c>
      <c r="D15" s="207">
        <v>7.2791364850349591</v>
      </c>
      <c r="E15" s="207">
        <v>722.56060000000002</v>
      </c>
      <c r="F15" s="611">
        <v>919.13869999999997</v>
      </c>
      <c r="G15" s="114"/>
    </row>
    <row r="16" spans="1:7" x14ac:dyDescent="0.35">
      <c r="A16" s="56" t="s">
        <v>1085</v>
      </c>
      <c r="B16" s="206">
        <v>697.2079</v>
      </c>
      <c r="C16" s="207">
        <v>54.116120000000002</v>
      </c>
      <c r="D16" s="207">
        <v>7.7618340239690342</v>
      </c>
      <c r="E16" s="207">
        <v>608.18769999999995</v>
      </c>
      <c r="F16" s="611">
        <v>786.22799999999995</v>
      </c>
      <c r="G16" s="114"/>
    </row>
    <row r="17" spans="1:7" x14ac:dyDescent="0.35">
      <c r="A17" s="56" t="s">
        <v>1084</v>
      </c>
      <c r="B17" s="206">
        <v>674.49360000000001</v>
      </c>
      <c r="C17" s="207">
        <v>86.597200000000001</v>
      </c>
      <c r="D17" s="207">
        <v>12.838846802994128</v>
      </c>
      <c r="E17" s="207">
        <v>532.04259999999999</v>
      </c>
      <c r="F17" s="611">
        <v>816.94460000000004</v>
      </c>
      <c r="G17" s="114"/>
    </row>
    <row r="18" spans="1:7" x14ac:dyDescent="0.35">
      <c r="A18" s="56" t="s">
        <v>1083</v>
      </c>
      <c r="B18" s="206">
        <v>940.64970000000005</v>
      </c>
      <c r="C18" s="207">
        <v>75.835740000000001</v>
      </c>
      <c r="D18" s="207">
        <v>8.062059659403495</v>
      </c>
      <c r="E18" s="207">
        <v>815.90110000000004</v>
      </c>
      <c r="F18" s="611">
        <v>1065.3979999999999</v>
      </c>
      <c r="G18" s="114"/>
    </row>
    <row r="19" spans="1:7" x14ac:dyDescent="0.35">
      <c r="A19" s="56" t="s">
        <v>1082</v>
      </c>
      <c r="B19" s="206">
        <v>615.57249999999999</v>
      </c>
      <c r="C19" s="207">
        <v>46.880780000000001</v>
      </c>
      <c r="D19" s="207">
        <v>7.6158015505890866</v>
      </c>
      <c r="E19" s="207">
        <v>538.45429999999999</v>
      </c>
      <c r="F19" s="611">
        <v>692.69060000000002</v>
      </c>
      <c r="G19" s="114"/>
    </row>
    <row r="20" spans="1:7" x14ac:dyDescent="0.35">
      <c r="A20" s="56" t="s">
        <v>1081</v>
      </c>
      <c r="B20" s="206">
        <v>371.06400000000002</v>
      </c>
      <c r="C20" s="207">
        <v>35.884740000000001</v>
      </c>
      <c r="D20" s="207">
        <v>9.6707683849686319</v>
      </c>
      <c r="E20" s="207">
        <v>312.0342</v>
      </c>
      <c r="F20" s="611">
        <v>430.09390000000002</v>
      </c>
      <c r="G20" s="114"/>
    </row>
    <row r="21" spans="1:7" x14ac:dyDescent="0.35">
      <c r="A21" s="73" t="s">
        <v>1080</v>
      </c>
      <c r="B21" s="206">
        <v>413.78089999999997</v>
      </c>
      <c r="C21" s="207">
        <v>51.271419999999999</v>
      </c>
      <c r="D21" s="207">
        <v>12.39095859668728</v>
      </c>
      <c r="E21" s="207">
        <v>329.44029999999998</v>
      </c>
      <c r="F21" s="611">
        <v>498.1216</v>
      </c>
      <c r="G21" s="114"/>
    </row>
    <row r="22" spans="1:7" x14ac:dyDescent="0.35">
      <c r="A22" s="56" t="s">
        <v>1079</v>
      </c>
      <c r="B22" s="206">
        <v>735.31690000000003</v>
      </c>
      <c r="C22" s="207">
        <v>78.574979999999996</v>
      </c>
      <c r="D22" s="207">
        <v>10.685866189121995</v>
      </c>
      <c r="E22" s="207">
        <v>606.06240000000003</v>
      </c>
      <c r="F22" s="611">
        <v>864.57150000000001</v>
      </c>
      <c r="G22" s="114"/>
    </row>
    <row r="23" spans="1:7" x14ac:dyDescent="0.35">
      <c r="A23" s="56" t="s">
        <v>1078</v>
      </c>
      <c r="B23" s="206">
        <v>538.54470000000003</v>
      </c>
      <c r="C23" s="207">
        <v>52.293300000000002</v>
      </c>
      <c r="D23" s="207">
        <v>9.7101131995171421</v>
      </c>
      <c r="E23" s="207">
        <v>452.5231</v>
      </c>
      <c r="F23" s="611">
        <v>624.56640000000004</v>
      </c>
      <c r="G23" s="114"/>
    </row>
    <row r="24" spans="1:7" x14ac:dyDescent="0.35">
      <c r="A24" s="56" t="s">
        <v>1077</v>
      </c>
      <c r="B24" s="206">
        <v>811.65250000000003</v>
      </c>
      <c r="C24" s="207">
        <v>84.652670000000001</v>
      </c>
      <c r="D24" s="207">
        <v>10.429669101000735</v>
      </c>
      <c r="E24" s="207">
        <v>672.40020000000004</v>
      </c>
      <c r="F24" s="611">
        <v>950.90470000000005</v>
      </c>
      <c r="G24" s="114"/>
    </row>
    <row r="25" spans="1:7" x14ac:dyDescent="0.35">
      <c r="A25" s="56" t="s">
        <v>1076</v>
      </c>
      <c r="B25" s="206">
        <v>302.6875</v>
      </c>
      <c r="C25" s="207" t="s">
        <v>289</v>
      </c>
      <c r="D25" s="207"/>
      <c r="E25" s="207" t="s">
        <v>289</v>
      </c>
      <c r="F25" s="611" t="s">
        <v>289</v>
      </c>
      <c r="G25" s="114"/>
    </row>
    <row r="26" spans="1:7" s="76" customFormat="1" ht="12.5" x14ac:dyDescent="0.25">
      <c r="A26" s="55"/>
      <c r="B26" s="72"/>
      <c r="C26" s="94"/>
      <c r="D26" s="94"/>
      <c r="E26" s="94"/>
      <c r="F26" s="257"/>
    </row>
    <row r="27" spans="1:7" s="66" customFormat="1" ht="20.149999999999999" customHeight="1" x14ac:dyDescent="0.25">
      <c r="A27" s="70" t="s">
        <v>1127</v>
      </c>
      <c r="B27" s="67"/>
    </row>
    <row r="28" spans="1:7" s="66" customFormat="1" ht="12.5" x14ac:dyDescent="0.25">
      <c r="A28" s="70" t="s">
        <v>1126</v>
      </c>
      <c r="B28" s="67"/>
    </row>
    <row r="29" spans="1:7" s="66" customFormat="1" ht="12.5" x14ac:dyDescent="0.25">
      <c r="A29" s="69" t="s">
        <v>1125</v>
      </c>
      <c r="B29" s="67"/>
    </row>
    <row r="30" spans="1:7" s="66" customFormat="1" ht="12.5" x14ac:dyDescent="0.25">
      <c r="A30" s="68" t="s">
        <v>1356</v>
      </c>
      <c r="B30" s="67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useFirstPageNumber="1" r:id="rId1"/>
  <headerFooter>
    <oddFooter>&amp;C&amp;"Arial,Regular"&amp;10&amp;P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4BBE-5686-4AEA-9509-42820D7F74DB}">
  <sheetPr>
    <pageSetUpPr fitToPage="1"/>
  </sheetPr>
  <dimension ref="A1:G30"/>
  <sheetViews>
    <sheetView topLeftCell="A6" zoomScale="85" zoomScaleNormal="85" workbookViewId="0">
      <selection activeCell="F26" sqref="A4:F26"/>
    </sheetView>
  </sheetViews>
  <sheetFormatPr defaultRowHeight="14.5" x14ac:dyDescent="0.35"/>
  <cols>
    <col min="1" max="1" width="53.7265625" style="76" customWidth="1"/>
    <col min="2" max="6" width="15.7265625" style="76" customWidth="1"/>
  </cols>
  <sheetData>
    <row r="1" spans="1:7" ht="30" customHeight="1" x14ac:dyDescent="0.35">
      <c r="A1" s="428" t="s">
        <v>1398</v>
      </c>
      <c r="B1" s="428"/>
      <c r="C1" s="428"/>
      <c r="D1" s="428"/>
      <c r="E1" s="428"/>
      <c r="F1" s="428"/>
    </row>
    <row r="2" spans="1:7" x14ac:dyDescent="0.35">
      <c r="A2" s="444" t="s">
        <v>1337</v>
      </c>
      <c r="B2" s="444"/>
      <c r="C2" s="444"/>
      <c r="D2" s="444"/>
      <c r="E2" s="444"/>
      <c r="F2" s="444"/>
    </row>
    <row r="3" spans="1:7" x14ac:dyDescent="0.35">
      <c r="A3" s="77"/>
      <c r="B3" s="77"/>
      <c r="C3" s="77"/>
      <c r="D3" s="77"/>
      <c r="E3" s="77"/>
      <c r="F3" s="77"/>
    </row>
    <row r="4" spans="1:7" ht="15" customHeight="1" x14ac:dyDescent="0.35">
      <c r="A4" s="442" t="s">
        <v>1094</v>
      </c>
      <c r="B4" s="419" t="s">
        <v>91</v>
      </c>
      <c r="C4" s="419" t="s">
        <v>90</v>
      </c>
      <c r="D4" s="419" t="s">
        <v>89</v>
      </c>
      <c r="E4" s="419" t="s">
        <v>1186</v>
      </c>
      <c r="F4" s="419"/>
    </row>
    <row r="5" spans="1:7" ht="37" customHeight="1" x14ac:dyDescent="0.35">
      <c r="A5" s="443"/>
      <c r="B5" s="419"/>
      <c r="C5" s="419"/>
      <c r="D5" s="419"/>
      <c r="E5" s="5" t="s">
        <v>88</v>
      </c>
      <c r="F5" s="5" t="s">
        <v>87</v>
      </c>
    </row>
    <row r="6" spans="1:7" x14ac:dyDescent="0.35">
      <c r="A6" s="78"/>
      <c r="B6" s="79"/>
      <c r="C6" s="80"/>
      <c r="D6" s="80"/>
      <c r="E6" s="80"/>
      <c r="F6" s="246"/>
    </row>
    <row r="7" spans="1:7" x14ac:dyDescent="0.35">
      <c r="A7" s="57" t="s">
        <v>1093</v>
      </c>
      <c r="B7" s="601">
        <v>1347.729</v>
      </c>
      <c r="C7" s="602">
        <v>104.67529999999999</v>
      </c>
      <c r="D7" s="205">
        <v>7.7667913950059688</v>
      </c>
      <c r="E7" s="602">
        <v>1175.54</v>
      </c>
      <c r="F7" s="608">
        <v>1519.9179999999999</v>
      </c>
      <c r="G7" s="114"/>
    </row>
    <row r="8" spans="1:7" x14ac:dyDescent="0.35">
      <c r="A8" s="57"/>
      <c r="B8" s="601"/>
      <c r="C8" s="603"/>
      <c r="D8" s="207"/>
      <c r="E8" s="603"/>
      <c r="F8" s="609"/>
    </row>
    <row r="9" spans="1:7" x14ac:dyDescent="0.35">
      <c r="A9" s="56" t="s">
        <v>1092</v>
      </c>
      <c r="B9" s="604">
        <v>2256.105</v>
      </c>
      <c r="C9" s="603">
        <v>273.98790000000002</v>
      </c>
      <c r="D9" s="207">
        <v>12.144288497210901</v>
      </c>
      <c r="E9" s="603">
        <v>1805.3989999999999</v>
      </c>
      <c r="F9" s="609">
        <v>2706.8110000000001</v>
      </c>
      <c r="G9" s="114"/>
    </row>
    <row r="10" spans="1:7" x14ac:dyDescent="0.35">
      <c r="A10" s="56" t="s">
        <v>1091</v>
      </c>
      <c r="B10" s="604">
        <v>848.36009999999999</v>
      </c>
      <c r="C10" s="603">
        <v>92.631630000000001</v>
      </c>
      <c r="D10" s="207">
        <v>10.918904601949102</v>
      </c>
      <c r="E10" s="603">
        <v>695.98249999999996</v>
      </c>
      <c r="F10" s="609">
        <v>1000.7380000000001</v>
      </c>
      <c r="G10" s="114"/>
    </row>
    <row r="11" spans="1:7" x14ac:dyDescent="0.35">
      <c r="A11" s="56" t="s">
        <v>1090</v>
      </c>
      <c r="B11" s="604">
        <v>565.87289999999996</v>
      </c>
      <c r="C11" s="603">
        <v>29.338480000000001</v>
      </c>
      <c r="D11" s="207">
        <v>5.1846412860555793</v>
      </c>
      <c r="E11" s="603">
        <v>517.61159999999995</v>
      </c>
      <c r="F11" s="609">
        <v>614.13430000000005</v>
      </c>
      <c r="G11" s="114"/>
    </row>
    <row r="12" spans="1:7" x14ac:dyDescent="0.35">
      <c r="A12" s="56" t="s">
        <v>1089</v>
      </c>
      <c r="B12" s="604">
        <v>273.66390000000001</v>
      </c>
      <c r="C12" s="603">
        <v>32.666930000000001</v>
      </c>
      <c r="D12" s="207">
        <v>11.936879508038874</v>
      </c>
      <c r="E12" s="603">
        <v>219.9273</v>
      </c>
      <c r="F12" s="609">
        <v>327.40039999999999</v>
      </c>
      <c r="G12" s="114"/>
    </row>
    <row r="13" spans="1:7" x14ac:dyDescent="0.35">
      <c r="A13" s="56" t="s">
        <v>1088</v>
      </c>
      <c r="B13" s="604">
        <v>947.69989999999996</v>
      </c>
      <c r="C13" s="603">
        <v>93.161360000000002</v>
      </c>
      <c r="D13" s="207">
        <v>9.8302595579043537</v>
      </c>
      <c r="E13" s="603">
        <v>794.45100000000002</v>
      </c>
      <c r="F13" s="609">
        <v>1100.9490000000001</v>
      </c>
      <c r="G13" s="114"/>
    </row>
    <row r="14" spans="1:7" x14ac:dyDescent="0.35">
      <c r="A14" s="56" t="s">
        <v>1087</v>
      </c>
      <c r="B14" s="604">
        <v>921.23609999999996</v>
      </c>
      <c r="C14" s="603">
        <v>78.677170000000004</v>
      </c>
      <c r="D14" s="207">
        <v>8.5403915456634856</v>
      </c>
      <c r="E14" s="603">
        <v>791.81349999999998</v>
      </c>
      <c r="F14" s="609">
        <v>1050.6590000000001</v>
      </c>
      <c r="G14" s="114"/>
    </row>
    <row r="15" spans="1:7" x14ac:dyDescent="0.35">
      <c r="A15" s="56" t="s">
        <v>1086</v>
      </c>
      <c r="B15" s="604">
        <v>818.52260000000001</v>
      </c>
      <c r="C15" s="603">
        <v>75.034809999999993</v>
      </c>
      <c r="D15" s="207">
        <v>9.1671030219568763</v>
      </c>
      <c r="E15" s="603">
        <v>695.0915</v>
      </c>
      <c r="F15" s="609">
        <v>941.95370000000003</v>
      </c>
      <c r="G15" s="114"/>
    </row>
    <row r="16" spans="1:7" x14ac:dyDescent="0.35">
      <c r="A16" s="56" t="s">
        <v>1085</v>
      </c>
      <c r="B16" s="604">
        <v>718.77779999999996</v>
      </c>
      <c r="C16" s="603">
        <v>57.353400000000001</v>
      </c>
      <c r="D16" s="207">
        <v>7.9792948530129904</v>
      </c>
      <c r="E16" s="603">
        <v>624.43240000000003</v>
      </c>
      <c r="F16" s="609">
        <v>813.1232</v>
      </c>
      <c r="G16" s="114"/>
    </row>
    <row r="17" spans="1:7" x14ac:dyDescent="0.35">
      <c r="A17" s="56" t="s">
        <v>1084</v>
      </c>
      <c r="B17" s="604">
        <v>913.26319999999998</v>
      </c>
      <c r="C17" s="603">
        <v>133.5188</v>
      </c>
      <c r="D17" s="207">
        <v>14.61996935823101</v>
      </c>
      <c r="E17" s="603">
        <v>693.62689999999998</v>
      </c>
      <c r="F17" s="609">
        <v>1132.9000000000001</v>
      </c>
      <c r="G17" s="114"/>
    </row>
    <row r="18" spans="1:7" x14ac:dyDescent="0.35">
      <c r="A18" s="56" t="s">
        <v>1083</v>
      </c>
      <c r="B18" s="604">
        <v>1124.7449999999999</v>
      </c>
      <c r="C18" s="603">
        <v>148.92250000000001</v>
      </c>
      <c r="D18" s="207">
        <v>13.240556748418534</v>
      </c>
      <c r="E18" s="603">
        <v>879.77009999999996</v>
      </c>
      <c r="F18" s="609">
        <v>1369.72</v>
      </c>
      <c r="G18" s="114"/>
    </row>
    <row r="19" spans="1:7" x14ac:dyDescent="0.35">
      <c r="A19" s="56" t="s">
        <v>1082</v>
      </c>
      <c r="B19" s="604">
        <v>672.03989999999999</v>
      </c>
      <c r="C19" s="603">
        <v>56.043680000000002</v>
      </c>
      <c r="D19" s="207">
        <v>8.3393381851285913</v>
      </c>
      <c r="E19" s="603">
        <v>579.84900000000005</v>
      </c>
      <c r="F19" s="609">
        <v>764.23090000000002</v>
      </c>
      <c r="G19" s="114"/>
    </row>
    <row r="20" spans="1:7" x14ac:dyDescent="0.35">
      <c r="A20" s="56" t="s">
        <v>1081</v>
      </c>
      <c r="B20" s="604">
        <v>339.6902</v>
      </c>
      <c r="C20" s="603">
        <v>41.316830000000003</v>
      </c>
      <c r="D20" s="207">
        <v>12.163091546356062</v>
      </c>
      <c r="E20" s="603">
        <v>271.72469999999998</v>
      </c>
      <c r="F20" s="609">
        <v>407.65570000000002</v>
      </c>
      <c r="G20" s="114"/>
    </row>
    <row r="21" spans="1:7" x14ac:dyDescent="0.35">
      <c r="A21" s="73" t="s">
        <v>1080</v>
      </c>
      <c r="B21" s="604">
        <v>497.36349999999999</v>
      </c>
      <c r="C21" s="603">
        <v>60.982979999999998</v>
      </c>
      <c r="D21" s="207">
        <v>12.261249568977217</v>
      </c>
      <c r="E21" s="603">
        <v>397.04750000000001</v>
      </c>
      <c r="F21" s="609">
        <v>597.67960000000005</v>
      </c>
      <c r="G21" s="114"/>
    </row>
    <row r="22" spans="1:7" x14ac:dyDescent="0.35">
      <c r="A22" s="56" t="s">
        <v>1079</v>
      </c>
      <c r="B22" s="604">
        <v>877.17669999999998</v>
      </c>
      <c r="C22" s="603">
        <v>114.0254</v>
      </c>
      <c r="D22" s="207">
        <v>12.999136889978951</v>
      </c>
      <c r="E22" s="603">
        <v>689.60670000000005</v>
      </c>
      <c r="F22" s="609">
        <v>1064.7470000000001</v>
      </c>
      <c r="G22" s="114"/>
    </row>
    <row r="23" spans="1:7" x14ac:dyDescent="0.35">
      <c r="A23" s="56" t="s">
        <v>1078</v>
      </c>
      <c r="B23" s="604">
        <v>485.37290000000002</v>
      </c>
      <c r="C23" s="603">
        <v>43.836170000000003</v>
      </c>
      <c r="D23" s="207">
        <v>9.031441598820205</v>
      </c>
      <c r="E23" s="603">
        <v>413.26310000000001</v>
      </c>
      <c r="F23" s="609">
        <v>557.48270000000002</v>
      </c>
      <c r="G23" s="114"/>
    </row>
    <row r="24" spans="1:7" x14ac:dyDescent="0.35">
      <c r="A24" s="56" t="s">
        <v>1077</v>
      </c>
      <c r="B24" s="604">
        <v>677.42809999999997</v>
      </c>
      <c r="C24" s="603">
        <v>51.367690000000003</v>
      </c>
      <c r="D24" s="207">
        <v>7.5827515864783299</v>
      </c>
      <c r="E24" s="603">
        <v>592.92899999999997</v>
      </c>
      <c r="F24" s="609">
        <v>761.9271</v>
      </c>
      <c r="G24" s="114"/>
    </row>
    <row r="25" spans="1:7" x14ac:dyDescent="0.35">
      <c r="A25" s="56" t="s">
        <v>1076</v>
      </c>
      <c r="B25" s="604">
        <v>360.37599999999998</v>
      </c>
      <c r="C25" s="603" t="s">
        <v>289</v>
      </c>
      <c r="D25" s="207"/>
      <c r="E25" s="603" t="s">
        <v>289</v>
      </c>
      <c r="F25" s="609" t="s">
        <v>289</v>
      </c>
      <c r="G25" s="114"/>
    </row>
    <row r="26" spans="1:7" s="76" customFormat="1" ht="12.5" x14ac:dyDescent="0.25">
      <c r="A26" s="55"/>
      <c r="B26" s="72"/>
      <c r="C26" s="94"/>
      <c r="D26" s="607"/>
      <c r="E26" s="94"/>
      <c r="F26" s="257"/>
    </row>
    <row r="27" spans="1:7" s="66" customFormat="1" ht="20.149999999999999" customHeight="1" x14ac:dyDescent="0.25">
      <c r="A27" s="70" t="s">
        <v>1127</v>
      </c>
      <c r="B27" s="67"/>
    </row>
    <row r="28" spans="1:7" s="66" customFormat="1" ht="12.5" x14ac:dyDescent="0.25">
      <c r="A28" s="70" t="s">
        <v>1126</v>
      </c>
      <c r="B28" s="67"/>
    </row>
    <row r="29" spans="1:7" s="66" customFormat="1" ht="12.5" x14ac:dyDescent="0.25">
      <c r="A29" s="69" t="s">
        <v>1125</v>
      </c>
      <c r="B29" s="67"/>
    </row>
    <row r="30" spans="1:7" s="66" customFormat="1" ht="12.5" x14ac:dyDescent="0.25">
      <c r="A30" s="68" t="s">
        <v>1356</v>
      </c>
      <c r="B30" s="67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useFirstPageNumber="1" r:id="rId1"/>
  <headerFooter>
    <oddFooter>&amp;C&amp;"Arial,Regular"&amp;10&amp;P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Table 1</vt:lpstr>
      <vt:lpstr>Table 2</vt:lpstr>
      <vt:lpstr>Table 3</vt:lpstr>
      <vt:lpstr>Table 4</vt:lpstr>
      <vt:lpstr>Table 5</vt:lpstr>
      <vt:lpstr>Table 5.1</vt:lpstr>
      <vt:lpstr>Table 5.2</vt:lpstr>
      <vt:lpstr>Table 6</vt:lpstr>
      <vt:lpstr>Table 6.1</vt:lpstr>
      <vt:lpstr>Table 6.2</vt:lpstr>
      <vt:lpstr>Table 7</vt:lpstr>
      <vt:lpstr>Table 7.1</vt:lpstr>
      <vt:lpstr>Table 7.2</vt:lpstr>
      <vt:lpstr>Table 8</vt:lpstr>
      <vt:lpstr>Table 8.1</vt:lpstr>
      <vt:lpstr>Table 8.2</vt:lpstr>
      <vt:lpstr>'Table 1'!Print_Area</vt:lpstr>
      <vt:lpstr>'Table 2'!Print_Area</vt:lpstr>
      <vt:lpstr>'Table 3'!Print_Area</vt:lpstr>
      <vt:lpstr>'Table 4'!Print_Area</vt:lpstr>
      <vt:lpstr>'Table 5'!Print_Area</vt:lpstr>
      <vt:lpstr>'Table 5.1'!Print_Area</vt:lpstr>
      <vt:lpstr>'Table 5.2'!Print_Area</vt:lpstr>
      <vt:lpstr>'Table 6'!Print_Area</vt:lpstr>
      <vt:lpstr>'Table 6.1'!Print_Area</vt:lpstr>
      <vt:lpstr>'Table 6.2'!Print_Area</vt:lpstr>
      <vt:lpstr>'Table 7'!Print_Area</vt:lpstr>
      <vt:lpstr>'Table 7.1'!Print_Area</vt:lpstr>
      <vt:lpstr>'Table 7.2'!Print_Area</vt:lpstr>
      <vt:lpstr>'Table 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CHRISTINE ARIOLA</cp:lastModifiedBy>
  <cp:lastPrinted>2025-10-30T11:01:03Z</cp:lastPrinted>
  <dcterms:created xsi:type="dcterms:W3CDTF">2023-08-31T08:21:02Z</dcterms:created>
  <dcterms:modified xsi:type="dcterms:W3CDTF">2025-10-31T01:26:56Z</dcterms:modified>
</cp:coreProperties>
</file>