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reforapprovalpressrelease2024occupationalwagess\SE_CV\"/>
    </mc:Choice>
  </mc:AlternateContent>
  <xr:revisionPtr revIDLastSave="0" documentId="13_ncr:1_{C5EAF329-781B-425C-9884-52E73CFAE5DF}" xr6:coauthVersionLast="47" xr6:coauthVersionMax="47" xr10:uidLastSave="{00000000-0000-0000-0000-000000000000}"/>
  <bookViews>
    <workbookView xWindow="-28920" yWindow="-120" windowWidth="29040" windowHeight="15720" xr2:uid="{362709EB-F830-4A64-A529-A74741D2A472}"/>
  </bookViews>
  <sheets>
    <sheet name="Table 6.1" sheetId="1" r:id="rId1"/>
  </sheets>
  <definedNames>
    <definedName name="_xlnm.Print_Area" localSheetId="0">'Table 6.1'!$A$1:$G$153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47" i="1" l="1"/>
  <c r="E146" i="1"/>
  <c r="E145" i="1"/>
  <c r="E143" i="1"/>
  <c r="E142" i="1"/>
  <c r="E141" i="1"/>
  <c r="E140" i="1"/>
  <c r="E139" i="1"/>
  <c r="E137" i="1"/>
  <c r="E136" i="1"/>
  <c r="E135" i="1"/>
  <c r="E124" i="1"/>
  <c r="E123" i="1"/>
  <c r="E122" i="1"/>
  <c r="E121" i="1"/>
  <c r="E120" i="1"/>
  <c r="E119" i="1"/>
  <c r="E118" i="1"/>
  <c r="E117" i="1"/>
  <c r="E116" i="1"/>
  <c r="E113" i="1"/>
  <c r="E112" i="1"/>
  <c r="E111" i="1"/>
  <c r="E110" i="1"/>
  <c r="E109" i="1"/>
  <c r="E108" i="1"/>
  <c r="E107" i="1"/>
  <c r="E103" i="1"/>
  <c r="E102" i="1"/>
  <c r="E101" i="1"/>
  <c r="E100" i="1"/>
  <c r="E90" i="1"/>
  <c r="E89" i="1"/>
  <c r="E88" i="1"/>
  <c r="E87" i="1"/>
  <c r="E86" i="1"/>
  <c r="E85" i="1"/>
  <c r="E84" i="1"/>
  <c r="E80" i="1"/>
  <c r="E79" i="1"/>
  <c r="E78" i="1"/>
  <c r="E77" i="1"/>
  <c r="E76" i="1"/>
  <c r="E75" i="1"/>
  <c r="E74" i="1"/>
  <c r="E72" i="1"/>
  <c r="E71" i="1"/>
  <c r="E70" i="1"/>
  <c r="E69" i="1"/>
  <c r="E67" i="1"/>
  <c r="E58" i="1"/>
  <c r="E57" i="1"/>
  <c r="E56" i="1"/>
  <c r="E54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29" i="1"/>
  <c r="E28" i="1"/>
  <c r="E27" i="1"/>
  <c r="E26" i="1"/>
  <c r="E25" i="1"/>
  <c r="E24" i="1"/>
  <c r="E23" i="1"/>
  <c r="E22" i="1"/>
  <c r="E21" i="1"/>
  <c r="E20" i="1"/>
  <c r="E19" i="1"/>
  <c r="E18" i="1"/>
  <c r="E16" i="1"/>
  <c r="E15" i="1"/>
  <c r="E14" i="1"/>
  <c r="E13" i="1"/>
  <c r="E9" i="1"/>
  <c r="E7" i="1"/>
</calcChain>
</file>

<file path=xl/sharedStrings.xml><?xml version="1.0" encoding="utf-8"?>
<sst xmlns="http://schemas.openxmlformats.org/spreadsheetml/2006/main" count="239" uniqueCount="201">
  <si>
    <t>Table 6.1. Standard Errors and Coefficient of Variations of  Average Monthly Allowances of Male Time-Rated Workers on Full-Time Basis by Industry, Philippines:  August 2024</t>
  </si>
  <si>
    <t>(In Establishments Employing 10 and More Workers)</t>
  </si>
  <si>
    <t>2009 PSIC</t>
  </si>
  <si>
    <t>Industry</t>
  </si>
  <si>
    <t>Allowance Estimate</t>
  </si>
  <si>
    <t>Standard Error</t>
  </si>
  <si>
    <t>Coefficient of Variation (%)</t>
  </si>
  <si>
    <t>90% Confidence Interval</t>
  </si>
  <si>
    <t>Lower</t>
  </si>
  <si>
    <t>Upper</t>
  </si>
  <si>
    <t>ALL INDUSTRIES</t>
  </si>
  <si>
    <t>A</t>
  </si>
  <si>
    <t>AGRICULTURE, FORESTRY AND FISHING</t>
  </si>
  <si>
    <t>A01/A02</t>
  </si>
  <si>
    <t>Crop and Animal Production, Hunting and Related
   Service Activities; Forestry and Logging</t>
  </si>
  <si>
    <t>A03</t>
  </si>
  <si>
    <t>Fishing and Aquaculture</t>
  </si>
  <si>
    <t>*</t>
  </si>
  <si>
    <t>B</t>
  </si>
  <si>
    <t>MINING AND QUARRYING</t>
  </si>
  <si>
    <t>B05/B06/B08</t>
  </si>
  <si>
    <t>Mining of Coal and Lignite; Extraction of Crude
   Petroleum and Natural Gas; and Other Mining
   and Quarrying</t>
  </si>
  <si>
    <t>B07</t>
  </si>
  <si>
    <t>Mining of Metal Ores</t>
  </si>
  <si>
    <t>B09</t>
  </si>
  <si>
    <t>Mining Support Service</t>
  </si>
  <si>
    <t>C</t>
  </si>
  <si>
    <t>MANUFACTURING</t>
  </si>
  <si>
    <t>C10</t>
  </si>
  <si>
    <t>Manufacture of Food Products</t>
  </si>
  <si>
    <t>C11</t>
  </si>
  <si>
    <t>Manufacture of Beverages</t>
  </si>
  <si>
    <t>C12</t>
  </si>
  <si>
    <t>Manufacture of Tobacco Products</t>
  </si>
  <si>
    <t>C13</t>
  </si>
  <si>
    <t>Manufacture of Textiles</t>
  </si>
  <si>
    <t>C14</t>
  </si>
  <si>
    <t>Manufacture of Wearing Apparel</t>
  </si>
  <si>
    <t>C15</t>
  </si>
  <si>
    <t xml:space="preserve">Manufacture of Leather and Related Products </t>
  </si>
  <si>
    <t xml:space="preserve">C16
</t>
  </si>
  <si>
    <t>Manufacture of wood and of products of wood and cork, except furniture; manufacture of articles of bamboo, cane, rattan and the like; manufacture of articles of straw and plaiting materials</t>
  </si>
  <si>
    <t>C17</t>
  </si>
  <si>
    <t>Manufacture of Paper and Paper Products</t>
  </si>
  <si>
    <t>C18</t>
  </si>
  <si>
    <t>Printing and Reproduction of Recorded Media</t>
  </si>
  <si>
    <t>C19</t>
  </si>
  <si>
    <t>Manufacture of Coke and Refined Petroleum Products</t>
  </si>
  <si>
    <t>C20</t>
  </si>
  <si>
    <t>Manufacture of Chemicals and Chemical Products</t>
  </si>
  <si>
    <t>* Less than 0.05</t>
  </si>
  <si>
    <t>Table 6.1. Standard Errors and Coefficient of Variations of  Average Monthly Allowances of Male Time-Rated Workers on Full-Time Basis by Industry, Philippines:  August 2024 (Cont'd.)</t>
  </si>
  <si>
    <t>Wage Rate Estimate</t>
  </si>
  <si>
    <t>C21</t>
  </si>
  <si>
    <t>Manufacture of Basic Pharmaceutical Products and
   Pharmaceutical Preparation</t>
  </si>
  <si>
    <t>C221</t>
  </si>
  <si>
    <t>Manufacture of Rubber Products</t>
  </si>
  <si>
    <t>C222</t>
  </si>
  <si>
    <t>Manufacture of Plastic Products</t>
  </si>
  <si>
    <t>C23</t>
  </si>
  <si>
    <t xml:space="preserve">Manufacture of Other Non-Metallic Mineral Products </t>
  </si>
  <si>
    <t>C24</t>
  </si>
  <si>
    <t>Manufacture of Basic Metals</t>
  </si>
  <si>
    <t>C25</t>
  </si>
  <si>
    <t>Manufacture of Fabricated Metal Products except 
   Machinery and Equipment</t>
  </si>
  <si>
    <t>C26</t>
  </si>
  <si>
    <t>Manufacture of Computer, Electronic and Optical Products</t>
  </si>
  <si>
    <t>C27</t>
  </si>
  <si>
    <t>Manufacture of Electrical Equipment</t>
  </si>
  <si>
    <t>C28</t>
  </si>
  <si>
    <t>Manufacture of Machinery and Equipment, n.e.c.</t>
  </si>
  <si>
    <t>C29</t>
  </si>
  <si>
    <t xml:space="preserve">Manufacture of Motor Vehicles, Trailers and Semi-Trailers </t>
  </si>
  <si>
    <t>C30 excl. C301</t>
  </si>
  <si>
    <t xml:space="preserve">Manufacture of Other Transport Equipment except 
   Building of Ships and Boats </t>
  </si>
  <si>
    <t>C301</t>
  </si>
  <si>
    <t>Building of Ships and Boats</t>
  </si>
  <si>
    <t>C31</t>
  </si>
  <si>
    <t>Manufacture of Furniture</t>
  </si>
  <si>
    <t>C32/C33</t>
  </si>
  <si>
    <t>Other Manufacturing; Repair and Installation of 
   Machinery and Equipment</t>
  </si>
  <si>
    <t>D35</t>
  </si>
  <si>
    <t>ELECTRICITY, GAS, STEAM AND AIR CONDITIONING
   SUPPLY</t>
  </si>
  <si>
    <t>E</t>
  </si>
  <si>
    <t>WATER SUPPLY; SEWERAGE, WASTE
   MANAGEMENT AND REMEDIATION ACTIVITIES</t>
  </si>
  <si>
    <t>E36</t>
  </si>
  <si>
    <t>Water Collection, Treatment and Supply</t>
  </si>
  <si>
    <t>E37/E38/E39</t>
  </si>
  <si>
    <t>Sewerage; Waste Collection, Treatment and
   Disposal Activities; Materials Recovery;
   Remediation Activities and Other Waste Management Services</t>
  </si>
  <si>
    <t>F41/F42/F43</t>
  </si>
  <si>
    <t>CONSTRUCTION</t>
  </si>
  <si>
    <t>G</t>
  </si>
  <si>
    <t xml:space="preserve">WHOLESALE AND RETAIL TRADE; REPAIR OF
   MOTOR VEHICLES AND MOTORCYCLES </t>
  </si>
  <si>
    <t>G45</t>
  </si>
  <si>
    <t>Wholesale and Retail Trade and Repair of Motor
   Vehicles and Motorcycles</t>
  </si>
  <si>
    <t>G46</t>
  </si>
  <si>
    <t>Wholesale Trade except of Motor Vehicles and 
   Motorcycles</t>
  </si>
  <si>
    <t>G47</t>
  </si>
  <si>
    <t xml:space="preserve">Retail Trade except of Motor Vehicles and
   Motorcycles </t>
  </si>
  <si>
    <t>H</t>
  </si>
  <si>
    <t xml:space="preserve">TRANSPORTATION AND STORAGE </t>
  </si>
  <si>
    <t>H49 excl. H492</t>
  </si>
  <si>
    <t xml:space="preserve">Land Transport and Transport via Pipelines except
   Transport via Buses </t>
  </si>
  <si>
    <t>H492</t>
  </si>
  <si>
    <t xml:space="preserve">Transport via Buses </t>
  </si>
  <si>
    <t>H50</t>
  </si>
  <si>
    <t>Water Transport</t>
  </si>
  <si>
    <t>H51</t>
  </si>
  <si>
    <t>Air Transport</t>
  </si>
  <si>
    <t>H52</t>
  </si>
  <si>
    <t>Warehousing and Support Activities for
   Transportation</t>
  </si>
  <si>
    <t>H53</t>
  </si>
  <si>
    <t>Postal and Courier Activities</t>
  </si>
  <si>
    <t>I55/I56</t>
  </si>
  <si>
    <t>ACCOMMODATION AND FOOD SERVICE
   ACTIVITIES</t>
  </si>
  <si>
    <t>J</t>
  </si>
  <si>
    <t>INFORMATION AND COMMUNICATIONS</t>
  </si>
  <si>
    <t>J58</t>
  </si>
  <si>
    <t>Publishing Activities</t>
  </si>
  <si>
    <t>J59/J60</t>
  </si>
  <si>
    <t>Motion Picture, Video and Television Programme
   Production, Sound Recording and Music
   Publishing Activities except Animated Films 
   and Cartoons Production; Programming and
   Broadcasting Activities</t>
  </si>
  <si>
    <r>
      <t>J590</t>
    </r>
    <r>
      <rPr>
        <vertAlign val="superscript"/>
        <sz val="11"/>
        <rFont val="Arial"/>
        <family val="2"/>
      </rPr>
      <t>a</t>
    </r>
  </si>
  <si>
    <t>Animated Films and Cartoons Production</t>
  </si>
  <si>
    <t>J61</t>
  </si>
  <si>
    <t>Telecommunications</t>
  </si>
  <si>
    <t>J62</t>
  </si>
  <si>
    <t>Computer Programming, Consultancy and Related
   Activities</t>
  </si>
  <si>
    <t>J63</t>
  </si>
  <si>
    <t>Information Service Activities</t>
  </si>
  <si>
    <t>K</t>
  </si>
  <si>
    <t xml:space="preserve">FINANCIAL AND INSURANCE ACTIVITIES </t>
  </si>
  <si>
    <t xml:space="preserve">K64 excl. </t>
  </si>
  <si>
    <t>Financial Service Activities except Insurance, Pension Funding and Central Banking</t>
  </si>
  <si>
    <t>K65</t>
  </si>
  <si>
    <t xml:space="preserve">Insurance, Reinsurance and Pension Funding
   except Compulsory Social Security </t>
  </si>
  <si>
    <t>K66</t>
  </si>
  <si>
    <t>Activities Auxiliary to Financial Service and
   Insurance Activities</t>
  </si>
  <si>
    <t>L68</t>
  </si>
  <si>
    <t>REAL ESTATE ACTIVITIES</t>
  </si>
  <si>
    <t>M</t>
  </si>
  <si>
    <t>PROFESSIONAL, SCIENTIFIC AND TECHNICAL
   ACTIVITIES</t>
  </si>
  <si>
    <t>M69</t>
  </si>
  <si>
    <t>Legal and Accounting Activities</t>
  </si>
  <si>
    <t>M70</t>
  </si>
  <si>
    <t>Activities of Head Offices; Management and Consultancy Activities</t>
  </si>
  <si>
    <t>M71</t>
  </si>
  <si>
    <t>Architecture and Engineering Activities; Technical Testing and Analysis</t>
  </si>
  <si>
    <t>M72</t>
  </si>
  <si>
    <t>Scientific Research and Development</t>
  </si>
  <si>
    <t>M73</t>
  </si>
  <si>
    <t>Advertising and Market Research</t>
  </si>
  <si>
    <t>M74</t>
  </si>
  <si>
    <t>Other Professional, Scientific, and Technical Activities</t>
  </si>
  <si>
    <t>M75</t>
  </si>
  <si>
    <t>Veterinary Activities</t>
  </si>
  <si>
    <t>N</t>
  </si>
  <si>
    <t xml:space="preserve">ADMINISTRATIVE AND SUPPORT SERVICE
   ACTIVITIES </t>
  </si>
  <si>
    <t>N77</t>
  </si>
  <si>
    <t>Rental and Leasing Activities</t>
  </si>
  <si>
    <t>N78</t>
  </si>
  <si>
    <t>Employment Activities</t>
  </si>
  <si>
    <t>N79</t>
  </si>
  <si>
    <t>Travel Agency, Tour Operator, Reservation Service and Related Activities</t>
  </si>
  <si>
    <t>N80</t>
  </si>
  <si>
    <t>Security and Investigation Activities</t>
  </si>
  <si>
    <t>N81</t>
  </si>
  <si>
    <t>Services to Buildings and Landscape Activities</t>
  </si>
  <si>
    <t xml:space="preserve">N82 only
</t>
  </si>
  <si>
    <t>Office Administrative, Office Support and Other Business Support Activities 
except Call Center Activities and Back-Office Operations Activities</t>
  </si>
  <si>
    <t>N8221</t>
  </si>
  <si>
    <t>Call centers activities (Voice)</t>
  </si>
  <si>
    <t>N8222</t>
  </si>
  <si>
    <t>Back-office operations activities (Non-voice)</t>
  </si>
  <si>
    <t>P85</t>
  </si>
  <si>
    <t xml:space="preserve">EDUCATION EXCEPT PUBLIC EDUCATION </t>
  </si>
  <si>
    <t>Q</t>
  </si>
  <si>
    <t xml:space="preserve">HUMAN HEALTH AND SOCIAL WORK ACTIVITIES </t>
  </si>
  <si>
    <t>Q86</t>
  </si>
  <si>
    <t>Human Health Activities except Public Health
   Activities</t>
  </si>
  <si>
    <t>Q87/Q88</t>
  </si>
  <si>
    <t>Residential Care Activities; Social Work Activities
   without Accommodation</t>
  </si>
  <si>
    <t>R</t>
  </si>
  <si>
    <t>ARTS, ENTERTAINMENT AND RECREATION</t>
  </si>
  <si>
    <t>R90</t>
  </si>
  <si>
    <t>Creative, Arts, and Entertainment Activities</t>
  </si>
  <si>
    <t>R91</t>
  </si>
  <si>
    <t>Libraries, Archives, Museums, and Other Cultural Activities</t>
  </si>
  <si>
    <t>R92</t>
  </si>
  <si>
    <t>Gambling and Betting Activities</t>
  </si>
  <si>
    <t>R93</t>
  </si>
  <si>
    <t>Sports Activities and Amusement and Recreation Activities</t>
  </si>
  <si>
    <t>S</t>
  </si>
  <si>
    <t>OTHER SERVICE ACTIVITIES EXCEPT ACTIVITIES
   OF MEMBERSHIP ORGANIZATIONS</t>
  </si>
  <si>
    <t>S95</t>
  </si>
  <si>
    <t>Repair of Computers and Personal Household
   Goods</t>
  </si>
  <si>
    <t>S96</t>
  </si>
  <si>
    <t>Other Personal Service Activities</t>
  </si>
  <si>
    <t>Notes:  1. Allowances refer to regular/guaranteed cash payments.  These include living allowance but exclude  reimbursements for travel, entertainment, meals and other expenses, etc. incurred in conducting the business</t>
  </si>
  <si>
    <t xml:space="preserve">                of the employer, cost of uniform/working clothes; bonuses and gratuities; family allowances.</t>
  </si>
  <si>
    <t xml:space="preserve">            2. Details may not add up to totals due to rounding.</t>
  </si>
  <si>
    <t>Source:  Philippine Statistics Authority, 2024 Occupational Wages Survey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</si>
</sst>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_-* #,##0_-;\-* #,##0_-;_-* &quot;-&quot;??_-;_-@_-"/>
    <numFmt numFmtId="165" formatCode="_-* #,##0.0_-;\-* #,##0.0_-;_-* &quot;-&quot;??_-;_-@_-"/>
    <numFmt numFmtId="166" formatCode="0.0"/>
  </numFmts>
  <fonts count="1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i/>
      <sz val="11"/>
      <name val="Arial"/>
      <family val="2"/>
    </font>
    <font>
      <vertAlign val="superscript"/>
      <sz val="11"/>
      <name val="Arial"/>
      <family val="2"/>
    </font>
    <font>
      <i/>
      <sz val="11"/>
      <name val="Arial"/>
      <family val="2"/>
    </font>
    <font>
      <i/>
      <sz val="9"/>
      <name val="Arial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100">
    <xf numFmtId="0" fontId="0" fillId="0" borderId="0" xfId="0"/>
    <xf numFmtId="0" fontId="3" fillId="0" borderId="0" xfId="2" applyFont="1" applyAlignment="1">
      <alignment vertical="top"/>
    </xf>
    <xf numFmtId="4" fontId="3" fillId="0" borderId="1" xfId="2" applyNumberFormat="1" applyFont="1" applyBorder="1" applyAlignment="1">
      <alignment horizontal="center" vertical="top" wrapText="1"/>
    </xf>
    <xf numFmtId="0" fontId="3" fillId="0" borderId="0" xfId="2" applyFont="1" applyBorder="1" applyAlignment="1">
      <alignment vertical="top"/>
    </xf>
    <xf numFmtId="2" fontId="5" fillId="0" borderId="2" xfId="0" applyNumberFormat="1" applyFont="1" applyBorder="1" applyAlignment="1">
      <alignment horizontal="center" vertical="center" wrapText="1"/>
    </xf>
    <xf numFmtId="4" fontId="3" fillId="0" borderId="3" xfId="2" applyNumberFormat="1" applyFont="1" applyBorder="1" applyAlignment="1">
      <alignment horizontal="left" vertical="top" wrapText="1"/>
    </xf>
    <xf numFmtId="4" fontId="3" fillId="0" borderId="4" xfId="2" applyNumberFormat="1" applyFont="1" applyBorder="1" applyAlignment="1">
      <alignment horizontal="left" vertical="top" wrapText="1"/>
    </xf>
    <xf numFmtId="0" fontId="3" fillId="0" borderId="4" xfId="2" applyFont="1" applyBorder="1" applyAlignment="1">
      <alignment vertical="top"/>
    </xf>
    <xf numFmtId="4" fontId="4" fillId="0" borderId="5" xfId="2" applyNumberFormat="1" applyFont="1" applyBorder="1" applyAlignment="1">
      <alignment horizontal="left" vertical="top" wrapText="1"/>
    </xf>
    <xf numFmtId="0" fontId="4" fillId="0" borderId="0" xfId="2" applyFont="1" applyBorder="1" applyAlignment="1">
      <alignment horizontal="center" vertical="top" wrapText="1"/>
    </xf>
    <xf numFmtId="164" fontId="5" fillId="0" borderId="0" xfId="1" applyNumberFormat="1" applyFont="1" applyAlignment="1">
      <alignment vertical="top"/>
    </xf>
    <xf numFmtId="165" fontId="5" fillId="0" borderId="0" xfId="1" applyNumberFormat="1" applyFont="1" applyAlignment="1">
      <alignment vertical="top"/>
    </xf>
    <xf numFmtId="1" fontId="3" fillId="0" borderId="0" xfId="2" applyNumberFormat="1" applyFont="1" applyAlignment="1">
      <alignment vertical="top"/>
    </xf>
    <xf numFmtId="3" fontId="3" fillId="0" borderId="5" xfId="2" applyNumberFormat="1" applyFont="1" applyBorder="1" applyAlignment="1">
      <alignment horizontal="left" vertical="top" wrapText="1"/>
    </xf>
    <xf numFmtId="3" fontId="3" fillId="0" borderId="0" xfId="2" applyNumberFormat="1" applyFont="1" applyBorder="1" applyAlignment="1">
      <alignment horizontal="left" vertical="top" wrapText="1"/>
    </xf>
    <xf numFmtId="164" fontId="3" fillId="0" borderId="0" xfId="1" applyNumberFormat="1" applyFont="1" applyAlignment="1">
      <alignment horizontal="center" vertical="top"/>
    </xf>
    <xf numFmtId="165" fontId="3" fillId="0" borderId="0" xfId="1" applyNumberFormat="1" applyFont="1" applyAlignment="1">
      <alignment horizontal="center" vertical="top"/>
    </xf>
    <xf numFmtId="0" fontId="4" fillId="0" borderId="5" xfId="2" applyFont="1" applyBorder="1" applyAlignment="1">
      <alignment horizontal="left" vertical="top"/>
    </xf>
    <xf numFmtId="0" fontId="4" fillId="0" borderId="0" xfId="2" applyFont="1" applyBorder="1" applyAlignment="1">
      <alignment vertical="top" wrapText="1"/>
    </xf>
    <xf numFmtId="0" fontId="4" fillId="0" borderId="0" xfId="2" applyFont="1" applyAlignment="1">
      <alignment vertical="top"/>
    </xf>
    <xf numFmtId="0" fontId="3" fillId="0" borderId="5" xfId="2" applyFont="1" applyBorder="1" applyAlignment="1">
      <alignment horizontal="left" vertical="top" wrapText="1"/>
    </xf>
    <xf numFmtId="0" fontId="3" fillId="0" borderId="0" xfId="2" applyFont="1" applyAlignment="1">
      <alignment vertical="top" wrapText="1"/>
    </xf>
    <xf numFmtId="164" fontId="3" fillId="0" borderId="0" xfId="1" applyNumberFormat="1" applyFont="1" applyAlignment="1">
      <alignment horizontal="right" vertical="top"/>
    </xf>
    <xf numFmtId="165" fontId="3" fillId="0" borderId="0" xfId="1" applyNumberFormat="1" applyFont="1" applyAlignment="1">
      <alignment horizontal="right" vertical="top"/>
    </xf>
    <xf numFmtId="0" fontId="3" fillId="0" borderId="5" xfId="2" applyFont="1" applyBorder="1" applyAlignment="1">
      <alignment horizontal="left" vertical="top"/>
    </xf>
    <xf numFmtId="0" fontId="3" fillId="0" borderId="0" xfId="2" applyFont="1" applyBorder="1" applyAlignment="1">
      <alignment vertical="top" wrapText="1"/>
    </xf>
    <xf numFmtId="0" fontId="4" fillId="0" borderId="5" xfId="2" applyFont="1" applyBorder="1" applyAlignment="1">
      <alignment horizontal="left" vertical="top" wrapText="1"/>
    </xf>
    <xf numFmtId="0" fontId="4" fillId="0" borderId="0" xfId="2" applyFont="1" applyAlignment="1">
      <alignment vertical="top" wrapText="1"/>
    </xf>
    <xf numFmtId="164" fontId="6" fillId="0" borderId="0" xfId="1" applyNumberFormat="1" applyFont="1" applyAlignment="1">
      <alignment vertical="top"/>
    </xf>
    <xf numFmtId="165" fontId="6" fillId="0" borderId="0" xfId="1" applyNumberFormat="1" applyFont="1" applyAlignment="1">
      <alignment vertical="top"/>
    </xf>
    <xf numFmtId="164" fontId="3" fillId="0" borderId="0" xfId="1" applyNumberFormat="1" applyFont="1" applyAlignment="1">
      <alignment vertical="top" wrapText="1"/>
    </xf>
    <xf numFmtId="165" fontId="3" fillId="0" borderId="0" xfId="1" applyNumberFormat="1" applyFont="1" applyAlignment="1">
      <alignment vertical="top" wrapText="1"/>
    </xf>
    <xf numFmtId="0" fontId="6" fillId="0" borderId="0" xfId="0" applyFont="1" applyAlignment="1">
      <alignment horizontal="left" vertical="top" wrapText="1"/>
    </xf>
    <xf numFmtId="0" fontId="6" fillId="0" borderId="0" xfId="0" applyFont="1" applyAlignment="1">
      <alignment vertical="top"/>
    </xf>
    <xf numFmtId="0" fontId="3" fillId="0" borderId="6" xfId="2" applyFont="1" applyBorder="1" applyAlignment="1">
      <alignment horizontal="left" vertical="top" wrapText="1"/>
    </xf>
    <xf numFmtId="0" fontId="3" fillId="0" borderId="1" xfId="2" applyFont="1" applyBorder="1" applyAlignment="1">
      <alignment vertical="top" wrapText="1"/>
    </xf>
    <xf numFmtId="164" fontId="3" fillId="0" borderId="1" xfId="1" applyNumberFormat="1" applyFont="1" applyBorder="1" applyAlignment="1">
      <alignment horizontal="right" vertical="top"/>
    </xf>
    <xf numFmtId="0" fontId="7" fillId="0" borderId="0" xfId="2" applyFont="1" applyFill="1" applyAlignment="1">
      <alignment vertical="top"/>
    </xf>
    <xf numFmtId="0" fontId="3" fillId="0" borderId="0" xfId="2" applyFont="1" applyBorder="1" applyAlignment="1">
      <alignment horizontal="justify" vertical="top" wrapText="1"/>
    </xf>
    <xf numFmtId="1" fontId="3" fillId="0" borderId="0" xfId="2" applyNumberFormat="1" applyFont="1" applyBorder="1" applyAlignment="1">
      <alignment horizontal="right" vertical="top"/>
    </xf>
    <xf numFmtId="166" fontId="3" fillId="0" borderId="0" xfId="2" applyNumberFormat="1" applyFont="1" applyBorder="1" applyAlignment="1">
      <alignment horizontal="right" vertical="top"/>
    </xf>
    <xf numFmtId="0" fontId="7" fillId="0" borderId="0" xfId="2" applyFont="1" applyFill="1" applyBorder="1" applyAlignment="1">
      <alignment vertical="top"/>
    </xf>
    <xf numFmtId="0" fontId="7" fillId="0" borderId="0" xfId="2" applyFont="1" applyBorder="1" applyAlignment="1">
      <alignment vertical="top"/>
    </xf>
    <xf numFmtId="2" fontId="3" fillId="0" borderId="4" xfId="2" applyNumberFormat="1" applyFont="1" applyBorder="1" applyAlignment="1">
      <alignment vertical="top"/>
    </xf>
    <xf numFmtId="164" fontId="4" fillId="0" borderId="0" xfId="1" applyNumberFormat="1" applyFont="1" applyBorder="1" applyAlignment="1">
      <alignment horizontal="right" vertical="top"/>
    </xf>
    <xf numFmtId="165" fontId="4" fillId="0" borderId="0" xfId="1" applyNumberFormat="1" applyFont="1" applyBorder="1" applyAlignment="1">
      <alignment horizontal="right" vertical="top"/>
    </xf>
    <xf numFmtId="3" fontId="4" fillId="0" borderId="5" xfId="2" applyNumberFormat="1" applyFont="1" applyBorder="1" applyAlignment="1">
      <alignment horizontal="left" vertical="top" wrapText="1"/>
    </xf>
    <xf numFmtId="164" fontId="4" fillId="0" borderId="0" xfId="1" applyNumberFormat="1" applyFont="1" applyAlignment="1">
      <alignment vertical="top" wrapText="1"/>
    </xf>
    <xf numFmtId="164" fontId="4" fillId="0" borderId="0" xfId="1" applyNumberFormat="1" applyFont="1" applyAlignment="1">
      <alignment horizontal="right" vertical="top"/>
    </xf>
    <xf numFmtId="1" fontId="3" fillId="0" borderId="1" xfId="2" applyNumberFormat="1" applyFont="1" applyBorder="1" applyAlignment="1">
      <alignment horizontal="right" vertical="top"/>
    </xf>
    <xf numFmtId="166" fontId="3" fillId="0" borderId="1" xfId="2" applyNumberFormat="1" applyFont="1" applyBorder="1" applyAlignment="1">
      <alignment horizontal="right" vertical="top"/>
    </xf>
    <xf numFmtId="0" fontId="3" fillId="0" borderId="1" xfId="2" applyFont="1" applyBorder="1" applyAlignment="1">
      <alignment horizontal="center" vertical="top"/>
    </xf>
    <xf numFmtId="3" fontId="4" fillId="0" borderId="0" xfId="2" applyNumberFormat="1" applyFont="1" applyBorder="1" applyAlignment="1">
      <alignment horizontal="left" vertical="top" wrapText="1"/>
    </xf>
    <xf numFmtId="164" fontId="3" fillId="0" borderId="0" xfId="1" applyNumberFormat="1" applyFont="1" applyAlignment="1">
      <alignment horizontal="left" vertical="top" wrapText="1"/>
    </xf>
    <xf numFmtId="0" fontId="4" fillId="0" borderId="0" xfId="2" applyFont="1" applyBorder="1" applyAlignment="1">
      <alignment horizontal="left" vertical="top" wrapText="1"/>
    </xf>
    <xf numFmtId="4" fontId="4" fillId="0" borderId="5" xfId="2" applyNumberFormat="1" applyFont="1" applyBorder="1" applyAlignment="1">
      <alignment horizontal="left" vertical="top"/>
    </xf>
    <xf numFmtId="164" fontId="4" fillId="0" borderId="0" xfId="1" applyNumberFormat="1" applyFont="1" applyAlignment="1">
      <alignment horizontal="left" vertical="top" wrapText="1"/>
    </xf>
    <xf numFmtId="164" fontId="3" fillId="0" borderId="0" xfId="1" applyNumberFormat="1" applyFont="1" applyBorder="1" applyAlignment="1">
      <alignment horizontal="right" vertical="top"/>
    </xf>
    <xf numFmtId="165" fontId="3" fillId="0" borderId="0" xfId="1" applyNumberFormat="1" applyFont="1" applyBorder="1" applyAlignment="1">
      <alignment horizontal="right" vertical="top"/>
    </xf>
    <xf numFmtId="0" fontId="3" fillId="0" borderId="0" xfId="2" applyFont="1" applyBorder="1" applyAlignment="1">
      <alignment horizontal="left" vertical="top" wrapText="1"/>
    </xf>
    <xf numFmtId="3" fontId="3" fillId="0" borderId="0" xfId="2" applyNumberFormat="1" applyFont="1" applyBorder="1" applyAlignment="1">
      <alignment vertical="top" wrapText="1"/>
    </xf>
    <xf numFmtId="164" fontId="4" fillId="0" borderId="0" xfId="1" applyNumberFormat="1" applyFont="1" applyAlignment="1">
      <alignment vertical="top"/>
    </xf>
    <xf numFmtId="0" fontId="9" fillId="0" borderId="0" xfId="2" applyFont="1" applyBorder="1" applyAlignment="1">
      <alignment vertical="top"/>
    </xf>
    <xf numFmtId="0" fontId="7" fillId="0" borderId="0" xfId="2" applyFont="1" applyBorder="1" applyAlignment="1">
      <alignment vertical="top" wrapText="1"/>
    </xf>
    <xf numFmtId="164" fontId="7" fillId="0" borderId="0" xfId="1" applyNumberFormat="1" applyFont="1" applyAlignment="1">
      <alignment vertical="top"/>
    </xf>
    <xf numFmtId="3" fontId="4" fillId="0" borderId="0" xfId="2" applyNumberFormat="1" applyFont="1" applyBorder="1" applyAlignment="1">
      <alignment vertical="top" wrapText="1"/>
    </xf>
    <xf numFmtId="0" fontId="3" fillId="0" borderId="1" xfId="2" applyFont="1" applyBorder="1" applyAlignment="1">
      <alignment horizontal="left" vertical="top" wrapText="1"/>
    </xf>
    <xf numFmtId="165" fontId="6" fillId="0" borderId="1" xfId="1" applyNumberFormat="1" applyFont="1" applyBorder="1" applyAlignment="1">
      <alignment vertical="top"/>
    </xf>
    <xf numFmtId="166" fontId="4" fillId="0" borderId="0" xfId="2" applyNumberFormat="1" applyFont="1" applyBorder="1" applyAlignment="1">
      <alignment horizontal="center" vertical="top"/>
    </xf>
    <xf numFmtId="0" fontId="3" fillId="0" borderId="0" xfId="2" applyFont="1" applyAlignment="1">
      <alignment horizontal="right" vertical="top"/>
    </xf>
    <xf numFmtId="0" fontId="3" fillId="0" borderId="0" xfId="2" applyFont="1" applyBorder="1" applyAlignment="1">
      <alignment horizontal="right" vertical="top"/>
    </xf>
    <xf numFmtId="4" fontId="3" fillId="0" borderId="5" xfId="2" applyNumberFormat="1" applyFont="1" applyBorder="1" applyAlignment="1">
      <alignment horizontal="left" vertical="top" wrapText="1"/>
    </xf>
    <xf numFmtId="4" fontId="3" fillId="0" borderId="0" xfId="2" applyNumberFormat="1" applyFont="1" applyBorder="1" applyAlignment="1">
      <alignment horizontal="left" vertical="top" wrapText="1"/>
    </xf>
    <xf numFmtId="0" fontId="4" fillId="0" borderId="0" xfId="2" applyFont="1" applyAlignment="1">
      <alignment horizontal="left" vertical="top" wrapText="1"/>
    </xf>
    <xf numFmtId="166" fontId="4" fillId="0" borderId="0" xfId="2" applyNumberFormat="1" applyFont="1" applyBorder="1" applyAlignment="1">
      <alignment horizontal="right" vertical="top"/>
    </xf>
    <xf numFmtId="0" fontId="10" fillId="0" borderId="0" xfId="2" applyFont="1" applyFill="1" applyBorder="1" applyAlignment="1">
      <alignment vertical="top"/>
    </xf>
    <xf numFmtId="0" fontId="3" fillId="0" borderId="0" xfId="2" applyFont="1" applyFill="1" applyAlignment="1">
      <alignment vertical="top" wrapText="1"/>
    </xf>
    <xf numFmtId="0" fontId="3" fillId="0" borderId="0" xfId="2" applyFont="1" applyFill="1" applyAlignment="1">
      <alignment vertical="top"/>
    </xf>
    <xf numFmtId="0" fontId="10" fillId="0" borderId="0" xfId="2" applyFont="1" applyFill="1" applyBorder="1" applyAlignment="1">
      <alignment horizontal="left" vertical="top"/>
    </xf>
    <xf numFmtId="3" fontId="3" fillId="0" borderId="0" xfId="2" applyNumberFormat="1" applyFont="1" applyAlignment="1">
      <alignment horizontal="center" wrapText="1"/>
    </xf>
    <xf numFmtId="3" fontId="3" fillId="0" borderId="0" xfId="2" applyNumberFormat="1" applyFont="1" applyFill="1" applyBorder="1" applyAlignment="1">
      <alignment horizontal="center" vertical="top" wrapText="1"/>
    </xf>
    <xf numFmtId="0" fontId="4" fillId="0" borderId="2" xfId="2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4" fillId="0" borderId="0" xfId="2" applyFont="1" applyAlignment="1">
      <alignment horizontal="center" vertical="top"/>
    </xf>
    <xf numFmtId="4" fontId="3" fillId="0" borderId="0" xfId="2" applyNumberFormat="1" applyFont="1" applyBorder="1" applyAlignment="1">
      <alignment horizontal="center" vertical="top" wrapText="1"/>
    </xf>
    <xf numFmtId="0" fontId="3" fillId="0" borderId="7" xfId="2" applyFont="1" applyBorder="1" applyAlignment="1">
      <alignment vertical="top"/>
    </xf>
    <xf numFmtId="164" fontId="5" fillId="0" borderId="0" xfId="1" applyNumberFormat="1" applyFont="1" applyBorder="1" applyAlignment="1">
      <alignment vertical="top"/>
    </xf>
    <xf numFmtId="164" fontId="5" fillId="0" borderId="8" xfId="1" applyNumberFormat="1" applyFont="1" applyBorder="1" applyAlignment="1">
      <alignment vertical="top"/>
    </xf>
    <xf numFmtId="164" fontId="3" fillId="0" borderId="0" xfId="1" applyNumberFormat="1" applyFont="1" applyBorder="1" applyAlignment="1">
      <alignment horizontal="center" vertical="top"/>
    </xf>
    <xf numFmtId="164" fontId="3" fillId="0" borderId="8" xfId="1" applyNumberFormat="1" applyFont="1" applyBorder="1" applyAlignment="1">
      <alignment horizontal="center" vertical="top"/>
    </xf>
    <xf numFmtId="164" fontId="3" fillId="0" borderId="8" xfId="1" applyNumberFormat="1" applyFont="1" applyBorder="1" applyAlignment="1">
      <alignment horizontal="right" vertical="top"/>
    </xf>
    <xf numFmtId="164" fontId="6" fillId="0" borderId="0" xfId="1" applyNumberFormat="1" applyFont="1" applyBorder="1" applyAlignment="1">
      <alignment vertical="top"/>
    </xf>
    <xf numFmtId="164" fontId="6" fillId="0" borderId="8" xfId="1" applyNumberFormat="1" applyFont="1" applyBorder="1" applyAlignment="1">
      <alignment vertical="top"/>
    </xf>
    <xf numFmtId="164" fontId="3" fillId="0" borderId="0" xfId="1" applyNumberFormat="1" applyFont="1" applyBorder="1" applyAlignment="1">
      <alignment vertical="top" wrapText="1"/>
    </xf>
    <xf numFmtId="164" fontId="3" fillId="0" borderId="8" xfId="1" applyNumberFormat="1" applyFont="1" applyBorder="1" applyAlignment="1">
      <alignment vertical="top" wrapText="1"/>
    </xf>
    <xf numFmtId="164" fontId="3" fillId="0" borderId="9" xfId="1" applyNumberFormat="1" applyFont="1" applyBorder="1" applyAlignment="1">
      <alignment horizontal="right" vertical="top"/>
    </xf>
    <xf numFmtId="164" fontId="4" fillId="0" borderId="8" xfId="1" applyNumberFormat="1" applyFont="1" applyBorder="1" applyAlignment="1">
      <alignment horizontal="right" vertical="top"/>
    </xf>
    <xf numFmtId="0" fontId="3" fillId="0" borderId="9" xfId="2" applyFont="1" applyBorder="1" applyAlignment="1">
      <alignment horizontal="center" vertical="top"/>
    </xf>
    <xf numFmtId="0" fontId="3" fillId="0" borderId="8" xfId="2" applyFont="1" applyBorder="1" applyAlignment="1">
      <alignment horizontal="right" vertical="top"/>
    </xf>
    <xf numFmtId="166" fontId="3" fillId="0" borderId="9" xfId="2" applyNumberFormat="1" applyFont="1" applyBorder="1" applyAlignment="1">
      <alignment horizontal="right" vertical="top"/>
    </xf>
  </cellXfs>
  <cellStyles count="3">
    <cellStyle name="Comma" xfId="1" builtinId="3"/>
    <cellStyle name="Normal" xfId="0" builtinId="0"/>
    <cellStyle name="Normal 2" xfId="2" xr:uid="{D6B34F2E-2003-45DD-A290-0825337F770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5087BA-223C-4218-906B-ED197E4F7541}">
  <dimension ref="A1:R153"/>
  <sheetViews>
    <sheetView tabSelected="1" view="pageBreakPreview" topLeftCell="A119" zoomScale="85" zoomScaleNormal="115" zoomScaleSheetLayoutView="85" zoomScalePageLayoutView="70" workbookViewId="0">
      <selection activeCell="F142" sqref="F141:F142"/>
    </sheetView>
  </sheetViews>
  <sheetFormatPr defaultRowHeight="14.25" x14ac:dyDescent="0.25"/>
  <cols>
    <col min="1" max="1" width="15.7109375" style="1" customWidth="1"/>
    <col min="2" max="2" width="47.28515625" style="21" customWidth="1"/>
    <col min="3" max="7" width="13.28515625" style="1" customWidth="1"/>
    <col min="8" max="253" width="9.140625" style="1"/>
    <col min="254" max="254" width="15.7109375" style="1" customWidth="1"/>
    <col min="255" max="255" width="47.28515625" style="1" customWidth="1"/>
    <col min="256" max="261" width="13.28515625" style="1" customWidth="1"/>
    <col min="262" max="509" width="9.140625" style="1"/>
    <col min="510" max="510" width="15.7109375" style="1" customWidth="1"/>
    <col min="511" max="511" width="47.28515625" style="1" customWidth="1"/>
    <col min="512" max="517" width="13.28515625" style="1" customWidth="1"/>
    <col min="518" max="765" width="9.140625" style="1"/>
    <col min="766" max="766" width="15.7109375" style="1" customWidth="1"/>
    <col min="767" max="767" width="47.28515625" style="1" customWidth="1"/>
    <col min="768" max="773" width="13.28515625" style="1" customWidth="1"/>
    <col min="774" max="1021" width="9.140625" style="1"/>
    <col min="1022" max="1022" width="15.7109375" style="1" customWidth="1"/>
    <col min="1023" max="1023" width="47.28515625" style="1" customWidth="1"/>
    <col min="1024" max="1029" width="13.28515625" style="1" customWidth="1"/>
    <col min="1030" max="1277" width="9.140625" style="1"/>
    <col min="1278" max="1278" width="15.7109375" style="1" customWidth="1"/>
    <col min="1279" max="1279" width="47.28515625" style="1" customWidth="1"/>
    <col min="1280" max="1285" width="13.28515625" style="1" customWidth="1"/>
    <col min="1286" max="1533" width="9.140625" style="1"/>
    <col min="1534" max="1534" width="15.7109375" style="1" customWidth="1"/>
    <col min="1535" max="1535" width="47.28515625" style="1" customWidth="1"/>
    <col min="1536" max="1541" width="13.28515625" style="1" customWidth="1"/>
    <col min="1542" max="1789" width="9.140625" style="1"/>
    <col min="1790" max="1790" width="15.7109375" style="1" customWidth="1"/>
    <col min="1791" max="1791" width="47.28515625" style="1" customWidth="1"/>
    <col min="1792" max="1797" width="13.28515625" style="1" customWidth="1"/>
    <col min="1798" max="2045" width="9.140625" style="1"/>
    <col min="2046" max="2046" width="15.7109375" style="1" customWidth="1"/>
    <col min="2047" max="2047" width="47.28515625" style="1" customWidth="1"/>
    <col min="2048" max="2053" width="13.28515625" style="1" customWidth="1"/>
    <col min="2054" max="2301" width="9.140625" style="1"/>
    <col min="2302" max="2302" width="15.7109375" style="1" customWidth="1"/>
    <col min="2303" max="2303" width="47.28515625" style="1" customWidth="1"/>
    <col min="2304" max="2309" width="13.28515625" style="1" customWidth="1"/>
    <col min="2310" max="2557" width="9.140625" style="1"/>
    <col min="2558" max="2558" width="15.7109375" style="1" customWidth="1"/>
    <col min="2559" max="2559" width="47.28515625" style="1" customWidth="1"/>
    <col min="2560" max="2565" width="13.28515625" style="1" customWidth="1"/>
    <col min="2566" max="2813" width="9.140625" style="1"/>
    <col min="2814" max="2814" width="15.7109375" style="1" customWidth="1"/>
    <col min="2815" max="2815" width="47.28515625" style="1" customWidth="1"/>
    <col min="2816" max="2821" width="13.28515625" style="1" customWidth="1"/>
    <col min="2822" max="3069" width="9.140625" style="1"/>
    <col min="3070" max="3070" width="15.7109375" style="1" customWidth="1"/>
    <col min="3071" max="3071" width="47.28515625" style="1" customWidth="1"/>
    <col min="3072" max="3077" width="13.28515625" style="1" customWidth="1"/>
    <col min="3078" max="3325" width="9.140625" style="1"/>
    <col min="3326" max="3326" width="15.7109375" style="1" customWidth="1"/>
    <col min="3327" max="3327" width="47.28515625" style="1" customWidth="1"/>
    <col min="3328" max="3333" width="13.28515625" style="1" customWidth="1"/>
    <col min="3334" max="3581" width="9.140625" style="1"/>
    <col min="3582" max="3582" width="15.7109375" style="1" customWidth="1"/>
    <col min="3583" max="3583" width="47.28515625" style="1" customWidth="1"/>
    <col min="3584" max="3589" width="13.28515625" style="1" customWidth="1"/>
    <col min="3590" max="3837" width="9.140625" style="1"/>
    <col min="3838" max="3838" width="15.7109375" style="1" customWidth="1"/>
    <col min="3839" max="3839" width="47.28515625" style="1" customWidth="1"/>
    <col min="3840" max="3845" width="13.28515625" style="1" customWidth="1"/>
    <col min="3846" max="4093" width="9.140625" style="1"/>
    <col min="4094" max="4094" width="15.7109375" style="1" customWidth="1"/>
    <col min="4095" max="4095" width="47.28515625" style="1" customWidth="1"/>
    <col min="4096" max="4101" width="13.28515625" style="1" customWidth="1"/>
    <col min="4102" max="4349" width="9.140625" style="1"/>
    <col min="4350" max="4350" width="15.7109375" style="1" customWidth="1"/>
    <col min="4351" max="4351" width="47.28515625" style="1" customWidth="1"/>
    <col min="4352" max="4357" width="13.28515625" style="1" customWidth="1"/>
    <col min="4358" max="4605" width="9.140625" style="1"/>
    <col min="4606" max="4606" width="15.7109375" style="1" customWidth="1"/>
    <col min="4607" max="4607" width="47.28515625" style="1" customWidth="1"/>
    <col min="4608" max="4613" width="13.28515625" style="1" customWidth="1"/>
    <col min="4614" max="4861" width="9.140625" style="1"/>
    <col min="4862" max="4862" width="15.7109375" style="1" customWidth="1"/>
    <col min="4863" max="4863" width="47.28515625" style="1" customWidth="1"/>
    <col min="4864" max="4869" width="13.28515625" style="1" customWidth="1"/>
    <col min="4870" max="5117" width="9.140625" style="1"/>
    <col min="5118" max="5118" width="15.7109375" style="1" customWidth="1"/>
    <col min="5119" max="5119" width="47.28515625" style="1" customWidth="1"/>
    <col min="5120" max="5125" width="13.28515625" style="1" customWidth="1"/>
    <col min="5126" max="5373" width="9.140625" style="1"/>
    <col min="5374" max="5374" width="15.7109375" style="1" customWidth="1"/>
    <col min="5375" max="5375" width="47.28515625" style="1" customWidth="1"/>
    <col min="5376" max="5381" width="13.28515625" style="1" customWidth="1"/>
    <col min="5382" max="5629" width="9.140625" style="1"/>
    <col min="5630" max="5630" width="15.7109375" style="1" customWidth="1"/>
    <col min="5631" max="5631" width="47.28515625" style="1" customWidth="1"/>
    <col min="5632" max="5637" width="13.28515625" style="1" customWidth="1"/>
    <col min="5638" max="5885" width="9.140625" style="1"/>
    <col min="5886" max="5886" width="15.7109375" style="1" customWidth="1"/>
    <col min="5887" max="5887" width="47.28515625" style="1" customWidth="1"/>
    <col min="5888" max="5893" width="13.28515625" style="1" customWidth="1"/>
    <col min="5894" max="6141" width="9.140625" style="1"/>
    <col min="6142" max="6142" width="15.7109375" style="1" customWidth="1"/>
    <col min="6143" max="6143" width="47.28515625" style="1" customWidth="1"/>
    <col min="6144" max="6149" width="13.28515625" style="1" customWidth="1"/>
    <col min="6150" max="6397" width="9.140625" style="1"/>
    <col min="6398" max="6398" width="15.7109375" style="1" customWidth="1"/>
    <col min="6399" max="6399" width="47.28515625" style="1" customWidth="1"/>
    <col min="6400" max="6405" width="13.28515625" style="1" customWidth="1"/>
    <col min="6406" max="6653" width="9.140625" style="1"/>
    <col min="6654" max="6654" width="15.7109375" style="1" customWidth="1"/>
    <col min="6655" max="6655" width="47.28515625" style="1" customWidth="1"/>
    <col min="6656" max="6661" width="13.28515625" style="1" customWidth="1"/>
    <col min="6662" max="6909" width="9.140625" style="1"/>
    <col min="6910" max="6910" width="15.7109375" style="1" customWidth="1"/>
    <col min="6911" max="6911" width="47.28515625" style="1" customWidth="1"/>
    <col min="6912" max="6917" width="13.28515625" style="1" customWidth="1"/>
    <col min="6918" max="7165" width="9.140625" style="1"/>
    <col min="7166" max="7166" width="15.7109375" style="1" customWidth="1"/>
    <col min="7167" max="7167" width="47.28515625" style="1" customWidth="1"/>
    <col min="7168" max="7173" width="13.28515625" style="1" customWidth="1"/>
    <col min="7174" max="7421" width="9.140625" style="1"/>
    <col min="7422" max="7422" width="15.7109375" style="1" customWidth="1"/>
    <col min="7423" max="7423" width="47.28515625" style="1" customWidth="1"/>
    <col min="7424" max="7429" width="13.28515625" style="1" customWidth="1"/>
    <col min="7430" max="7677" width="9.140625" style="1"/>
    <col min="7678" max="7678" width="15.7109375" style="1" customWidth="1"/>
    <col min="7679" max="7679" width="47.28515625" style="1" customWidth="1"/>
    <col min="7680" max="7685" width="13.28515625" style="1" customWidth="1"/>
    <col min="7686" max="7933" width="9.140625" style="1"/>
    <col min="7934" max="7934" width="15.7109375" style="1" customWidth="1"/>
    <col min="7935" max="7935" width="47.28515625" style="1" customWidth="1"/>
    <col min="7936" max="7941" width="13.28515625" style="1" customWidth="1"/>
    <col min="7942" max="8189" width="9.140625" style="1"/>
    <col min="8190" max="8190" width="15.7109375" style="1" customWidth="1"/>
    <col min="8191" max="8191" width="47.28515625" style="1" customWidth="1"/>
    <col min="8192" max="8197" width="13.28515625" style="1" customWidth="1"/>
    <col min="8198" max="8445" width="9.140625" style="1"/>
    <col min="8446" max="8446" width="15.7109375" style="1" customWidth="1"/>
    <col min="8447" max="8447" width="47.28515625" style="1" customWidth="1"/>
    <col min="8448" max="8453" width="13.28515625" style="1" customWidth="1"/>
    <col min="8454" max="8701" width="9.140625" style="1"/>
    <col min="8702" max="8702" width="15.7109375" style="1" customWidth="1"/>
    <col min="8703" max="8703" width="47.28515625" style="1" customWidth="1"/>
    <col min="8704" max="8709" width="13.28515625" style="1" customWidth="1"/>
    <col min="8710" max="8957" width="9.140625" style="1"/>
    <col min="8958" max="8958" width="15.7109375" style="1" customWidth="1"/>
    <col min="8959" max="8959" width="47.28515625" style="1" customWidth="1"/>
    <col min="8960" max="8965" width="13.28515625" style="1" customWidth="1"/>
    <col min="8966" max="9213" width="9.140625" style="1"/>
    <col min="9214" max="9214" width="15.7109375" style="1" customWidth="1"/>
    <col min="9215" max="9215" width="47.28515625" style="1" customWidth="1"/>
    <col min="9216" max="9221" width="13.28515625" style="1" customWidth="1"/>
    <col min="9222" max="9469" width="9.140625" style="1"/>
    <col min="9470" max="9470" width="15.7109375" style="1" customWidth="1"/>
    <col min="9471" max="9471" width="47.28515625" style="1" customWidth="1"/>
    <col min="9472" max="9477" width="13.28515625" style="1" customWidth="1"/>
    <col min="9478" max="9725" width="9.140625" style="1"/>
    <col min="9726" max="9726" width="15.7109375" style="1" customWidth="1"/>
    <col min="9727" max="9727" width="47.28515625" style="1" customWidth="1"/>
    <col min="9728" max="9733" width="13.28515625" style="1" customWidth="1"/>
    <col min="9734" max="9981" width="9.140625" style="1"/>
    <col min="9982" max="9982" width="15.7109375" style="1" customWidth="1"/>
    <col min="9983" max="9983" width="47.28515625" style="1" customWidth="1"/>
    <col min="9984" max="9989" width="13.28515625" style="1" customWidth="1"/>
    <col min="9990" max="10237" width="9.140625" style="1"/>
    <col min="10238" max="10238" width="15.7109375" style="1" customWidth="1"/>
    <col min="10239" max="10239" width="47.28515625" style="1" customWidth="1"/>
    <col min="10240" max="10245" width="13.28515625" style="1" customWidth="1"/>
    <col min="10246" max="10493" width="9.140625" style="1"/>
    <col min="10494" max="10494" width="15.7109375" style="1" customWidth="1"/>
    <col min="10495" max="10495" width="47.28515625" style="1" customWidth="1"/>
    <col min="10496" max="10501" width="13.28515625" style="1" customWidth="1"/>
    <col min="10502" max="10749" width="9.140625" style="1"/>
    <col min="10750" max="10750" width="15.7109375" style="1" customWidth="1"/>
    <col min="10751" max="10751" width="47.28515625" style="1" customWidth="1"/>
    <col min="10752" max="10757" width="13.28515625" style="1" customWidth="1"/>
    <col min="10758" max="11005" width="9.140625" style="1"/>
    <col min="11006" max="11006" width="15.7109375" style="1" customWidth="1"/>
    <col min="11007" max="11007" width="47.28515625" style="1" customWidth="1"/>
    <col min="11008" max="11013" width="13.28515625" style="1" customWidth="1"/>
    <col min="11014" max="11261" width="9.140625" style="1"/>
    <col min="11262" max="11262" width="15.7109375" style="1" customWidth="1"/>
    <col min="11263" max="11263" width="47.28515625" style="1" customWidth="1"/>
    <col min="11264" max="11269" width="13.28515625" style="1" customWidth="1"/>
    <col min="11270" max="11517" width="9.140625" style="1"/>
    <col min="11518" max="11518" width="15.7109375" style="1" customWidth="1"/>
    <col min="11519" max="11519" width="47.28515625" style="1" customWidth="1"/>
    <col min="11520" max="11525" width="13.28515625" style="1" customWidth="1"/>
    <col min="11526" max="11773" width="9.140625" style="1"/>
    <col min="11774" max="11774" width="15.7109375" style="1" customWidth="1"/>
    <col min="11775" max="11775" width="47.28515625" style="1" customWidth="1"/>
    <col min="11776" max="11781" width="13.28515625" style="1" customWidth="1"/>
    <col min="11782" max="12029" width="9.140625" style="1"/>
    <col min="12030" max="12030" width="15.7109375" style="1" customWidth="1"/>
    <col min="12031" max="12031" width="47.28515625" style="1" customWidth="1"/>
    <col min="12032" max="12037" width="13.28515625" style="1" customWidth="1"/>
    <col min="12038" max="12285" width="9.140625" style="1"/>
    <col min="12286" max="12286" width="15.7109375" style="1" customWidth="1"/>
    <col min="12287" max="12287" width="47.28515625" style="1" customWidth="1"/>
    <col min="12288" max="12293" width="13.28515625" style="1" customWidth="1"/>
    <col min="12294" max="12541" width="9.140625" style="1"/>
    <col min="12542" max="12542" width="15.7109375" style="1" customWidth="1"/>
    <col min="12543" max="12543" width="47.28515625" style="1" customWidth="1"/>
    <col min="12544" max="12549" width="13.28515625" style="1" customWidth="1"/>
    <col min="12550" max="12797" width="9.140625" style="1"/>
    <col min="12798" max="12798" width="15.7109375" style="1" customWidth="1"/>
    <col min="12799" max="12799" width="47.28515625" style="1" customWidth="1"/>
    <col min="12800" max="12805" width="13.28515625" style="1" customWidth="1"/>
    <col min="12806" max="13053" width="9.140625" style="1"/>
    <col min="13054" max="13054" width="15.7109375" style="1" customWidth="1"/>
    <col min="13055" max="13055" width="47.28515625" style="1" customWidth="1"/>
    <col min="13056" max="13061" width="13.28515625" style="1" customWidth="1"/>
    <col min="13062" max="13309" width="9.140625" style="1"/>
    <col min="13310" max="13310" width="15.7109375" style="1" customWidth="1"/>
    <col min="13311" max="13311" width="47.28515625" style="1" customWidth="1"/>
    <col min="13312" max="13317" width="13.28515625" style="1" customWidth="1"/>
    <col min="13318" max="13565" width="9.140625" style="1"/>
    <col min="13566" max="13566" width="15.7109375" style="1" customWidth="1"/>
    <col min="13567" max="13567" width="47.28515625" style="1" customWidth="1"/>
    <col min="13568" max="13573" width="13.28515625" style="1" customWidth="1"/>
    <col min="13574" max="13821" width="9.140625" style="1"/>
    <col min="13822" max="13822" width="15.7109375" style="1" customWidth="1"/>
    <col min="13823" max="13823" width="47.28515625" style="1" customWidth="1"/>
    <col min="13824" max="13829" width="13.28515625" style="1" customWidth="1"/>
    <col min="13830" max="14077" width="9.140625" style="1"/>
    <col min="14078" max="14078" width="15.7109375" style="1" customWidth="1"/>
    <col min="14079" max="14079" width="47.28515625" style="1" customWidth="1"/>
    <col min="14080" max="14085" width="13.28515625" style="1" customWidth="1"/>
    <col min="14086" max="14333" width="9.140625" style="1"/>
    <col min="14334" max="14334" width="15.7109375" style="1" customWidth="1"/>
    <col min="14335" max="14335" width="47.28515625" style="1" customWidth="1"/>
    <col min="14336" max="14341" width="13.28515625" style="1" customWidth="1"/>
    <col min="14342" max="14589" width="9.140625" style="1"/>
    <col min="14590" max="14590" width="15.7109375" style="1" customWidth="1"/>
    <col min="14591" max="14591" width="47.28515625" style="1" customWidth="1"/>
    <col min="14592" max="14597" width="13.28515625" style="1" customWidth="1"/>
    <col min="14598" max="14845" width="9.140625" style="1"/>
    <col min="14846" max="14846" width="15.7109375" style="1" customWidth="1"/>
    <col min="14847" max="14847" width="47.28515625" style="1" customWidth="1"/>
    <col min="14848" max="14853" width="13.28515625" style="1" customWidth="1"/>
    <col min="14854" max="15101" width="9.140625" style="1"/>
    <col min="15102" max="15102" width="15.7109375" style="1" customWidth="1"/>
    <col min="15103" max="15103" width="47.28515625" style="1" customWidth="1"/>
    <col min="15104" max="15109" width="13.28515625" style="1" customWidth="1"/>
    <col min="15110" max="15357" width="9.140625" style="1"/>
    <col min="15358" max="15358" width="15.7109375" style="1" customWidth="1"/>
    <col min="15359" max="15359" width="47.28515625" style="1" customWidth="1"/>
    <col min="15360" max="15365" width="13.28515625" style="1" customWidth="1"/>
    <col min="15366" max="15613" width="9.140625" style="1"/>
    <col min="15614" max="15614" width="15.7109375" style="1" customWidth="1"/>
    <col min="15615" max="15615" width="47.28515625" style="1" customWidth="1"/>
    <col min="15616" max="15621" width="13.28515625" style="1" customWidth="1"/>
    <col min="15622" max="15869" width="9.140625" style="1"/>
    <col min="15870" max="15870" width="15.7109375" style="1" customWidth="1"/>
    <col min="15871" max="15871" width="47.28515625" style="1" customWidth="1"/>
    <col min="15872" max="15877" width="13.28515625" style="1" customWidth="1"/>
    <col min="15878" max="16125" width="9.140625" style="1"/>
    <col min="16126" max="16126" width="15.7109375" style="1" customWidth="1"/>
    <col min="16127" max="16127" width="47.28515625" style="1" customWidth="1"/>
    <col min="16128" max="16133" width="13.28515625" style="1" customWidth="1"/>
    <col min="16134" max="16382" width="9.140625" style="1"/>
    <col min="16383" max="16384" width="8.85546875" style="1" customWidth="1"/>
  </cols>
  <sheetData>
    <row r="1" spans="1:18" ht="28.5" customHeight="1" x14ac:dyDescent="0.2">
      <c r="A1" s="79" t="s">
        <v>0</v>
      </c>
      <c r="B1" s="79"/>
      <c r="C1" s="79"/>
      <c r="D1" s="79"/>
      <c r="E1" s="79"/>
      <c r="F1" s="79"/>
      <c r="G1" s="79"/>
      <c r="J1" s="83"/>
      <c r="K1" s="83"/>
      <c r="L1" s="83"/>
      <c r="M1" s="83"/>
      <c r="N1" s="83"/>
      <c r="O1" s="83"/>
      <c r="P1" s="83"/>
      <c r="Q1" s="83"/>
      <c r="R1" s="83"/>
    </row>
    <row r="2" spans="1:18" ht="12.75" customHeight="1" x14ac:dyDescent="0.25">
      <c r="A2" s="80" t="s">
        <v>1</v>
      </c>
      <c r="B2" s="80"/>
      <c r="C2" s="80"/>
      <c r="D2" s="80"/>
      <c r="E2" s="80"/>
      <c r="F2" s="80"/>
      <c r="G2" s="80"/>
      <c r="J2" s="84"/>
      <c r="K2" s="84"/>
      <c r="L2" s="84"/>
      <c r="M2" s="84"/>
      <c r="N2" s="84"/>
      <c r="O2" s="84"/>
      <c r="P2" s="84"/>
      <c r="Q2" s="84"/>
      <c r="R2" s="84"/>
    </row>
    <row r="3" spans="1:18" s="3" customFormat="1" ht="12.75" customHeight="1" x14ac:dyDescent="0.25">
      <c r="A3" s="2"/>
      <c r="B3" s="2"/>
      <c r="C3" s="2"/>
      <c r="D3" s="2"/>
      <c r="E3" s="2"/>
      <c r="F3" s="2"/>
      <c r="G3" s="2"/>
      <c r="H3" s="1"/>
    </row>
    <row r="4" spans="1:18" s="3" customFormat="1" ht="15" customHeight="1" x14ac:dyDescent="0.25">
      <c r="A4" s="81" t="s">
        <v>2</v>
      </c>
      <c r="B4" s="81" t="s">
        <v>3</v>
      </c>
      <c r="C4" s="82" t="s">
        <v>4</v>
      </c>
      <c r="D4" s="82" t="s">
        <v>5</v>
      </c>
      <c r="E4" s="82" t="s">
        <v>6</v>
      </c>
      <c r="F4" s="82" t="s">
        <v>7</v>
      </c>
      <c r="G4" s="82"/>
      <c r="H4" s="1"/>
    </row>
    <row r="5" spans="1:18" ht="50.1" customHeight="1" x14ac:dyDescent="0.25">
      <c r="A5" s="81"/>
      <c r="B5" s="81"/>
      <c r="C5" s="82"/>
      <c r="D5" s="82"/>
      <c r="E5" s="82"/>
      <c r="F5" s="4" t="s">
        <v>8</v>
      </c>
      <c r="G5" s="4" t="s">
        <v>9</v>
      </c>
    </row>
    <row r="6" spans="1:18" x14ac:dyDescent="0.25">
      <c r="A6" s="5"/>
      <c r="B6" s="6"/>
      <c r="C6" s="7"/>
      <c r="D6" s="7"/>
      <c r="E6" s="7"/>
      <c r="F6" s="7"/>
      <c r="G6" s="85"/>
    </row>
    <row r="7" spans="1:18" ht="15" x14ac:dyDescent="0.25">
      <c r="A7" s="8"/>
      <c r="B7" s="9" t="s">
        <v>10</v>
      </c>
      <c r="C7" s="10">
        <v>1147.317</v>
      </c>
      <c r="D7" s="10">
        <v>75.687460000000002</v>
      </c>
      <c r="E7" s="11">
        <f>IF(C7&lt;&gt;"",D7/C7*100,"")</f>
        <v>6.5969091367076409</v>
      </c>
      <c r="F7" s="86">
        <v>1022.812</v>
      </c>
      <c r="G7" s="87">
        <v>1271.8219999999999</v>
      </c>
      <c r="H7" s="12"/>
    </row>
    <row r="8" spans="1:18" x14ac:dyDescent="0.25">
      <c r="A8" s="13"/>
      <c r="B8" s="14"/>
      <c r="C8" s="15"/>
      <c r="D8" s="15"/>
      <c r="E8" s="16"/>
      <c r="F8" s="88"/>
      <c r="G8" s="89"/>
    </row>
    <row r="9" spans="1:18" s="19" customFormat="1" ht="15" x14ac:dyDescent="0.25">
      <c r="A9" s="17" t="s">
        <v>11</v>
      </c>
      <c r="B9" s="18" t="s">
        <v>12</v>
      </c>
      <c r="C9" s="10">
        <v>410.20710000000003</v>
      </c>
      <c r="D9" s="10">
        <v>35.069389999999999</v>
      </c>
      <c r="E9" s="11">
        <f>IF(C9&lt;&gt;"",D9/C9*100,"")</f>
        <v>8.5491913718704513</v>
      </c>
      <c r="F9" s="86">
        <v>352.51859999999999</v>
      </c>
      <c r="G9" s="87">
        <v>467.89569999999998</v>
      </c>
      <c r="H9" s="12"/>
    </row>
    <row r="10" spans="1:18" ht="27" customHeight="1" x14ac:dyDescent="0.25">
      <c r="A10" s="20" t="s">
        <v>13</v>
      </c>
      <c r="B10" s="21" t="s">
        <v>14</v>
      </c>
      <c r="C10" s="22">
        <v>98</v>
      </c>
      <c r="D10" s="22">
        <v>19.5</v>
      </c>
      <c r="E10" s="23">
        <v>11.1</v>
      </c>
      <c r="F10" s="57">
        <v>1.8</v>
      </c>
      <c r="G10" s="90">
        <v>0.1</v>
      </c>
      <c r="H10" s="12"/>
    </row>
    <row r="11" spans="1:18" x14ac:dyDescent="0.25">
      <c r="A11" s="20" t="s">
        <v>15</v>
      </c>
      <c r="B11" s="21" t="s">
        <v>16</v>
      </c>
      <c r="C11" s="22">
        <v>20</v>
      </c>
      <c r="D11" s="22">
        <v>9.3000000000000007</v>
      </c>
      <c r="E11" s="23">
        <v>2.2999999999999998</v>
      </c>
      <c r="F11" s="57">
        <v>0.9</v>
      </c>
      <c r="G11" s="90" t="s">
        <v>17</v>
      </c>
      <c r="H11" s="12"/>
    </row>
    <row r="12" spans="1:18" x14ac:dyDescent="0.25">
      <c r="A12" s="24"/>
      <c r="B12" s="25"/>
      <c r="C12" s="22"/>
      <c r="D12" s="22"/>
      <c r="E12" s="23"/>
      <c r="F12" s="57"/>
      <c r="G12" s="90"/>
    </row>
    <row r="13" spans="1:18" s="19" customFormat="1" ht="13.5" customHeight="1" x14ac:dyDescent="0.25">
      <c r="A13" s="26" t="s">
        <v>18</v>
      </c>
      <c r="B13" s="27" t="s">
        <v>19</v>
      </c>
      <c r="C13" s="10">
        <v>861.78769999999997</v>
      </c>
      <c r="D13" s="10">
        <v>115.2564</v>
      </c>
      <c r="E13" s="11">
        <f>IF(C13&lt;&gt;"",D13/C13*100,"")</f>
        <v>13.374105942797746</v>
      </c>
      <c r="F13" s="86">
        <v>672.19290000000001</v>
      </c>
      <c r="G13" s="87">
        <v>1051.3820000000001</v>
      </c>
      <c r="H13" s="12"/>
    </row>
    <row r="14" spans="1:18" ht="42.75" x14ac:dyDescent="0.25">
      <c r="A14" s="20" t="s">
        <v>20</v>
      </c>
      <c r="B14" s="21" t="s">
        <v>21</v>
      </c>
      <c r="C14" s="28">
        <v>1018.724</v>
      </c>
      <c r="D14" s="28">
        <v>72.524209999999997</v>
      </c>
      <c r="E14" s="29">
        <f>IF(C14&lt;&gt;"",D14/C14*100,"")</f>
        <v>7.1191225493853096</v>
      </c>
      <c r="F14" s="91">
        <v>899.42250000000001</v>
      </c>
      <c r="G14" s="92">
        <v>1138.0250000000001</v>
      </c>
      <c r="H14" s="12"/>
    </row>
    <row r="15" spans="1:18" x14ac:dyDescent="0.25">
      <c r="A15" s="20" t="s">
        <v>22</v>
      </c>
      <c r="B15" s="21" t="s">
        <v>23</v>
      </c>
      <c r="C15" s="28">
        <v>855.89729999999997</v>
      </c>
      <c r="D15" s="28">
        <v>152.01570000000001</v>
      </c>
      <c r="E15" s="29">
        <f>IF(C15&lt;&gt;"",D15/C15*100,"")</f>
        <v>17.760974359891076</v>
      </c>
      <c r="F15" s="91">
        <v>605.83410000000003</v>
      </c>
      <c r="G15" s="92">
        <v>1105.96</v>
      </c>
      <c r="H15" s="12"/>
    </row>
    <row r="16" spans="1:18" x14ac:dyDescent="0.25">
      <c r="A16" s="20" t="s">
        <v>24</v>
      </c>
      <c r="B16" s="21" t="s">
        <v>25</v>
      </c>
      <c r="C16" s="28">
        <v>696.77329999999995</v>
      </c>
      <c r="D16" s="28">
        <v>162.34309999999999</v>
      </c>
      <c r="E16" s="29">
        <f>IF(C16&lt;&gt;"",D16/C16*100,"")</f>
        <v>23.299271082861527</v>
      </c>
      <c r="F16" s="91">
        <v>429.72179999999997</v>
      </c>
      <c r="G16" s="92">
        <v>963.82489999999996</v>
      </c>
      <c r="H16" s="12"/>
    </row>
    <row r="17" spans="1:8" x14ac:dyDescent="0.25">
      <c r="A17" s="13"/>
      <c r="B17" s="25"/>
      <c r="C17" s="30"/>
      <c r="D17" s="30"/>
      <c r="E17" s="31"/>
      <c r="F17" s="93"/>
      <c r="G17" s="94"/>
    </row>
    <row r="18" spans="1:8" s="19" customFormat="1" ht="15" x14ac:dyDescent="0.25">
      <c r="A18" s="26" t="s">
        <v>26</v>
      </c>
      <c r="B18" s="27" t="s">
        <v>27</v>
      </c>
      <c r="C18" s="10">
        <v>804.33219999999994</v>
      </c>
      <c r="D18" s="10">
        <v>54.295140000000004</v>
      </c>
      <c r="E18" s="11">
        <f t="shared" ref="E18:E29" si="0">IF(C18&lt;&gt;"",D18/C18*100,"")</f>
        <v>6.7503377335881884</v>
      </c>
      <c r="F18" s="86">
        <v>715.01769999999999</v>
      </c>
      <c r="G18" s="87">
        <v>893.64679999999998</v>
      </c>
    </row>
    <row r="19" spans="1:8" x14ac:dyDescent="0.25">
      <c r="A19" s="20" t="s">
        <v>28</v>
      </c>
      <c r="B19" s="32" t="s">
        <v>29</v>
      </c>
      <c r="C19" s="28">
        <v>466.65629999999999</v>
      </c>
      <c r="D19" s="28">
        <v>53.302959999999999</v>
      </c>
      <c r="E19" s="29">
        <f t="shared" si="0"/>
        <v>11.422316595747233</v>
      </c>
      <c r="F19" s="91">
        <v>378.97379999999998</v>
      </c>
      <c r="G19" s="92">
        <v>554.33870000000002</v>
      </c>
      <c r="H19" s="33"/>
    </row>
    <row r="20" spans="1:8" x14ac:dyDescent="0.25">
      <c r="A20" s="20" t="s">
        <v>30</v>
      </c>
      <c r="B20" s="32" t="s">
        <v>31</v>
      </c>
      <c r="C20" s="28">
        <v>194.64619999999999</v>
      </c>
      <c r="D20" s="28">
        <v>90.454800000000006</v>
      </c>
      <c r="E20" s="29">
        <f t="shared" si="0"/>
        <v>46.471392711493984</v>
      </c>
      <c r="F20" s="91">
        <v>45.849589999999999</v>
      </c>
      <c r="G20" s="92">
        <v>343.44279999999998</v>
      </c>
      <c r="H20" s="33"/>
    </row>
    <row r="21" spans="1:8" x14ac:dyDescent="0.25">
      <c r="A21" s="20" t="s">
        <v>32</v>
      </c>
      <c r="B21" s="32" t="s">
        <v>33</v>
      </c>
      <c r="C21" s="28">
        <v>711.39030000000002</v>
      </c>
      <c r="D21" s="28">
        <v>94.853200000000001</v>
      </c>
      <c r="E21" s="29">
        <f t="shared" si="0"/>
        <v>13.333496394314063</v>
      </c>
      <c r="F21" s="91">
        <v>555.35839999999996</v>
      </c>
      <c r="G21" s="92">
        <v>867.4221</v>
      </c>
      <c r="H21" s="33"/>
    </row>
    <row r="22" spans="1:8" x14ac:dyDescent="0.25">
      <c r="A22" s="20" t="s">
        <v>34</v>
      </c>
      <c r="B22" s="32" t="s">
        <v>35</v>
      </c>
      <c r="C22" s="28">
        <v>538.23130000000003</v>
      </c>
      <c r="D22" s="28">
        <v>418.53609999999998</v>
      </c>
      <c r="E22" s="29">
        <f t="shared" si="0"/>
        <v>77.7613825134287</v>
      </c>
      <c r="F22" s="91">
        <v>-150.2535</v>
      </c>
      <c r="G22" s="92">
        <v>1226.7159999999999</v>
      </c>
      <c r="H22" s="33"/>
    </row>
    <row r="23" spans="1:8" x14ac:dyDescent="0.25">
      <c r="A23" s="20" t="s">
        <v>36</v>
      </c>
      <c r="B23" s="32" t="s">
        <v>37</v>
      </c>
      <c r="C23" s="28">
        <v>292.58089999999999</v>
      </c>
      <c r="D23" s="28">
        <v>51.093089999999997</v>
      </c>
      <c r="E23" s="29">
        <f t="shared" si="0"/>
        <v>17.462893169034615</v>
      </c>
      <c r="F23" s="91">
        <v>208.53370000000001</v>
      </c>
      <c r="G23" s="92">
        <v>376.62819999999999</v>
      </c>
      <c r="H23" s="33"/>
    </row>
    <row r="24" spans="1:8" ht="15" customHeight="1" x14ac:dyDescent="0.25">
      <c r="A24" s="20" t="s">
        <v>38</v>
      </c>
      <c r="B24" s="32" t="s">
        <v>39</v>
      </c>
      <c r="C24" s="28">
        <v>601.3125</v>
      </c>
      <c r="D24" s="28">
        <v>267.51920000000001</v>
      </c>
      <c r="E24" s="29">
        <f t="shared" si="0"/>
        <v>44.489213179503174</v>
      </c>
      <c r="F24" s="91">
        <v>161.24799999999999</v>
      </c>
      <c r="G24" s="92">
        <v>1041.377</v>
      </c>
      <c r="H24" s="33"/>
    </row>
    <row r="25" spans="1:8" ht="56.45" customHeight="1" x14ac:dyDescent="0.25">
      <c r="A25" s="20" t="s">
        <v>40</v>
      </c>
      <c r="B25" s="32" t="s">
        <v>41</v>
      </c>
      <c r="C25" s="28">
        <v>242.93889999999999</v>
      </c>
      <c r="D25" s="28">
        <v>159.339</v>
      </c>
      <c r="E25" s="29">
        <f t="shared" si="0"/>
        <v>65.588096430830973</v>
      </c>
      <c r="F25" s="91">
        <v>-19.17108</v>
      </c>
      <c r="G25" s="92">
        <v>505.04880000000003</v>
      </c>
      <c r="H25" s="33"/>
    </row>
    <row r="26" spans="1:8" x14ac:dyDescent="0.25">
      <c r="A26" s="20" t="s">
        <v>42</v>
      </c>
      <c r="B26" s="32" t="s">
        <v>43</v>
      </c>
      <c r="C26" s="28">
        <v>624.50130000000001</v>
      </c>
      <c r="D26" s="28">
        <v>133.2963</v>
      </c>
      <c r="E26" s="29">
        <f t="shared" si="0"/>
        <v>21.34443915489047</v>
      </c>
      <c r="F26" s="91">
        <v>405.23129999999998</v>
      </c>
      <c r="G26" s="92">
        <v>843.77139999999997</v>
      </c>
      <c r="H26" s="33"/>
    </row>
    <row r="27" spans="1:8" x14ac:dyDescent="0.25">
      <c r="A27" s="20" t="s">
        <v>44</v>
      </c>
      <c r="B27" s="32" t="s">
        <v>45</v>
      </c>
      <c r="C27" s="28">
        <v>664.66949999999997</v>
      </c>
      <c r="D27" s="28">
        <v>129.27189999999999</v>
      </c>
      <c r="E27" s="29">
        <f t="shared" si="0"/>
        <v>19.449049490009696</v>
      </c>
      <c r="F27" s="91">
        <v>452.01949999999999</v>
      </c>
      <c r="G27" s="92">
        <v>877.31939999999997</v>
      </c>
      <c r="H27" s="33"/>
    </row>
    <row r="28" spans="1:8" ht="25.5" customHeight="1" x14ac:dyDescent="0.25">
      <c r="A28" s="20" t="s">
        <v>46</v>
      </c>
      <c r="B28" s="32" t="s">
        <v>47</v>
      </c>
      <c r="C28" s="28">
        <v>278.5616</v>
      </c>
      <c r="D28" s="28">
        <v>124.9432</v>
      </c>
      <c r="E28" s="29">
        <f t="shared" si="0"/>
        <v>44.852987633614973</v>
      </c>
      <c r="F28" s="91">
        <v>73.032210000000006</v>
      </c>
      <c r="G28" s="92">
        <v>484.09109999999998</v>
      </c>
      <c r="H28" s="33"/>
    </row>
    <row r="29" spans="1:8" ht="18.600000000000001" customHeight="1" x14ac:dyDescent="0.25">
      <c r="A29" s="20" t="s">
        <v>48</v>
      </c>
      <c r="B29" s="32" t="s">
        <v>49</v>
      </c>
      <c r="C29" s="28">
        <v>847.74080000000004</v>
      </c>
      <c r="D29" s="28">
        <v>175.0213</v>
      </c>
      <c r="E29" s="29">
        <f t="shared" si="0"/>
        <v>20.645614791691045</v>
      </c>
      <c r="F29" s="91">
        <v>559.8338</v>
      </c>
      <c r="G29" s="92">
        <v>1135.6479999999999</v>
      </c>
      <c r="H29" s="33"/>
    </row>
    <row r="30" spans="1:8" ht="5.25" customHeight="1" x14ac:dyDescent="0.25">
      <c r="A30" s="34"/>
      <c r="B30" s="35"/>
      <c r="C30" s="36"/>
      <c r="D30" s="36"/>
      <c r="E30" s="36"/>
      <c r="F30" s="36"/>
      <c r="G30" s="95"/>
    </row>
    <row r="31" spans="1:8" s="40" customFormat="1" ht="20.100000000000001" customHeight="1" x14ac:dyDescent="0.25">
      <c r="A31" s="37" t="s">
        <v>50</v>
      </c>
      <c r="B31" s="38"/>
      <c r="C31" s="39"/>
    </row>
    <row r="32" spans="1:8" ht="18" customHeight="1" x14ac:dyDescent="0.25">
      <c r="A32" s="41"/>
      <c r="C32" s="42"/>
      <c r="D32" s="42"/>
      <c r="E32" s="42"/>
      <c r="F32" s="42"/>
      <c r="G32" s="42"/>
    </row>
    <row r="33" spans="1:8" ht="25.5" customHeight="1" x14ac:dyDescent="0.2">
      <c r="A33" s="79" t="s">
        <v>51</v>
      </c>
      <c r="B33" s="79"/>
      <c r="C33" s="79"/>
      <c r="D33" s="79"/>
      <c r="E33" s="79"/>
      <c r="F33" s="79"/>
      <c r="G33" s="79"/>
    </row>
    <row r="34" spans="1:8" ht="12.75" customHeight="1" x14ac:dyDescent="0.25">
      <c r="A34" s="80" t="s">
        <v>1</v>
      </c>
      <c r="B34" s="80"/>
      <c r="C34" s="80"/>
      <c r="D34" s="80"/>
      <c r="E34" s="80"/>
      <c r="F34" s="80"/>
      <c r="G34" s="80"/>
    </row>
    <row r="35" spans="1:8" s="3" customFormat="1" ht="12.75" customHeight="1" x14ac:dyDescent="0.25">
      <c r="A35" s="2"/>
      <c r="B35" s="2"/>
      <c r="C35" s="2"/>
      <c r="D35" s="2"/>
      <c r="E35" s="2"/>
      <c r="F35" s="2"/>
      <c r="G35" s="2"/>
    </row>
    <row r="36" spans="1:8" s="3" customFormat="1" ht="15" customHeight="1" x14ac:dyDescent="0.25">
      <c r="A36" s="81" t="s">
        <v>2</v>
      </c>
      <c r="B36" s="81" t="s">
        <v>3</v>
      </c>
      <c r="C36" s="82" t="s">
        <v>52</v>
      </c>
      <c r="D36" s="82" t="s">
        <v>5</v>
      </c>
      <c r="E36" s="82" t="s">
        <v>6</v>
      </c>
      <c r="F36" s="82" t="s">
        <v>7</v>
      </c>
      <c r="G36" s="82"/>
    </row>
    <row r="37" spans="1:8" ht="50.1" customHeight="1" x14ac:dyDescent="0.25">
      <c r="A37" s="81"/>
      <c r="B37" s="81"/>
      <c r="C37" s="82"/>
      <c r="D37" s="82"/>
      <c r="E37" s="82"/>
      <c r="F37" s="4" t="s">
        <v>8</v>
      </c>
      <c r="G37" s="4" t="s">
        <v>9</v>
      </c>
    </row>
    <row r="38" spans="1:8" x14ac:dyDescent="0.25">
      <c r="A38" s="5"/>
      <c r="B38" s="6"/>
      <c r="C38" s="7"/>
      <c r="D38" s="43"/>
      <c r="E38" s="43"/>
      <c r="F38" s="43"/>
      <c r="G38" s="85"/>
    </row>
    <row r="39" spans="1:8" ht="42.75" x14ac:dyDescent="0.25">
      <c r="A39" s="20" t="s">
        <v>53</v>
      </c>
      <c r="B39" s="21" t="s">
        <v>54</v>
      </c>
      <c r="C39" s="28">
        <v>487.56479999999999</v>
      </c>
      <c r="D39" s="28">
        <v>103.27719999999999</v>
      </c>
      <c r="E39" s="29">
        <f t="shared" ref="E39:E52" si="1">IF(C39&lt;&gt;"",D39/C39*100,"")</f>
        <v>21.182251056680055</v>
      </c>
      <c r="F39" s="91">
        <v>317.67559999999997</v>
      </c>
      <c r="G39" s="92">
        <v>657.45389999999998</v>
      </c>
      <c r="H39" s="33"/>
    </row>
    <row r="40" spans="1:8" ht="14.25" customHeight="1" x14ac:dyDescent="0.25">
      <c r="A40" s="20" t="s">
        <v>55</v>
      </c>
      <c r="B40" s="21" t="s">
        <v>56</v>
      </c>
      <c r="C40" s="28">
        <v>640.21699999999998</v>
      </c>
      <c r="D40" s="28">
        <v>126.85939999999999</v>
      </c>
      <c r="E40" s="29">
        <f t="shared" si="1"/>
        <v>19.815062705301482</v>
      </c>
      <c r="F40" s="91">
        <v>431.53539999999998</v>
      </c>
      <c r="G40" s="92">
        <v>848.89859999999999</v>
      </c>
      <c r="H40" s="33"/>
    </row>
    <row r="41" spans="1:8" x14ac:dyDescent="0.25">
      <c r="A41" s="20" t="s">
        <v>57</v>
      </c>
      <c r="B41" s="21" t="s">
        <v>58</v>
      </c>
      <c r="C41" s="28">
        <v>1329.9649999999999</v>
      </c>
      <c r="D41" s="28">
        <v>207.50720000000001</v>
      </c>
      <c r="E41" s="29">
        <f t="shared" si="1"/>
        <v>15.60245570372153</v>
      </c>
      <c r="F41" s="91">
        <v>988.61950000000002</v>
      </c>
      <c r="G41" s="92">
        <v>1671.3109999999999</v>
      </c>
      <c r="H41" s="33"/>
    </row>
    <row r="42" spans="1:8" ht="14.1" customHeight="1" x14ac:dyDescent="0.25">
      <c r="A42" s="20" t="s">
        <v>59</v>
      </c>
      <c r="B42" s="21" t="s">
        <v>60</v>
      </c>
      <c r="C42" s="28">
        <v>460.13830000000002</v>
      </c>
      <c r="D42" s="28">
        <v>117.67440000000001</v>
      </c>
      <c r="E42" s="29">
        <f t="shared" si="1"/>
        <v>25.573702515091657</v>
      </c>
      <c r="F42" s="91">
        <v>266.5659</v>
      </c>
      <c r="G42" s="92">
        <v>653.71069999999997</v>
      </c>
      <c r="H42" s="33"/>
    </row>
    <row r="43" spans="1:8" x14ac:dyDescent="0.25">
      <c r="A43" s="20" t="s">
        <v>61</v>
      </c>
      <c r="B43" s="21" t="s">
        <v>62</v>
      </c>
      <c r="C43" s="28">
        <v>820.8098</v>
      </c>
      <c r="D43" s="28">
        <v>284.06020000000001</v>
      </c>
      <c r="E43" s="29">
        <f t="shared" si="1"/>
        <v>34.607310975088261</v>
      </c>
      <c r="F43" s="91">
        <v>353.53559999999999</v>
      </c>
      <c r="G43" s="92">
        <v>1288.0840000000001</v>
      </c>
      <c r="H43" s="33"/>
    </row>
    <row r="44" spans="1:8" ht="42.75" x14ac:dyDescent="0.25">
      <c r="A44" s="20" t="s">
        <v>63</v>
      </c>
      <c r="B44" s="21" t="s">
        <v>64</v>
      </c>
      <c r="C44" s="28">
        <v>1844.856</v>
      </c>
      <c r="D44" s="28">
        <v>318.15109999999999</v>
      </c>
      <c r="E44" s="29">
        <f t="shared" si="1"/>
        <v>17.245308034881855</v>
      </c>
      <c r="F44" s="91">
        <v>1321.5029999999999</v>
      </c>
      <c r="G44" s="92">
        <v>2368.2089999999998</v>
      </c>
      <c r="H44" s="33"/>
    </row>
    <row r="45" spans="1:8" ht="28.5" x14ac:dyDescent="0.25">
      <c r="A45" s="20" t="s">
        <v>65</v>
      </c>
      <c r="B45" s="21" t="s">
        <v>66</v>
      </c>
      <c r="C45" s="28">
        <v>1138.7760000000001</v>
      </c>
      <c r="D45" s="28">
        <v>398.36079999999998</v>
      </c>
      <c r="E45" s="29">
        <f t="shared" si="1"/>
        <v>34.981488896850649</v>
      </c>
      <c r="F45" s="91">
        <v>483.47969999999998</v>
      </c>
      <c r="G45" s="92">
        <v>1794.0730000000001</v>
      </c>
      <c r="H45" s="33"/>
    </row>
    <row r="46" spans="1:8" ht="15" customHeight="1" x14ac:dyDescent="0.25">
      <c r="A46" s="20" t="s">
        <v>67</v>
      </c>
      <c r="B46" s="21" t="s">
        <v>68</v>
      </c>
      <c r="C46" s="28">
        <v>616.65660000000003</v>
      </c>
      <c r="D46" s="28">
        <v>146.48589999999999</v>
      </c>
      <c r="E46" s="29">
        <f t="shared" si="1"/>
        <v>23.754858052277392</v>
      </c>
      <c r="F46" s="91">
        <v>375.68979999999999</v>
      </c>
      <c r="G46" s="92">
        <v>857.62329999999997</v>
      </c>
      <c r="H46" s="33"/>
    </row>
    <row r="47" spans="1:8" ht="15" customHeight="1" x14ac:dyDescent="0.25">
      <c r="A47" s="20" t="s">
        <v>69</v>
      </c>
      <c r="B47" s="21" t="s">
        <v>70</v>
      </c>
      <c r="C47" s="28">
        <v>870.25580000000002</v>
      </c>
      <c r="D47" s="28">
        <v>226.57910000000001</v>
      </c>
      <c r="E47" s="29">
        <f t="shared" si="1"/>
        <v>26.035919553767982</v>
      </c>
      <c r="F47" s="91">
        <v>497.53699999999998</v>
      </c>
      <c r="G47" s="92">
        <v>1242.9749999999999</v>
      </c>
      <c r="H47" s="33"/>
    </row>
    <row r="48" spans="1:8" ht="27" customHeight="1" x14ac:dyDescent="0.25">
      <c r="A48" s="20" t="s">
        <v>71</v>
      </c>
      <c r="B48" s="21" t="s">
        <v>72</v>
      </c>
      <c r="C48" s="28">
        <v>1530.3910000000001</v>
      </c>
      <c r="D48" s="28">
        <v>351.16899999999998</v>
      </c>
      <c r="E48" s="29">
        <f t="shared" si="1"/>
        <v>22.946358152916474</v>
      </c>
      <c r="F48" s="91">
        <v>952.72400000000005</v>
      </c>
      <c r="G48" s="92">
        <v>2108.058</v>
      </c>
      <c r="H48" s="33"/>
    </row>
    <row r="49" spans="1:8" ht="27.75" customHeight="1" x14ac:dyDescent="0.25">
      <c r="A49" s="20" t="s">
        <v>73</v>
      </c>
      <c r="B49" s="21" t="s">
        <v>74</v>
      </c>
      <c r="C49" s="28">
        <v>3726.0830000000001</v>
      </c>
      <c r="D49" s="28">
        <v>1167.192</v>
      </c>
      <c r="E49" s="29">
        <f t="shared" si="1"/>
        <v>31.324906074287661</v>
      </c>
      <c r="F49" s="91">
        <v>1806.0719999999999</v>
      </c>
      <c r="G49" s="92">
        <v>5646.0929999999998</v>
      </c>
      <c r="H49" s="33"/>
    </row>
    <row r="50" spans="1:8" x14ac:dyDescent="0.25">
      <c r="A50" s="20" t="s">
        <v>75</v>
      </c>
      <c r="B50" s="21" t="s">
        <v>76</v>
      </c>
      <c r="C50" s="28">
        <v>885.56020000000001</v>
      </c>
      <c r="D50" s="28">
        <v>156.38919999999999</v>
      </c>
      <c r="E50" s="29">
        <f t="shared" si="1"/>
        <v>17.659917417246167</v>
      </c>
      <c r="F50" s="91">
        <v>628.30269999999996</v>
      </c>
      <c r="G50" s="92">
        <v>1142.818</v>
      </c>
      <c r="H50" s="33"/>
    </row>
    <row r="51" spans="1:8" x14ac:dyDescent="0.25">
      <c r="A51" s="20" t="s">
        <v>77</v>
      </c>
      <c r="B51" s="21" t="s">
        <v>78</v>
      </c>
      <c r="C51" s="28">
        <v>886.75599999999997</v>
      </c>
      <c r="D51" s="28">
        <v>94.48603</v>
      </c>
      <c r="E51" s="29">
        <f t="shared" si="1"/>
        <v>10.655245636905756</v>
      </c>
      <c r="F51" s="91">
        <v>731.32809999999995</v>
      </c>
      <c r="G51" s="92">
        <v>1042.184</v>
      </c>
      <c r="H51" s="33"/>
    </row>
    <row r="52" spans="1:8" ht="28.5" x14ac:dyDescent="0.25">
      <c r="A52" s="20" t="s">
        <v>79</v>
      </c>
      <c r="B52" s="21" t="s">
        <v>80</v>
      </c>
      <c r="C52" s="28">
        <v>1063.0709999999999</v>
      </c>
      <c r="D52" s="28">
        <v>224.60380000000001</v>
      </c>
      <c r="E52" s="29">
        <f t="shared" si="1"/>
        <v>21.127826833767454</v>
      </c>
      <c r="F52" s="91">
        <v>693.6019</v>
      </c>
      <c r="G52" s="92">
        <v>1432.5409999999999</v>
      </c>
      <c r="H52" s="33"/>
    </row>
    <row r="53" spans="1:8" ht="15" x14ac:dyDescent="0.25">
      <c r="A53" s="13"/>
      <c r="B53" s="25"/>
      <c r="C53" s="30"/>
      <c r="D53" s="44"/>
      <c r="E53" s="45"/>
      <c r="F53" s="44"/>
      <c r="G53" s="90"/>
    </row>
    <row r="54" spans="1:8" s="19" customFormat="1" ht="27" customHeight="1" x14ac:dyDescent="0.25">
      <c r="A54" s="26" t="s">
        <v>81</v>
      </c>
      <c r="B54" s="18" t="s">
        <v>82</v>
      </c>
      <c r="C54" s="10">
        <v>4151.4489999999996</v>
      </c>
      <c r="D54" s="10">
        <v>1454.942</v>
      </c>
      <c r="E54" s="11">
        <f>IF(C54&lt;&gt;"",D54/C54*100,"")</f>
        <v>35.046606618556559</v>
      </c>
      <c r="F54" s="86">
        <v>1758.0940000000001</v>
      </c>
      <c r="G54" s="87">
        <v>6544.8040000000001</v>
      </c>
    </row>
    <row r="55" spans="1:8" s="19" customFormat="1" ht="15" x14ac:dyDescent="0.25">
      <c r="A55" s="46"/>
      <c r="B55" s="18"/>
      <c r="C55" s="47"/>
      <c r="D55" s="44"/>
      <c r="E55" s="45"/>
      <c r="F55" s="44"/>
      <c r="G55" s="96"/>
    </row>
    <row r="56" spans="1:8" s="19" customFormat="1" ht="27" customHeight="1" x14ac:dyDescent="0.25">
      <c r="A56" s="26" t="s">
        <v>83</v>
      </c>
      <c r="B56" s="18" t="s">
        <v>84</v>
      </c>
      <c r="C56" s="10">
        <v>1089.413</v>
      </c>
      <c r="D56" s="10">
        <v>67.119309999999999</v>
      </c>
      <c r="E56" s="11">
        <f>IF(C56&lt;&gt;"",D56/C56*100,"")</f>
        <v>6.1610527871431673</v>
      </c>
      <c r="F56" s="86">
        <v>979.00300000000004</v>
      </c>
      <c r="G56" s="87">
        <v>1199.8230000000001</v>
      </c>
    </row>
    <row r="57" spans="1:8" x14ac:dyDescent="0.25">
      <c r="A57" s="20" t="s">
        <v>85</v>
      </c>
      <c r="B57" s="25" t="s">
        <v>86</v>
      </c>
      <c r="C57" s="28">
        <v>1086.248</v>
      </c>
      <c r="D57" s="28">
        <v>69.41713</v>
      </c>
      <c r="E57" s="29">
        <f>IF(C57&lt;&gt;"",D57/C57*100,"")</f>
        <v>6.3905415706173905</v>
      </c>
      <c r="F57" s="91">
        <v>972.05790000000002</v>
      </c>
      <c r="G57" s="92">
        <v>1200.4380000000001</v>
      </c>
    </row>
    <row r="58" spans="1:8" ht="45.6" customHeight="1" x14ac:dyDescent="0.25">
      <c r="A58" s="20" t="s">
        <v>87</v>
      </c>
      <c r="B58" s="25" t="s">
        <v>88</v>
      </c>
      <c r="C58" s="28">
        <v>1103.1400000000001</v>
      </c>
      <c r="D58" s="28">
        <v>195.5087</v>
      </c>
      <c r="E58" s="29">
        <f>IF(C58&lt;&gt;"",D58/C58*100,"")</f>
        <v>17.722927280308934</v>
      </c>
      <c r="F58" s="91">
        <v>781.53139999999996</v>
      </c>
      <c r="G58" s="92">
        <v>1424.748</v>
      </c>
    </row>
    <row r="59" spans="1:8" ht="5.25" customHeight="1" x14ac:dyDescent="0.25">
      <c r="A59" s="34"/>
      <c r="B59" s="35"/>
      <c r="C59" s="49"/>
      <c r="D59" s="50"/>
      <c r="E59" s="50"/>
      <c r="F59" s="50"/>
      <c r="G59" s="97"/>
    </row>
    <row r="60" spans="1:8" ht="18" customHeight="1" x14ac:dyDescent="0.25">
      <c r="A60" s="42"/>
      <c r="B60" s="25"/>
      <c r="C60" s="42"/>
      <c r="D60" s="42"/>
      <c r="E60" s="42"/>
      <c r="F60" s="42"/>
      <c r="G60" s="42"/>
    </row>
    <row r="61" spans="1:8" ht="29.1" customHeight="1" x14ac:dyDescent="0.2">
      <c r="A61" s="79" t="s">
        <v>51</v>
      </c>
      <c r="B61" s="79"/>
      <c r="C61" s="79"/>
      <c r="D61" s="79"/>
      <c r="E61" s="79"/>
      <c r="F61" s="79"/>
      <c r="G61" s="79"/>
    </row>
    <row r="62" spans="1:8" ht="12.75" customHeight="1" x14ac:dyDescent="0.25">
      <c r="A62" s="80" t="s">
        <v>1</v>
      </c>
      <c r="B62" s="80"/>
      <c r="C62" s="80"/>
      <c r="D62" s="80"/>
      <c r="E62" s="80"/>
      <c r="F62" s="80"/>
      <c r="G62" s="80"/>
    </row>
    <row r="63" spans="1:8" s="3" customFormat="1" ht="12.75" customHeight="1" x14ac:dyDescent="0.25">
      <c r="A63" s="2"/>
      <c r="B63" s="2"/>
      <c r="C63" s="2"/>
      <c r="D63" s="2"/>
      <c r="E63" s="2"/>
      <c r="F63" s="2"/>
      <c r="G63" s="2"/>
    </row>
    <row r="64" spans="1:8" s="3" customFormat="1" ht="15" customHeight="1" x14ac:dyDescent="0.25">
      <c r="A64" s="81" t="s">
        <v>2</v>
      </c>
      <c r="B64" s="81" t="s">
        <v>3</v>
      </c>
      <c r="C64" s="82" t="s">
        <v>52</v>
      </c>
      <c r="D64" s="82" t="s">
        <v>5</v>
      </c>
      <c r="E64" s="82" t="s">
        <v>6</v>
      </c>
      <c r="F64" s="82" t="s">
        <v>7</v>
      </c>
      <c r="G64" s="82"/>
    </row>
    <row r="65" spans="1:7" ht="50.1" customHeight="1" x14ac:dyDescent="0.25">
      <c r="A65" s="81"/>
      <c r="B65" s="81"/>
      <c r="C65" s="82"/>
      <c r="D65" s="82"/>
      <c r="E65" s="82"/>
      <c r="F65" s="4" t="s">
        <v>8</v>
      </c>
      <c r="G65" s="4" t="s">
        <v>9</v>
      </c>
    </row>
    <row r="66" spans="1:7" x14ac:dyDescent="0.25">
      <c r="A66" s="5"/>
      <c r="B66" s="6"/>
      <c r="C66" s="7"/>
      <c r="D66" s="7"/>
      <c r="E66" s="7"/>
      <c r="F66" s="7"/>
      <c r="G66" s="85"/>
    </row>
    <row r="67" spans="1:7" s="19" customFormat="1" ht="15" x14ac:dyDescent="0.25">
      <c r="A67" s="26" t="s">
        <v>89</v>
      </c>
      <c r="B67" s="18" t="s">
        <v>90</v>
      </c>
      <c r="C67" s="10">
        <v>614.61220000000003</v>
      </c>
      <c r="D67" s="10">
        <v>74.227080000000001</v>
      </c>
      <c r="E67" s="11">
        <f>IF(C67&lt;&gt;"",D67/C67*100,"")</f>
        <v>12.077059322935666</v>
      </c>
      <c r="F67" s="86">
        <v>492.51</v>
      </c>
      <c r="G67" s="87">
        <v>736.71450000000004</v>
      </c>
    </row>
    <row r="68" spans="1:7" s="19" customFormat="1" ht="15" x14ac:dyDescent="0.25">
      <c r="A68" s="17"/>
      <c r="B68" s="52"/>
      <c r="C68" s="53"/>
      <c r="D68" s="44"/>
      <c r="E68" s="45"/>
      <c r="F68" s="44"/>
      <c r="G68" s="89"/>
    </row>
    <row r="69" spans="1:7" s="19" customFormat="1" ht="28.5" customHeight="1" x14ac:dyDescent="0.25">
      <c r="A69" s="26" t="s">
        <v>91</v>
      </c>
      <c r="B69" s="54" t="s">
        <v>92</v>
      </c>
      <c r="C69" s="10">
        <v>875.3442</v>
      </c>
      <c r="D69" s="10">
        <v>55.191580000000002</v>
      </c>
      <c r="E69" s="11">
        <f>IF(C69&lt;&gt;"",D69/C69*100,"")</f>
        <v>6.3051288853002054</v>
      </c>
      <c r="F69" s="86">
        <v>784.55499999999995</v>
      </c>
      <c r="G69" s="87">
        <v>966.13340000000005</v>
      </c>
    </row>
    <row r="70" spans="1:7" ht="28.5" x14ac:dyDescent="0.25">
      <c r="A70" s="20" t="s">
        <v>93</v>
      </c>
      <c r="B70" s="25" t="s">
        <v>94</v>
      </c>
      <c r="C70" s="28">
        <v>378.399</v>
      </c>
      <c r="D70" s="28">
        <v>21.365649999999999</v>
      </c>
      <c r="E70" s="29">
        <f>IF(C70&lt;&gt;"",D70/C70*100,"")</f>
        <v>5.6463283465336849</v>
      </c>
      <c r="F70" s="91">
        <v>343.25290000000001</v>
      </c>
      <c r="G70" s="92">
        <v>413.54509999999999</v>
      </c>
    </row>
    <row r="71" spans="1:7" ht="28.5" x14ac:dyDescent="0.25">
      <c r="A71" s="20" t="s">
        <v>95</v>
      </c>
      <c r="B71" s="25" t="s">
        <v>96</v>
      </c>
      <c r="C71" s="28">
        <v>1608.855</v>
      </c>
      <c r="D71" s="28">
        <v>139.33170000000001</v>
      </c>
      <c r="E71" s="29">
        <f>IF(C71&lt;&gt;"",D71/C71*100,"")</f>
        <v>8.6603018917180243</v>
      </c>
      <c r="F71" s="91">
        <v>1379.6569999999999</v>
      </c>
      <c r="G71" s="92">
        <v>1838.0530000000001</v>
      </c>
    </row>
    <row r="72" spans="1:7" ht="27" customHeight="1" x14ac:dyDescent="0.25">
      <c r="A72" s="20" t="s">
        <v>97</v>
      </c>
      <c r="B72" s="25" t="s">
        <v>98</v>
      </c>
      <c r="C72" s="28">
        <v>422.86900000000003</v>
      </c>
      <c r="D72" s="28">
        <v>23.749860000000002</v>
      </c>
      <c r="E72" s="29">
        <f>IF(C72&lt;&gt;"",D72/C72*100,"")</f>
        <v>5.6163634600786532</v>
      </c>
      <c r="F72" s="91">
        <v>383.80090000000001</v>
      </c>
      <c r="G72" s="92">
        <v>461.93709999999999</v>
      </c>
    </row>
    <row r="73" spans="1:7" ht="15" x14ac:dyDescent="0.25">
      <c r="A73" s="55"/>
      <c r="B73" s="52"/>
      <c r="C73" s="56"/>
      <c r="D73" s="57"/>
      <c r="E73" s="58"/>
      <c r="F73" s="57"/>
      <c r="G73" s="96"/>
    </row>
    <row r="74" spans="1:7" s="19" customFormat="1" ht="15" x14ac:dyDescent="0.25">
      <c r="A74" s="26" t="s">
        <v>99</v>
      </c>
      <c r="B74" s="18" t="s">
        <v>100</v>
      </c>
      <c r="C74" s="10">
        <v>908.94090000000006</v>
      </c>
      <c r="D74" s="10">
        <v>226.6797</v>
      </c>
      <c r="E74" s="11">
        <f t="shared" ref="E74:E80" si="2">IF(C74&lt;&gt;"",D74/C74*100,"")</f>
        <v>24.938882164946037</v>
      </c>
      <c r="F74" s="86">
        <v>536.05669999999998</v>
      </c>
      <c r="G74" s="87">
        <v>1281.825</v>
      </c>
    </row>
    <row r="75" spans="1:7" ht="27.75" customHeight="1" x14ac:dyDescent="0.25">
      <c r="A75" s="20" t="s">
        <v>101</v>
      </c>
      <c r="B75" s="59" t="s">
        <v>102</v>
      </c>
      <c r="C75" s="28">
        <v>724.87819999999999</v>
      </c>
      <c r="D75" s="28">
        <v>133.9836</v>
      </c>
      <c r="E75" s="29">
        <f t="shared" si="2"/>
        <v>18.483601796826004</v>
      </c>
      <c r="F75" s="91">
        <v>504.47750000000002</v>
      </c>
      <c r="G75" s="92">
        <v>945.27890000000002</v>
      </c>
    </row>
    <row r="76" spans="1:7" x14ac:dyDescent="0.25">
      <c r="A76" s="20" t="s">
        <v>103</v>
      </c>
      <c r="B76" s="25" t="s">
        <v>104</v>
      </c>
      <c r="C76" s="28">
        <v>626.89520000000005</v>
      </c>
      <c r="D76" s="28">
        <v>144.28880000000001</v>
      </c>
      <c r="E76" s="29">
        <f t="shared" si="2"/>
        <v>23.016414864876936</v>
      </c>
      <c r="F76" s="91">
        <v>389.54259999999999</v>
      </c>
      <c r="G76" s="92">
        <v>864.24770000000001</v>
      </c>
    </row>
    <row r="77" spans="1:7" x14ac:dyDescent="0.25">
      <c r="A77" s="20" t="s">
        <v>105</v>
      </c>
      <c r="B77" s="25" t="s">
        <v>106</v>
      </c>
      <c r="C77" s="28">
        <v>849.49770000000001</v>
      </c>
      <c r="D77" s="28">
        <v>284.87790000000001</v>
      </c>
      <c r="E77" s="29">
        <f t="shared" si="2"/>
        <v>33.53486419092129</v>
      </c>
      <c r="F77" s="91">
        <v>380.87849999999997</v>
      </c>
      <c r="G77" s="92">
        <v>1318.117</v>
      </c>
    </row>
    <row r="78" spans="1:7" x14ac:dyDescent="0.25">
      <c r="A78" s="20" t="s">
        <v>107</v>
      </c>
      <c r="B78" s="25" t="s">
        <v>108</v>
      </c>
      <c r="C78" s="28">
        <v>7433.2790000000005</v>
      </c>
      <c r="D78" s="28">
        <v>1330.7360000000001</v>
      </c>
      <c r="E78" s="29">
        <f t="shared" si="2"/>
        <v>17.902408883078383</v>
      </c>
      <c r="F78" s="91">
        <v>5244.241</v>
      </c>
      <c r="G78" s="92">
        <v>9622.3160000000007</v>
      </c>
    </row>
    <row r="79" spans="1:7" ht="27" customHeight="1" x14ac:dyDescent="0.25">
      <c r="A79" s="20" t="s">
        <v>109</v>
      </c>
      <c r="B79" s="25" t="s">
        <v>110</v>
      </c>
      <c r="C79" s="28">
        <v>687.2242</v>
      </c>
      <c r="D79" s="28">
        <v>261.2099</v>
      </c>
      <c r="E79" s="29">
        <f t="shared" si="2"/>
        <v>38.00941526797223</v>
      </c>
      <c r="F79" s="91">
        <v>257.53829999999999</v>
      </c>
      <c r="G79" s="92">
        <v>1116.9100000000001</v>
      </c>
    </row>
    <row r="80" spans="1:7" x14ac:dyDescent="0.25">
      <c r="A80" s="20" t="s">
        <v>111</v>
      </c>
      <c r="B80" s="25" t="s">
        <v>112</v>
      </c>
      <c r="C80" s="28">
        <v>799.65920000000006</v>
      </c>
      <c r="D80" s="28">
        <v>156.816</v>
      </c>
      <c r="E80" s="29">
        <f t="shared" si="2"/>
        <v>19.610354010808603</v>
      </c>
      <c r="F80" s="91">
        <v>541.69960000000003</v>
      </c>
      <c r="G80" s="92">
        <v>1057.6189999999999</v>
      </c>
    </row>
    <row r="81" spans="1:7" x14ac:dyDescent="0.25">
      <c r="A81" s="13"/>
      <c r="B81" s="60"/>
      <c r="C81" s="30"/>
      <c r="D81" s="57"/>
      <c r="E81" s="58"/>
      <c r="F81" s="57"/>
      <c r="G81" s="90"/>
    </row>
    <row r="82" spans="1:7" s="19" customFormat="1" ht="25.5" customHeight="1" x14ac:dyDescent="0.25">
      <c r="A82" s="26" t="s">
        <v>113</v>
      </c>
      <c r="B82" s="18" t="s">
        <v>114</v>
      </c>
      <c r="C82" s="48">
        <v>185</v>
      </c>
      <c r="D82" s="44">
        <v>13.9</v>
      </c>
      <c r="E82" s="45">
        <v>5.5</v>
      </c>
      <c r="F82" s="44">
        <v>1.5</v>
      </c>
      <c r="G82" s="96">
        <v>0.6</v>
      </c>
    </row>
    <row r="83" spans="1:7" s="19" customFormat="1" ht="12.75" customHeight="1" x14ac:dyDescent="0.25">
      <c r="A83" s="26"/>
      <c r="B83" s="18"/>
      <c r="C83" s="61"/>
      <c r="D83" s="44"/>
      <c r="E83" s="45"/>
      <c r="F83" s="44"/>
      <c r="G83" s="96"/>
    </row>
    <row r="84" spans="1:7" s="19" customFormat="1" ht="13.5" customHeight="1" x14ac:dyDescent="0.25">
      <c r="A84" s="26" t="s">
        <v>115</v>
      </c>
      <c r="B84" s="18" t="s">
        <v>116</v>
      </c>
      <c r="C84" s="10">
        <v>2567.8629999999998</v>
      </c>
      <c r="D84" s="10">
        <v>409.69499999999999</v>
      </c>
      <c r="E84" s="11">
        <f t="shared" ref="E84:E90" si="3">IF(C84&lt;&gt;"",D84/C84*100,"")</f>
        <v>15.954706306372266</v>
      </c>
      <c r="F84" s="86">
        <v>1893.922</v>
      </c>
      <c r="G84" s="87">
        <v>3241.8040000000001</v>
      </c>
    </row>
    <row r="85" spans="1:7" x14ac:dyDescent="0.25">
      <c r="A85" s="20" t="s">
        <v>117</v>
      </c>
      <c r="B85" s="25" t="s">
        <v>118</v>
      </c>
      <c r="C85" s="28">
        <v>1415.586</v>
      </c>
      <c r="D85" s="28">
        <v>507.36169999999998</v>
      </c>
      <c r="E85" s="29">
        <f t="shared" si="3"/>
        <v>35.841107498943899</v>
      </c>
      <c r="F85" s="91">
        <v>580.98479999999995</v>
      </c>
      <c r="G85" s="92">
        <v>2250.1869999999999</v>
      </c>
    </row>
    <row r="86" spans="1:7" ht="71.25" x14ac:dyDescent="0.25">
      <c r="A86" s="20" t="s">
        <v>119</v>
      </c>
      <c r="B86" s="25" t="s">
        <v>120</v>
      </c>
      <c r="C86" s="28">
        <v>2192.2489999999998</v>
      </c>
      <c r="D86" s="28">
        <v>487.18740000000003</v>
      </c>
      <c r="E86" s="29">
        <f t="shared" si="3"/>
        <v>22.223178115259721</v>
      </c>
      <c r="F86" s="91">
        <v>1390.8340000000001</v>
      </c>
      <c r="G86" s="92">
        <v>2993.6640000000002</v>
      </c>
    </row>
    <row r="87" spans="1:7" ht="16.5" x14ac:dyDescent="0.25">
      <c r="A87" s="20" t="s">
        <v>121</v>
      </c>
      <c r="B87" s="25" t="s">
        <v>122</v>
      </c>
      <c r="C87" s="28">
        <v>436.27460000000002</v>
      </c>
      <c r="D87" s="28">
        <v>299.40350000000001</v>
      </c>
      <c r="E87" s="29">
        <f t="shared" si="3"/>
        <v>68.627304913006625</v>
      </c>
      <c r="F87" s="91">
        <v>-56.239060000000002</v>
      </c>
      <c r="G87" s="92">
        <v>928.78830000000005</v>
      </c>
    </row>
    <row r="88" spans="1:7" x14ac:dyDescent="0.25">
      <c r="A88" s="20" t="s">
        <v>123</v>
      </c>
      <c r="B88" s="25" t="s">
        <v>124</v>
      </c>
      <c r="C88" s="28">
        <v>1718.9380000000001</v>
      </c>
      <c r="D88" s="28">
        <v>393.53199999999998</v>
      </c>
      <c r="E88" s="29">
        <f t="shared" si="3"/>
        <v>22.893903095981351</v>
      </c>
      <c r="F88" s="91">
        <v>1071.5840000000001</v>
      </c>
      <c r="G88" s="92">
        <v>2366.2910000000002</v>
      </c>
    </row>
    <row r="89" spans="1:7" ht="42.75" x14ac:dyDescent="0.25">
      <c r="A89" s="20" t="s">
        <v>125</v>
      </c>
      <c r="B89" s="21" t="s">
        <v>126</v>
      </c>
      <c r="C89" s="28">
        <v>3346.7220000000002</v>
      </c>
      <c r="D89" s="28">
        <v>617.68050000000005</v>
      </c>
      <c r="E89" s="29">
        <f t="shared" si="3"/>
        <v>18.456283491727131</v>
      </c>
      <c r="F89" s="91">
        <v>2330.6480000000001</v>
      </c>
      <c r="G89" s="92">
        <v>4362.7960000000003</v>
      </c>
    </row>
    <row r="90" spans="1:7" x14ac:dyDescent="0.25">
      <c r="A90" s="20" t="s">
        <v>127</v>
      </c>
      <c r="B90" s="21" t="s">
        <v>128</v>
      </c>
      <c r="C90" s="28">
        <v>1081.3599999999999</v>
      </c>
      <c r="D90" s="28">
        <v>453.18849999999998</v>
      </c>
      <c r="E90" s="29">
        <f t="shared" si="3"/>
        <v>41.909123696086411</v>
      </c>
      <c r="F90" s="91">
        <v>335.87299999999999</v>
      </c>
      <c r="G90" s="92">
        <v>1826.847</v>
      </c>
    </row>
    <row r="91" spans="1:7" ht="5.25" customHeight="1" x14ac:dyDescent="0.25">
      <c r="A91" s="34"/>
      <c r="B91" s="35"/>
      <c r="C91" s="49"/>
      <c r="D91" s="50"/>
      <c r="E91" s="50"/>
      <c r="F91" s="50"/>
      <c r="G91" s="51"/>
    </row>
    <row r="92" spans="1:7" ht="15" customHeight="1" x14ac:dyDescent="0.25">
      <c r="A92" s="62"/>
      <c r="B92" s="63"/>
      <c r="C92" s="42"/>
      <c r="D92" s="42"/>
      <c r="E92" s="42"/>
      <c r="F92" s="42"/>
      <c r="G92" s="42"/>
    </row>
    <row r="93" spans="1:7" ht="15" customHeight="1" x14ac:dyDescent="0.25">
      <c r="A93" s="62"/>
      <c r="B93" s="63"/>
      <c r="C93" s="42"/>
      <c r="D93" s="42"/>
      <c r="E93" s="42"/>
      <c r="F93" s="42"/>
      <c r="G93" s="42"/>
    </row>
    <row r="94" spans="1:7" ht="27.95" customHeight="1" x14ac:dyDescent="0.2">
      <c r="A94" s="79" t="s">
        <v>51</v>
      </c>
      <c r="B94" s="79"/>
      <c r="C94" s="79"/>
      <c r="D94" s="79"/>
      <c r="E94" s="79"/>
      <c r="F94" s="79"/>
      <c r="G94" s="79"/>
    </row>
    <row r="95" spans="1:7" ht="12.75" customHeight="1" x14ac:dyDescent="0.25">
      <c r="A95" s="80" t="s">
        <v>1</v>
      </c>
      <c r="B95" s="80"/>
      <c r="C95" s="80"/>
      <c r="D95" s="80"/>
      <c r="E95" s="80"/>
      <c r="F95" s="80"/>
      <c r="G95" s="80"/>
    </row>
    <row r="96" spans="1:7" s="3" customFormat="1" ht="12.75" customHeight="1" x14ac:dyDescent="0.25">
      <c r="A96" s="2"/>
      <c r="B96" s="2"/>
      <c r="C96" s="2"/>
      <c r="D96" s="2"/>
      <c r="E96" s="2"/>
      <c r="F96" s="2"/>
      <c r="G96" s="2"/>
    </row>
    <row r="97" spans="1:8" s="3" customFormat="1" ht="15" customHeight="1" x14ac:dyDescent="0.25">
      <c r="A97" s="81" t="s">
        <v>2</v>
      </c>
      <c r="B97" s="81" t="s">
        <v>3</v>
      </c>
      <c r="C97" s="82" t="s">
        <v>52</v>
      </c>
      <c r="D97" s="82" t="s">
        <v>5</v>
      </c>
      <c r="E97" s="82" t="s">
        <v>6</v>
      </c>
      <c r="F97" s="82" t="s">
        <v>7</v>
      </c>
      <c r="G97" s="82"/>
    </row>
    <row r="98" spans="1:8" ht="50.1" customHeight="1" x14ac:dyDescent="0.25">
      <c r="A98" s="81"/>
      <c r="B98" s="81"/>
      <c r="C98" s="82"/>
      <c r="D98" s="82"/>
      <c r="E98" s="82"/>
      <c r="F98" s="4" t="s">
        <v>8</v>
      </c>
      <c r="G98" s="4" t="s">
        <v>9</v>
      </c>
    </row>
    <row r="99" spans="1:8" x14ac:dyDescent="0.25">
      <c r="A99" s="5"/>
      <c r="B99" s="6"/>
      <c r="C99" s="7"/>
      <c r="D99" s="7"/>
      <c r="E99" s="7"/>
      <c r="F99" s="7"/>
      <c r="G99" s="85"/>
    </row>
    <row r="100" spans="1:8" s="19" customFormat="1" ht="15" x14ac:dyDescent="0.25">
      <c r="A100" s="26" t="s">
        <v>129</v>
      </c>
      <c r="B100" s="18" t="s">
        <v>130</v>
      </c>
      <c r="C100" s="10">
        <v>1434.5509999999999</v>
      </c>
      <c r="D100" s="10">
        <v>121.312</v>
      </c>
      <c r="E100" s="11">
        <f>IF(C100&lt;&gt;"",D100/C100*100,"")</f>
        <v>8.4564438629229635</v>
      </c>
      <c r="F100" s="86">
        <v>1234.9939999999999</v>
      </c>
      <c r="G100" s="87">
        <v>1634.107</v>
      </c>
    </row>
    <row r="101" spans="1:8" ht="12.75" customHeight="1" x14ac:dyDescent="0.25">
      <c r="A101" s="20" t="s">
        <v>131</v>
      </c>
      <c r="B101" s="25" t="s">
        <v>132</v>
      </c>
      <c r="C101" s="28">
        <v>1401.335</v>
      </c>
      <c r="D101" s="28">
        <v>129.9323</v>
      </c>
      <c r="E101" s="29">
        <f>IF(C101&lt;&gt;"",D101/C101*100,"")</f>
        <v>9.2720370218398873</v>
      </c>
      <c r="F101" s="91">
        <v>1187.598</v>
      </c>
      <c r="G101" s="92">
        <v>1615.0709999999999</v>
      </c>
    </row>
    <row r="102" spans="1:8" ht="28.5" x14ac:dyDescent="0.25">
      <c r="A102" s="20" t="s">
        <v>133</v>
      </c>
      <c r="B102" s="25" t="s">
        <v>134</v>
      </c>
      <c r="C102" s="28">
        <v>1850.653</v>
      </c>
      <c r="D102" s="28">
        <v>449.89400000000001</v>
      </c>
      <c r="E102" s="29">
        <f>IF(C102&lt;&gt;"",D102/C102*100,"")</f>
        <v>24.310013816744686</v>
      </c>
      <c r="F102" s="91">
        <v>1110.586</v>
      </c>
      <c r="G102" s="92">
        <v>2590.721</v>
      </c>
    </row>
    <row r="103" spans="1:8" ht="28.5" x14ac:dyDescent="0.25">
      <c r="A103" s="20" t="s">
        <v>135</v>
      </c>
      <c r="B103" s="25" t="s">
        <v>136</v>
      </c>
      <c r="C103" s="28">
        <v>1206.876</v>
      </c>
      <c r="D103" s="28">
        <v>261.88139999999999</v>
      </c>
      <c r="E103" s="29">
        <f>IF(C103&lt;&gt;"",D103/C103*100,"")</f>
        <v>21.699114076342557</v>
      </c>
      <c r="F103" s="91">
        <v>776.08550000000002</v>
      </c>
      <c r="G103" s="92">
        <v>1637.6659999999999</v>
      </c>
    </row>
    <row r="104" spans="1:8" x14ac:dyDescent="0.25">
      <c r="A104" s="24"/>
      <c r="B104" s="25"/>
      <c r="C104" s="64"/>
      <c r="D104" s="57"/>
      <c r="E104" s="58"/>
      <c r="F104" s="57"/>
      <c r="G104" s="90"/>
    </row>
    <row r="105" spans="1:8" s="19" customFormat="1" ht="15" x14ac:dyDescent="0.25">
      <c r="A105" s="26" t="s">
        <v>137</v>
      </c>
      <c r="B105" s="18" t="s">
        <v>138</v>
      </c>
      <c r="C105" s="48">
        <v>62</v>
      </c>
      <c r="D105" s="44">
        <v>13.5</v>
      </c>
      <c r="E105" s="45">
        <v>9.5</v>
      </c>
      <c r="F105" s="44">
        <v>1.8</v>
      </c>
      <c r="G105" s="96">
        <v>0.6</v>
      </c>
    </row>
    <row r="106" spans="1:8" ht="15" x14ac:dyDescent="0.25">
      <c r="A106" s="46"/>
      <c r="B106" s="65"/>
      <c r="C106" s="47"/>
      <c r="D106" s="57"/>
      <c r="E106" s="58"/>
      <c r="F106" s="57"/>
      <c r="G106" s="96"/>
    </row>
    <row r="107" spans="1:8" ht="25.5" customHeight="1" x14ac:dyDescent="0.25">
      <c r="A107" s="26" t="s">
        <v>139</v>
      </c>
      <c r="B107" s="18" t="s">
        <v>140</v>
      </c>
      <c r="C107" s="10">
        <v>3408.9059999999999</v>
      </c>
      <c r="D107" s="10">
        <v>1098.386</v>
      </c>
      <c r="E107" s="11">
        <f t="shared" ref="E107:E113" si="4">IF(C107&lt;&gt;"",D107/C107*100,"")</f>
        <v>32.221070337521773</v>
      </c>
      <c r="F107" s="86">
        <v>1602.08</v>
      </c>
      <c r="G107" s="87">
        <v>5215.7309999999998</v>
      </c>
    </row>
    <row r="108" spans="1:8" ht="40.5" customHeight="1" x14ac:dyDescent="0.25">
      <c r="A108" s="20" t="s">
        <v>141</v>
      </c>
      <c r="B108" s="32" t="s">
        <v>142</v>
      </c>
      <c r="C108" s="28">
        <v>2995.5549999999998</v>
      </c>
      <c r="D108" s="28">
        <v>717.79409999999996</v>
      </c>
      <c r="E108" s="29">
        <f t="shared" si="4"/>
        <v>23.961973657636065</v>
      </c>
      <c r="F108" s="91">
        <v>1814.796</v>
      </c>
      <c r="G108" s="92">
        <v>4176.3140000000003</v>
      </c>
      <c r="H108" s="33"/>
    </row>
    <row r="109" spans="1:8" ht="28.5" x14ac:dyDescent="0.25">
      <c r="A109" s="20" t="s">
        <v>143</v>
      </c>
      <c r="B109" s="32" t="s">
        <v>144</v>
      </c>
      <c r="C109" s="28">
        <v>3635.2539999999999</v>
      </c>
      <c r="D109" s="28">
        <v>2098.9459999999999</v>
      </c>
      <c r="E109" s="29">
        <f t="shared" si="4"/>
        <v>57.738633944148056</v>
      </c>
      <c r="F109" s="91">
        <v>182.52330000000001</v>
      </c>
      <c r="G109" s="92">
        <v>7087.9840000000004</v>
      </c>
      <c r="H109" s="33"/>
    </row>
    <row r="110" spans="1:8" ht="28.5" x14ac:dyDescent="0.25">
      <c r="A110" s="20" t="s">
        <v>145</v>
      </c>
      <c r="B110" s="32" t="s">
        <v>146</v>
      </c>
      <c r="C110" s="28">
        <v>9117.3459999999995</v>
      </c>
      <c r="D110" s="28">
        <v>2870.317</v>
      </c>
      <c r="E110" s="29">
        <f t="shared" si="4"/>
        <v>31.481935642236241</v>
      </c>
      <c r="F110" s="91">
        <v>4395.7240000000002</v>
      </c>
      <c r="G110" s="92">
        <v>13838.97</v>
      </c>
      <c r="H110" s="33"/>
    </row>
    <row r="111" spans="1:8" x14ac:dyDescent="0.25">
      <c r="A111" s="20" t="s">
        <v>147</v>
      </c>
      <c r="B111" s="32" t="s">
        <v>148</v>
      </c>
      <c r="C111" s="28">
        <v>949.80219999999997</v>
      </c>
      <c r="D111" s="28">
        <v>150.58750000000001</v>
      </c>
      <c r="E111" s="29">
        <f t="shared" si="4"/>
        <v>15.854616887600386</v>
      </c>
      <c r="F111" s="91">
        <v>702.08820000000003</v>
      </c>
      <c r="G111" s="92">
        <v>1197.5160000000001</v>
      </c>
      <c r="H111" s="33"/>
    </row>
    <row r="112" spans="1:8" x14ac:dyDescent="0.25">
      <c r="A112" s="20" t="s">
        <v>149</v>
      </c>
      <c r="B112" s="32" t="s">
        <v>150</v>
      </c>
      <c r="C112" s="28">
        <v>1919.307</v>
      </c>
      <c r="D112" s="28">
        <v>310.00400000000002</v>
      </c>
      <c r="E112" s="29">
        <f t="shared" si="4"/>
        <v>16.151871482779985</v>
      </c>
      <c r="F112" s="91">
        <v>1409.355</v>
      </c>
      <c r="G112" s="92">
        <v>2429.2579999999998</v>
      </c>
      <c r="H112" s="33"/>
    </row>
    <row r="113" spans="1:8" ht="28.5" x14ac:dyDescent="0.25">
      <c r="A113" s="20" t="s">
        <v>151</v>
      </c>
      <c r="B113" s="32" t="s">
        <v>152</v>
      </c>
      <c r="C113" s="28">
        <v>952.75900000000001</v>
      </c>
      <c r="D113" s="28">
        <v>153.12119999999999</v>
      </c>
      <c r="E113" s="29">
        <f t="shared" si="4"/>
        <v>16.071346479015151</v>
      </c>
      <c r="F113" s="91">
        <v>700.87729999999999</v>
      </c>
      <c r="G113" s="92">
        <v>1204.6410000000001</v>
      </c>
      <c r="H113" s="33"/>
    </row>
    <row r="114" spans="1:8" x14ac:dyDescent="0.25">
      <c r="A114" s="20" t="s">
        <v>153</v>
      </c>
      <c r="B114" s="32" t="s">
        <v>154</v>
      </c>
      <c r="C114" s="28"/>
      <c r="D114" s="28"/>
      <c r="E114" s="29"/>
      <c r="F114" s="91"/>
      <c r="G114" s="92"/>
      <c r="H114" s="33"/>
    </row>
    <row r="115" spans="1:8" x14ac:dyDescent="0.25">
      <c r="A115" s="20"/>
      <c r="B115" s="32"/>
      <c r="C115" s="28"/>
      <c r="D115" s="28"/>
      <c r="E115" s="29"/>
      <c r="F115" s="91"/>
      <c r="G115" s="92"/>
      <c r="H115" s="33"/>
    </row>
    <row r="116" spans="1:8" s="19" customFormat="1" ht="30" x14ac:dyDescent="0.25">
      <c r="A116" s="26" t="s">
        <v>155</v>
      </c>
      <c r="B116" s="18" t="s">
        <v>156</v>
      </c>
      <c r="C116" s="10">
        <v>1710.8520000000001</v>
      </c>
      <c r="D116" s="10">
        <v>289.93669999999997</v>
      </c>
      <c r="E116" s="11">
        <f t="shared" ref="E116:E124" si="5">IF(C116&lt;&gt;"",D116/C116*100,"")</f>
        <v>16.946918845113426</v>
      </c>
      <c r="F116" s="86">
        <v>1233.9110000000001</v>
      </c>
      <c r="G116" s="87">
        <v>2187.7930000000001</v>
      </c>
    </row>
    <row r="117" spans="1:8" ht="15.6" customHeight="1" x14ac:dyDescent="0.25">
      <c r="A117" s="20" t="s">
        <v>157</v>
      </c>
      <c r="B117" s="32" t="s">
        <v>158</v>
      </c>
      <c r="C117" s="28">
        <v>607.00250000000005</v>
      </c>
      <c r="D117" s="28">
        <v>121.724</v>
      </c>
      <c r="E117" s="29">
        <f t="shared" si="5"/>
        <v>20.053294673415678</v>
      </c>
      <c r="F117" s="91">
        <v>406.76859999999999</v>
      </c>
      <c r="G117" s="92">
        <v>807.2364</v>
      </c>
      <c r="H117" s="33"/>
    </row>
    <row r="118" spans="1:8" x14ac:dyDescent="0.25">
      <c r="A118" s="20" t="s">
        <v>159</v>
      </c>
      <c r="B118" s="32" t="s">
        <v>160</v>
      </c>
      <c r="C118" s="28">
        <v>301.05160000000001</v>
      </c>
      <c r="D118" s="28">
        <v>71.812939999999998</v>
      </c>
      <c r="E118" s="29">
        <f t="shared" si="5"/>
        <v>23.854030338985076</v>
      </c>
      <c r="F118" s="91">
        <v>182.9205</v>
      </c>
      <c r="G118" s="92">
        <v>419.18259999999998</v>
      </c>
      <c r="H118" s="33"/>
    </row>
    <row r="119" spans="1:8" ht="27.75" customHeight="1" x14ac:dyDescent="0.25">
      <c r="A119" s="20" t="s">
        <v>161</v>
      </c>
      <c r="B119" s="32" t="s">
        <v>162</v>
      </c>
      <c r="C119" s="28">
        <v>866.11009999999999</v>
      </c>
      <c r="D119" s="28">
        <v>302.30450000000002</v>
      </c>
      <c r="E119" s="29">
        <f t="shared" si="5"/>
        <v>34.903703351340667</v>
      </c>
      <c r="F119" s="91">
        <v>368.82440000000003</v>
      </c>
      <c r="G119" s="92">
        <v>1363.396</v>
      </c>
      <c r="H119" s="33"/>
    </row>
    <row r="120" spans="1:8" ht="16.5" customHeight="1" x14ac:dyDescent="0.25">
      <c r="A120" s="20" t="s">
        <v>163</v>
      </c>
      <c r="B120" s="32" t="s">
        <v>164</v>
      </c>
      <c r="C120" s="28">
        <v>141.2731</v>
      </c>
      <c r="D120" s="28">
        <v>19.253740000000001</v>
      </c>
      <c r="E120" s="29">
        <f t="shared" si="5"/>
        <v>13.628737530357867</v>
      </c>
      <c r="F120" s="91">
        <v>109.601</v>
      </c>
      <c r="G120" s="92">
        <v>172.9451</v>
      </c>
      <c r="H120" s="33"/>
    </row>
    <row r="121" spans="1:8" ht="12.75" customHeight="1" x14ac:dyDescent="0.25">
      <c r="A121" s="20" t="s">
        <v>165</v>
      </c>
      <c r="B121" s="32" t="s">
        <v>166</v>
      </c>
      <c r="C121" s="28">
        <v>287.9409</v>
      </c>
      <c r="D121" s="28">
        <v>135.9982</v>
      </c>
      <c r="E121" s="29">
        <f t="shared" si="5"/>
        <v>47.231289476416862</v>
      </c>
      <c r="F121" s="91">
        <v>64.226110000000006</v>
      </c>
      <c r="G121" s="92">
        <v>511.65570000000002</v>
      </c>
      <c r="H121" s="33"/>
    </row>
    <row r="122" spans="1:8" ht="57" x14ac:dyDescent="0.25">
      <c r="A122" s="20" t="s">
        <v>167</v>
      </c>
      <c r="B122" s="32" t="s">
        <v>168</v>
      </c>
      <c r="C122" s="28">
        <v>1521.2929999999999</v>
      </c>
      <c r="D122" s="28">
        <v>543.91430000000003</v>
      </c>
      <c r="E122" s="29">
        <f t="shared" si="5"/>
        <v>35.753421595971325</v>
      </c>
      <c r="F122" s="91">
        <v>626.56320000000005</v>
      </c>
      <c r="G122" s="92">
        <v>2416.0230000000001</v>
      </c>
      <c r="H122" s="33"/>
    </row>
    <row r="123" spans="1:8" x14ac:dyDescent="0.25">
      <c r="A123" s="20" t="s">
        <v>169</v>
      </c>
      <c r="B123" s="32" t="s">
        <v>170</v>
      </c>
      <c r="C123" s="28">
        <v>3823.6579999999999</v>
      </c>
      <c r="D123" s="28">
        <v>723.33169999999996</v>
      </c>
      <c r="E123" s="29">
        <f t="shared" si="5"/>
        <v>18.917269797664957</v>
      </c>
      <c r="F123" s="91">
        <v>2633.79</v>
      </c>
      <c r="G123" s="92">
        <v>5013.5259999999998</v>
      </c>
      <c r="H123" s="33"/>
    </row>
    <row r="124" spans="1:8" ht="12.75" customHeight="1" x14ac:dyDescent="0.25">
      <c r="A124" s="20" t="s">
        <v>171</v>
      </c>
      <c r="B124" s="32" t="s">
        <v>172</v>
      </c>
      <c r="C124" s="28">
        <v>3531.652</v>
      </c>
      <c r="D124" s="28">
        <v>961.72180000000003</v>
      </c>
      <c r="E124" s="29">
        <f t="shared" si="5"/>
        <v>27.231499592825116</v>
      </c>
      <c r="F124" s="91">
        <v>1949.636</v>
      </c>
      <c r="G124" s="92">
        <v>5113.6679999999997</v>
      </c>
      <c r="H124" s="33"/>
    </row>
    <row r="125" spans="1:8" ht="12.75" customHeight="1" x14ac:dyDescent="0.25">
      <c r="A125" s="66"/>
      <c r="B125" s="35"/>
      <c r="C125" s="67"/>
      <c r="D125" s="67"/>
      <c r="E125" s="67"/>
      <c r="F125" s="67"/>
      <c r="G125" s="67"/>
      <c r="H125" s="33"/>
    </row>
    <row r="127" spans="1:8" ht="30.6" customHeight="1" x14ac:dyDescent="0.2">
      <c r="A127" s="79" t="s">
        <v>51</v>
      </c>
      <c r="B127" s="79"/>
      <c r="C127" s="79"/>
      <c r="D127" s="79"/>
      <c r="E127" s="79"/>
      <c r="F127" s="79"/>
      <c r="G127" s="79"/>
    </row>
    <row r="128" spans="1:8" ht="12" customHeight="1" x14ac:dyDescent="0.25">
      <c r="A128" s="80" t="s">
        <v>1</v>
      </c>
      <c r="B128" s="80"/>
      <c r="C128" s="80"/>
      <c r="D128" s="80"/>
      <c r="E128" s="80"/>
      <c r="F128" s="80"/>
      <c r="G128" s="80"/>
    </row>
    <row r="129" spans="1:7" s="3" customFormat="1" ht="12" customHeight="1" x14ac:dyDescent="0.25">
      <c r="A129" s="2"/>
      <c r="B129" s="2"/>
      <c r="C129" s="2"/>
      <c r="D129" s="2"/>
      <c r="E129" s="2"/>
      <c r="F129" s="2"/>
      <c r="G129" s="2"/>
    </row>
    <row r="130" spans="1:7" s="3" customFormat="1" ht="15" customHeight="1" x14ac:dyDescent="0.25">
      <c r="A130" s="81" t="s">
        <v>2</v>
      </c>
      <c r="B130" s="81" t="s">
        <v>3</v>
      </c>
      <c r="C130" s="82" t="s">
        <v>52</v>
      </c>
      <c r="D130" s="82" t="s">
        <v>5</v>
      </c>
      <c r="E130" s="82" t="s">
        <v>6</v>
      </c>
      <c r="F130" s="82" t="s">
        <v>7</v>
      </c>
      <c r="G130" s="82"/>
    </row>
    <row r="131" spans="1:7" ht="50.1" customHeight="1" x14ac:dyDescent="0.25">
      <c r="A131" s="81"/>
      <c r="B131" s="81"/>
      <c r="C131" s="82"/>
      <c r="D131" s="82"/>
      <c r="E131" s="82"/>
      <c r="F131" s="4" t="s">
        <v>8</v>
      </c>
      <c r="G131" s="4" t="s">
        <v>9</v>
      </c>
    </row>
    <row r="132" spans="1:7" ht="15" x14ac:dyDescent="0.25">
      <c r="A132" s="20"/>
      <c r="B132" s="59"/>
      <c r="C132" s="68"/>
      <c r="D132" s="69"/>
      <c r="E132" s="70"/>
      <c r="F132" s="70"/>
      <c r="G132" s="98"/>
    </row>
    <row r="133" spans="1:7" ht="15" x14ac:dyDescent="0.25">
      <c r="A133" s="26" t="s">
        <v>173</v>
      </c>
      <c r="B133" s="18" t="s">
        <v>174</v>
      </c>
      <c r="C133" s="48">
        <v>231</v>
      </c>
      <c r="D133" s="44">
        <v>17.7</v>
      </c>
      <c r="E133" s="45">
        <v>12.3</v>
      </c>
      <c r="F133" s="44">
        <v>2.7</v>
      </c>
      <c r="G133" s="96">
        <v>1.7</v>
      </c>
    </row>
    <row r="134" spans="1:7" ht="11.25" customHeight="1" x14ac:dyDescent="0.25">
      <c r="A134" s="20"/>
      <c r="B134" s="14"/>
      <c r="C134" s="53"/>
      <c r="D134" s="44"/>
      <c r="E134" s="45"/>
      <c r="F134" s="44"/>
      <c r="G134" s="96"/>
    </row>
    <row r="135" spans="1:7" ht="30" x14ac:dyDescent="0.25">
      <c r="A135" s="26" t="s">
        <v>175</v>
      </c>
      <c r="B135" s="18" t="s">
        <v>176</v>
      </c>
      <c r="C135" s="10">
        <v>1405.1310000000001</v>
      </c>
      <c r="D135" s="10">
        <v>136.73869999999999</v>
      </c>
      <c r="E135" s="11">
        <f>IF(C135&lt;&gt;"",D135/C135*100,"")</f>
        <v>9.7313844758958403</v>
      </c>
      <c r="F135" s="86">
        <v>1180.1980000000001</v>
      </c>
      <c r="G135" s="87">
        <v>1630.0630000000001</v>
      </c>
    </row>
    <row r="136" spans="1:7" ht="27" customHeight="1" x14ac:dyDescent="0.25">
      <c r="A136" s="20" t="s">
        <v>177</v>
      </c>
      <c r="B136" s="25" t="s">
        <v>178</v>
      </c>
      <c r="C136" s="28">
        <v>1418.1110000000001</v>
      </c>
      <c r="D136" s="28">
        <v>140.7655</v>
      </c>
      <c r="E136" s="29">
        <f>IF(C136&lt;&gt;"",D136/C136*100,"")</f>
        <v>9.9262681130038466</v>
      </c>
      <c r="F136" s="91">
        <v>1186.5540000000001</v>
      </c>
      <c r="G136" s="92">
        <v>1649.6669999999999</v>
      </c>
    </row>
    <row r="137" spans="1:7" ht="28.5" customHeight="1" x14ac:dyDescent="0.25">
      <c r="A137" s="20" t="s">
        <v>179</v>
      </c>
      <c r="B137" s="25" t="s">
        <v>180</v>
      </c>
      <c r="C137" s="28">
        <v>984.07219999999995</v>
      </c>
      <c r="D137" s="28">
        <v>94.146150000000006</v>
      </c>
      <c r="E137" s="29">
        <f>IF(C137&lt;&gt;"",D137/C137*100,"")</f>
        <v>9.5669962021079353</v>
      </c>
      <c r="F137" s="91">
        <v>829.20339999999999</v>
      </c>
      <c r="G137" s="92">
        <v>1138.941</v>
      </c>
    </row>
    <row r="138" spans="1:7" x14ac:dyDescent="0.25">
      <c r="A138" s="71"/>
      <c r="B138" s="72"/>
      <c r="C138" s="30"/>
      <c r="D138" s="57"/>
      <c r="E138" s="58"/>
      <c r="F138" s="57"/>
      <c r="G138" s="90"/>
    </row>
    <row r="139" spans="1:7" s="19" customFormat="1" ht="30" x14ac:dyDescent="0.25">
      <c r="A139" s="26" t="s">
        <v>181</v>
      </c>
      <c r="B139" s="18" t="s">
        <v>182</v>
      </c>
      <c r="C139" s="10">
        <v>1913.4970000000001</v>
      </c>
      <c r="D139" s="10">
        <v>1174.816</v>
      </c>
      <c r="E139" s="11">
        <f>IF(C139&lt;&gt;"",D139/C139*100,"")</f>
        <v>61.396281258867923</v>
      </c>
      <c r="F139" s="86">
        <v>-19.054189999999998</v>
      </c>
      <c r="G139" s="87">
        <v>3846.049</v>
      </c>
    </row>
    <row r="140" spans="1:7" s="19" customFormat="1" ht="15" x14ac:dyDescent="0.25">
      <c r="A140" s="20" t="s">
        <v>183</v>
      </c>
      <c r="B140" s="32" t="s">
        <v>184</v>
      </c>
      <c r="C140" s="28">
        <v>105.9603</v>
      </c>
      <c r="D140" s="28">
        <v>53.104849999999999</v>
      </c>
      <c r="E140" s="29">
        <f>IF(C140&lt;&gt;"",D140/C140*100,"")</f>
        <v>50.117685586016648</v>
      </c>
      <c r="F140" s="91">
        <v>18.60369</v>
      </c>
      <c r="G140" s="92">
        <v>193.3168</v>
      </c>
    </row>
    <row r="141" spans="1:7" s="19" customFormat="1" ht="28.5" x14ac:dyDescent="0.25">
      <c r="A141" s="20" t="s">
        <v>185</v>
      </c>
      <c r="B141" s="32" t="s">
        <v>186</v>
      </c>
      <c r="C141" s="28">
        <v>426.83300000000003</v>
      </c>
      <c r="D141" s="28">
        <v>35.214799999999997</v>
      </c>
      <c r="E141" s="29">
        <f>IF(C141&lt;&gt;"",D141/C141*100,"")</f>
        <v>8.2502524406500903</v>
      </c>
      <c r="F141" s="91">
        <v>368.90530000000001</v>
      </c>
      <c r="G141" s="92">
        <v>484.76080000000002</v>
      </c>
    </row>
    <row r="142" spans="1:7" s="19" customFormat="1" ht="15" x14ac:dyDescent="0.25">
      <c r="A142" s="20" t="s">
        <v>187</v>
      </c>
      <c r="B142" s="32" t="s">
        <v>188</v>
      </c>
      <c r="C142" s="28">
        <v>3877.38</v>
      </c>
      <c r="D142" s="28">
        <v>2511.902</v>
      </c>
      <c r="E142" s="29">
        <f>IF(C142&lt;&gt;"",D142/C142*100,"")</f>
        <v>64.783487819094333</v>
      </c>
      <c r="F142" s="91">
        <v>-254.6557</v>
      </c>
      <c r="G142" s="92">
        <v>8009.415</v>
      </c>
    </row>
    <row r="143" spans="1:7" s="19" customFormat="1" ht="28.5" x14ac:dyDescent="0.25">
      <c r="A143" s="20" t="s">
        <v>189</v>
      </c>
      <c r="B143" s="32" t="s">
        <v>190</v>
      </c>
      <c r="C143" s="28">
        <v>405.65620000000001</v>
      </c>
      <c r="D143" s="28">
        <v>74.686329999999998</v>
      </c>
      <c r="E143" s="29">
        <f>IF(C143&lt;&gt;"",D143/C143*100,"")</f>
        <v>18.411238383636192</v>
      </c>
      <c r="F143" s="91">
        <v>282.79840000000002</v>
      </c>
      <c r="G143" s="92">
        <v>528.51390000000004</v>
      </c>
    </row>
    <row r="144" spans="1:7" x14ac:dyDescent="0.25">
      <c r="A144" s="20"/>
      <c r="B144" s="25"/>
      <c r="C144" s="30"/>
      <c r="D144" s="22"/>
      <c r="E144" s="58"/>
      <c r="F144" s="57"/>
      <c r="G144" s="90"/>
    </row>
    <row r="145" spans="1:7" s="19" customFormat="1" ht="25.5" customHeight="1" x14ac:dyDescent="0.25">
      <c r="A145" s="26" t="s">
        <v>191</v>
      </c>
      <c r="B145" s="73" t="s">
        <v>192</v>
      </c>
      <c r="C145" s="10">
        <v>402.3723</v>
      </c>
      <c r="D145" s="10">
        <v>21.769020000000001</v>
      </c>
      <c r="E145" s="11">
        <f>IF(C145&lt;&gt;"",D145/C145*100,"")</f>
        <v>5.4101686423245345</v>
      </c>
      <c r="F145" s="86">
        <v>366.56270000000001</v>
      </c>
      <c r="G145" s="87">
        <v>438.18200000000002</v>
      </c>
    </row>
    <row r="146" spans="1:7" ht="28.5" x14ac:dyDescent="0.25">
      <c r="A146" s="20" t="s">
        <v>193</v>
      </c>
      <c r="B146" s="38" t="s">
        <v>194</v>
      </c>
      <c r="C146" s="28">
        <v>346.72039999999998</v>
      </c>
      <c r="D146" s="28">
        <v>25.697310000000002</v>
      </c>
      <c r="E146" s="29">
        <f>IF(C146&lt;&gt;"",D146/C146*100,"")</f>
        <v>7.4115367887208263</v>
      </c>
      <c r="F146" s="91">
        <v>304.44869999999997</v>
      </c>
      <c r="G146" s="92">
        <v>388.99200000000002</v>
      </c>
    </row>
    <row r="147" spans="1:7" x14ac:dyDescent="0.25">
      <c r="A147" s="20" t="s">
        <v>195</v>
      </c>
      <c r="B147" s="38" t="s">
        <v>196</v>
      </c>
      <c r="C147" s="28">
        <v>433.72039999999998</v>
      </c>
      <c r="D147" s="28">
        <v>30.35408</v>
      </c>
      <c r="E147" s="29">
        <f>IF(C147&lt;&gt;"",D147/C147*100,"")</f>
        <v>6.9985363842696824</v>
      </c>
      <c r="F147" s="91">
        <v>383.7885</v>
      </c>
      <c r="G147" s="92">
        <v>483.6524</v>
      </c>
    </row>
    <row r="148" spans="1:7" ht="5.25" customHeight="1" x14ac:dyDescent="0.25">
      <c r="A148" s="34"/>
      <c r="B148" s="35"/>
      <c r="C148" s="49"/>
      <c r="D148" s="50"/>
      <c r="E148" s="50"/>
      <c r="F148" s="50"/>
      <c r="G148" s="99"/>
    </row>
    <row r="149" spans="1:7" s="19" customFormat="1" ht="6.75" customHeight="1" x14ac:dyDescent="0.25">
      <c r="A149" s="54"/>
      <c r="B149" s="54"/>
      <c r="C149" s="68"/>
      <c r="D149" s="74"/>
      <c r="E149" s="74"/>
      <c r="F149" s="74"/>
      <c r="G149" s="74"/>
    </row>
    <row r="150" spans="1:7" s="77" customFormat="1" ht="11.1" customHeight="1" x14ac:dyDescent="0.25">
      <c r="A150" s="75" t="s">
        <v>197</v>
      </c>
      <c r="B150" s="76"/>
    </row>
    <row r="151" spans="1:7" s="77" customFormat="1" x14ac:dyDescent="0.25">
      <c r="A151" s="75" t="s">
        <v>198</v>
      </c>
      <c r="B151" s="76"/>
    </row>
    <row r="152" spans="1:7" s="77" customFormat="1" x14ac:dyDescent="0.25">
      <c r="A152" s="78" t="s">
        <v>199</v>
      </c>
      <c r="B152" s="76"/>
    </row>
    <row r="153" spans="1:7" s="77" customFormat="1" x14ac:dyDescent="0.25">
      <c r="A153" s="75" t="s">
        <v>200</v>
      </c>
      <c r="B153" s="76"/>
    </row>
  </sheetData>
  <mergeCells count="42">
    <mergeCell ref="A1:G1"/>
    <mergeCell ref="J1:R1"/>
    <mergeCell ref="A2:G2"/>
    <mergeCell ref="J2:R2"/>
    <mergeCell ref="A4:A5"/>
    <mergeCell ref="B4:B5"/>
    <mergeCell ref="C4:C5"/>
    <mergeCell ref="D4:D5"/>
    <mergeCell ref="E4:E5"/>
    <mergeCell ref="F4:G4"/>
    <mergeCell ref="A33:G33"/>
    <mergeCell ref="A34:G34"/>
    <mergeCell ref="A36:A37"/>
    <mergeCell ref="B36:B37"/>
    <mergeCell ref="C36:C37"/>
    <mergeCell ref="D36:D37"/>
    <mergeCell ref="E36:E37"/>
    <mergeCell ref="F36:G36"/>
    <mergeCell ref="A61:G61"/>
    <mergeCell ref="A62:G62"/>
    <mergeCell ref="A64:A65"/>
    <mergeCell ref="B64:B65"/>
    <mergeCell ref="C64:C65"/>
    <mergeCell ref="D64:D65"/>
    <mergeCell ref="E64:E65"/>
    <mergeCell ref="F64:G64"/>
    <mergeCell ref="A94:G94"/>
    <mergeCell ref="A95:G95"/>
    <mergeCell ref="A97:A98"/>
    <mergeCell ref="B97:B98"/>
    <mergeCell ref="C97:C98"/>
    <mergeCell ref="D97:D98"/>
    <mergeCell ref="E97:E98"/>
    <mergeCell ref="F97:G97"/>
    <mergeCell ref="A127:G127"/>
    <mergeCell ref="A128:G128"/>
    <mergeCell ref="A130:A131"/>
    <mergeCell ref="B130:B131"/>
    <mergeCell ref="C130:C131"/>
    <mergeCell ref="D130:D131"/>
    <mergeCell ref="E130:E131"/>
    <mergeCell ref="F130:G130"/>
  </mergeCells>
  <printOptions horizontalCentered="1"/>
  <pageMargins left="0.23622047244094491" right="0.23622047244094491" top="0.51181102362204722" bottom="0.23622047244094491" header="0.31496062992125984" footer="0.23622047244094491"/>
  <pageSetup paperSize="9" scale="74" orientation="landscape" useFirstPageNumber="1" r:id="rId1"/>
  <headerFooter>
    <oddFooter>&amp;C&amp;"Arial,Regular"&amp;10&amp;P</oddFooter>
  </headerFooter>
  <rowBreaks count="4" manualBreakCount="4">
    <brk id="32" max="16383" man="1"/>
    <brk id="60" max="16383" man="1"/>
    <brk id="92" max="8" man="1"/>
    <brk id="126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Table 6.1</vt:lpstr>
      <vt:lpstr>'Table 6.1'!Print_Area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 Bata</dc:creator>
  <cp:lastModifiedBy>Carlo Bata</cp:lastModifiedBy>
  <cp:lastPrinted>2025-11-24T10:29:11Z</cp:lastPrinted>
  <dcterms:created xsi:type="dcterms:W3CDTF">2025-11-24T10:13:27Z</dcterms:created>
  <dcterms:modified xsi:type="dcterms:W3CDTF">2025-11-24T10:29:20Z</dcterms:modified>
</cp:coreProperties>
</file>