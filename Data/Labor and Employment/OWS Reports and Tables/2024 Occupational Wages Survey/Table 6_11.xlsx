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13_ncr:1_{ECF17052-46DB-4117-8297-249E8918F58D}" xr6:coauthVersionLast="47" xr6:coauthVersionMax="47" xr10:uidLastSave="{00000000-0000-0000-0000-000000000000}"/>
  <bookViews>
    <workbookView xWindow="-28920" yWindow="-120" windowWidth="29040" windowHeight="15720" xr2:uid="{9C82BE95-2A65-4564-A894-B0C3888222D4}"/>
  </bookViews>
  <sheets>
    <sheet name="Table 6" sheetId="1" r:id="rId1"/>
  </sheets>
  <definedNames>
    <definedName name="_xlnm.Print_Area" localSheetId="0">'Table 6'!$A$1:$G$151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4" i="1"/>
  <c r="E143" i="1"/>
  <c r="E141" i="1"/>
  <c r="E140" i="1"/>
  <c r="E139" i="1"/>
  <c r="E138" i="1"/>
  <c r="E137" i="1"/>
  <c r="E135" i="1"/>
  <c r="E134" i="1"/>
  <c r="E133" i="1"/>
  <c r="E131" i="1"/>
  <c r="E123" i="1"/>
  <c r="E122" i="1"/>
  <c r="E121" i="1"/>
  <c r="E120" i="1"/>
  <c r="E119" i="1"/>
  <c r="E118" i="1"/>
  <c r="E117" i="1"/>
  <c r="E116" i="1"/>
  <c r="E115" i="1"/>
  <c r="E113" i="1"/>
  <c r="E112" i="1"/>
  <c r="E111" i="1"/>
  <c r="E110" i="1"/>
  <c r="E109" i="1"/>
  <c r="E108" i="1"/>
  <c r="E107" i="1"/>
  <c r="E106" i="1"/>
  <c r="E104" i="1"/>
  <c r="E102" i="1"/>
  <c r="E101" i="1"/>
  <c r="E100" i="1"/>
  <c r="E99" i="1"/>
  <c r="E90" i="1"/>
  <c r="E89" i="1"/>
  <c r="E88" i="1"/>
  <c r="E87" i="1"/>
  <c r="E86" i="1"/>
  <c r="E85" i="1"/>
  <c r="E84" i="1"/>
  <c r="E82" i="1"/>
  <c r="E80" i="1"/>
  <c r="E79" i="1"/>
  <c r="E78" i="1"/>
  <c r="E77" i="1"/>
  <c r="E76" i="1"/>
  <c r="E75" i="1"/>
  <c r="E74" i="1"/>
  <c r="E71" i="1"/>
  <c r="E70" i="1"/>
  <c r="E69" i="1"/>
  <c r="E68" i="1"/>
  <c r="E66" i="1"/>
  <c r="E57" i="1"/>
  <c r="E56" i="1"/>
  <c r="E55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29" i="1"/>
  <c r="E28" i="1"/>
  <c r="E27" i="1"/>
  <c r="E26" i="1"/>
  <c r="E25" i="1"/>
  <c r="E24" i="1"/>
  <c r="E23" i="1"/>
  <c r="E22" i="1"/>
  <c r="E21" i="1"/>
  <c r="E20" i="1"/>
  <c r="E19" i="1"/>
  <c r="E16" i="1"/>
  <c r="E15" i="1"/>
  <c r="E14" i="1"/>
</calcChain>
</file>

<file path=xl/sharedStrings.xml><?xml version="1.0" encoding="utf-8"?>
<sst xmlns="http://schemas.openxmlformats.org/spreadsheetml/2006/main" count="238" uniqueCount="200">
  <si>
    <t>Table 6. Standard Errors and Coefficient of Variations of Average Monthly Allowances of Time-Rated Workers on Full-Time Basis by Industry, Philippines:  August 2024</t>
  </si>
  <si>
    <t>(In Establishments Employing 10 and More Workers)</t>
  </si>
  <si>
    <t>2009 PSIC</t>
  </si>
  <si>
    <t>Industry</t>
  </si>
  <si>
    <t>Allowance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</si>
  <si>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</si>
  <si>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</si>
  <si>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</si>
  <si>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</si>
  <si>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</si>
  <si>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</si>
  <si>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</si>
  <si>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</si>
  <si>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</si>
  <si>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
   Service Activities; Forestry and Logging</t>
  </si>
  <si>
    <t>A03</t>
  </si>
  <si>
    <t>Fishing and Aquaculture</t>
  </si>
  <si>
    <t>B</t>
  </si>
  <si>
    <t>MINING AND QUARRYING</t>
  </si>
  <si>
    <t>B05/B06/B08</t>
  </si>
  <si>
    <t>Mining of Coal and Lignite; Extraction of Crude
   Petroleum and Natural Gas; and Other Mining
   and Quarrying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</si>
  <si>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</si>
  <si>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</si>
  <si>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</si>
  <si>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</si>
  <si>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</si>
  <si>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</si>
  <si>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</si>
  <si>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</si>
  <si>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</si>
  <si>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</si>
  <si>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</si>
  <si>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</si>
  <si>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</si>
  <si>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</si>
  <si>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</si>
  <si>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</si>
  <si>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</si>
  <si>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</si>
  <si>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 xml:space="preserve">C16
</t>
  </si>
  <si>
    <t>Manufacture of wood and of products of wood and cork, except furniture; manufacture of articles of bamboo, cane, rattan and the like;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</si>
  <si>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</si>
  <si>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</si>
  <si>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</si>
  <si>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</si>
  <si>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</si>
  <si>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</si>
  <si>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</si>
  <si>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</si>
  <si>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Table 6. Standard Errors and Coefficient of Variations of Average Monthly Allowances of Time-Rated Workers on Full-Time Basis by Industry, Philippines:  August 2024 (Cont'd.)</t>
  </si>
  <si>
    <t>Wage Rate Estimate</t>
  </si>
  <si>
    <t>C21</t>
  </si>
  <si>
    <t>Manufacture of Basic Pharmaceutical Products and
  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</si>
  <si>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</si>
  <si>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</si>
  <si>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</si>
  <si>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</si>
  <si>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</si>
  <si>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</si>
  <si>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</si>
  <si>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</si>
  <si>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</si>
  <si>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
  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</si>
  <si>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</si>
  <si>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</si>
  <si>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</si>
  <si>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</si>
  <si>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</si>
  <si>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</si>
  <si>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</si>
  <si>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</si>
  <si>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</si>
  <si>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   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</si>
  <si>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</si>
  <si>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</si>
  <si>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</si>
  <si>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</si>
  <si>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</si>
  <si>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   Machinery and Equipment</t>
  </si>
  <si>
    <t>D35</t>
  </si>
  <si>
    <t>ELECTRICITY, GAS, STEAM AND AIR CONDITIONING
   SUPPLY</t>
  </si>
  <si>
    <t>E</t>
  </si>
  <si>
    <t>WATER SUPPLY; SEWERAGE, WASTE MANAGEMENT
   AND REMEDIATION ACTIVITIES</t>
  </si>
  <si>
    <t>E36</t>
  </si>
  <si>
    <t>Water Collection, Treatment and Supply</t>
  </si>
  <si>
    <t>E37/E38/E39</t>
  </si>
  <si>
    <t>Sewerage; Waste Collection, Treatment and
   Disposal Activities; Materials Recovery;
   Remediation Activities and Other Waste Management Services</t>
  </si>
  <si>
    <t>F41/F42/F43</t>
  </si>
  <si>
    <t>CONSTRUCTION</t>
  </si>
  <si>
    <t>G</t>
  </si>
  <si>
    <t xml:space="preserve">WHOLESALE AND RETAIL TRADE; REPAIR OF
   MOTOR VEHICLES AND MOTORCYCLES </t>
  </si>
  <si>
    <t>G45</t>
  </si>
  <si>
    <t>Wholesale and Retail Trade and Repair of Motor
   Vehicles and Motorcycles</t>
  </si>
  <si>
    <t>G46</t>
  </si>
  <si>
    <t>Wholesale Trade except of Motor Vehicles and 
   Motorcycles</t>
  </si>
  <si>
    <t>G47</t>
  </si>
  <si>
    <t xml:space="preserve">Retail Trade except of Motor Vehicles and
   Motorcycles </t>
  </si>
  <si>
    <t>H</t>
  </si>
  <si>
    <t xml:space="preserve">TRANSPORTATION AND STORAGE </t>
  </si>
  <si>
    <t>H49 excl. H492</t>
  </si>
  <si>
    <t xml:space="preserve">Land Transport and Transport via Pipelines except
 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</si>
  <si>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</si>
  <si>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</si>
  <si>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</si>
  <si>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</si>
  <si>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</si>
  <si>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</si>
  <si>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</si>
  <si>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
   Transportation</t>
  </si>
  <si>
    <t>H53</t>
  </si>
  <si>
    <t>Postal and Courier Activities</t>
  </si>
  <si>
    <t>I55/I56</t>
  </si>
  <si>
    <t>ACCOMMODATION AND FOOD SERVICE
  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</si>
  <si>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</si>
  <si>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</si>
  <si>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</si>
  <si>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</si>
  <si>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</si>
  <si>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
   Production, Sound Recording and Music
   Publishing Activities except Animated Films 
   and Cartoons Production; Programming and
   Broadcasting Activities</t>
  </si>
  <si>
    <r>
      <t>J590</t>
    </r>
    <r>
      <rPr>
        <vertAlign val="superscript"/>
        <sz val="11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</si>
  <si>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</si>
  <si>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</si>
  <si>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</si>
  <si>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</si>
  <si>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   Activities</t>
  </si>
  <si>
    <t>J63</t>
  </si>
  <si>
    <t>Information Service Activities</t>
  </si>
  <si>
    <t>a  Less than 500.</t>
  </si>
  <si>
    <t>K</t>
  </si>
  <si>
    <t xml:space="preserve">FINANCIAL AND INSURANCE ACTIVITIES </t>
  </si>
  <si>
    <t xml:space="preserve">K64 excl. </t>
  </si>
  <si>
    <t>Financial Service Activities except Insurance, Pension Funding and Central Banking</t>
  </si>
  <si>
    <t>K65</t>
  </si>
  <si>
    <t xml:space="preserve">Insurance, Reinsurance and Pension Funding
   except Compulsory Social Security </t>
  </si>
  <si>
    <t>K66</t>
  </si>
  <si>
    <t>Activities Auxiliary to Financial Service and
   Insurance Activities</t>
  </si>
  <si>
    <t>L68</t>
  </si>
  <si>
    <t>REAL ESTATE ACTIVITIES</t>
  </si>
  <si>
    <t>M</t>
  </si>
  <si>
    <t>PROFESSIONAL, SCIENTIFIC AND TECHNICAL
  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</si>
  <si>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</si>
  <si>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</si>
  <si>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</si>
  <si>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</si>
  <si>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</si>
  <si>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</si>
  <si>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</si>
  <si>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</si>
  <si>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</si>
  <si>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</si>
  <si>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</si>
  <si>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</si>
  <si>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</si>
  <si>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</si>
  <si>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</si>
  <si>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
   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</si>
  <si>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</si>
  <si>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</si>
  <si>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</si>
  <si>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</si>
  <si>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</si>
  <si>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</si>
  <si>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</si>
  <si>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</si>
  <si>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</si>
  <si>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</si>
  <si>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</si>
  <si>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
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</si>
  <si>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</si>
  <si>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</si>
  <si>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</si>
  <si>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</si>
  <si>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</si>
  <si>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</si>
  <si>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</si>
  <si>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</si>
  <si>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</si>
  <si>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
   Activities</t>
  </si>
  <si>
    <t>Q87/Q88</t>
  </si>
  <si>
    <t>Residential Care Activities; Social Work Activities
   without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</si>
  <si>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</si>
  <si>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</si>
  <si>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</si>
  <si>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</si>
  <si>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</si>
  <si>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</si>
  <si>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</si>
  <si>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</si>
  <si>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</si>
  <si>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</si>
  <si>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</si>
  <si>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 ACTIVITIES OF
   MEMBERSHIP ORGANIZATIONS</t>
  </si>
  <si>
    <t>S95</t>
  </si>
  <si>
    <t>Repair of Computers and Personal Household
   Goods</t>
  </si>
  <si>
    <t>S96</t>
  </si>
  <si>
    <t>Other Personal Service Activities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</si>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</sst>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vertAlign val="superscript"/>
      <sz val="1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2" applyFont="1"/>
    <xf numFmtId="4" fontId="3" fillId="0" borderId="1" xfId="2" applyNumberFormat="1" applyFont="1" applyBorder="1" applyAlignment="1">
      <alignment horizontal="center" vertical="center" wrapText="1"/>
    </xf>
    <xf numFmtId="0" fontId="3" fillId="0" borderId="0" xfId="2" applyFont="1" applyBorder="1"/>
    <xf numFmtId="2" fontId="5" fillId="0" borderId="3" xfId="0" applyNumberFormat="1" applyFont="1" applyBorder="1" applyAlignment="1">
      <alignment horizontal="center" vertical="center" wrapText="1"/>
    </xf>
    <xf numFmtId="4" fontId="3" fillId="0" borderId="5" xfId="2" applyNumberFormat="1" applyFont="1" applyBorder="1" applyAlignment="1">
      <alignment horizontal="left" vertical="top" wrapText="1"/>
    </xf>
    <xf numFmtId="4" fontId="3" fillId="0" borderId="6" xfId="2" applyNumberFormat="1" applyFont="1" applyBorder="1" applyAlignment="1">
      <alignment horizontal="left" vertical="top" wrapText="1"/>
    </xf>
    <xf numFmtId="0" fontId="3" fillId="0" borderId="6" xfId="2" applyFont="1" applyBorder="1" applyAlignment="1">
      <alignment vertical="top"/>
    </xf>
    <xf numFmtId="0" fontId="3" fillId="0" borderId="7" xfId="2" applyFont="1" applyBorder="1" applyAlignment="1">
      <alignment vertical="top"/>
    </xf>
    <xf numFmtId="4" fontId="4" fillId="0" borderId="8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horizontal="center" vertical="top" wrapText="1"/>
    </xf>
    <xf numFmtId="164" fontId="4" fillId="0" borderId="0" xfId="2" quotePrefix="1" applyNumberFormat="1" applyFont="1" applyBorder="1" applyAlignment="1">
      <alignment horizontal="right" vertical="top"/>
    </xf>
    <xf numFmtId="164" fontId="4" fillId="0" borderId="0" xfId="1" quotePrefix="1" applyNumberFormat="1" applyFont="1" applyFill="1" applyBorder="1" applyAlignment="1">
      <alignment horizontal="right" vertical="top"/>
    </xf>
    <xf numFmtId="165" fontId="4" fillId="0" borderId="0" xfId="1" quotePrefix="1" applyNumberFormat="1" applyFont="1" applyFill="1" applyBorder="1" applyAlignment="1">
      <alignment horizontal="right" vertical="top"/>
    </xf>
    <xf numFmtId="164" fontId="4" fillId="0" borderId="9" xfId="1" quotePrefix="1" applyNumberFormat="1" applyFont="1" applyFill="1" applyBorder="1" applyAlignment="1">
      <alignment horizontal="right" vertical="top"/>
    </xf>
    <xf numFmtId="1" fontId="3" fillId="0" borderId="0" xfId="2" applyNumberFormat="1" applyFont="1"/>
    <xf numFmtId="3" fontId="3" fillId="0" borderId="8" xfId="2" applyNumberFormat="1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horizontal="left" vertical="top" wrapText="1"/>
    </xf>
    <xf numFmtId="164" fontId="3" fillId="0" borderId="0" xfId="2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right" vertical="top"/>
    </xf>
    <xf numFmtId="165" fontId="3" fillId="0" borderId="0" xfId="1" applyNumberFormat="1" applyFont="1" applyBorder="1" applyAlignment="1">
      <alignment horizontal="right" vertical="top"/>
    </xf>
    <xf numFmtId="164" fontId="3" fillId="0" borderId="9" xfId="1" applyNumberFormat="1" applyFont="1" applyBorder="1" applyAlignment="1">
      <alignment horizontal="right" vertical="top"/>
    </xf>
    <xf numFmtId="0" fontId="4" fillId="0" borderId="8" xfId="2" applyFont="1" applyBorder="1" applyAlignment="1">
      <alignment horizontal="left" vertical="top"/>
    </xf>
    <xf numFmtId="0" fontId="4" fillId="0" borderId="0" xfId="2" applyFont="1" applyBorder="1" applyAlignment="1">
      <alignment vertical="top" wrapText="1"/>
    </xf>
    <xf numFmtId="164" fontId="4" fillId="0" borderId="0" xfId="2" applyNumberFormat="1" applyFont="1" applyBorder="1" applyAlignment="1">
      <alignment horizontal="right" vertical="top"/>
    </xf>
    <xf numFmtId="164" fontId="4" fillId="0" borderId="0" xfId="1" applyNumberFormat="1" applyFont="1" applyBorder="1" applyAlignment="1">
      <alignment horizontal="right" vertical="top"/>
    </xf>
    <xf numFmtId="165" fontId="4" fillId="0" borderId="0" xfId="1" applyNumberFormat="1" applyFont="1" applyBorder="1" applyAlignment="1">
      <alignment horizontal="right" vertical="top"/>
    </xf>
    <xf numFmtId="164" fontId="4" fillId="0" borderId="9" xfId="1" applyNumberFormat="1" applyFont="1" applyBorder="1" applyAlignment="1">
      <alignment horizontal="right" vertical="top"/>
    </xf>
    <xf numFmtId="0" fontId="4" fillId="0" borderId="0" xfId="2" applyFont="1"/>
    <xf numFmtId="0" fontId="3" fillId="0" borderId="8" xfId="2" applyFont="1" applyBorder="1" applyAlignment="1">
      <alignment horizontal="left" vertical="top" wrapText="1"/>
    </xf>
    <xf numFmtId="0" fontId="3" fillId="0" borderId="0" xfId="2" applyFont="1" applyBorder="1" applyAlignment="1">
      <alignment vertical="top" wrapText="1"/>
    </xf>
    <xf numFmtId="164" fontId="3" fillId="0" borderId="0" xfId="2" applyNumberFormat="1" applyFont="1" applyBorder="1" applyAlignment="1">
      <alignment horizontal="right" vertical="top"/>
    </xf>
    <xf numFmtId="0" fontId="3" fillId="0" borderId="8" xfId="2" applyFont="1" applyBorder="1" applyAlignment="1">
      <alignment horizontal="left" vertical="top"/>
    </xf>
    <xf numFmtId="164" fontId="3" fillId="0" borderId="0" xfId="2" applyNumberFormat="1" applyFont="1" applyBorder="1" applyAlignment="1">
      <alignment vertical="top"/>
    </xf>
    <xf numFmtId="0" fontId="4" fillId="0" borderId="8" xfId="2" applyFont="1" applyBorder="1" applyAlignment="1">
      <alignment horizontal="left" vertical="top" wrapText="1"/>
    </xf>
    <xf numFmtId="164" fontId="6" fillId="0" borderId="0" xfId="1" applyNumberFormat="1" applyFont="1" applyBorder="1" applyAlignment="1">
      <alignment vertical="top"/>
    </xf>
    <xf numFmtId="164" fontId="6" fillId="0" borderId="0" xfId="1" applyNumberFormat="1" applyFont="1" applyBorder="1" applyAlignment="1">
      <alignment horizontal="right" vertical="top"/>
    </xf>
    <xf numFmtId="165" fontId="6" fillId="0" borderId="0" xfId="1" applyNumberFormat="1" applyFont="1" applyBorder="1" applyAlignment="1">
      <alignment horizontal="right" vertical="top"/>
    </xf>
    <xf numFmtId="164" fontId="6" fillId="0" borderId="9" xfId="1" applyNumberFormat="1" applyFont="1" applyBorder="1" applyAlignment="1">
      <alignment horizontal="right" vertical="top"/>
    </xf>
    <xf numFmtId="164" fontId="3" fillId="0" borderId="0" xfId="2" applyNumberFormat="1" applyFont="1" applyBorder="1" applyAlignment="1">
      <alignment vertical="top" wrapText="1"/>
    </xf>
    <xf numFmtId="164" fontId="3" fillId="0" borderId="0" xfId="1" applyNumberFormat="1" applyFont="1" applyBorder="1" applyAlignment="1">
      <alignment horizontal="right" vertical="top" wrapText="1"/>
    </xf>
    <xf numFmtId="165" fontId="3" fillId="0" borderId="0" xfId="1" applyNumberFormat="1" applyFont="1" applyBorder="1" applyAlignment="1">
      <alignment horizontal="right" vertical="top" wrapText="1"/>
    </xf>
    <xf numFmtId="164" fontId="3" fillId="0" borderId="9" xfId="1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3" fillId="0" borderId="10" xfId="2" applyFont="1" applyBorder="1" applyAlignment="1">
      <alignment horizontal="left" vertical="top" wrapText="1" indent="1"/>
    </xf>
    <xf numFmtId="0" fontId="3" fillId="0" borderId="1" xfId="2" applyFont="1" applyBorder="1" applyAlignment="1">
      <alignment vertical="top" wrapText="1"/>
    </xf>
    <xf numFmtId="1" fontId="3" fillId="0" borderId="1" xfId="2" applyNumberFormat="1" applyFont="1" applyBorder="1" applyAlignment="1">
      <alignment horizontal="right" indent="1"/>
    </xf>
    <xf numFmtId="166" fontId="3" fillId="0" borderId="1" xfId="2" applyNumberFormat="1" applyFont="1" applyBorder="1" applyAlignment="1">
      <alignment horizontal="right" indent="1"/>
    </xf>
    <xf numFmtId="166" fontId="3" fillId="0" borderId="11" xfId="2" applyNumberFormat="1" applyFont="1" applyBorder="1" applyAlignment="1">
      <alignment horizontal="right" indent="1"/>
    </xf>
    <xf numFmtId="0" fontId="7" fillId="0" borderId="0" xfId="2" applyFont="1"/>
    <xf numFmtId="0" fontId="3" fillId="0" borderId="0" xfId="2" applyFont="1" applyAlignment="1">
      <alignment wrapText="1"/>
    </xf>
    <xf numFmtId="166" fontId="3" fillId="0" borderId="0" xfId="2" applyNumberFormat="1" applyFont="1" applyBorder="1" applyAlignment="1">
      <alignment horizontal="right" indent="1"/>
    </xf>
    <xf numFmtId="4" fontId="3" fillId="0" borderId="5" xfId="2" applyNumberFormat="1" applyFont="1" applyBorder="1" applyAlignment="1">
      <alignment horizontal="left" wrapText="1"/>
    </xf>
    <xf numFmtId="4" fontId="3" fillId="0" borderId="6" xfId="2" applyNumberFormat="1" applyFont="1" applyBorder="1" applyAlignment="1">
      <alignment horizontal="left" wrapText="1"/>
    </xf>
    <xf numFmtId="0" fontId="3" fillId="0" borderId="6" xfId="2" applyFont="1" applyBorder="1"/>
    <xf numFmtId="2" fontId="3" fillId="0" borderId="6" xfId="2" applyNumberFormat="1" applyFont="1" applyBorder="1"/>
    <xf numFmtId="0" fontId="3" fillId="0" borderId="7" xfId="2" applyFont="1" applyBorder="1"/>
    <xf numFmtId="165" fontId="6" fillId="0" borderId="0" xfId="1" applyNumberFormat="1" applyFont="1" applyBorder="1" applyAlignment="1">
      <alignment vertical="top"/>
    </xf>
    <xf numFmtId="164" fontId="6" fillId="0" borderId="9" xfId="1" applyNumberFormat="1" applyFont="1" applyBorder="1" applyAlignment="1">
      <alignment vertical="top"/>
    </xf>
    <xf numFmtId="164" fontId="5" fillId="0" borderId="0" xfId="1" applyNumberFormat="1" applyFont="1" applyBorder="1" applyAlignment="1">
      <alignment vertical="top"/>
    </xf>
    <xf numFmtId="165" fontId="5" fillId="0" borderId="0" xfId="1" applyNumberFormat="1" applyFont="1" applyBorder="1" applyAlignment="1">
      <alignment vertical="top"/>
    </xf>
    <xf numFmtId="164" fontId="5" fillId="0" borderId="9" xfId="1" applyNumberFormat="1" applyFont="1" applyBorder="1" applyAlignment="1">
      <alignment vertical="top"/>
    </xf>
    <xf numFmtId="3" fontId="4" fillId="0" borderId="8" xfId="2" applyNumberFormat="1" applyFont="1" applyBorder="1" applyAlignment="1">
      <alignment horizontal="left" vertical="top" wrapText="1"/>
    </xf>
    <xf numFmtId="0" fontId="3" fillId="0" borderId="11" xfId="2" applyFont="1" applyBorder="1" applyAlignment="1">
      <alignment horizontal="center" vertical="top"/>
    </xf>
    <xf numFmtId="0" fontId="3" fillId="0" borderId="0" xfId="2" applyFont="1" applyAlignment="1">
      <alignment vertical="top" wrapText="1"/>
    </xf>
    <xf numFmtId="0" fontId="7" fillId="0" borderId="0" xfId="2" applyFont="1" applyBorder="1" applyAlignment="1"/>
    <xf numFmtId="4" fontId="3" fillId="0" borderId="0" xfId="2" applyNumberFormat="1" applyFont="1" applyBorder="1" applyAlignment="1">
      <alignment horizontal="center" vertical="center" wrapText="1"/>
    </xf>
    <xf numFmtId="164" fontId="3" fillId="0" borderId="6" xfId="2" applyNumberFormat="1" applyFont="1" applyBorder="1"/>
    <xf numFmtId="3" fontId="4" fillId="0" borderId="0" xfId="2" applyNumberFormat="1" applyFont="1" applyBorder="1" applyAlignment="1">
      <alignment horizontal="left" vertical="top" wrapText="1"/>
    </xf>
    <xf numFmtId="164" fontId="3" fillId="0" borderId="0" xfId="2" applyNumberFormat="1" applyFont="1" applyBorder="1" applyAlignment="1">
      <alignment horizontal="left" vertical="top" wrapText="1"/>
    </xf>
    <xf numFmtId="164" fontId="3" fillId="0" borderId="9" xfId="1" applyNumberFormat="1" applyFont="1" applyBorder="1" applyAlignment="1">
      <alignment horizontal="center" vertical="top"/>
    </xf>
    <xf numFmtId="0" fontId="4" fillId="0" borderId="0" xfId="2" applyFont="1" applyBorder="1" applyAlignment="1">
      <alignment horizontal="left" vertical="top" wrapText="1"/>
    </xf>
    <xf numFmtId="4" fontId="4" fillId="0" borderId="8" xfId="2" applyNumberFormat="1" applyFont="1" applyBorder="1" applyAlignment="1">
      <alignment horizontal="left" vertical="top"/>
    </xf>
    <xf numFmtId="0" fontId="3" fillId="0" borderId="0" xfId="2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vertical="top" wrapText="1"/>
    </xf>
    <xf numFmtId="1" fontId="3" fillId="0" borderId="1" xfId="2" applyNumberFormat="1" applyFont="1" applyFill="1" applyBorder="1" applyAlignment="1">
      <alignment horizontal="right" indent="1"/>
    </xf>
    <xf numFmtId="0" fontId="3" fillId="0" borderId="0" xfId="2" applyFont="1" applyBorder="1" applyAlignment="1">
      <alignment horizontal="justify" wrapText="1"/>
    </xf>
    <xf numFmtId="1" fontId="3" fillId="0" borderId="0" xfId="2" applyNumberFormat="1" applyFont="1" applyBorder="1" applyAlignment="1">
      <alignment horizontal="right" indent="1"/>
    </xf>
    <xf numFmtId="0" fontId="3" fillId="0" borderId="0" xfId="2" applyFont="1" applyBorder="1" applyAlignment="1">
      <alignment horizontal="left" vertical="top" wrapText="1" indent="1"/>
    </xf>
    <xf numFmtId="4" fontId="3" fillId="0" borderId="10" xfId="2" applyNumberFormat="1" applyFont="1" applyBorder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164" fontId="7" fillId="0" borderId="0" xfId="2" applyNumberFormat="1" applyFont="1" applyBorder="1" applyAlignment="1">
      <alignment vertical="top"/>
    </xf>
    <xf numFmtId="3" fontId="4" fillId="0" borderId="0" xfId="2" applyNumberFormat="1" applyFont="1" applyBorder="1" applyAlignment="1">
      <alignment vertical="top" wrapText="1"/>
    </xf>
    <xf numFmtId="164" fontId="4" fillId="0" borderId="0" xfId="2" applyNumberFormat="1" applyFont="1" applyBorder="1" applyAlignment="1">
      <alignment vertical="top" wrapText="1"/>
    </xf>
    <xf numFmtId="1" fontId="3" fillId="0" borderId="0" xfId="2" applyNumberFormat="1" applyFont="1" applyFill="1"/>
    <xf numFmtId="0" fontId="3" fillId="0" borderId="10" xfId="2" applyFont="1" applyBorder="1"/>
    <xf numFmtId="0" fontId="3" fillId="0" borderId="1" xfId="2" applyFont="1" applyBorder="1" applyAlignment="1">
      <alignment wrapText="1"/>
    </xf>
    <xf numFmtId="0" fontId="3" fillId="0" borderId="1" xfId="2" applyFont="1" applyBorder="1"/>
    <xf numFmtId="0" fontId="3" fillId="0" borderId="11" xfId="2" applyFont="1" applyBorder="1"/>
    <xf numFmtId="0" fontId="3" fillId="0" borderId="5" xfId="2" applyFont="1" applyBorder="1" applyAlignment="1">
      <alignment horizontal="left" vertical="top" wrapText="1"/>
    </xf>
    <xf numFmtId="0" fontId="3" fillId="0" borderId="6" xfId="2" applyFont="1" applyBorder="1" applyAlignment="1">
      <alignment horizontal="left" vertical="top" wrapText="1"/>
    </xf>
    <xf numFmtId="166" fontId="4" fillId="0" borderId="6" xfId="2" applyNumberFormat="1" applyFont="1" applyBorder="1" applyAlignment="1">
      <alignment horizontal="center" vertical="top"/>
    </xf>
    <xf numFmtId="0" fontId="3" fillId="0" borderId="6" xfId="2" applyFont="1" applyBorder="1" applyAlignment="1">
      <alignment horizontal="right" vertical="top"/>
    </xf>
    <xf numFmtId="0" fontId="3" fillId="0" borderId="7" xfId="2" applyFont="1" applyBorder="1" applyAlignment="1">
      <alignment horizontal="right" vertical="top"/>
    </xf>
    <xf numFmtId="164" fontId="3" fillId="0" borderId="0" xfId="1" applyNumberFormat="1" applyFont="1" applyBorder="1" applyAlignment="1">
      <alignment horizontal="left" vertical="top" wrapText="1"/>
    </xf>
    <xf numFmtId="164" fontId="6" fillId="0" borderId="0" xfId="1" applyNumberFormat="1" applyFont="1" applyAlignment="1">
      <alignment vertical="top"/>
    </xf>
    <xf numFmtId="164" fontId="3" fillId="0" borderId="0" xfId="1" quotePrefix="1" applyNumberFormat="1" applyFont="1" applyFill="1" applyBorder="1" applyAlignment="1">
      <alignment horizontal="right" vertical="top"/>
    </xf>
    <xf numFmtId="164" fontId="3" fillId="0" borderId="9" xfId="1" quotePrefix="1" applyNumberFormat="1" applyFont="1" applyFill="1" applyBorder="1" applyAlignment="1">
      <alignment horizontal="right" vertical="top"/>
    </xf>
    <xf numFmtId="4" fontId="3" fillId="0" borderId="8" xfId="2" applyNumberFormat="1" applyFont="1" applyBorder="1" applyAlignment="1">
      <alignment horizontal="left" vertical="top" wrapText="1"/>
    </xf>
    <xf numFmtId="4" fontId="3" fillId="0" borderId="0" xfId="2" applyNumberFormat="1" applyFont="1" applyBorder="1" applyAlignment="1">
      <alignment horizontal="left" vertical="top" wrapText="1"/>
    </xf>
    <xf numFmtId="164" fontId="3" fillId="0" borderId="0" xfId="1" applyNumberFormat="1" applyFont="1" applyBorder="1" applyAlignment="1">
      <alignment vertical="top" wrapText="1"/>
    </xf>
    <xf numFmtId="0" fontId="3" fillId="0" borderId="0" xfId="2" applyFont="1" applyBorder="1" applyAlignment="1">
      <alignment horizontal="justify" vertical="top" wrapText="1"/>
    </xf>
    <xf numFmtId="0" fontId="3" fillId="0" borderId="0" xfId="2" applyFont="1" applyFill="1"/>
    <xf numFmtId="0" fontId="4" fillId="0" borderId="0" xfId="2" applyFont="1" applyAlignment="1">
      <alignment horizontal="left" vertical="top" wrapText="1"/>
    </xf>
    <xf numFmtId="166" fontId="4" fillId="0" borderId="0" xfId="2" applyNumberFormat="1" applyFont="1" applyAlignment="1">
      <alignment horizontal="center"/>
    </xf>
    <xf numFmtId="166" fontId="4" fillId="0" borderId="0" xfId="2" applyNumberFormat="1" applyFont="1" applyBorder="1" applyAlignment="1">
      <alignment horizontal="right" indent="1"/>
    </xf>
    <xf numFmtId="0" fontId="9" fillId="0" borderId="0" xfId="2" applyFont="1" applyFill="1" applyBorder="1" applyAlignment="1"/>
    <xf numFmtId="0" fontId="3" fillId="0" borderId="0" xfId="2" applyFont="1" applyFill="1" applyAlignment="1">
      <alignment wrapText="1"/>
    </xf>
    <xf numFmtId="0" fontId="9" fillId="0" borderId="0" xfId="2" applyFont="1" applyFill="1" applyBorder="1" applyAlignment="1">
      <alignment horizontal="left" indent="3"/>
    </xf>
    <xf numFmtId="0" fontId="9" fillId="0" borderId="0" xfId="2" applyFont="1" applyFill="1" applyBorder="1" applyAlignment="1">
      <alignment vertical="top"/>
    </xf>
    <xf numFmtId="3" fontId="3" fillId="0" borderId="0" xfId="2" applyNumberFormat="1" applyFont="1" applyAlignment="1">
      <alignment horizontal="center" wrapText="1"/>
    </xf>
    <xf numFmtId="3" fontId="3" fillId="0" borderId="0" xfId="2" applyNumberFormat="1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3" fillId="0" borderId="8" xfId="2" applyNumberFormat="1" applyFont="1" applyBorder="1" applyAlignment="1">
      <alignment horizontal="center" wrapText="1"/>
    </xf>
    <xf numFmtId="3" fontId="3" fillId="0" borderId="0" xfId="2" applyNumberFormat="1" applyFont="1" applyBorder="1" applyAlignment="1">
      <alignment horizontal="center" wrapText="1"/>
    </xf>
    <xf numFmtId="3" fontId="3" fillId="0" borderId="9" xfId="2" applyNumberFormat="1" applyFont="1" applyBorder="1" applyAlignment="1">
      <alignment horizontal="center" wrapText="1"/>
    </xf>
    <xf numFmtId="3" fontId="3" fillId="0" borderId="8" xfId="2" applyNumberFormat="1" applyFont="1" applyFill="1" applyBorder="1" applyAlignment="1">
      <alignment horizontal="center" vertical="center" wrapText="1"/>
    </xf>
    <xf numFmtId="3" fontId="3" fillId="0" borderId="9" xfId="2" applyNumberFormat="1" applyFont="1" applyFill="1" applyBorder="1" applyAlignment="1">
      <alignment horizontal="center" vertical="center" wrapText="1"/>
    </xf>
    <xf numFmtId="0" fontId="7" fillId="0" borderId="6" xfId="2" applyFont="1" applyFill="1" applyBorder="1"/>
    <xf numFmtId="166" fontId="3" fillId="0" borderId="6" xfId="2" applyNumberFormat="1" applyFont="1" applyBorder="1" applyAlignment="1">
      <alignment horizontal="right" indent="1"/>
    </xf>
  </cellXfs>
  <cellStyles count="3">
    <cellStyle name="Comma" xfId="1" builtinId="3"/>
    <cellStyle name="Normal" xfId="0" builtinId="0"/>
    <cellStyle name="Normal 2" xfId="2" xr:uid="{5B6382AA-1830-42F8-BFFA-D47AB7C6E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E5F-BD8E-4903-B932-C574D326F20C}">
  <dimension ref="A1:XEW151"/>
  <sheetViews>
    <sheetView tabSelected="1" view="pageBreakPreview" topLeftCell="A86" zoomScaleNormal="110" zoomScaleSheetLayoutView="100" zoomScalePageLayoutView="70" workbookViewId="0">
      <selection activeCell="K95" sqref="K95"/>
    </sheetView>
  </sheetViews>
  <sheetFormatPr defaultRowHeight="14.25" x14ac:dyDescent="0.2"/>
  <cols>
    <col min="1" max="1" width="15.7109375" style="1" customWidth="1"/>
    <col min="2" max="2" width="47.28515625" style="51" customWidth="1"/>
    <col min="3" max="7" width="13.28515625" style="1" customWidth="1"/>
    <col min="8" max="255" width="9.140625" style="1"/>
    <col min="256" max="256" width="15.7109375" style="1" customWidth="1"/>
    <col min="257" max="257" width="47.28515625" style="1" customWidth="1"/>
    <col min="258" max="263" width="13.28515625" style="1" customWidth="1"/>
    <col min="264" max="511" width="9.140625" style="1"/>
    <col min="512" max="512" width="15.7109375" style="1" customWidth="1"/>
    <col min="513" max="513" width="47.28515625" style="1" customWidth="1"/>
    <col min="514" max="519" width="13.28515625" style="1" customWidth="1"/>
    <col min="520" max="767" width="9.140625" style="1"/>
    <col min="768" max="768" width="15.7109375" style="1" customWidth="1"/>
    <col min="769" max="769" width="47.28515625" style="1" customWidth="1"/>
    <col min="770" max="775" width="13.28515625" style="1" customWidth="1"/>
    <col min="776" max="1023" width="9.140625" style="1"/>
    <col min="1024" max="1024" width="15.7109375" style="1" customWidth="1"/>
    <col min="1025" max="1025" width="47.28515625" style="1" customWidth="1"/>
    <col min="1026" max="1031" width="13.28515625" style="1" customWidth="1"/>
    <col min="1032" max="1279" width="9.140625" style="1"/>
    <col min="1280" max="1280" width="15.7109375" style="1" customWidth="1"/>
    <col min="1281" max="1281" width="47.28515625" style="1" customWidth="1"/>
    <col min="1282" max="1287" width="13.28515625" style="1" customWidth="1"/>
    <col min="1288" max="1535" width="9.140625" style="1"/>
    <col min="1536" max="1536" width="15.7109375" style="1" customWidth="1"/>
    <col min="1537" max="1537" width="47.28515625" style="1" customWidth="1"/>
    <col min="1538" max="1543" width="13.28515625" style="1" customWidth="1"/>
    <col min="1544" max="1791" width="9.140625" style="1"/>
    <col min="1792" max="1792" width="15.7109375" style="1" customWidth="1"/>
    <col min="1793" max="1793" width="47.28515625" style="1" customWidth="1"/>
    <col min="1794" max="1799" width="13.28515625" style="1" customWidth="1"/>
    <col min="1800" max="2047" width="9.140625" style="1"/>
    <col min="2048" max="2048" width="15.7109375" style="1" customWidth="1"/>
    <col min="2049" max="2049" width="47.28515625" style="1" customWidth="1"/>
    <col min="2050" max="2055" width="13.28515625" style="1" customWidth="1"/>
    <col min="2056" max="2303" width="9.140625" style="1"/>
    <col min="2304" max="2304" width="15.7109375" style="1" customWidth="1"/>
    <col min="2305" max="2305" width="47.28515625" style="1" customWidth="1"/>
    <col min="2306" max="2311" width="13.28515625" style="1" customWidth="1"/>
    <col min="2312" max="2559" width="9.140625" style="1"/>
    <col min="2560" max="2560" width="15.7109375" style="1" customWidth="1"/>
    <col min="2561" max="2561" width="47.28515625" style="1" customWidth="1"/>
    <col min="2562" max="2567" width="13.28515625" style="1" customWidth="1"/>
    <col min="2568" max="2815" width="9.140625" style="1"/>
    <col min="2816" max="2816" width="15.7109375" style="1" customWidth="1"/>
    <col min="2817" max="2817" width="47.28515625" style="1" customWidth="1"/>
    <col min="2818" max="2823" width="13.28515625" style="1" customWidth="1"/>
    <col min="2824" max="3071" width="9.140625" style="1"/>
    <col min="3072" max="3072" width="15.7109375" style="1" customWidth="1"/>
    <col min="3073" max="3073" width="47.28515625" style="1" customWidth="1"/>
    <col min="3074" max="3079" width="13.28515625" style="1" customWidth="1"/>
    <col min="3080" max="3327" width="9.140625" style="1"/>
    <col min="3328" max="3328" width="15.7109375" style="1" customWidth="1"/>
    <col min="3329" max="3329" width="47.28515625" style="1" customWidth="1"/>
    <col min="3330" max="3335" width="13.28515625" style="1" customWidth="1"/>
    <col min="3336" max="3583" width="9.140625" style="1"/>
    <col min="3584" max="3584" width="15.7109375" style="1" customWidth="1"/>
    <col min="3585" max="3585" width="47.28515625" style="1" customWidth="1"/>
    <col min="3586" max="3591" width="13.28515625" style="1" customWidth="1"/>
    <col min="3592" max="3839" width="9.140625" style="1"/>
    <col min="3840" max="3840" width="15.7109375" style="1" customWidth="1"/>
    <col min="3841" max="3841" width="47.28515625" style="1" customWidth="1"/>
    <col min="3842" max="3847" width="13.28515625" style="1" customWidth="1"/>
    <col min="3848" max="4095" width="9.140625" style="1"/>
    <col min="4096" max="4096" width="15.7109375" style="1" customWidth="1"/>
    <col min="4097" max="4097" width="47.28515625" style="1" customWidth="1"/>
    <col min="4098" max="4103" width="13.28515625" style="1" customWidth="1"/>
    <col min="4104" max="4351" width="9.140625" style="1"/>
    <col min="4352" max="4352" width="15.7109375" style="1" customWidth="1"/>
    <col min="4353" max="4353" width="47.28515625" style="1" customWidth="1"/>
    <col min="4354" max="4359" width="13.28515625" style="1" customWidth="1"/>
    <col min="4360" max="4607" width="9.140625" style="1"/>
    <col min="4608" max="4608" width="15.7109375" style="1" customWidth="1"/>
    <col min="4609" max="4609" width="47.28515625" style="1" customWidth="1"/>
    <col min="4610" max="4615" width="13.28515625" style="1" customWidth="1"/>
    <col min="4616" max="4863" width="9.140625" style="1"/>
    <col min="4864" max="4864" width="15.7109375" style="1" customWidth="1"/>
    <col min="4865" max="4865" width="47.28515625" style="1" customWidth="1"/>
    <col min="4866" max="4871" width="13.28515625" style="1" customWidth="1"/>
    <col min="4872" max="5119" width="9.140625" style="1"/>
    <col min="5120" max="5120" width="15.7109375" style="1" customWidth="1"/>
    <col min="5121" max="5121" width="47.28515625" style="1" customWidth="1"/>
    <col min="5122" max="5127" width="13.28515625" style="1" customWidth="1"/>
    <col min="5128" max="5375" width="9.140625" style="1"/>
    <col min="5376" max="5376" width="15.7109375" style="1" customWidth="1"/>
    <col min="5377" max="5377" width="47.28515625" style="1" customWidth="1"/>
    <col min="5378" max="5383" width="13.28515625" style="1" customWidth="1"/>
    <col min="5384" max="5631" width="9.140625" style="1"/>
    <col min="5632" max="5632" width="15.7109375" style="1" customWidth="1"/>
    <col min="5633" max="5633" width="47.28515625" style="1" customWidth="1"/>
    <col min="5634" max="5639" width="13.28515625" style="1" customWidth="1"/>
    <col min="5640" max="5887" width="9.140625" style="1"/>
    <col min="5888" max="5888" width="15.7109375" style="1" customWidth="1"/>
    <col min="5889" max="5889" width="47.28515625" style="1" customWidth="1"/>
    <col min="5890" max="5895" width="13.28515625" style="1" customWidth="1"/>
    <col min="5896" max="6143" width="9.140625" style="1"/>
    <col min="6144" max="6144" width="15.7109375" style="1" customWidth="1"/>
    <col min="6145" max="6145" width="47.28515625" style="1" customWidth="1"/>
    <col min="6146" max="6151" width="13.28515625" style="1" customWidth="1"/>
    <col min="6152" max="6399" width="9.140625" style="1"/>
    <col min="6400" max="6400" width="15.7109375" style="1" customWidth="1"/>
    <col min="6401" max="6401" width="47.28515625" style="1" customWidth="1"/>
    <col min="6402" max="6407" width="13.28515625" style="1" customWidth="1"/>
    <col min="6408" max="6655" width="9.140625" style="1"/>
    <col min="6656" max="6656" width="15.7109375" style="1" customWidth="1"/>
    <col min="6657" max="6657" width="47.28515625" style="1" customWidth="1"/>
    <col min="6658" max="6663" width="13.28515625" style="1" customWidth="1"/>
    <col min="6664" max="6911" width="9.140625" style="1"/>
    <col min="6912" max="6912" width="15.7109375" style="1" customWidth="1"/>
    <col min="6913" max="6913" width="47.28515625" style="1" customWidth="1"/>
    <col min="6914" max="6919" width="13.28515625" style="1" customWidth="1"/>
    <col min="6920" max="7167" width="9.140625" style="1"/>
    <col min="7168" max="7168" width="15.7109375" style="1" customWidth="1"/>
    <col min="7169" max="7169" width="47.28515625" style="1" customWidth="1"/>
    <col min="7170" max="7175" width="13.28515625" style="1" customWidth="1"/>
    <col min="7176" max="7423" width="9.140625" style="1"/>
    <col min="7424" max="7424" width="15.7109375" style="1" customWidth="1"/>
    <col min="7425" max="7425" width="47.28515625" style="1" customWidth="1"/>
    <col min="7426" max="7431" width="13.28515625" style="1" customWidth="1"/>
    <col min="7432" max="7679" width="9.140625" style="1"/>
    <col min="7680" max="7680" width="15.7109375" style="1" customWidth="1"/>
    <col min="7681" max="7681" width="47.28515625" style="1" customWidth="1"/>
    <col min="7682" max="7687" width="13.28515625" style="1" customWidth="1"/>
    <col min="7688" max="7935" width="9.140625" style="1"/>
    <col min="7936" max="7936" width="15.7109375" style="1" customWidth="1"/>
    <col min="7937" max="7937" width="47.28515625" style="1" customWidth="1"/>
    <col min="7938" max="7943" width="13.28515625" style="1" customWidth="1"/>
    <col min="7944" max="8191" width="9.140625" style="1"/>
    <col min="8192" max="8192" width="15.7109375" style="1" customWidth="1"/>
    <col min="8193" max="8193" width="47.28515625" style="1" customWidth="1"/>
    <col min="8194" max="8199" width="13.28515625" style="1" customWidth="1"/>
    <col min="8200" max="8447" width="9.140625" style="1"/>
    <col min="8448" max="8448" width="15.7109375" style="1" customWidth="1"/>
    <col min="8449" max="8449" width="47.28515625" style="1" customWidth="1"/>
    <col min="8450" max="8455" width="13.28515625" style="1" customWidth="1"/>
    <col min="8456" max="8703" width="9.140625" style="1"/>
    <col min="8704" max="8704" width="15.7109375" style="1" customWidth="1"/>
    <col min="8705" max="8705" width="47.28515625" style="1" customWidth="1"/>
    <col min="8706" max="8711" width="13.28515625" style="1" customWidth="1"/>
    <col min="8712" max="8959" width="9.140625" style="1"/>
    <col min="8960" max="8960" width="15.7109375" style="1" customWidth="1"/>
    <col min="8961" max="8961" width="47.28515625" style="1" customWidth="1"/>
    <col min="8962" max="8967" width="13.28515625" style="1" customWidth="1"/>
    <col min="8968" max="9215" width="9.140625" style="1"/>
    <col min="9216" max="9216" width="15.7109375" style="1" customWidth="1"/>
    <col min="9217" max="9217" width="47.28515625" style="1" customWidth="1"/>
    <col min="9218" max="9223" width="13.28515625" style="1" customWidth="1"/>
    <col min="9224" max="9471" width="9.140625" style="1"/>
    <col min="9472" max="9472" width="15.7109375" style="1" customWidth="1"/>
    <col min="9473" max="9473" width="47.28515625" style="1" customWidth="1"/>
    <col min="9474" max="9479" width="13.28515625" style="1" customWidth="1"/>
    <col min="9480" max="9727" width="9.140625" style="1"/>
    <col min="9728" max="9728" width="15.7109375" style="1" customWidth="1"/>
    <col min="9729" max="9729" width="47.28515625" style="1" customWidth="1"/>
    <col min="9730" max="9735" width="13.28515625" style="1" customWidth="1"/>
    <col min="9736" max="9983" width="9.140625" style="1"/>
    <col min="9984" max="9984" width="15.7109375" style="1" customWidth="1"/>
    <col min="9985" max="9985" width="47.28515625" style="1" customWidth="1"/>
    <col min="9986" max="9991" width="13.28515625" style="1" customWidth="1"/>
    <col min="9992" max="10239" width="9.140625" style="1"/>
    <col min="10240" max="10240" width="15.7109375" style="1" customWidth="1"/>
    <col min="10241" max="10241" width="47.28515625" style="1" customWidth="1"/>
    <col min="10242" max="10247" width="13.28515625" style="1" customWidth="1"/>
    <col min="10248" max="10495" width="9.140625" style="1"/>
    <col min="10496" max="10496" width="15.7109375" style="1" customWidth="1"/>
    <col min="10497" max="10497" width="47.28515625" style="1" customWidth="1"/>
    <col min="10498" max="10503" width="13.28515625" style="1" customWidth="1"/>
    <col min="10504" max="10751" width="9.140625" style="1"/>
    <col min="10752" max="10752" width="15.7109375" style="1" customWidth="1"/>
    <col min="10753" max="10753" width="47.28515625" style="1" customWidth="1"/>
    <col min="10754" max="10759" width="13.28515625" style="1" customWidth="1"/>
    <col min="10760" max="11007" width="9.140625" style="1"/>
    <col min="11008" max="11008" width="15.7109375" style="1" customWidth="1"/>
    <col min="11009" max="11009" width="47.28515625" style="1" customWidth="1"/>
    <col min="11010" max="11015" width="13.28515625" style="1" customWidth="1"/>
    <col min="11016" max="11263" width="9.140625" style="1"/>
    <col min="11264" max="11264" width="15.7109375" style="1" customWidth="1"/>
    <col min="11265" max="11265" width="47.28515625" style="1" customWidth="1"/>
    <col min="11266" max="11271" width="13.28515625" style="1" customWidth="1"/>
    <col min="11272" max="11519" width="9.140625" style="1"/>
    <col min="11520" max="11520" width="15.7109375" style="1" customWidth="1"/>
    <col min="11521" max="11521" width="47.28515625" style="1" customWidth="1"/>
    <col min="11522" max="11527" width="13.28515625" style="1" customWidth="1"/>
    <col min="11528" max="11775" width="9.140625" style="1"/>
    <col min="11776" max="11776" width="15.7109375" style="1" customWidth="1"/>
    <col min="11777" max="11777" width="47.28515625" style="1" customWidth="1"/>
    <col min="11778" max="11783" width="13.28515625" style="1" customWidth="1"/>
    <col min="11784" max="12031" width="9.140625" style="1"/>
    <col min="12032" max="12032" width="15.7109375" style="1" customWidth="1"/>
    <col min="12033" max="12033" width="47.28515625" style="1" customWidth="1"/>
    <col min="12034" max="12039" width="13.28515625" style="1" customWidth="1"/>
    <col min="12040" max="12287" width="9.140625" style="1"/>
    <col min="12288" max="12288" width="15.7109375" style="1" customWidth="1"/>
    <col min="12289" max="12289" width="47.28515625" style="1" customWidth="1"/>
    <col min="12290" max="12295" width="13.28515625" style="1" customWidth="1"/>
    <col min="12296" max="12543" width="9.140625" style="1"/>
    <col min="12544" max="12544" width="15.7109375" style="1" customWidth="1"/>
    <col min="12545" max="12545" width="47.28515625" style="1" customWidth="1"/>
    <col min="12546" max="12551" width="13.28515625" style="1" customWidth="1"/>
    <col min="12552" max="12799" width="9.140625" style="1"/>
    <col min="12800" max="12800" width="15.7109375" style="1" customWidth="1"/>
    <col min="12801" max="12801" width="47.28515625" style="1" customWidth="1"/>
    <col min="12802" max="12807" width="13.28515625" style="1" customWidth="1"/>
    <col min="12808" max="13055" width="9.140625" style="1"/>
    <col min="13056" max="13056" width="15.7109375" style="1" customWidth="1"/>
    <col min="13057" max="13057" width="47.28515625" style="1" customWidth="1"/>
    <col min="13058" max="13063" width="13.28515625" style="1" customWidth="1"/>
    <col min="13064" max="13311" width="9.140625" style="1"/>
    <col min="13312" max="13312" width="15.7109375" style="1" customWidth="1"/>
    <col min="13313" max="13313" width="47.28515625" style="1" customWidth="1"/>
    <col min="13314" max="13319" width="13.28515625" style="1" customWidth="1"/>
    <col min="13320" max="13567" width="9.140625" style="1"/>
    <col min="13568" max="13568" width="15.7109375" style="1" customWidth="1"/>
    <col min="13569" max="13569" width="47.28515625" style="1" customWidth="1"/>
    <col min="13570" max="13575" width="13.28515625" style="1" customWidth="1"/>
    <col min="13576" max="13823" width="9.140625" style="1"/>
    <col min="13824" max="13824" width="15.7109375" style="1" customWidth="1"/>
    <col min="13825" max="13825" width="47.28515625" style="1" customWidth="1"/>
    <col min="13826" max="13831" width="13.28515625" style="1" customWidth="1"/>
    <col min="13832" max="14079" width="9.140625" style="1"/>
    <col min="14080" max="14080" width="15.7109375" style="1" customWidth="1"/>
    <col min="14081" max="14081" width="47.28515625" style="1" customWidth="1"/>
    <col min="14082" max="14087" width="13.28515625" style="1" customWidth="1"/>
    <col min="14088" max="14335" width="9.140625" style="1"/>
    <col min="14336" max="14336" width="15.7109375" style="1" customWidth="1"/>
    <col min="14337" max="14337" width="47.28515625" style="1" customWidth="1"/>
    <col min="14338" max="14343" width="13.28515625" style="1" customWidth="1"/>
    <col min="14344" max="14591" width="9.140625" style="1"/>
    <col min="14592" max="14592" width="15.7109375" style="1" customWidth="1"/>
    <col min="14593" max="14593" width="47.28515625" style="1" customWidth="1"/>
    <col min="14594" max="14599" width="13.28515625" style="1" customWidth="1"/>
    <col min="14600" max="14847" width="9.140625" style="1"/>
    <col min="14848" max="14848" width="15.7109375" style="1" customWidth="1"/>
    <col min="14849" max="14849" width="47.28515625" style="1" customWidth="1"/>
    <col min="14850" max="14855" width="13.28515625" style="1" customWidth="1"/>
    <col min="14856" max="15103" width="9.140625" style="1"/>
    <col min="15104" max="15104" width="15.7109375" style="1" customWidth="1"/>
    <col min="15105" max="15105" width="47.28515625" style="1" customWidth="1"/>
    <col min="15106" max="15111" width="13.28515625" style="1" customWidth="1"/>
    <col min="15112" max="15359" width="9.140625" style="1"/>
    <col min="15360" max="15360" width="15.7109375" style="1" customWidth="1"/>
    <col min="15361" max="15361" width="47.28515625" style="1" customWidth="1"/>
    <col min="15362" max="15367" width="13.28515625" style="1" customWidth="1"/>
    <col min="15368" max="15615" width="9.140625" style="1"/>
    <col min="15616" max="15616" width="15.7109375" style="1" customWidth="1"/>
    <col min="15617" max="15617" width="47.28515625" style="1" customWidth="1"/>
    <col min="15618" max="15623" width="13.28515625" style="1" customWidth="1"/>
    <col min="15624" max="15871" width="9.140625" style="1"/>
    <col min="15872" max="15872" width="15.7109375" style="1" customWidth="1"/>
    <col min="15873" max="15873" width="47.28515625" style="1" customWidth="1"/>
    <col min="15874" max="15879" width="13.28515625" style="1" customWidth="1"/>
    <col min="15880" max="16127" width="9.140625" style="1"/>
    <col min="16128" max="16128" width="15.7109375" style="1" customWidth="1"/>
    <col min="16129" max="16129" width="47.28515625" style="1" customWidth="1"/>
    <col min="16130" max="16135" width="13.28515625" style="1" customWidth="1"/>
    <col min="16136" max="16382" width="9.140625" style="1"/>
    <col min="16383" max="16384" width="8.85546875" style="1" customWidth="1"/>
  </cols>
  <sheetData>
    <row r="1" spans="1:8" ht="14.25" customHeight="1" x14ac:dyDescent="0.2">
      <c r="A1" s="111" t="s">
        <v>0</v>
      </c>
      <c r="B1" s="111"/>
      <c r="C1" s="111"/>
      <c r="D1" s="111"/>
      <c r="E1" s="111"/>
      <c r="F1" s="111"/>
      <c r="G1" s="111"/>
    </row>
    <row r="2" spans="1:8" ht="12.75" customHeight="1" x14ac:dyDescent="0.2">
      <c r="A2" s="112" t="s">
        <v>1</v>
      </c>
      <c r="B2" s="112"/>
      <c r="C2" s="112"/>
      <c r="D2" s="112"/>
      <c r="E2" s="112"/>
      <c r="F2" s="112"/>
      <c r="G2" s="112"/>
    </row>
    <row r="3" spans="1:8" ht="12.75" customHeight="1" x14ac:dyDescent="0.2">
      <c r="A3" s="2"/>
      <c r="B3" s="2"/>
      <c r="C3" s="2"/>
      <c r="D3" s="2"/>
      <c r="E3" s="2"/>
      <c r="F3" s="2"/>
      <c r="G3" s="2"/>
    </row>
    <row r="4" spans="1:8" s="3" customFormat="1" ht="15" customHeight="1" x14ac:dyDescent="0.2">
      <c r="A4" s="113" t="s">
        <v>2</v>
      </c>
      <c r="B4" s="113" t="s">
        <v>3</v>
      </c>
      <c r="C4" s="115" t="s">
        <v>4</v>
      </c>
      <c r="D4" s="115" t="s">
        <v>5</v>
      </c>
      <c r="E4" s="115" t="s">
        <v>6</v>
      </c>
      <c r="F4" s="115" t="s">
        <v>7</v>
      </c>
      <c r="G4" s="115"/>
      <c r="H4" s="1"/>
    </row>
    <row r="5" spans="1:8" ht="50.1" customHeight="1" x14ac:dyDescent="0.2">
      <c r="A5" s="114"/>
      <c r="B5" s="114"/>
      <c r="C5" s="115"/>
      <c r="D5" s="115"/>
      <c r="E5" s="115"/>
      <c r="F5" s="4" t="s">
        <v>8</v>
      </c>
      <c r="G5" s="4" t="s">
        <v>9</v>
      </c>
    </row>
    <row r="6" spans="1:8" x14ac:dyDescent="0.2">
      <c r="A6" s="5"/>
      <c r="B6" s="6"/>
      <c r="C6" s="7"/>
      <c r="D6" s="7"/>
      <c r="E6" s="7"/>
      <c r="F6" s="7"/>
      <c r="G6" s="8"/>
    </row>
    <row r="7" spans="1:8" ht="15" x14ac:dyDescent="0.2">
      <c r="A7" s="9"/>
      <c r="B7" s="10" t="s">
        <v>10</v>
      </c>
      <c r="C7" s="11">
        <v>1234.614</v>
      </c>
      <c r="D7" s="12">
        <v>86.467460000000003</v>
      </c>
      <c r="E7" s="13">
        <v>7.0036027454734837</v>
      </c>
      <c r="F7" s="12">
        <v>1092.377</v>
      </c>
      <c r="G7" s="14">
        <v>1376.8520000000001</v>
      </c>
      <c r="H7" s="15"/>
    </row>
    <row r="8" spans="1:8" x14ac:dyDescent="0.2">
      <c r="A8" s="16"/>
      <c r="B8" s="17"/>
      <c r="C8" s="18"/>
      <c r="D8" s="19"/>
      <c r="E8" s="20"/>
      <c r="F8" s="19"/>
      <c r="G8" s="21"/>
    </row>
    <row r="9" spans="1:8" s="28" customFormat="1" ht="15" x14ac:dyDescent="0.25">
      <c r="A9" s="22" t="s">
        <v>11</v>
      </c>
      <c r="B9" s="23" t="s">
        <v>12</v>
      </c>
      <c r="C9" s="24">
        <v>423.58440000000002</v>
      </c>
      <c r="D9" s="25">
        <v>34.607999999999997</v>
      </c>
      <c r="E9" s="26">
        <v>8.1702725596126768</v>
      </c>
      <c r="F9" s="25">
        <v>366.65480000000002</v>
      </c>
      <c r="G9" s="27">
        <v>480.51389999999998</v>
      </c>
      <c r="H9" s="15"/>
    </row>
    <row r="10" spans="1:8" ht="27" customHeight="1" x14ac:dyDescent="0.2">
      <c r="A10" s="29" t="s">
        <v>13</v>
      </c>
      <c r="B10" s="30" t="s">
        <v>14</v>
      </c>
      <c r="C10" s="31">
        <v>416.08710000000002</v>
      </c>
      <c r="D10" s="19">
        <v>35.769539999999999</v>
      </c>
      <c r="E10" s="20">
        <v>8.5966471923787111</v>
      </c>
      <c r="F10" s="19">
        <v>357.24680000000001</v>
      </c>
      <c r="G10" s="21">
        <v>474.92739999999998</v>
      </c>
      <c r="H10" s="15"/>
    </row>
    <row r="11" spans="1:8" x14ac:dyDescent="0.2">
      <c r="A11" s="29" t="s">
        <v>15</v>
      </c>
      <c r="B11" s="30" t="s">
        <v>16</v>
      </c>
      <c r="C11" s="31">
        <v>472.50799999999998</v>
      </c>
      <c r="D11" s="19">
        <v>122.79430000000001</v>
      </c>
      <c r="E11" s="20">
        <v>25.987771635612521</v>
      </c>
      <c r="F11" s="19">
        <v>270.51350000000002</v>
      </c>
      <c r="G11" s="21">
        <v>674.50250000000005</v>
      </c>
      <c r="H11" s="15"/>
    </row>
    <row r="12" spans="1:8" x14ac:dyDescent="0.2">
      <c r="A12" s="32"/>
      <c r="B12" s="30"/>
      <c r="C12" s="33"/>
      <c r="D12" s="19"/>
      <c r="E12" s="20"/>
      <c r="F12" s="19"/>
      <c r="G12" s="21"/>
    </row>
    <row r="13" spans="1:8" s="28" customFormat="1" ht="13.5" customHeight="1" x14ac:dyDescent="0.25">
      <c r="A13" s="34" t="s">
        <v>17</v>
      </c>
      <c r="B13" s="23" t="s">
        <v>18</v>
      </c>
      <c r="C13" s="24">
        <v>876.88739999999996</v>
      </c>
      <c r="D13" s="25">
        <v>109.64790000000001</v>
      </c>
      <c r="E13" s="26">
        <v>12.504216618918235</v>
      </c>
      <c r="F13" s="25">
        <v>696.51850000000002</v>
      </c>
      <c r="G13" s="27">
        <v>1057.2560000000001</v>
      </c>
      <c r="H13" s="15"/>
    </row>
    <row r="14" spans="1:8" ht="42.75" x14ac:dyDescent="0.2">
      <c r="A14" s="29" t="s">
        <v>19</v>
      </c>
      <c r="B14" s="30" t="s">
        <v>20</v>
      </c>
      <c r="C14" s="35">
        <v>1095.364</v>
      </c>
      <c r="D14" s="36">
        <v>80.130470000000003</v>
      </c>
      <c r="E14" s="37">
        <f>IF(C14&lt;&gt;"",D14/C14*100,"")</f>
        <v>7.3154193491843804</v>
      </c>
      <c r="F14" s="36">
        <v>963.55110000000002</v>
      </c>
      <c r="G14" s="38">
        <v>1227.1780000000001</v>
      </c>
      <c r="H14" s="15"/>
    </row>
    <row r="15" spans="1:8" x14ac:dyDescent="0.2">
      <c r="A15" s="29" t="s">
        <v>21</v>
      </c>
      <c r="B15" s="30" t="s">
        <v>22</v>
      </c>
      <c r="C15" s="35">
        <v>862.56050000000005</v>
      </c>
      <c r="D15" s="36">
        <v>144.70320000000001</v>
      </c>
      <c r="E15" s="37">
        <f>IF(C15&lt;&gt;"",D15/C15*100,"")</f>
        <v>16.776005856980465</v>
      </c>
      <c r="F15" s="36">
        <v>624.52610000000004</v>
      </c>
      <c r="G15" s="38">
        <v>1100.595</v>
      </c>
      <c r="H15" s="15"/>
    </row>
    <row r="16" spans="1:8" x14ac:dyDescent="0.2">
      <c r="A16" s="29" t="s">
        <v>23</v>
      </c>
      <c r="B16" s="30" t="s">
        <v>24</v>
      </c>
      <c r="C16" s="35">
        <v>683.13239999999996</v>
      </c>
      <c r="D16" s="36">
        <v>148.26150000000001</v>
      </c>
      <c r="E16" s="37">
        <f>IF(C16&lt;&gt;"",D16/C16*100,"")</f>
        <v>21.703186673622863</v>
      </c>
      <c r="F16" s="36">
        <v>439.24489999999997</v>
      </c>
      <c r="G16" s="38">
        <v>927.02</v>
      </c>
      <c r="H16" s="15"/>
    </row>
    <row r="17" spans="1:8" x14ac:dyDescent="0.2">
      <c r="A17" s="16"/>
      <c r="B17" s="30"/>
      <c r="C17" s="39"/>
      <c r="D17" s="40"/>
      <c r="E17" s="41"/>
      <c r="F17" s="40"/>
      <c r="G17" s="42"/>
    </row>
    <row r="18" spans="1:8" s="28" customFormat="1" ht="15" x14ac:dyDescent="0.25">
      <c r="A18" s="34" t="s">
        <v>25</v>
      </c>
      <c r="B18" s="23" t="s">
        <v>26</v>
      </c>
      <c r="C18" s="24">
        <v>763.65930000000003</v>
      </c>
      <c r="D18" s="25">
        <v>50.625929999999997</v>
      </c>
      <c r="E18" s="26">
        <v>6.6293869530561604</v>
      </c>
      <c r="F18" s="25">
        <v>680.38049999999998</v>
      </c>
      <c r="G18" s="27">
        <v>846.93809999999996</v>
      </c>
      <c r="H18" s="15"/>
    </row>
    <row r="19" spans="1:8" x14ac:dyDescent="0.2">
      <c r="A19" s="29" t="s">
        <v>27</v>
      </c>
      <c r="B19" s="43" t="s">
        <v>28</v>
      </c>
      <c r="C19" s="35">
        <v>423.82960000000003</v>
      </c>
      <c r="D19" s="36">
        <v>48.942030000000003</v>
      </c>
      <c r="E19" s="37">
        <f t="shared" ref="E19:E29" si="0">IF(C19&lt;&gt;"",D19/C19*100,"")</f>
        <v>11.547572420614321</v>
      </c>
      <c r="F19" s="36">
        <v>343.32080000000002</v>
      </c>
      <c r="G19" s="38">
        <v>504.33839999999998</v>
      </c>
      <c r="H19" s="44"/>
    </row>
    <row r="20" spans="1:8" x14ac:dyDescent="0.2">
      <c r="A20" s="29" t="s">
        <v>29</v>
      </c>
      <c r="B20" s="43" t="s">
        <v>30</v>
      </c>
      <c r="C20" s="35">
        <v>174.2774</v>
      </c>
      <c r="D20" s="36">
        <v>79.762919999999994</v>
      </c>
      <c r="E20" s="37">
        <f t="shared" si="0"/>
        <v>45.767793184887992</v>
      </c>
      <c r="F20" s="36">
        <v>43.068710000000003</v>
      </c>
      <c r="G20" s="38">
        <v>305.48599999999999</v>
      </c>
      <c r="H20" s="44"/>
    </row>
    <row r="21" spans="1:8" x14ac:dyDescent="0.2">
      <c r="A21" s="29" t="s">
        <v>31</v>
      </c>
      <c r="B21" s="43" t="s">
        <v>32</v>
      </c>
      <c r="C21" s="35">
        <v>605.42999999999995</v>
      </c>
      <c r="D21" s="36">
        <v>105.378</v>
      </c>
      <c r="E21" s="37">
        <f t="shared" si="0"/>
        <v>17.405480402358656</v>
      </c>
      <c r="F21" s="36">
        <v>432.0849</v>
      </c>
      <c r="G21" s="38">
        <v>778.77499999999998</v>
      </c>
      <c r="H21" s="44"/>
    </row>
    <row r="22" spans="1:8" x14ac:dyDescent="0.2">
      <c r="A22" s="29" t="s">
        <v>33</v>
      </c>
      <c r="B22" s="43" t="s">
        <v>34</v>
      </c>
      <c r="C22" s="35">
        <v>394.55439999999999</v>
      </c>
      <c r="D22" s="36">
        <v>239.77369999999999</v>
      </c>
      <c r="E22" s="37">
        <f t="shared" si="0"/>
        <v>60.770758100784072</v>
      </c>
      <c r="F22" s="36">
        <v>0.13066620000000001</v>
      </c>
      <c r="G22" s="38">
        <v>788.97810000000004</v>
      </c>
      <c r="H22" s="44"/>
    </row>
    <row r="23" spans="1:8" x14ac:dyDescent="0.2">
      <c r="A23" s="29" t="s">
        <v>35</v>
      </c>
      <c r="B23" s="43" t="s">
        <v>36</v>
      </c>
      <c r="C23" s="35">
        <v>289.52449999999999</v>
      </c>
      <c r="D23" s="36">
        <v>67.051680000000005</v>
      </c>
      <c r="E23" s="37">
        <f t="shared" si="0"/>
        <v>23.159242136675829</v>
      </c>
      <c r="F23" s="36">
        <v>179.22559999999999</v>
      </c>
      <c r="G23" s="38">
        <v>399.82330000000002</v>
      </c>
      <c r="H23" s="44"/>
    </row>
    <row r="24" spans="1:8" ht="15.95" customHeight="1" x14ac:dyDescent="0.2">
      <c r="A24" s="29" t="s">
        <v>37</v>
      </c>
      <c r="B24" s="43" t="s">
        <v>38</v>
      </c>
      <c r="C24" s="35">
        <v>585.09789999999998</v>
      </c>
      <c r="D24" s="36">
        <v>323.6474</v>
      </c>
      <c r="E24" s="37">
        <f t="shared" si="0"/>
        <v>55.315084877248758</v>
      </c>
      <c r="F24" s="36">
        <v>52.703389999999999</v>
      </c>
      <c r="G24" s="38">
        <v>1117.492</v>
      </c>
      <c r="H24" s="44"/>
    </row>
    <row r="25" spans="1:8" ht="55.5" customHeight="1" x14ac:dyDescent="0.2">
      <c r="A25" s="29" t="s">
        <v>39</v>
      </c>
      <c r="B25" s="43" t="s">
        <v>40</v>
      </c>
      <c r="C25" s="35">
        <v>245.60409999999999</v>
      </c>
      <c r="D25" s="36">
        <v>157.41720000000001</v>
      </c>
      <c r="E25" s="37">
        <f t="shared" si="0"/>
        <v>64.093881168921868</v>
      </c>
      <c r="F25" s="36">
        <v>-13.3445</v>
      </c>
      <c r="G25" s="38">
        <v>504.55270000000002</v>
      </c>
      <c r="H25" s="44"/>
    </row>
    <row r="26" spans="1:8" x14ac:dyDescent="0.2">
      <c r="A26" s="29" t="s">
        <v>41</v>
      </c>
      <c r="B26" s="43" t="s">
        <v>42</v>
      </c>
      <c r="C26" s="35">
        <v>791.46619999999996</v>
      </c>
      <c r="D26" s="36">
        <v>155.58869999999999</v>
      </c>
      <c r="E26" s="37">
        <f t="shared" si="0"/>
        <v>19.658287365903941</v>
      </c>
      <c r="F26" s="36">
        <v>535.52539999999999</v>
      </c>
      <c r="G26" s="38">
        <v>1047.4069999999999</v>
      </c>
      <c r="H26" s="44"/>
    </row>
    <row r="27" spans="1:8" x14ac:dyDescent="0.2">
      <c r="A27" s="29" t="s">
        <v>43</v>
      </c>
      <c r="B27" s="43" t="s">
        <v>44</v>
      </c>
      <c r="C27" s="35">
        <v>460.20260000000002</v>
      </c>
      <c r="D27" s="36">
        <v>141.36089999999999</v>
      </c>
      <c r="E27" s="37">
        <f t="shared" si="0"/>
        <v>30.71710155483693</v>
      </c>
      <c r="F27" s="36">
        <v>227.66630000000001</v>
      </c>
      <c r="G27" s="38">
        <v>692.73879999999997</v>
      </c>
      <c r="H27" s="44"/>
    </row>
    <row r="28" spans="1:8" ht="25.5" customHeight="1" x14ac:dyDescent="0.2">
      <c r="A28" s="29" t="s">
        <v>45</v>
      </c>
      <c r="B28" s="43" t="s">
        <v>46</v>
      </c>
      <c r="C28" s="35">
        <v>420.17939999999999</v>
      </c>
      <c r="D28" s="36">
        <v>224.06139999999999</v>
      </c>
      <c r="E28" s="37">
        <f t="shared" si="0"/>
        <v>53.325174913382234</v>
      </c>
      <c r="F28" s="36">
        <v>51.602220000000003</v>
      </c>
      <c r="G28" s="38">
        <v>788.75660000000005</v>
      </c>
      <c r="H28" s="44"/>
    </row>
    <row r="29" spans="1:8" ht="11.25" customHeight="1" x14ac:dyDescent="0.2">
      <c r="A29" s="29" t="s">
        <v>47</v>
      </c>
      <c r="B29" s="43" t="s">
        <v>48</v>
      </c>
      <c r="C29" s="35">
        <v>1009.508</v>
      </c>
      <c r="D29" s="36">
        <v>167.49959999999999</v>
      </c>
      <c r="E29" s="37">
        <f t="shared" si="0"/>
        <v>16.592201349568303</v>
      </c>
      <c r="F29" s="36">
        <v>733.97370000000001</v>
      </c>
      <c r="G29" s="38">
        <v>1285.0419999999999</v>
      </c>
      <c r="H29" s="44"/>
    </row>
    <row r="30" spans="1:8" x14ac:dyDescent="0.2">
      <c r="A30" s="45"/>
      <c r="B30" s="46"/>
      <c r="C30" s="47"/>
      <c r="D30" s="48"/>
      <c r="E30" s="48"/>
      <c r="F30" s="48"/>
      <c r="G30" s="49"/>
    </row>
    <row r="31" spans="1:8" ht="18" customHeight="1" x14ac:dyDescent="0.2">
      <c r="A31" s="50"/>
      <c r="C31" s="50"/>
      <c r="D31" s="52"/>
      <c r="E31" s="52"/>
      <c r="F31" s="52"/>
      <c r="G31" s="52"/>
    </row>
    <row r="32" spans="1:8" ht="30" customHeight="1" x14ac:dyDescent="0.2">
      <c r="A32" s="111" t="s">
        <v>49</v>
      </c>
      <c r="B32" s="111"/>
      <c r="C32" s="111"/>
      <c r="D32" s="111"/>
      <c r="E32" s="111"/>
      <c r="F32" s="111"/>
      <c r="G32" s="111"/>
    </row>
    <row r="33" spans="1:8" ht="12.75" customHeight="1" x14ac:dyDescent="0.2">
      <c r="A33" s="112" t="s">
        <v>1</v>
      </c>
      <c r="B33" s="112"/>
      <c r="C33" s="112"/>
      <c r="D33" s="112"/>
      <c r="E33" s="112"/>
      <c r="F33" s="112"/>
      <c r="G33" s="112"/>
    </row>
    <row r="34" spans="1:8" ht="12.75" customHeight="1" x14ac:dyDescent="0.2">
      <c r="A34" s="2"/>
      <c r="B34" s="2"/>
      <c r="C34" s="2"/>
      <c r="D34" s="2"/>
      <c r="E34" s="2"/>
      <c r="F34" s="2"/>
      <c r="G34" s="2"/>
    </row>
    <row r="35" spans="1:8" s="3" customFormat="1" ht="15" customHeight="1" x14ac:dyDescent="0.2">
      <c r="A35" s="113" t="s">
        <v>2</v>
      </c>
      <c r="B35" s="113" t="s">
        <v>3</v>
      </c>
      <c r="C35" s="115" t="s">
        <v>50</v>
      </c>
      <c r="D35" s="115" t="s">
        <v>5</v>
      </c>
      <c r="E35" s="115" t="s">
        <v>6</v>
      </c>
      <c r="F35" s="115" t="s">
        <v>7</v>
      </c>
      <c r="G35" s="115"/>
      <c r="H35" s="1"/>
    </row>
    <row r="36" spans="1:8" ht="50.1" customHeight="1" x14ac:dyDescent="0.2">
      <c r="A36" s="114"/>
      <c r="B36" s="114"/>
      <c r="C36" s="115"/>
      <c r="D36" s="115"/>
      <c r="E36" s="115"/>
      <c r="F36" s="4" t="s">
        <v>8</v>
      </c>
      <c r="G36" s="4" t="s">
        <v>9</v>
      </c>
    </row>
    <row r="37" spans="1:8" x14ac:dyDescent="0.2">
      <c r="A37" s="53"/>
      <c r="B37" s="54"/>
      <c r="C37" s="55"/>
      <c r="D37" s="56"/>
      <c r="E37" s="56"/>
      <c r="F37" s="56"/>
      <c r="G37" s="57"/>
    </row>
    <row r="38" spans="1:8" ht="42.75" x14ac:dyDescent="0.2">
      <c r="A38" s="29" t="s">
        <v>51</v>
      </c>
      <c r="B38" s="30" t="s">
        <v>52</v>
      </c>
      <c r="C38" s="35">
        <v>607.45399999999995</v>
      </c>
      <c r="D38" s="35">
        <v>163.0735</v>
      </c>
      <c r="E38" s="58">
        <f t="shared" ref="E38:E51" si="1">IF(C38&lt;&gt;"",D38/C38*100,"")</f>
        <v>26.845407224250728</v>
      </c>
      <c r="F38" s="35">
        <v>339.20089999999999</v>
      </c>
      <c r="G38" s="59">
        <v>875.70709999999997</v>
      </c>
      <c r="H38" s="15"/>
    </row>
    <row r="39" spans="1:8" ht="14.25" customHeight="1" x14ac:dyDescent="0.2">
      <c r="A39" s="29" t="s">
        <v>53</v>
      </c>
      <c r="B39" s="30" t="s">
        <v>54</v>
      </c>
      <c r="C39" s="35">
        <v>565.13040000000001</v>
      </c>
      <c r="D39" s="35">
        <v>97.849059999999994</v>
      </c>
      <c r="E39" s="58">
        <f t="shared" si="1"/>
        <v>17.31442159190162</v>
      </c>
      <c r="F39" s="35">
        <v>404.17039999999997</v>
      </c>
      <c r="G39" s="59">
        <v>726.09040000000005</v>
      </c>
      <c r="H39" s="15"/>
    </row>
    <row r="40" spans="1:8" x14ac:dyDescent="0.2">
      <c r="A40" s="29" t="s">
        <v>55</v>
      </c>
      <c r="B40" s="30" t="s">
        <v>56</v>
      </c>
      <c r="C40" s="35">
        <v>1283.3869999999999</v>
      </c>
      <c r="D40" s="35">
        <v>189.90459999999999</v>
      </c>
      <c r="E40" s="58">
        <f t="shared" si="1"/>
        <v>14.797142249376064</v>
      </c>
      <c r="F40" s="35">
        <v>970.99710000000005</v>
      </c>
      <c r="G40" s="59">
        <v>1595.777</v>
      </c>
      <c r="H40" s="15"/>
    </row>
    <row r="41" spans="1:8" ht="14.1" customHeight="1" x14ac:dyDescent="0.2">
      <c r="A41" s="29" t="s">
        <v>57</v>
      </c>
      <c r="B41" s="30" t="s">
        <v>58</v>
      </c>
      <c r="C41" s="35">
        <v>517.77030000000002</v>
      </c>
      <c r="D41" s="35">
        <v>121.49079999999999</v>
      </c>
      <c r="E41" s="58">
        <f t="shared" si="1"/>
        <v>23.464227283797463</v>
      </c>
      <c r="F41" s="35">
        <v>317.92</v>
      </c>
      <c r="G41" s="59">
        <v>717.62059999999997</v>
      </c>
      <c r="H41" s="15"/>
    </row>
    <row r="42" spans="1:8" x14ac:dyDescent="0.2">
      <c r="A42" s="29" t="s">
        <v>59</v>
      </c>
      <c r="B42" s="30" t="s">
        <v>60</v>
      </c>
      <c r="C42" s="35">
        <v>897.37519999999995</v>
      </c>
      <c r="D42" s="35">
        <v>239.8511</v>
      </c>
      <c r="E42" s="58">
        <f t="shared" si="1"/>
        <v>26.728073162708309</v>
      </c>
      <c r="F42" s="35">
        <v>502.82429999999999</v>
      </c>
      <c r="G42" s="59">
        <v>1291.9259999999999</v>
      </c>
      <c r="H42" s="15"/>
    </row>
    <row r="43" spans="1:8" ht="42.75" x14ac:dyDescent="0.2">
      <c r="A43" s="29" t="s">
        <v>61</v>
      </c>
      <c r="B43" s="30" t="s">
        <v>62</v>
      </c>
      <c r="C43" s="35">
        <v>1311.213</v>
      </c>
      <c r="D43" s="35">
        <v>248.79300000000001</v>
      </c>
      <c r="E43" s="58">
        <f t="shared" si="1"/>
        <v>18.974262762800553</v>
      </c>
      <c r="F43" s="35">
        <v>901.95249999999999</v>
      </c>
      <c r="G43" s="59">
        <v>1720.473</v>
      </c>
      <c r="H43" s="15"/>
    </row>
    <row r="44" spans="1:8" ht="28.5" x14ac:dyDescent="0.2">
      <c r="A44" s="29" t="s">
        <v>63</v>
      </c>
      <c r="B44" s="30" t="s">
        <v>64</v>
      </c>
      <c r="C44" s="35">
        <v>911.298</v>
      </c>
      <c r="D44" s="35">
        <v>282.02339999999998</v>
      </c>
      <c r="E44" s="58">
        <f t="shared" si="1"/>
        <v>30.947439805639863</v>
      </c>
      <c r="F44" s="35">
        <v>447.37439999999998</v>
      </c>
      <c r="G44" s="59">
        <v>1375.222</v>
      </c>
      <c r="H44" s="15"/>
    </row>
    <row r="45" spans="1:8" ht="15" customHeight="1" x14ac:dyDescent="0.2">
      <c r="A45" s="29" t="s">
        <v>65</v>
      </c>
      <c r="B45" s="30" t="s">
        <v>66</v>
      </c>
      <c r="C45" s="35">
        <v>672.90030000000002</v>
      </c>
      <c r="D45" s="35">
        <v>169.9556</v>
      </c>
      <c r="E45" s="58">
        <f t="shared" si="1"/>
        <v>25.257174056840221</v>
      </c>
      <c r="F45" s="35">
        <v>393.3263</v>
      </c>
      <c r="G45" s="59">
        <v>952.47439999999995</v>
      </c>
      <c r="H45" s="15"/>
    </row>
    <row r="46" spans="1:8" ht="15" customHeight="1" x14ac:dyDescent="0.2">
      <c r="A46" s="29" t="s">
        <v>67</v>
      </c>
      <c r="B46" s="30" t="s">
        <v>68</v>
      </c>
      <c r="C46" s="35">
        <v>834.63689999999997</v>
      </c>
      <c r="D46" s="35">
        <v>185.9761</v>
      </c>
      <c r="E46" s="58">
        <f t="shared" si="1"/>
        <v>22.282276280859378</v>
      </c>
      <c r="F46" s="35">
        <v>528.70950000000005</v>
      </c>
      <c r="G46" s="59">
        <v>1140.5640000000001</v>
      </c>
      <c r="H46" s="15"/>
    </row>
    <row r="47" spans="1:8" ht="27" customHeight="1" x14ac:dyDescent="0.2">
      <c r="A47" s="29" t="s">
        <v>69</v>
      </c>
      <c r="B47" s="30" t="s">
        <v>70</v>
      </c>
      <c r="C47" s="35">
        <v>1823.28</v>
      </c>
      <c r="D47" s="35">
        <v>629.37210000000005</v>
      </c>
      <c r="E47" s="58">
        <f t="shared" si="1"/>
        <v>34.518675134921686</v>
      </c>
      <c r="F47" s="35">
        <v>787.9742</v>
      </c>
      <c r="G47" s="59">
        <v>2858.587</v>
      </c>
      <c r="H47" s="15"/>
    </row>
    <row r="48" spans="1:8" ht="27.75" customHeight="1" x14ac:dyDescent="0.2">
      <c r="A48" s="29" t="s">
        <v>71</v>
      </c>
      <c r="B48" s="30" t="s">
        <v>72</v>
      </c>
      <c r="C48" s="35">
        <v>3637.873</v>
      </c>
      <c r="D48" s="35">
        <v>1186.6310000000001</v>
      </c>
      <c r="E48" s="58">
        <f t="shared" si="1"/>
        <v>32.618813246091882</v>
      </c>
      <c r="F48" s="35">
        <v>1685.885</v>
      </c>
      <c r="G48" s="59">
        <v>5589.8609999999999</v>
      </c>
      <c r="H48" s="15"/>
    </row>
    <row r="49" spans="1:8" x14ac:dyDescent="0.2">
      <c r="A49" s="29" t="s">
        <v>73</v>
      </c>
      <c r="B49" s="30" t="s">
        <v>74</v>
      </c>
      <c r="C49" s="35">
        <v>926.90989999999999</v>
      </c>
      <c r="D49" s="35">
        <v>167.7851</v>
      </c>
      <c r="E49" s="58">
        <f t="shared" si="1"/>
        <v>18.10155442292719</v>
      </c>
      <c r="F49" s="35">
        <v>650.90620000000001</v>
      </c>
      <c r="G49" s="59">
        <v>1202.914</v>
      </c>
      <c r="H49" s="15"/>
    </row>
    <row r="50" spans="1:8" x14ac:dyDescent="0.2">
      <c r="A50" s="29" t="s">
        <v>75</v>
      </c>
      <c r="B50" s="30" t="s">
        <v>76</v>
      </c>
      <c r="C50" s="35">
        <v>785.71259999999995</v>
      </c>
      <c r="D50" s="35">
        <v>83.795689999999993</v>
      </c>
      <c r="E50" s="58">
        <f t="shared" si="1"/>
        <v>10.664928881120145</v>
      </c>
      <c r="F50" s="35">
        <v>647.87009999999998</v>
      </c>
      <c r="G50" s="59">
        <v>923.55510000000004</v>
      </c>
      <c r="H50" s="15"/>
    </row>
    <row r="51" spans="1:8" ht="28.5" x14ac:dyDescent="0.2">
      <c r="A51" s="29" t="s">
        <v>77</v>
      </c>
      <c r="B51" s="30" t="s">
        <v>78</v>
      </c>
      <c r="C51" s="35">
        <v>1104.5940000000001</v>
      </c>
      <c r="D51" s="35">
        <v>235.14359999999999</v>
      </c>
      <c r="E51" s="58">
        <f t="shared" si="1"/>
        <v>21.28778537634642</v>
      </c>
      <c r="F51" s="35">
        <v>717.78650000000005</v>
      </c>
      <c r="G51" s="59">
        <v>1491.4010000000001</v>
      </c>
      <c r="H51" s="15"/>
    </row>
    <row r="52" spans="1:8" ht="15" x14ac:dyDescent="0.2">
      <c r="A52" s="16"/>
      <c r="B52" s="30"/>
      <c r="C52" s="39"/>
      <c r="D52" s="25"/>
      <c r="E52" s="26"/>
      <c r="F52" s="25"/>
      <c r="G52" s="21"/>
    </row>
    <row r="53" spans="1:8" s="28" customFormat="1" ht="27" customHeight="1" x14ac:dyDescent="0.25">
      <c r="A53" s="34" t="s">
        <v>79</v>
      </c>
      <c r="B53" s="23" t="s">
        <v>80</v>
      </c>
      <c r="C53" s="60">
        <v>4126.723</v>
      </c>
      <c r="D53" s="60">
        <v>1411.423</v>
      </c>
      <c r="E53" s="61">
        <f>IF(C53&lt;&gt;"",D53/C53*100,"")</f>
        <v>34.202029067616117</v>
      </c>
      <c r="F53" s="60">
        <v>1804.9559999999999</v>
      </c>
      <c r="G53" s="62">
        <v>6448.491</v>
      </c>
      <c r="H53" s="15"/>
    </row>
    <row r="54" spans="1:8" s="28" customFormat="1" ht="15" x14ac:dyDescent="0.25">
      <c r="A54" s="63"/>
      <c r="B54" s="23"/>
      <c r="C54" s="39"/>
      <c r="D54" s="25"/>
      <c r="E54" s="26"/>
      <c r="F54" s="25"/>
      <c r="G54" s="27"/>
    </row>
    <row r="55" spans="1:8" s="28" customFormat="1" ht="27" customHeight="1" x14ac:dyDescent="0.25">
      <c r="A55" s="34" t="s">
        <v>81</v>
      </c>
      <c r="B55" s="23" t="s">
        <v>82</v>
      </c>
      <c r="C55" s="60">
        <v>1237.7950000000001</v>
      </c>
      <c r="D55" s="60">
        <v>60.723100000000002</v>
      </c>
      <c r="E55" s="61">
        <f>IF(C55&lt;&gt;"",D55/C55*100,"")</f>
        <v>4.9057477207453575</v>
      </c>
      <c r="F55" s="60">
        <v>1137.9069999999999</v>
      </c>
      <c r="G55" s="62">
        <v>1337.684</v>
      </c>
      <c r="H55" s="15"/>
    </row>
    <row r="56" spans="1:8" x14ac:dyDescent="0.2">
      <c r="A56" s="29" t="s">
        <v>83</v>
      </c>
      <c r="B56" s="30" t="s">
        <v>84</v>
      </c>
      <c r="C56" s="35">
        <v>1142.5350000000001</v>
      </c>
      <c r="D56" s="35">
        <v>63.307690000000001</v>
      </c>
      <c r="E56" s="58">
        <f>IF(C56&lt;&gt;"",D56/C56*100,"")</f>
        <v>5.5409847400736085</v>
      </c>
      <c r="F56" s="35">
        <v>1038.395</v>
      </c>
      <c r="G56" s="59">
        <v>1246.675</v>
      </c>
      <c r="H56" s="15"/>
    </row>
    <row r="57" spans="1:8" ht="43.5" customHeight="1" x14ac:dyDescent="0.2">
      <c r="A57" s="29" t="s">
        <v>85</v>
      </c>
      <c r="B57" s="30" t="s">
        <v>86</v>
      </c>
      <c r="C57" s="35">
        <v>1672.933</v>
      </c>
      <c r="D57" s="35">
        <v>208.65860000000001</v>
      </c>
      <c r="E57" s="58">
        <f>IF(C57&lt;&gt;"",D57/C57*100,"")</f>
        <v>12.472621437917718</v>
      </c>
      <c r="F57" s="35">
        <v>1329.693</v>
      </c>
      <c r="G57" s="59">
        <v>2016.172</v>
      </c>
      <c r="H57" s="15"/>
    </row>
    <row r="58" spans="1:8" ht="5.25" customHeight="1" x14ac:dyDescent="0.2">
      <c r="A58" s="45"/>
      <c r="B58" s="46"/>
      <c r="C58" s="47"/>
      <c r="D58" s="48"/>
      <c r="E58" s="48"/>
      <c r="F58" s="48"/>
      <c r="G58" s="64"/>
    </row>
    <row r="59" spans="1:8" ht="18" customHeight="1" x14ac:dyDescent="0.2">
      <c r="A59" s="50"/>
      <c r="B59" s="65"/>
      <c r="C59" s="50"/>
      <c r="D59" s="66"/>
      <c r="E59" s="66"/>
      <c r="F59" s="66"/>
      <c r="G59" s="66"/>
    </row>
    <row r="60" spans="1:8" ht="34.5" customHeight="1" x14ac:dyDescent="0.2">
      <c r="A60" s="111" t="s">
        <v>49</v>
      </c>
      <c r="B60" s="111"/>
      <c r="C60" s="111"/>
      <c r="D60" s="111"/>
      <c r="E60" s="111"/>
      <c r="F60" s="111"/>
      <c r="G60" s="111"/>
    </row>
    <row r="61" spans="1:8" ht="12.75" customHeight="1" x14ac:dyDescent="0.2">
      <c r="A61" s="112" t="s">
        <v>1</v>
      </c>
      <c r="B61" s="112"/>
      <c r="C61" s="112"/>
      <c r="D61" s="112"/>
      <c r="E61" s="112"/>
      <c r="F61" s="112"/>
      <c r="G61" s="112"/>
    </row>
    <row r="62" spans="1:8" ht="12.75" customHeight="1" x14ac:dyDescent="0.2">
      <c r="A62" s="2"/>
      <c r="B62" s="2"/>
      <c r="C62" s="2"/>
      <c r="D62" s="67"/>
      <c r="E62" s="67"/>
      <c r="F62" s="67"/>
      <c r="G62" s="67"/>
    </row>
    <row r="63" spans="1:8" s="3" customFormat="1" ht="15" customHeight="1" x14ac:dyDescent="0.2">
      <c r="A63" s="113" t="s">
        <v>2</v>
      </c>
      <c r="B63" s="113" t="s">
        <v>3</v>
      </c>
      <c r="C63" s="115" t="s">
        <v>50</v>
      </c>
      <c r="D63" s="115" t="s">
        <v>5</v>
      </c>
      <c r="E63" s="115" t="s">
        <v>6</v>
      </c>
      <c r="F63" s="115" t="s">
        <v>7</v>
      </c>
      <c r="G63" s="115"/>
      <c r="H63" s="1"/>
    </row>
    <row r="64" spans="1:8" ht="50.1" customHeight="1" x14ac:dyDescent="0.2">
      <c r="A64" s="114"/>
      <c r="B64" s="114"/>
      <c r="C64" s="115"/>
      <c r="D64" s="115"/>
      <c r="E64" s="115"/>
      <c r="F64" s="4" t="s">
        <v>8</v>
      </c>
      <c r="G64" s="4" t="s">
        <v>9</v>
      </c>
    </row>
    <row r="65" spans="1:8" x14ac:dyDescent="0.2">
      <c r="A65" s="53"/>
      <c r="B65" s="54"/>
      <c r="C65" s="68"/>
      <c r="D65" s="55"/>
      <c r="E65" s="55"/>
      <c r="F65" s="55"/>
      <c r="G65" s="57"/>
    </row>
    <row r="66" spans="1:8" s="28" customFormat="1" ht="15" x14ac:dyDescent="0.25">
      <c r="A66" s="34" t="s">
        <v>87</v>
      </c>
      <c r="B66" s="23" t="s">
        <v>88</v>
      </c>
      <c r="C66" s="60">
        <v>674.17259999999999</v>
      </c>
      <c r="D66" s="60">
        <v>76.512680000000003</v>
      </c>
      <c r="E66" s="61">
        <f>IF(C66&lt;&gt;"",D66/C66*100,"")</f>
        <v>11.349123355057742</v>
      </c>
      <c r="F66" s="60">
        <v>548.31060000000002</v>
      </c>
      <c r="G66" s="62">
        <v>800.03470000000004</v>
      </c>
      <c r="H66" s="15"/>
    </row>
    <row r="67" spans="1:8" s="28" customFormat="1" ht="15" x14ac:dyDescent="0.25">
      <c r="A67" s="22"/>
      <c r="B67" s="69"/>
      <c r="C67" s="70"/>
      <c r="D67" s="25"/>
      <c r="E67" s="26"/>
      <c r="F67" s="25"/>
      <c r="G67" s="71"/>
    </row>
    <row r="68" spans="1:8" s="28" customFormat="1" ht="28.5" customHeight="1" x14ac:dyDescent="0.25">
      <c r="A68" s="34" t="s">
        <v>89</v>
      </c>
      <c r="B68" s="72" t="s">
        <v>90</v>
      </c>
      <c r="C68" s="60">
        <v>684.99869999999999</v>
      </c>
      <c r="D68" s="60">
        <v>35.575189999999999</v>
      </c>
      <c r="E68" s="61">
        <f>IF(C68&lt;&gt;"",D68/C68*100,"")</f>
        <v>5.1934682503777019</v>
      </c>
      <c r="F68" s="60">
        <v>626.47820000000002</v>
      </c>
      <c r="G68" s="62">
        <v>743.51930000000004</v>
      </c>
      <c r="H68" s="15"/>
    </row>
    <row r="69" spans="1:8" ht="28.5" x14ac:dyDescent="0.2">
      <c r="A69" s="29" t="s">
        <v>91</v>
      </c>
      <c r="B69" s="30" t="s">
        <v>92</v>
      </c>
      <c r="C69" s="35">
        <v>347.34710000000001</v>
      </c>
      <c r="D69" s="35">
        <v>21.484590000000001</v>
      </c>
      <c r="E69" s="58">
        <f>IF(C69&lt;&gt;"",D69/C69*100,"")</f>
        <v>6.1853373757834742</v>
      </c>
      <c r="F69" s="35">
        <v>312.00529999999998</v>
      </c>
      <c r="G69" s="59">
        <v>382.68889999999999</v>
      </c>
      <c r="H69" s="44"/>
    </row>
    <row r="70" spans="1:8" ht="28.5" x14ac:dyDescent="0.2">
      <c r="A70" s="29" t="s">
        <v>93</v>
      </c>
      <c r="B70" s="30" t="s">
        <v>94</v>
      </c>
      <c r="C70" s="35">
        <v>1368.1120000000001</v>
      </c>
      <c r="D70" s="35">
        <v>103.44540000000001</v>
      </c>
      <c r="E70" s="58">
        <f>IF(C70&lt;&gt;"",D70/C70*100,"")</f>
        <v>7.5611792017027852</v>
      </c>
      <c r="F70" s="35">
        <v>1197.9459999999999</v>
      </c>
      <c r="G70" s="59">
        <v>1538.278</v>
      </c>
      <c r="H70" s="44"/>
    </row>
    <row r="71" spans="1:8" ht="27" customHeight="1" x14ac:dyDescent="0.2">
      <c r="A71" s="29" t="s">
        <v>95</v>
      </c>
      <c r="B71" s="30" t="s">
        <v>96</v>
      </c>
      <c r="C71" s="35">
        <v>355.8723</v>
      </c>
      <c r="D71" s="35">
        <v>19.734369999999998</v>
      </c>
      <c r="E71" s="58">
        <f>IF(C71&lt;&gt;"",D71/C71*100,"")</f>
        <v>5.5453515207561814</v>
      </c>
      <c r="F71" s="35">
        <v>323.40960000000001</v>
      </c>
      <c r="G71" s="59">
        <v>388.33499999999998</v>
      </c>
      <c r="H71" s="44"/>
    </row>
    <row r="72" spans="1:8" ht="15" x14ac:dyDescent="0.2">
      <c r="A72" s="73"/>
      <c r="B72" s="69"/>
      <c r="C72" s="35"/>
      <c r="D72" s="35"/>
      <c r="E72" s="58"/>
      <c r="F72" s="35"/>
      <c r="G72" s="59"/>
    </row>
    <row r="73" spans="1:8" ht="15" x14ac:dyDescent="0.2">
      <c r="A73" s="73"/>
      <c r="B73" s="69"/>
      <c r="C73" s="35"/>
      <c r="D73" s="35"/>
      <c r="E73" s="58"/>
      <c r="F73" s="35"/>
      <c r="G73" s="59"/>
    </row>
    <row r="74" spans="1:8" s="28" customFormat="1" ht="15" x14ac:dyDescent="0.25">
      <c r="A74" s="34" t="s">
        <v>97</v>
      </c>
      <c r="B74" s="23" t="s">
        <v>98</v>
      </c>
      <c r="C74" s="60">
        <v>1223.153</v>
      </c>
      <c r="D74" s="60">
        <v>182.90729999999999</v>
      </c>
      <c r="E74" s="61">
        <f t="shared" ref="E74:E80" si="2">IF(C74&lt;&gt;"",D74/C74*100,"")</f>
        <v>14.953754763304344</v>
      </c>
      <c r="F74" s="60">
        <v>922.27359999999999</v>
      </c>
      <c r="G74" s="62">
        <v>1524.0319999999999</v>
      </c>
      <c r="H74" s="15"/>
    </row>
    <row r="75" spans="1:8" ht="27.75" customHeight="1" x14ac:dyDescent="0.2">
      <c r="A75" s="29" t="s">
        <v>99</v>
      </c>
      <c r="B75" s="74" t="s">
        <v>100</v>
      </c>
      <c r="C75" s="35">
        <v>775.30799999999999</v>
      </c>
      <c r="D75" s="35">
        <v>164.10380000000001</v>
      </c>
      <c r="E75" s="58">
        <f t="shared" si="2"/>
        <v>21.1662719848112</v>
      </c>
      <c r="F75" s="35">
        <v>505.36</v>
      </c>
      <c r="G75" s="59">
        <v>1045.2560000000001</v>
      </c>
      <c r="H75" s="15"/>
    </row>
    <row r="76" spans="1:8" x14ac:dyDescent="0.2">
      <c r="A76" s="29" t="s">
        <v>101</v>
      </c>
      <c r="B76" s="30" t="s">
        <v>102</v>
      </c>
      <c r="C76" s="35">
        <v>623.83489999999995</v>
      </c>
      <c r="D76" s="35">
        <v>146.71360000000001</v>
      </c>
      <c r="E76" s="58">
        <f t="shared" si="2"/>
        <v>23.518017347217995</v>
      </c>
      <c r="F76" s="35">
        <v>382.49360000000001</v>
      </c>
      <c r="G76" s="59">
        <v>865.17619999999999</v>
      </c>
      <c r="H76" s="15"/>
    </row>
    <row r="77" spans="1:8" x14ac:dyDescent="0.2">
      <c r="A77" s="29" t="s">
        <v>103</v>
      </c>
      <c r="B77" s="30" t="s">
        <v>104</v>
      </c>
      <c r="C77" s="35">
        <v>813.39610000000005</v>
      </c>
      <c r="D77" s="35">
        <v>248.738</v>
      </c>
      <c r="E77" s="58">
        <f t="shared" si="2"/>
        <v>30.580181045864368</v>
      </c>
      <c r="F77" s="35">
        <v>404.22640000000001</v>
      </c>
      <c r="G77" s="59">
        <v>1222.566</v>
      </c>
      <c r="H77" s="15"/>
    </row>
    <row r="78" spans="1:8" x14ac:dyDescent="0.2">
      <c r="A78" s="29" t="s">
        <v>105</v>
      </c>
      <c r="B78" s="30" t="s">
        <v>106</v>
      </c>
      <c r="C78" s="35">
        <v>5994.2179999999998</v>
      </c>
      <c r="D78" s="35">
        <v>656.25109999999995</v>
      </c>
      <c r="E78" s="58">
        <f t="shared" si="2"/>
        <v>10.948068622128858</v>
      </c>
      <c r="F78" s="35">
        <v>4914.6959999999999</v>
      </c>
      <c r="G78" s="59">
        <v>7073.74</v>
      </c>
      <c r="H78" s="15"/>
    </row>
    <row r="79" spans="1:8" ht="27" customHeight="1" x14ac:dyDescent="0.2">
      <c r="A79" s="29" t="s">
        <v>107</v>
      </c>
      <c r="B79" s="30" t="s">
        <v>108</v>
      </c>
      <c r="C79" s="35">
        <v>1151.309</v>
      </c>
      <c r="D79" s="35">
        <v>190.66079999999999</v>
      </c>
      <c r="E79" s="58">
        <f t="shared" si="2"/>
        <v>16.560350001606867</v>
      </c>
      <c r="F79" s="35">
        <v>837.67550000000006</v>
      </c>
      <c r="G79" s="59">
        <v>1464.943</v>
      </c>
      <c r="H79" s="15"/>
    </row>
    <row r="80" spans="1:8" x14ac:dyDescent="0.2">
      <c r="A80" s="29" t="s">
        <v>109</v>
      </c>
      <c r="B80" s="30" t="s">
        <v>110</v>
      </c>
      <c r="C80" s="35">
        <v>768.10609999999997</v>
      </c>
      <c r="D80" s="35">
        <v>208.39850000000001</v>
      </c>
      <c r="E80" s="58">
        <f t="shared" si="2"/>
        <v>27.131473112894174</v>
      </c>
      <c r="F80" s="35">
        <v>425.29410000000001</v>
      </c>
      <c r="G80" s="59">
        <v>1110.9179999999999</v>
      </c>
      <c r="H80" s="15"/>
    </row>
    <row r="81" spans="1:16377" x14ac:dyDescent="0.2">
      <c r="A81" s="16"/>
      <c r="B81" s="75"/>
      <c r="C81" s="39"/>
      <c r="D81" s="19"/>
      <c r="E81" s="20"/>
      <c r="F81" s="19"/>
      <c r="G81" s="21"/>
    </row>
    <row r="82" spans="1:16377" s="28" customFormat="1" ht="25.5" customHeight="1" x14ac:dyDescent="0.25">
      <c r="A82" s="34" t="s">
        <v>111</v>
      </c>
      <c r="B82" s="23" t="s">
        <v>112</v>
      </c>
      <c r="C82" s="60">
        <v>450.95600000000002</v>
      </c>
      <c r="D82" s="60">
        <v>35.108609999999999</v>
      </c>
      <c r="E82" s="61">
        <f>IF(C82&lt;&gt;"",D82/C82*100,"")</f>
        <v>7.785373739344859</v>
      </c>
      <c r="F82" s="60">
        <v>393.2029</v>
      </c>
      <c r="G82" s="62">
        <v>508.709</v>
      </c>
      <c r="H82" s="15"/>
    </row>
    <row r="83" spans="1:16377" s="28" customFormat="1" ht="15" x14ac:dyDescent="0.25">
      <c r="A83" s="34"/>
      <c r="B83" s="23"/>
      <c r="C83" s="24"/>
      <c r="D83" s="25"/>
      <c r="E83" s="26"/>
      <c r="F83" s="25"/>
      <c r="G83" s="27"/>
    </row>
    <row r="84" spans="1:16377" s="28" customFormat="1" ht="13.5" customHeight="1" x14ac:dyDescent="0.25">
      <c r="A84" s="34" t="s">
        <v>113</v>
      </c>
      <c r="B84" s="23" t="s">
        <v>114</v>
      </c>
      <c r="C84" s="60">
        <v>2744.846</v>
      </c>
      <c r="D84" s="60">
        <v>436.80239999999998</v>
      </c>
      <c r="E84" s="61">
        <f t="shared" ref="E84:E90" si="3">IF(C84&lt;&gt;"",D84/C84*100,"")</f>
        <v>15.913548519661941</v>
      </c>
      <c r="F84" s="60">
        <v>2026.3140000000001</v>
      </c>
      <c r="G84" s="62">
        <v>3463.3789999999999</v>
      </c>
      <c r="H84" s="15"/>
    </row>
    <row r="85" spans="1:16377" x14ac:dyDescent="0.2">
      <c r="A85" s="29" t="s">
        <v>115</v>
      </c>
      <c r="B85" s="30" t="s">
        <v>116</v>
      </c>
      <c r="C85" s="35">
        <v>1632.8</v>
      </c>
      <c r="D85" s="35">
        <v>587.42589999999996</v>
      </c>
      <c r="E85" s="58">
        <f t="shared" si="3"/>
        <v>35.976598481136698</v>
      </c>
      <c r="F85" s="35">
        <v>666.49469999999997</v>
      </c>
      <c r="G85" s="59">
        <v>2599.1060000000002</v>
      </c>
      <c r="H85" s="15"/>
    </row>
    <row r="86" spans="1:16377" ht="72.599999999999994" customHeight="1" x14ac:dyDescent="0.2">
      <c r="A86" s="29" t="s">
        <v>117</v>
      </c>
      <c r="B86" s="30" t="s">
        <v>118</v>
      </c>
      <c r="C86" s="35">
        <v>2008.4</v>
      </c>
      <c r="D86" s="35">
        <v>475.8931</v>
      </c>
      <c r="E86" s="58">
        <f t="shared" si="3"/>
        <v>23.695135431189005</v>
      </c>
      <c r="F86" s="35">
        <v>1225.5640000000001</v>
      </c>
      <c r="G86" s="59">
        <v>2791.2359999999999</v>
      </c>
      <c r="H86" s="15"/>
    </row>
    <row r="87" spans="1:16377" ht="22.5" customHeight="1" x14ac:dyDescent="0.2">
      <c r="A87" s="29" t="s">
        <v>119</v>
      </c>
      <c r="B87" s="30" t="s">
        <v>120</v>
      </c>
      <c r="C87" s="35">
        <v>465.68950000000001</v>
      </c>
      <c r="D87" s="35">
        <v>318.46010000000001</v>
      </c>
      <c r="E87" s="58">
        <f t="shared" si="3"/>
        <v>68.384642556896807</v>
      </c>
      <c r="F87" s="35">
        <v>-58.171900000000001</v>
      </c>
      <c r="G87" s="59">
        <v>989.55079999999998</v>
      </c>
      <c r="H87" s="15"/>
    </row>
    <row r="88" spans="1:16377" x14ac:dyDescent="0.2">
      <c r="A88" s="29" t="s">
        <v>121</v>
      </c>
      <c r="B88" s="30" t="s">
        <v>122</v>
      </c>
      <c r="C88" s="35">
        <v>2054.873</v>
      </c>
      <c r="D88" s="35">
        <v>533.12549999999999</v>
      </c>
      <c r="E88" s="58">
        <f t="shared" si="3"/>
        <v>25.944450094969373</v>
      </c>
      <c r="F88" s="35">
        <v>1177.8910000000001</v>
      </c>
      <c r="G88" s="59">
        <v>2931.855</v>
      </c>
      <c r="H88" s="15"/>
    </row>
    <row r="89" spans="1:16377" ht="42.75" x14ac:dyDescent="0.2">
      <c r="A89" s="29" t="s">
        <v>123</v>
      </c>
      <c r="B89" s="30" t="s">
        <v>124</v>
      </c>
      <c r="C89" s="35">
        <v>3522.76</v>
      </c>
      <c r="D89" s="35">
        <v>638.28070000000002</v>
      </c>
      <c r="E89" s="58">
        <f t="shared" si="3"/>
        <v>18.118767670803575</v>
      </c>
      <c r="F89" s="35">
        <v>2472.8000000000002</v>
      </c>
      <c r="G89" s="59">
        <v>4572.7209999999995</v>
      </c>
      <c r="H89" s="15"/>
    </row>
    <row r="90" spans="1:16377" x14ac:dyDescent="0.2">
      <c r="A90" s="29" t="s">
        <v>125</v>
      </c>
      <c r="B90" s="30" t="s">
        <v>126</v>
      </c>
      <c r="C90" s="35">
        <v>1098.7339999999999</v>
      </c>
      <c r="D90" s="35">
        <v>436.762</v>
      </c>
      <c r="E90" s="58">
        <f t="shared" si="3"/>
        <v>39.751386595845766</v>
      </c>
      <c r="F90" s="35">
        <v>380.26760000000002</v>
      </c>
      <c r="G90" s="59">
        <v>1817.2</v>
      </c>
      <c r="H90" s="15"/>
    </row>
    <row r="91" spans="1:16377" ht="5.25" customHeight="1" x14ac:dyDescent="0.2">
      <c r="A91" s="45"/>
      <c r="B91" s="46"/>
      <c r="C91" s="76"/>
      <c r="D91" s="48"/>
      <c r="E91" s="48"/>
      <c r="F91" s="48"/>
      <c r="G91" s="64"/>
    </row>
    <row r="92" spans="1:16377" s="52" customFormat="1" ht="20.100000000000001" customHeight="1" x14ac:dyDescent="0.2">
      <c r="A92" s="121" t="s">
        <v>127</v>
      </c>
      <c r="B92" s="77"/>
      <c r="C92" s="78"/>
      <c r="G92" s="122"/>
      <c r="H92" s="77"/>
      <c r="I92" s="78"/>
      <c r="O92" s="79"/>
      <c r="P92" s="77"/>
      <c r="Q92" s="78"/>
      <c r="W92" s="79"/>
      <c r="X92" s="77"/>
      <c r="Y92" s="78"/>
      <c r="AE92" s="79"/>
      <c r="AF92" s="77"/>
      <c r="AG92" s="78"/>
      <c r="AM92" s="79"/>
      <c r="AN92" s="77"/>
      <c r="AO92" s="78"/>
      <c r="AU92" s="79"/>
      <c r="AV92" s="77"/>
      <c r="AW92" s="78"/>
      <c r="BC92" s="79"/>
      <c r="BD92" s="77"/>
      <c r="BE92" s="78"/>
      <c r="BK92" s="79"/>
      <c r="BL92" s="77"/>
      <c r="BM92" s="78"/>
      <c r="BS92" s="79"/>
      <c r="BT92" s="77"/>
      <c r="BU92" s="78"/>
      <c r="CA92" s="79"/>
      <c r="CB92" s="77"/>
      <c r="CC92" s="78"/>
      <c r="CI92" s="79"/>
      <c r="CJ92" s="77"/>
      <c r="CK92" s="78"/>
      <c r="CQ92" s="79"/>
      <c r="CR92" s="77"/>
      <c r="CS92" s="78"/>
      <c r="CY92" s="79"/>
      <c r="CZ92" s="77"/>
      <c r="DA92" s="78"/>
      <c r="DG92" s="79"/>
      <c r="DH92" s="77"/>
      <c r="DI92" s="78"/>
      <c r="DO92" s="79"/>
      <c r="DP92" s="77"/>
      <c r="DQ92" s="78"/>
      <c r="DW92" s="79"/>
      <c r="DX92" s="77"/>
      <c r="DY92" s="78"/>
      <c r="EE92" s="79"/>
      <c r="EF92" s="77"/>
      <c r="EG92" s="78"/>
      <c r="EM92" s="79"/>
      <c r="EN92" s="77"/>
      <c r="EO92" s="78"/>
      <c r="EU92" s="79"/>
      <c r="EV92" s="77"/>
      <c r="EW92" s="78"/>
      <c r="FC92" s="79"/>
      <c r="FD92" s="77"/>
      <c r="FE92" s="78"/>
      <c r="FK92" s="79"/>
      <c r="FL92" s="77"/>
      <c r="FM92" s="78"/>
      <c r="FS92" s="79"/>
      <c r="FT92" s="77"/>
      <c r="FU92" s="78"/>
      <c r="GA92" s="79"/>
      <c r="GB92" s="77"/>
      <c r="GC92" s="78"/>
      <c r="GI92" s="79"/>
      <c r="GJ92" s="77"/>
      <c r="GK92" s="78"/>
      <c r="GQ92" s="79"/>
      <c r="GR92" s="77"/>
      <c r="GS92" s="78"/>
      <c r="GY92" s="79"/>
      <c r="GZ92" s="77"/>
      <c r="HA92" s="78"/>
      <c r="HG92" s="79"/>
      <c r="HH92" s="77"/>
      <c r="HI92" s="78"/>
      <c r="HO92" s="79"/>
      <c r="HP92" s="77"/>
      <c r="HQ92" s="78"/>
      <c r="HW92" s="79"/>
      <c r="HX92" s="77"/>
      <c r="HY92" s="78"/>
      <c r="IE92" s="79"/>
      <c r="IF92" s="77"/>
      <c r="IG92" s="78"/>
      <c r="IM92" s="79"/>
      <c r="IN92" s="77"/>
      <c r="IO92" s="78"/>
      <c r="IU92" s="79"/>
      <c r="IV92" s="77"/>
      <c r="IW92" s="78"/>
      <c r="JC92" s="79"/>
      <c r="JD92" s="77"/>
      <c r="JE92" s="78"/>
      <c r="JK92" s="79"/>
      <c r="JL92" s="77"/>
      <c r="JM92" s="78"/>
      <c r="JS92" s="79"/>
      <c r="JT92" s="77"/>
      <c r="JU92" s="78"/>
      <c r="KA92" s="79"/>
      <c r="KB92" s="77"/>
      <c r="KC92" s="78"/>
      <c r="KI92" s="79"/>
      <c r="KJ92" s="77"/>
      <c r="KK92" s="78"/>
      <c r="KQ92" s="79"/>
      <c r="KR92" s="77"/>
      <c r="KS92" s="78"/>
      <c r="KY92" s="79"/>
      <c r="KZ92" s="77"/>
      <c r="LA92" s="78"/>
      <c r="LG92" s="79"/>
      <c r="LH92" s="77"/>
      <c r="LI92" s="78"/>
      <c r="LO92" s="79"/>
      <c r="LP92" s="77"/>
      <c r="LQ92" s="78"/>
      <c r="LW92" s="79"/>
      <c r="LX92" s="77"/>
      <c r="LY92" s="78"/>
      <c r="ME92" s="79"/>
      <c r="MF92" s="77"/>
      <c r="MG92" s="78"/>
      <c r="MM92" s="79"/>
      <c r="MN92" s="77"/>
      <c r="MO92" s="78"/>
      <c r="MU92" s="79"/>
      <c r="MV92" s="77"/>
      <c r="MW92" s="78"/>
      <c r="NC92" s="79"/>
      <c r="ND92" s="77"/>
      <c r="NE92" s="78"/>
      <c r="NK92" s="79"/>
      <c r="NL92" s="77"/>
      <c r="NM92" s="78"/>
      <c r="NS92" s="79"/>
      <c r="NT92" s="77"/>
      <c r="NU92" s="78"/>
      <c r="OA92" s="79"/>
      <c r="OB92" s="77"/>
      <c r="OC92" s="78"/>
      <c r="OI92" s="79"/>
      <c r="OJ92" s="77"/>
      <c r="OK92" s="78"/>
      <c r="OQ92" s="79"/>
      <c r="OR92" s="77"/>
      <c r="OS92" s="78"/>
      <c r="OY92" s="79"/>
      <c r="OZ92" s="77"/>
      <c r="PA92" s="78"/>
      <c r="PG92" s="79"/>
      <c r="PH92" s="77"/>
      <c r="PI92" s="78"/>
      <c r="PO92" s="79"/>
      <c r="PP92" s="77"/>
      <c r="PQ92" s="78"/>
      <c r="PW92" s="79"/>
      <c r="PX92" s="77"/>
      <c r="PY92" s="78"/>
      <c r="QE92" s="79"/>
      <c r="QF92" s="77"/>
      <c r="QG92" s="78"/>
      <c r="QM92" s="79"/>
      <c r="QN92" s="77"/>
      <c r="QO92" s="78"/>
      <c r="QU92" s="79"/>
      <c r="QV92" s="77"/>
      <c r="QW92" s="78"/>
      <c r="RC92" s="79"/>
      <c r="RD92" s="77"/>
      <c r="RE92" s="78"/>
      <c r="RK92" s="79"/>
      <c r="RL92" s="77"/>
      <c r="RM92" s="78"/>
      <c r="RS92" s="79"/>
      <c r="RT92" s="77"/>
      <c r="RU92" s="78"/>
      <c r="SA92" s="79"/>
      <c r="SB92" s="77"/>
      <c r="SC92" s="78"/>
      <c r="SI92" s="79"/>
      <c r="SJ92" s="77"/>
      <c r="SK92" s="78"/>
      <c r="SQ92" s="79"/>
      <c r="SR92" s="77"/>
      <c r="SS92" s="78"/>
      <c r="SY92" s="79"/>
      <c r="SZ92" s="77"/>
      <c r="TA92" s="78"/>
      <c r="TG92" s="79"/>
      <c r="TH92" s="77"/>
      <c r="TI92" s="78"/>
      <c r="TO92" s="79"/>
      <c r="TP92" s="77"/>
      <c r="TQ92" s="78"/>
      <c r="TW92" s="79"/>
      <c r="TX92" s="77"/>
      <c r="TY92" s="78"/>
      <c r="UE92" s="79"/>
      <c r="UF92" s="77"/>
      <c r="UG92" s="78"/>
      <c r="UM92" s="79"/>
      <c r="UN92" s="77"/>
      <c r="UO92" s="78"/>
      <c r="UU92" s="79"/>
      <c r="UV92" s="77"/>
      <c r="UW92" s="78"/>
      <c r="VC92" s="79"/>
      <c r="VD92" s="77"/>
      <c r="VE92" s="78"/>
      <c r="VK92" s="79"/>
      <c r="VL92" s="77"/>
      <c r="VM92" s="78"/>
      <c r="VS92" s="79"/>
      <c r="VT92" s="77"/>
      <c r="VU92" s="78"/>
      <c r="WA92" s="79"/>
      <c r="WB92" s="77"/>
      <c r="WC92" s="78"/>
      <c r="WI92" s="79"/>
      <c r="WJ92" s="77"/>
      <c r="WK92" s="78"/>
      <c r="WQ92" s="79"/>
      <c r="WR92" s="77"/>
      <c r="WS92" s="78"/>
      <c r="WY92" s="79"/>
      <c r="WZ92" s="77"/>
      <c r="XA92" s="78"/>
      <c r="XG92" s="79"/>
      <c r="XH92" s="77"/>
      <c r="XI92" s="78"/>
      <c r="XO92" s="79"/>
      <c r="XP92" s="77"/>
      <c r="XQ92" s="78"/>
      <c r="XW92" s="79"/>
      <c r="XX92" s="77"/>
      <c r="XY92" s="78"/>
      <c r="YE92" s="79"/>
      <c r="YF92" s="77"/>
      <c r="YG92" s="78"/>
      <c r="YM92" s="79"/>
      <c r="YN92" s="77"/>
      <c r="YO92" s="78"/>
      <c r="YU92" s="79"/>
      <c r="YV92" s="77"/>
      <c r="YW92" s="78"/>
      <c r="ZC92" s="79"/>
      <c r="ZD92" s="77"/>
      <c r="ZE92" s="78"/>
      <c r="ZK92" s="79"/>
      <c r="ZL92" s="77"/>
      <c r="ZM92" s="78"/>
      <c r="ZS92" s="79"/>
      <c r="ZT92" s="77"/>
      <c r="ZU92" s="78"/>
      <c r="AAA92" s="79"/>
      <c r="AAB92" s="77"/>
      <c r="AAC92" s="78"/>
      <c r="AAI92" s="79"/>
      <c r="AAJ92" s="77"/>
      <c r="AAK92" s="78"/>
      <c r="AAQ92" s="79"/>
      <c r="AAR92" s="77"/>
      <c r="AAS92" s="78"/>
      <c r="AAY92" s="79"/>
      <c r="AAZ92" s="77"/>
      <c r="ABA92" s="78"/>
      <c r="ABG92" s="79"/>
      <c r="ABH92" s="77"/>
      <c r="ABI92" s="78"/>
      <c r="ABO92" s="79"/>
      <c r="ABP92" s="77"/>
      <c r="ABQ92" s="78"/>
      <c r="ABW92" s="79"/>
      <c r="ABX92" s="77"/>
      <c r="ABY92" s="78"/>
      <c r="ACE92" s="79"/>
      <c r="ACF92" s="77"/>
      <c r="ACG92" s="78"/>
      <c r="ACM92" s="79"/>
      <c r="ACN92" s="77"/>
      <c r="ACO92" s="78"/>
      <c r="ACU92" s="79"/>
      <c r="ACV92" s="77"/>
      <c r="ACW92" s="78"/>
      <c r="ADC92" s="79"/>
      <c r="ADD92" s="77"/>
      <c r="ADE92" s="78"/>
      <c r="ADK92" s="79"/>
      <c r="ADL92" s="77"/>
      <c r="ADM92" s="78"/>
      <c r="ADS92" s="79"/>
      <c r="ADT92" s="77"/>
      <c r="ADU92" s="78"/>
      <c r="AEA92" s="79"/>
      <c r="AEB92" s="77"/>
      <c r="AEC92" s="78"/>
      <c r="AEI92" s="79"/>
      <c r="AEJ92" s="77"/>
      <c r="AEK92" s="78"/>
      <c r="AEQ92" s="79"/>
      <c r="AER92" s="77"/>
      <c r="AES92" s="78"/>
      <c r="AEY92" s="79"/>
      <c r="AEZ92" s="77"/>
      <c r="AFA92" s="78"/>
      <c r="AFG92" s="79"/>
      <c r="AFH92" s="77"/>
      <c r="AFI92" s="78"/>
      <c r="AFO92" s="79"/>
      <c r="AFP92" s="77"/>
      <c r="AFQ92" s="78"/>
      <c r="AFW92" s="79"/>
      <c r="AFX92" s="77"/>
      <c r="AFY92" s="78"/>
      <c r="AGE92" s="79"/>
      <c r="AGF92" s="77"/>
      <c r="AGG92" s="78"/>
      <c r="AGM92" s="79"/>
      <c r="AGN92" s="77"/>
      <c r="AGO92" s="78"/>
      <c r="AGU92" s="79"/>
      <c r="AGV92" s="77"/>
      <c r="AGW92" s="78"/>
      <c r="AHC92" s="79"/>
      <c r="AHD92" s="77"/>
      <c r="AHE92" s="78"/>
      <c r="AHK92" s="79"/>
      <c r="AHL92" s="77"/>
      <c r="AHM92" s="78"/>
      <c r="AHS92" s="79"/>
      <c r="AHT92" s="77"/>
      <c r="AHU92" s="78"/>
      <c r="AIA92" s="79"/>
      <c r="AIB92" s="77"/>
      <c r="AIC92" s="78"/>
      <c r="AII92" s="79"/>
      <c r="AIJ92" s="77"/>
      <c r="AIK92" s="78"/>
      <c r="AIQ92" s="79"/>
      <c r="AIR92" s="77"/>
      <c r="AIS92" s="78"/>
      <c r="AIY92" s="79"/>
      <c r="AIZ92" s="77"/>
      <c r="AJA92" s="78"/>
      <c r="AJG92" s="79"/>
      <c r="AJH92" s="77"/>
      <c r="AJI92" s="78"/>
      <c r="AJO92" s="79"/>
      <c r="AJP92" s="77"/>
      <c r="AJQ92" s="78"/>
      <c r="AJW92" s="79"/>
      <c r="AJX92" s="77"/>
      <c r="AJY92" s="78"/>
      <c r="AKE92" s="79"/>
      <c r="AKF92" s="77"/>
      <c r="AKG92" s="78"/>
      <c r="AKM92" s="79"/>
      <c r="AKN92" s="77"/>
      <c r="AKO92" s="78"/>
      <c r="AKU92" s="79"/>
      <c r="AKV92" s="77"/>
      <c r="AKW92" s="78"/>
      <c r="ALC92" s="79"/>
      <c r="ALD92" s="77"/>
      <c r="ALE92" s="78"/>
      <c r="ALK92" s="79"/>
      <c r="ALL92" s="77"/>
      <c r="ALM92" s="78"/>
      <c r="ALS92" s="79"/>
      <c r="ALT92" s="77"/>
      <c r="ALU92" s="78"/>
      <c r="AMA92" s="79"/>
      <c r="AMB92" s="77"/>
      <c r="AMC92" s="78"/>
      <c r="AMI92" s="79"/>
      <c r="AMJ92" s="77"/>
      <c r="AMK92" s="78"/>
      <c r="AMQ92" s="79"/>
      <c r="AMR92" s="77"/>
      <c r="AMS92" s="78"/>
      <c r="AMY92" s="79"/>
      <c r="AMZ92" s="77"/>
      <c r="ANA92" s="78"/>
      <c r="ANG92" s="79"/>
      <c r="ANH92" s="77"/>
      <c r="ANI92" s="78"/>
      <c r="ANO92" s="79"/>
      <c r="ANP92" s="77"/>
      <c r="ANQ92" s="78"/>
      <c r="ANW92" s="79"/>
      <c r="ANX92" s="77"/>
      <c r="ANY92" s="78"/>
      <c r="AOE92" s="79"/>
      <c r="AOF92" s="77"/>
      <c r="AOG92" s="78"/>
      <c r="AOM92" s="79"/>
      <c r="AON92" s="77"/>
      <c r="AOO92" s="78"/>
      <c r="AOU92" s="79"/>
      <c r="AOV92" s="77"/>
      <c r="AOW92" s="78"/>
      <c r="APC92" s="79"/>
      <c r="APD92" s="77"/>
      <c r="APE92" s="78"/>
      <c r="APK92" s="79"/>
      <c r="APL92" s="77"/>
      <c r="APM92" s="78"/>
      <c r="APS92" s="79"/>
      <c r="APT92" s="77"/>
      <c r="APU92" s="78"/>
      <c r="AQA92" s="79"/>
      <c r="AQB92" s="77"/>
      <c r="AQC92" s="78"/>
      <c r="AQI92" s="79"/>
      <c r="AQJ92" s="77"/>
      <c r="AQK92" s="78"/>
      <c r="AQQ92" s="79"/>
      <c r="AQR92" s="77"/>
      <c r="AQS92" s="78"/>
      <c r="AQY92" s="79"/>
      <c r="AQZ92" s="77"/>
      <c r="ARA92" s="78"/>
      <c r="ARG92" s="79"/>
      <c r="ARH92" s="77"/>
      <c r="ARI92" s="78"/>
      <c r="ARO92" s="79"/>
      <c r="ARP92" s="77"/>
      <c r="ARQ92" s="78"/>
      <c r="ARW92" s="79"/>
      <c r="ARX92" s="77"/>
      <c r="ARY92" s="78"/>
      <c r="ASE92" s="79"/>
      <c r="ASF92" s="77"/>
      <c r="ASG92" s="78"/>
      <c r="ASM92" s="79"/>
      <c r="ASN92" s="77"/>
      <c r="ASO92" s="78"/>
      <c r="ASU92" s="79"/>
      <c r="ASV92" s="77"/>
      <c r="ASW92" s="78"/>
      <c r="ATC92" s="79"/>
      <c r="ATD92" s="77"/>
      <c r="ATE92" s="78"/>
      <c r="ATK92" s="79"/>
      <c r="ATL92" s="77"/>
      <c r="ATM92" s="78"/>
      <c r="ATS92" s="79"/>
      <c r="ATT92" s="77"/>
      <c r="ATU92" s="78"/>
      <c r="AUA92" s="79"/>
      <c r="AUB92" s="77"/>
      <c r="AUC92" s="78"/>
      <c r="AUI92" s="79"/>
      <c r="AUJ92" s="77"/>
      <c r="AUK92" s="78"/>
      <c r="AUQ92" s="79"/>
      <c r="AUR92" s="77"/>
      <c r="AUS92" s="78"/>
      <c r="AUY92" s="79"/>
      <c r="AUZ92" s="77"/>
      <c r="AVA92" s="78"/>
      <c r="AVG92" s="79"/>
      <c r="AVH92" s="77"/>
      <c r="AVI92" s="78"/>
      <c r="AVO92" s="79"/>
      <c r="AVP92" s="77"/>
      <c r="AVQ92" s="78"/>
      <c r="AVW92" s="79"/>
      <c r="AVX92" s="77"/>
      <c r="AVY92" s="78"/>
      <c r="AWE92" s="79"/>
      <c r="AWF92" s="77"/>
      <c r="AWG92" s="78"/>
      <c r="AWM92" s="79"/>
      <c r="AWN92" s="77"/>
      <c r="AWO92" s="78"/>
      <c r="AWU92" s="79"/>
      <c r="AWV92" s="77"/>
      <c r="AWW92" s="78"/>
      <c r="AXC92" s="79"/>
      <c r="AXD92" s="77"/>
      <c r="AXE92" s="78"/>
      <c r="AXK92" s="79"/>
      <c r="AXL92" s="77"/>
      <c r="AXM92" s="78"/>
      <c r="AXS92" s="79"/>
      <c r="AXT92" s="77"/>
      <c r="AXU92" s="78"/>
      <c r="AYA92" s="79"/>
      <c r="AYB92" s="77"/>
      <c r="AYC92" s="78"/>
      <c r="AYI92" s="79"/>
      <c r="AYJ92" s="77"/>
      <c r="AYK92" s="78"/>
      <c r="AYQ92" s="79"/>
      <c r="AYR92" s="77"/>
      <c r="AYS92" s="78"/>
      <c r="AYY92" s="79"/>
      <c r="AYZ92" s="77"/>
      <c r="AZA92" s="78"/>
      <c r="AZG92" s="79"/>
      <c r="AZH92" s="77"/>
      <c r="AZI92" s="78"/>
      <c r="AZO92" s="79"/>
      <c r="AZP92" s="77"/>
      <c r="AZQ92" s="78"/>
      <c r="AZW92" s="79"/>
      <c r="AZX92" s="77"/>
      <c r="AZY92" s="78"/>
      <c r="BAE92" s="79"/>
      <c r="BAF92" s="77"/>
      <c r="BAG92" s="78"/>
      <c r="BAM92" s="79"/>
      <c r="BAN92" s="77"/>
      <c r="BAO92" s="78"/>
      <c r="BAU92" s="79"/>
      <c r="BAV92" s="77"/>
      <c r="BAW92" s="78"/>
      <c r="BBC92" s="79"/>
      <c r="BBD92" s="77"/>
      <c r="BBE92" s="78"/>
      <c r="BBK92" s="79"/>
      <c r="BBL92" s="77"/>
      <c r="BBM92" s="78"/>
      <c r="BBS92" s="79"/>
      <c r="BBT92" s="77"/>
      <c r="BBU92" s="78"/>
      <c r="BCA92" s="79"/>
      <c r="BCB92" s="77"/>
      <c r="BCC92" s="78"/>
      <c r="BCI92" s="79"/>
      <c r="BCJ92" s="77"/>
      <c r="BCK92" s="78"/>
      <c r="BCQ92" s="79"/>
      <c r="BCR92" s="77"/>
      <c r="BCS92" s="78"/>
      <c r="BCY92" s="79"/>
      <c r="BCZ92" s="77"/>
      <c r="BDA92" s="78"/>
      <c r="BDG92" s="79"/>
      <c r="BDH92" s="77"/>
      <c r="BDI92" s="78"/>
      <c r="BDO92" s="79"/>
      <c r="BDP92" s="77"/>
      <c r="BDQ92" s="78"/>
      <c r="BDW92" s="79"/>
      <c r="BDX92" s="77"/>
      <c r="BDY92" s="78"/>
      <c r="BEE92" s="79"/>
      <c r="BEF92" s="77"/>
      <c r="BEG92" s="78"/>
      <c r="BEM92" s="79"/>
      <c r="BEN92" s="77"/>
      <c r="BEO92" s="78"/>
      <c r="BEU92" s="79"/>
      <c r="BEV92" s="77"/>
      <c r="BEW92" s="78"/>
      <c r="BFC92" s="79"/>
      <c r="BFD92" s="77"/>
      <c r="BFE92" s="78"/>
      <c r="BFK92" s="79"/>
      <c r="BFL92" s="77"/>
      <c r="BFM92" s="78"/>
      <c r="BFS92" s="79"/>
      <c r="BFT92" s="77"/>
      <c r="BFU92" s="78"/>
      <c r="BGA92" s="79"/>
      <c r="BGB92" s="77"/>
      <c r="BGC92" s="78"/>
      <c r="BGI92" s="79"/>
      <c r="BGJ92" s="77"/>
      <c r="BGK92" s="78"/>
      <c r="BGQ92" s="79"/>
      <c r="BGR92" s="77"/>
      <c r="BGS92" s="78"/>
      <c r="BGY92" s="79"/>
      <c r="BGZ92" s="77"/>
      <c r="BHA92" s="78"/>
      <c r="BHG92" s="79"/>
      <c r="BHH92" s="77"/>
      <c r="BHI92" s="78"/>
      <c r="BHO92" s="79"/>
      <c r="BHP92" s="77"/>
      <c r="BHQ92" s="78"/>
      <c r="BHW92" s="79"/>
      <c r="BHX92" s="77"/>
      <c r="BHY92" s="78"/>
      <c r="BIE92" s="79"/>
      <c r="BIF92" s="77"/>
      <c r="BIG92" s="78"/>
      <c r="BIM92" s="79"/>
      <c r="BIN92" s="77"/>
      <c r="BIO92" s="78"/>
      <c r="BIU92" s="79"/>
      <c r="BIV92" s="77"/>
      <c r="BIW92" s="78"/>
      <c r="BJC92" s="79"/>
      <c r="BJD92" s="77"/>
      <c r="BJE92" s="78"/>
      <c r="BJK92" s="79"/>
      <c r="BJL92" s="77"/>
      <c r="BJM92" s="78"/>
      <c r="BJS92" s="79"/>
      <c r="BJT92" s="77"/>
      <c r="BJU92" s="78"/>
      <c r="BKA92" s="79"/>
      <c r="BKB92" s="77"/>
      <c r="BKC92" s="78"/>
      <c r="BKI92" s="79"/>
      <c r="BKJ92" s="77"/>
      <c r="BKK92" s="78"/>
      <c r="BKQ92" s="79"/>
      <c r="BKR92" s="77"/>
      <c r="BKS92" s="78"/>
      <c r="BKY92" s="79"/>
      <c r="BKZ92" s="77"/>
      <c r="BLA92" s="78"/>
      <c r="BLG92" s="79"/>
      <c r="BLH92" s="77"/>
      <c r="BLI92" s="78"/>
      <c r="BLO92" s="79"/>
      <c r="BLP92" s="77"/>
      <c r="BLQ92" s="78"/>
      <c r="BLW92" s="79"/>
      <c r="BLX92" s="77"/>
      <c r="BLY92" s="78"/>
      <c r="BME92" s="79"/>
      <c r="BMF92" s="77"/>
      <c r="BMG92" s="78"/>
      <c r="BMM92" s="79"/>
      <c r="BMN92" s="77"/>
      <c r="BMO92" s="78"/>
      <c r="BMU92" s="79"/>
      <c r="BMV92" s="77"/>
      <c r="BMW92" s="78"/>
      <c r="BNC92" s="79"/>
      <c r="BND92" s="77"/>
      <c r="BNE92" s="78"/>
      <c r="BNK92" s="79"/>
      <c r="BNL92" s="77"/>
      <c r="BNM92" s="78"/>
      <c r="BNS92" s="79"/>
      <c r="BNT92" s="77"/>
      <c r="BNU92" s="78"/>
      <c r="BOA92" s="79"/>
      <c r="BOB92" s="77"/>
      <c r="BOC92" s="78"/>
      <c r="BOI92" s="79"/>
      <c r="BOJ92" s="77"/>
      <c r="BOK92" s="78"/>
      <c r="BOQ92" s="79"/>
      <c r="BOR92" s="77"/>
      <c r="BOS92" s="78"/>
      <c r="BOY92" s="79"/>
      <c r="BOZ92" s="77"/>
      <c r="BPA92" s="78"/>
      <c r="BPG92" s="79"/>
      <c r="BPH92" s="77"/>
      <c r="BPI92" s="78"/>
      <c r="BPO92" s="79"/>
      <c r="BPP92" s="77"/>
      <c r="BPQ92" s="78"/>
      <c r="BPW92" s="79"/>
      <c r="BPX92" s="77"/>
      <c r="BPY92" s="78"/>
      <c r="BQE92" s="79"/>
      <c r="BQF92" s="77"/>
      <c r="BQG92" s="78"/>
      <c r="BQM92" s="79"/>
      <c r="BQN92" s="77"/>
      <c r="BQO92" s="78"/>
      <c r="BQU92" s="79"/>
      <c r="BQV92" s="77"/>
      <c r="BQW92" s="78"/>
      <c r="BRC92" s="79"/>
      <c r="BRD92" s="77"/>
      <c r="BRE92" s="78"/>
      <c r="BRK92" s="79"/>
      <c r="BRL92" s="77"/>
      <c r="BRM92" s="78"/>
      <c r="BRS92" s="79"/>
      <c r="BRT92" s="77"/>
      <c r="BRU92" s="78"/>
      <c r="BSA92" s="79"/>
      <c r="BSB92" s="77"/>
      <c r="BSC92" s="78"/>
      <c r="BSI92" s="79"/>
      <c r="BSJ92" s="77"/>
      <c r="BSK92" s="78"/>
      <c r="BSQ92" s="79"/>
      <c r="BSR92" s="77"/>
      <c r="BSS92" s="78"/>
      <c r="BSY92" s="79"/>
      <c r="BSZ92" s="77"/>
      <c r="BTA92" s="78"/>
      <c r="BTG92" s="79"/>
      <c r="BTH92" s="77"/>
      <c r="BTI92" s="78"/>
      <c r="BTO92" s="79"/>
      <c r="BTP92" s="77"/>
      <c r="BTQ92" s="78"/>
      <c r="BTW92" s="79"/>
      <c r="BTX92" s="77"/>
      <c r="BTY92" s="78"/>
      <c r="BUE92" s="79"/>
      <c r="BUF92" s="77"/>
      <c r="BUG92" s="78"/>
      <c r="BUM92" s="79"/>
      <c r="BUN92" s="77"/>
      <c r="BUO92" s="78"/>
      <c r="BUU92" s="79"/>
      <c r="BUV92" s="77"/>
      <c r="BUW92" s="78"/>
      <c r="BVC92" s="79"/>
      <c r="BVD92" s="77"/>
      <c r="BVE92" s="78"/>
      <c r="BVK92" s="79"/>
      <c r="BVL92" s="77"/>
      <c r="BVM92" s="78"/>
      <c r="BVS92" s="79"/>
      <c r="BVT92" s="77"/>
      <c r="BVU92" s="78"/>
      <c r="BWA92" s="79"/>
      <c r="BWB92" s="77"/>
      <c r="BWC92" s="78"/>
      <c r="BWI92" s="79"/>
      <c r="BWJ92" s="77"/>
      <c r="BWK92" s="78"/>
      <c r="BWQ92" s="79"/>
      <c r="BWR92" s="77"/>
      <c r="BWS92" s="78"/>
      <c r="BWY92" s="79"/>
      <c r="BWZ92" s="77"/>
      <c r="BXA92" s="78"/>
      <c r="BXG92" s="79"/>
      <c r="BXH92" s="77"/>
      <c r="BXI92" s="78"/>
      <c r="BXO92" s="79"/>
      <c r="BXP92" s="77"/>
      <c r="BXQ92" s="78"/>
      <c r="BXW92" s="79"/>
      <c r="BXX92" s="77"/>
      <c r="BXY92" s="78"/>
      <c r="BYE92" s="79"/>
      <c r="BYF92" s="77"/>
      <c r="BYG92" s="78"/>
      <c r="BYM92" s="79"/>
      <c r="BYN92" s="77"/>
      <c r="BYO92" s="78"/>
      <c r="BYU92" s="79"/>
      <c r="BYV92" s="77"/>
      <c r="BYW92" s="78"/>
      <c r="BZC92" s="79"/>
      <c r="BZD92" s="77"/>
      <c r="BZE92" s="78"/>
      <c r="BZK92" s="79"/>
      <c r="BZL92" s="77"/>
      <c r="BZM92" s="78"/>
      <c r="BZS92" s="79"/>
      <c r="BZT92" s="77"/>
      <c r="BZU92" s="78"/>
      <c r="CAA92" s="79"/>
      <c r="CAB92" s="77"/>
      <c r="CAC92" s="78"/>
      <c r="CAI92" s="79"/>
      <c r="CAJ92" s="77"/>
      <c r="CAK92" s="78"/>
      <c r="CAQ92" s="79"/>
      <c r="CAR92" s="77"/>
      <c r="CAS92" s="78"/>
      <c r="CAY92" s="79"/>
      <c r="CAZ92" s="77"/>
      <c r="CBA92" s="78"/>
      <c r="CBG92" s="79"/>
      <c r="CBH92" s="77"/>
      <c r="CBI92" s="78"/>
      <c r="CBO92" s="79"/>
      <c r="CBP92" s="77"/>
      <c r="CBQ92" s="78"/>
      <c r="CBW92" s="79"/>
      <c r="CBX92" s="77"/>
      <c r="CBY92" s="78"/>
      <c r="CCE92" s="79"/>
      <c r="CCF92" s="77"/>
      <c r="CCG92" s="78"/>
      <c r="CCM92" s="79"/>
      <c r="CCN92" s="77"/>
      <c r="CCO92" s="78"/>
      <c r="CCU92" s="79"/>
      <c r="CCV92" s="77"/>
      <c r="CCW92" s="78"/>
      <c r="CDC92" s="79"/>
      <c r="CDD92" s="77"/>
      <c r="CDE92" s="78"/>
      <c r="CDK92" s="79"/>
      <c r="CDL92" s="77"/>
      <c r="CDM92" s="78"/>
      <c r="CDS92" s="79"/>
      <c r="CDT92" s="77"/>
      <c r="CDU92" s="78"/>
      <c r="CEA92" s="79"/>
      <c r="CEB92" s="77"/>
      <c r="CEC92" s="78"/>
      <c r="CEI92" s="79"/>
      <c r="CEJ92" s="77"/>
      <c r="CEK92" s="78"/>
      <c r="CEQ92" s="79"/>
      <c r="CER92" s="77"/>
      <c r="CES92" s="78"/>
      <c r="CEY92" s="79"/>
      <c r="CEZ92" s="77"/>
      <c r="CFA92" s="78"/>
      <c r="CFG92" s="79"/>
      <c r="CFH92" s="77"/>
      <c r="CFI92" s="78"/>
      <c r="CFO92" s="79"/>
      <c r="CFP92" s="77"/>
      <c r="CFQ92" s="78"/>
      <c r="CFW92" s="79"/>
      <c r="CFX92" s="77"/>
      <c r="CFY92" s="78"/>
      <c r="CGE92" s="79"/>
      <c r="CGF92" s="77"/>
      <c r="CGG92" s="78"/>
      <c r="CGM92" s="79"/>
      <c r="CGN92" s="77"/>
      <c r="CGO92" s="78"/>
      <c r="CGU92" s="79"/>
      <c r="CGV92" s="77"/>
      <c r="CGW92" s="78"/>
      <c r="CHC92" s="79"/>
      <c r="CHD92" s="77"/>
      <c r="CHE92" s="78"/>
      <c r="CHK92" s="79"/>
      <c r="CHL92" s="77"/>
      <c r="CHM92" s="78"/>
      <c r="CHS92" s="79"/>
      <c r="CHT92" s="77"/>
      <c r="CHU92" s="78"/>
      <c r="CIA92" s="79"/>
      <c r="CIB92" s="77"/>
      <c r="CIC92" s="78"/>
      <c r="CII92" s="79"/>
      <c r="CIJ92" s="77"/>
      <c r="CIK92" s="78"/>
      <c r="CIQ92" s="79"/>
      <c r="CIR92" s="77"/>
      <c r="CIS92" s="78"/>
      <c r="CIY92" s="79"/>
      <c r="CIZ92" s="77"/>
      <c r="CJA92" s="78"/>
      <c r="CJG92" s="79"/>
      <c r="CJH92" s="77"/>
      <c r="CJI92" s="78"/>
      <c r="CJO92" s="79"/>
      <c r="CJP92" s="77"/>
      <c r="CJQ92" s="78"/>
      <c r="CJW92" s="79"/>
      <c r="CJX92" s="77"/>
      <c r="CJY92" s="78"/>
      <c r="CKE92" s="79"/>
      <c r="CKF92" s="77"/>
      <c r="CKG92" s="78"/>
      <c r="CKM92" s="79"/>
      <c r="CKN92" s="77"/>
      <c r="CKO92" s="78"/>
      <c r="CKU92" s="79"/>
      <c r="CKV92" s="77"/>
      <c r="CKW92" s="78"/>
      <c r="CLC92" s="79"/>
      <c r="CLD92" s="77"/>
      <c r="CLE92" s="78"/>
      <c r="CLK92" s="79"/>
      <c r="CLL92" s="77"/>
      <c r="CLM92" s="78"/>
      <c r="CLS92" s="79"/>
      <c r="CLT92" s="77"/>
      <c r="CLU92" s="78"/>
      <c r="CMA92" s="79"/>
      <c r="CMB92" s="77"/>
      <c r="CMC92" s="78"/>
      <c r="CMI92" s="79"/>
      <c r="CMJ92" s="77"/>
      <c r="CMK92" s="78"/>
      <c r="CMQ92" s="79"/>
      <c r="CMR92" s="77"/>
      <c r="CMS92" s="78"/>
      <c r="CMY92" s="79"/>
      <c r="CMZ92" s="77"/>
      <c r="CNA92" s="78"/>
      <c r="CNG92" s="79"/>
      <c r="CNH92" s="77"/>
      <c r="CNI92" s="78"/>
      <c r="CNO92" s="79"/>
      <c r="CNP92" s="77"/>
      <c r="CNQ92" s="78"/>
      <c r="CNW92" s="79"/>
      <c r="CNX92" s="77"/>
      <c r="CNY92" s="78"/>
      <c r="COE92" s="79"/>
      <c r="COF92" s="77"/>
      <c r="COG92" s="78"/>
      <c r="COM92" s="79"/>
      <c r="CON92" s="77"/>
      <c r="COO92" s="78"/>
      <c r="COU92" s="79"/>
      <c r="COV92" s="77"/>
      <c r="COW92" s="78"/>
      <c r="CPC92" s="79"/>
      <c r="CPD92" s="77"/>
      <c r="CPE92" s="78"/>
      <c r="CPK92" s="79"/>
      <c r="CPL92" s="77"/>
      <c r="CPM92" s="78"/>
      <c r="CPS92" s="79"/>
      <c r="CPT92" s="77"/>
      <c r="CPU92" s="78"/>
      <c r="CQA92" s="79"/>
      <c r="CQB92" s="77"/>
      <c r="CQC92" s="78"/>
      <c r="CQI92" s="79"/>
      <c r="CQJ92" s="77"/>
      <c r="CQK92" s="78"/>
      <c r="CQQ92" s="79"/>
      <c r="CQR92" s="77"/>
      <c r="CQS92" s="78"/>
      <c r="CQY92" s="79"/>
      <c r="CQZ92" s="77"/>
      <c r="CRA92" s="78"/>
      <c r="CRG92" s="79"/>
      <c r="CRH92" s="77"/>
      <c r="CRI92" s="78"/>
      <c r="CRO92" s="79"/>
      <c r="CRP92" s="77"/>
      <c r="CRQ92" s="78"/>
      <c r="CRW92" s="79"/>
      <c r="CRX92" s="77"/>
      <c r="CRY92" s="78"/>
      <c r="CSE92" s="79"/>
      <c r="CSF92" s="77"/>
      <c r="CSG92" s="78"/>
      <c r="CSM92" s="79"/>
      <c r="CSN92" s="77"/>
      <c r="CSO92" s="78"/>
      <c r="CSU92" s="79"/>
      <c r="CSV92" s="77"/>
      <c r="CSW92" s="78"/>
      <c r="CTC92" s="79"/>
      <c r="CTD92" s="77"/>
      <c r="CTE92" s="78"/>
      <c r="CTK92" s="79"/>
      <c r="CTL92" s="77"/>
      <c r="CTM92" s="78"/>
      <c r="CTS92" s="79"/>
      <c r="CTT92" s="77"/>
      <c r="CTU92" s="78"/>
      <c r="CUA92" s="79"/>
      <c r="CUB92" s="77"/>
      <c r="CUC92" s="78"/>
      <c r="CUI92" s="79"/>
      <c r="CUJ92" s="77"/>
      <c r="CUK92" s="78"/>
      <c r="CUQ92" s="79"/>
      <c r="CUR92" s="77"/>
      <c r="CUS92" s="78"/>
      <c r="CUY92" s="79"/>
      <c r="CUZ92" s="77"/>
      <c r="CVA92" s="78"/>
      <c r="CVG92" s="79"/>
      <c r="CVH92" s="77"/>
      <c r="CVI92" s="78"/>
      <c r="CVO92" s="79"/>
      <c r="CVP92" s="77"/>
      <c r="CVQ92" s="78"/>
      <c r="CVW92" s="79"/>
      <c r="CVX92" s="77"/>
      <c r="CVY92" s="78"/>
      <c r="CWE92" s="79"/>
      <c r="CWF92" s="77"/>
      <c r="CWG92" s="78"/>
      <c r="CWM92" s="79"/>
      <c r="CWN92" s="77"/>
      <c r="CWO92" s="78"/>
      <c r="CWU92" s="79"/>
      <c r="CWV92" s="77"/>
      <c r="CWW92" s="78"/>
      <c r="CXC92" s="79"/>
      <c r="CXD92" s="77"/>
      <c r="CXE92" s="78"/>
      <c r="CXK92" s="79"/>
      <c r="CXL92" s="77"/>
      <c r="CXM92" s="78"/>
      <c r="CXS92" s="79"/>
      <c r="CXT92" s="77"/>
      <c r="CXU92" s="78"/>
      <c r="CYA92" s="79"/>
      <c r="CYB92" s="77"/>
      <c r="CYC92" s="78"/>
      <c r="CYI92" s="79"/>
      <c r="CYJ92" s="77"/>
      <c r="CYK92" s="78"/>
      <c r="CYQ92" s="79"/>
      <c r="CYR92" s="77"/>
      <c r="CYS92" s="78"/>
      <c r="CYY92" s="79"/>
      <c r="CYZ92" s="77"/>
      <c r="CZA92" s="78"/>
      <c r="CZG92" s="79"/>
      <c r="CZH92" s="77"/>
      <c r="CZI92" s="78"/>
      <c r="CZO92" s="79"/>
      <c r="CZP92" s="77"/>
      <c r="CZQ92" s="78"/>
      <c r="CZW92" s="79"/>
      <c r="CZX92" s="77"/>
      <c r="CZY92" s="78"/>
      <c r="DAE92" s="79"/>
      <c r="DAF92" s="77"/>
      <c r="DAG92" s="78"/>
      <c r="DAM92" s="79"/>
      <c r="DAN92" s="77"/>
      <c r="DAO92" s="78"/>
      <c r="DAU92" s="79"/>
      <c r="DAV92" s="77"/>
      <c r="DAW92" s="78"/>
      <c r="DBC92" s="79"/>
      <c r="DBD92" s="77"/>
      <c r="DBE92" s="78"/>
      <c r="DBK92" s="79"/>
      <c r="DBL92" s="77"/>
      <c r="DBM92" s="78"/>
      <c r="DBS92" s="79"/>
      <c r="DBT92" s="77"/>
      <c r="DBU92" s="78"/>
      <c r="DCA92" s="79"/>
      <c r="DCB92" s="77"/>
      <c r="DCC92" s="78"/>
      <c r="DCI92" s="79"/>
      <c r="DCJ92" s="77"/>
      <c r="DCK92" s="78"/>
      <c r="DCQ92" s="79"/>
      <c r="DCR92" s="77"/>
      <c r="DCS92" s="78"/>
      <c r="DCY92" s="79"/>
      <c r="DCZ92" s="77"/>
      <c r="DDA92" s="78"/>
      <c r="DDG92" s="79"/>
      <c r="DDH92" s="77"/>
      <c r="DDI92" s="78"/>
      <c r="DDO92" s="79"/>
      <c r="DDP92" s="77"/>
      <c r="DDQ92" s="78"/>
      <c r="DDW92" s="79"/>
      <c r="DDX92" s="77"/>
      <c r="DDY92" s="78"/>
      <c r="DEE92" s="79"/>
      <c r="DEF92" s="77"/>
      <c r="DEG92" s="78"/>
      <c r="DEM92" s="79"/>
      <c r="DEN92" s="77"/>
      <c r="DEO92" s="78"/>
      <c r="DEU92" s="79"/>
      <c r="DEV92" s="77"/>
      <c r="DEW92" s="78"/>
      <c r="DFC92" s="79"/>
      <c r="DFD92" s="77"/>
      <c r="DFE92" s="78"/>
      <c r="DFK92" s="79"/>
      <c r="DFL92" s="77"/>
      <c r="DFM92" s="78"/>
      <c r="DFS92" s="79"/>
      <c r="DFT92" s="77"/>
      <c r="DFU92" s="78"/>
      <c r="DGA92" s="79"/>
      <c r="DGB92" s="77"/>
      <c r="DGC92" s="78"/>
      <c r="DGI92" s="79"/>
      <c r="DGJ92" s="77"/>
      <c r="DGK92" s="78"/>
      <c r="DGQ92" s="79"/>
      <c r="DGR92" s="77"/>
      <c r="DGS92" s="78"/>
      <c r="DGY92" s="79"/>
      <c r="DGZ92" s="77"/>
      <c r="DHA92" s="78"/>
      <c r="DHG92" s="79"/>
      <c r="DHH92" s="77"/>
      <c r="DHI92" s="78"/>
      <c r="DHO92" s="79"/>
      <c r="DHP92" s="77"/>
      <c r="DHQ92" s="78"/>
      <c r="DHW92" s="79"/>
      <c r="DHX92" s="77"/>
      <c r="DHY92" s="78"/>
      <c r="DIE92" s="79"/>
      <c r="DIF92" s="77"/>
      <c r="DIG92" s="78"/>
      <c r="DIM92" s="79"/>
      <c r="DIN92" s="77"/>
      <c r="DIO92" s="78"/>
      <c r="DIU92" s="79"/>
      <c r="DIV92" s="77"/>
      <c r="DIW92" s="78"/>
      <c r="DJC92" s="79"/>
      <c r="DJD92" s="77"/>
      <c r="DJE92" s="78"/>
      <c r="DJK92" s="79"/>
      <c r="DJL92" s="77"/>
      <c r="DJM92" s="78"/>
      <c r="DJS92" s="79"/>
      <c r="DJT92" s="77"/>
      <c r="DJU92" s="78"/>
      <c r="DKA92" s="79"/>
      <c r="DKB92" s="77"/>
      <c r="DKC92" s="78"/>
      <c r="DKI92" s="79"/>
      <c r="DKJ92" s="77"/>
      <c r="DKK92" s="78"/>
      <c r="DKQ92" s="79"/>
      <c r="DKR92" s="77"/>
      <c r="DKS92" s="78"/>
      <c r="DKY92" s="79"/>
      <c r="DKZ92" s="77"/>
      <c r="DLA92" s="78"/>
      <c r="DLG92" s="79"/>
      <c r="DLH92" s="77"/>
      <c r="DLI92" s="78"/>
      <c r="DLO92" s="79"/>
      <c r="DLP92" s="77"/>
      <c r="DLQ92" s="78"/>
      <c r="DLW92" s="79"/>
      <c r="DLX92" s="77"/>
      <c r="DLY92" s="78"/>
      <c r="DME92" s="79"/>
      <c r="DMF92" s="77"/>
      <c r="DMG92" s="78"/>
      <c r="DMM92" s="79"/>
      <c r="DMN92" s="77"/>
      <c r="DMO92" s="78"/>
      <c r="DMU92" s="79"/>
      <c r="DMV92" s="77"/>
      <c r="DMW92" s="78"/>
      <c r="DNC92" s="79"/>
      <c r="DND92" s="77"/>
      <c r="DNE92" s="78"/>
      <c r="DNK92" s="79"/>
      <c r="DNL92" s="77"/>
      <c r="DNM92" s="78"/>
      <c r="DNS92" s="79"/>
      <c r="DNT92" s="77"/>
      <c r="DNU92" s="78"/>
      <c r="DOA92" s="79"/>
      <c r="DOB92" s="77"/>
      <c r="DOC92" s="78"/>
      <c r="DOI92" s="79"/>
      <c r="DOJ92" s="77"/>
      <c r="DOK92" s="78"/>
      <c r="DOQ92" s="79"/>
      <c r="DOR92" s="77"/>
      <c r="DOS92" s="78"/>
      <c r="DOY92" s="79"/>
      <c r="DOZ92" s="77"/>
      <c r="DPA92" s="78"/>
      <c r="DPG92" s="79"/>
      <c r="DPH92" s="77"/>
      <c r="DPI92" s="78"/>
      <c r="DPO92" s="79"/>
      <c r="DPP92" s="77"/>
      <c r="DPQ92" s="78"/>
      <c r="DPW92" s="79"/>
      <c r="DPX92" s="77"/>
      <c r="DPY92" s="78"/>
      <c r="DQE92" s="79"/>
      <c r="DQF92" s="77"/>
      <c r="DQG92" s="78"/>
      <c r="DQM92" s="79"/>
      <c r="DQN92" s="77"/>
      <c r="DQO92" s="78"/>
      <c r="DQU92" s="79"/>
      <c r="DQV92" s="77"/>
      <c r="DQW92" s="78"/>
      <c r="DRC92" s="79"/>
      <c r="DRD92" s="77"/>
      <c r="DRE92" s="78"/>
      <c r="DRK92" s="79"/>
      <c r="DRL92" s="77"/>
      <c r="DRM92" s="78"/>
      <c r="DRS92" s="79"/>
      <c r="DRT92" s="77"/>
      <c r="DRU92" s="78"/>
      <c r="DSA92" s="79"/>
      <c r="DSB92" s="77"/>
      <c r="DSC92" s="78"/>
      <c r="DSI92" s="79"/>
      <c r="DSJ92" s="77"/>
      <c r="DSK92" s="78"/>
      <c r="DSQ92" s="79"/>
      <c r="DSR92" s="77"/>
      <c r="DSS92" s="78"/>
      <c r="DSY92" s="79"/>
      <c r="DSZ92" s="77"/>
      <c r="DTA92" s="78"/>
      <c r="DTG92" s="79"/>
      <c r="DTH92" s="77"/>
      <c r="DTI92" s="78"/>
      <c r="DTO92" s="79"/>
      <c r="DTP92" s="77"/>
      <c r="DTQ92" s="78"/>
      <c r="DTW92" s="79"/>
      <c r="DTX92" s="77"/>
      <c r="DTY92" s="78"/>
      <c r="DUE92" s="79"/>
      <c r="DUF92" s="77"/>
      <c r="DUG92" s="78"/>
      <c r="DUM92" s="79"/>
      <c r="DUN92" s="77"/>
      <c r="DUO92" s="78"/>
      <c r="DUU92" s="79"/>
      <c r="DUV92" s="77"/>
      <c r="DUW92" s="78"/>
      <c r="DVC92" s="79"/>
      <c r="DVD92" s="77"/>
      <c r="DVE92" s="78"/>
      <c r="DVK92" s="79"/>
      <c r="DVL92" s="77"/>
      <c r="DVM92" s="78"/>
      <c r="DVS92" s="79"/>
      <c r="DVT92" s="77"/>
      <c r="DVU92" s="78"/>
      <c r="DWA92" s="79"/>
      <c r="DWB92" s="77"/>
      <c r="DWC92" s="78"/>
      <c r="DWI92" s="79"/>
      <c r="DWJ92" s="77"/>
      <c r="DWK92" s="78"/>
      <c r="DWQ92" s="79"/>
      <c r="DWR92" s="77"/>
      <c r="DWS92" s="78"/>
      <c r="DWY92" s="79"/>
      <c r="DWZ92" s="77"/>
      <c r="DXA92" s="78"/>
      <c r="DXG92" s="79"/>
      <c r="DXH92" s="77"/>
      <c r="DXI92" s="78"/>
      <c r="DXO92" s="79"/>
      <c r="DXP92" s="77"/>
      <c r="DXQ92" s="78"/>
      <c r="DXW92" s="79"/>
      <c r="DXX92" s="77"/>
      <c r="DXY92" s="78"/>
      <c r="DYE92" s="79"/>
      <c r="DYF92" s="77"/>
      <c r="DYG92" s="78"/>
      <c r="DYM92" s="79"/>
      <c r="DYN92" s="77"/>
      <c r="DYO92" s="78"/>
      <c r="DYU92" s="79"/>
      <c r="DYV92" s="77"/>
      <c r="DYW92" s="78"/>
      <c r="DZC92" s="79"/>
      <c r="DZD92" s="77"/>
      <c r="DZE92" s="78"/>
      <c r="DZK92" s="79"/>
      <c r="DZL92" s="77"/>
      <c r="DZM92" s="78"/>
      <c r="DZS92" s="79"/>
      <c r="DZT92" s="77"/>
      <c r="DZU92" s="78"/>
      <c r="EAA92" s="79"/>
      <c r="EAB92" s="77"/>
      <c r="EAC92" s="78"/>
      <c r="EAI92" s="79"/>
      <c r="EAJ92" s="77"/>
      <c r="EAK92" s="78"/>
      <c r="EAQ92" s="79"/>
      <c r="EAR92" s="77"/>
      <c r="EAS92" s="78"/>
      <c r="EAY92" s="79"/>
      <c r="EAZ92" s="77"/>
      <c r="EBA92" s="78"/>
      <c r="EBG92" s="79"/>
      <c r="EBH92" s="77"/>
      <c r="EBI92" s="78"/>
      <c r="EBO92" s="79"/>
      <c r="EBP92" s="77"/>
      <c r="EBQ92" s="78"/>
      <c r="EBW92" s="79"/>
      <c r="EBX92" s="77"/>
      <c r="EBY92" s="78"/>
      <c r="ECE92" s="79"/>
      <c r="ECF92" s="77"/>
      <c r="ECG92" s="78"/>
      <c r="ECM92" s="79"/>
      <c r="ECN92" s="77"/>
      <c r="ECO92" s="78"/>
      <c r="ECU92" s="79"/>
      <c r="ECV92" s="77"/>
      <c r="ECW92" s="78"/>
      <c r="EDC92" s="79"/>
      <c r="EDD92" s="77"/>
      <c r="EDE92" s="78"/>
      <c r="EDK92" s="79"/>
      <c r="EDL92" s="77"/>
      <c r="EDM92" s="78"/>
      <c r="EDS92" s="79"/>
      <c r="EDT92" s="77"/>
      <c r="EDU92" s="78"/>
      <c r="EEA92" s="79"/>
      <c r="EEB92" s="77"/>
      <c r="EEC92" s="78"/>
      <c r="EEI92" s="79"/>
      <c r="EEJ92" s="77"/>
      <c r="EEK92" s="78"/>
      <c r="EEQ92" s="79"/>
      <c r="EER92" s="77"/>
      <c r="EES92" s="78"/>
      <c r="EEY92" s="79"/>
      <c r="EEZ92" s="77"/>
      <c r="EFA92" s="78"/>
      <c r="EFG92" s="79"/>
      <c r="EFH92" s="77"/>
      <c r="EFI92" s="78"/>
      <c r="EFO92" s="79"/>
      <c r="EFP92" s="77"/>
      <c r="EFQ92" s="78"/>
      <c r="EFW92" s="79"/>
      <c r="EFX92" s="77"/>
      <c r="EFY92" s="78"/>
      <c r="EGE92" s="79"/>
      <c r="EGF92" s="77"/>
      <c r="EGG92" s="78"/>
      <c r="EGM92" s="79"/>
      <c r="EGN92" s="77"/>
      <c r="EGO92" s="78"/>
      <c r="EGU92" s="79"/>
      <c r="EGV92" s="77"/>
      <c r="EGW92" s="78"/>
      <c r="EHC92" s="79"/>
      <c r="EHD92" s="77"/>
      <c r="EHE92" s="78"/>
      <c r="EHK92" s="79"/>
      <c r="EHL92" s="77"/>
      <c r="EHM92" s="78"/>
      <c r="EHS92" s="79"/>
      <c r="EHT92" s="77"/>
      <c r="EHU92" s="78"/>
      <c r="EIA92" s="79"/>
      <c r="EIB92" s="77"/>
      <c r="EIC92" s="78"/>
      <c r="EII92" s="79"/>
      <c r="EIJ92" s="77"/>
      <c r="EIK92" s="78"/>
      <c r="EIQ92" s="79"/>
      <c r="EIR92" s="77"/>
      <c r="EIS92" s="78"/>
      <c r="EIY92" s="79"/>
      <c r="EIZ92" s="77"/>
      <c r="EJA92" s="78"/>
      <c r="EJG92" s="79"/>
      <c r="EJH92" s="77"/>
      <c r="EJI92" s="78"/>
      <c r="EJO92" s="79"/>
      <c r="EJP92" s="77"/>
      <c r="EJQ92" s="78"/>
      <c r="EJW92" s="79"/>
      <c r="EJX92" s="77"/>
      <c r="EJY92" s="78"/>
      <c r="EKE92" s="79"/>
      <c r="EKF92" s="77"/>
      <c r="EKG92" s="78"/>
      <c r="EKM92" s="79"/>
      <c r="EKN92" s="77"/>
      <c r="EKO92" s="78"/>
      <c r="EKU92" s="79"/>
      <c r="EKV92" s="77"/>
      <c r="EKW92" s="78"/>
      <c r="ELC92" s="79"/>
      <c r="ELD92" s="77"/>
      <c r="ELE92" s="78"/>
      <c r="ELK92" s="79"/>
      <c r="ELL92" s="77"/>
      <c r="ELM92" s="78"/>
      <c r="ELS92" s="79"/>
      <c r="ELT92" s="77"/>
      <c r="ELU92" s="78"/>
      <c r="EMA92" s="79"/>
      <c r="EMB92" s="77"/>
      <c r="EMC92" s="78"/>
      <c r="EMI92" s="79"/>
      <c r="EMJ92" s="77"/>
      <c r="EMK92" s="78"/>
      <c r="EMQ92" s="79"/>
      <c r="EMR92" s="77"/>
      <c r="EMS92" s="78"/>
      <c r="EMY92" s="79"/>
      <c r="EMZ92" s="77"/>
      <c r="ENA92" s="78"/>
      <c r="ENG92" s="79"/>
      <c r="ENH92" s="77"/>
      <c r="ENI92" s="78"/>
      <c r="ENO92" s="79"/>
      <c r="ENP92" s="77"/>
      <c r="ENQ92" s="78"/>
      <c r="ENW92" s="79"/>
      <c r="ENX92" s="77"/>
      <c r="ENY92" s="78"/>
      <c r="EOE92" s="79"/>
      <c r="EOF92" s="77"/>
      <c r="EOG92" s="78"/>
      <c r="EOM92" s="79"/>
      <c r="EON92" s="77"/>
      <c r="EOO92" s="78"/>
      <c r="EOU92" s="79"/>
      <c r="EOV92" s="77"/>
      <c r="EOW92" s="78"/>
      <c r="EPC92" s="79"/>
      <c r="EPD92" s="77"/>
      <c r="EPE92" s="78"/>
      <c r="EPK92" s="79"/>
      <c r="EPL92" s="77"/>
      <c r="EPM92" s="78"/>
      <c r="EPS92" s="79"/>
      <c r="EPT92" s="77"/>
      <c r="EPU92" s="78"/>
      <c r="EQA92" s="79"/>
      <c r="EQB92" s="77"/>
      <c r="EQC92" s="78"/>
      <c r="EQI92" s="79"/>
      <c r="EQJ92" s="77"/>
      <c r="EQK92" s="78"/>
      <c r="EQQ92" s="79"/>
      <c r="EQR92" s="77"/>
      <c r="EQS92" s="78"/>
      <c r="EQY92" s="79"/>
      <c r="EQZ92" s="77"/>
      <c r="ERA92" s="78"/>
      <c r="ERG92" s="79"/>
      <c r="ERH92" s="77"/>
      <c r="ERI92" s="78"/>
      <c r="ERO92" s="79"/>
      <c r="ERP92" s="77"/>
      <c r="ERQ92" s="78"/>
      <c r="ERW92" s="79"/>
      <c r="ERX92" s="77"/>
      <c r="ERY92" s="78"/>
      <c r="ESE92" s="79"/>
      <c r="ESF92" s="77"/>
      <c r="ESG92" s="78"/>
      <c r="ESM92" s="79"/>
      <c r="ESN92" s="77"/>
      <c r="ESO92" s="78"/>
      <c r="ESU92" s="79"/>
      <c r="ESV92" s="77"/>
      <c r="ESW92" s="78"/>
      <c r="ETC92" s="79"/>
      <c r="ETD92" s="77"/>
      <c r="ETE92" s="78"/>
      <c r="ETK92" s="79"/>
      <c r="ETL92" s="77"/>
      <c r="ETM92" s="78"/>
      <c r="ETS92" s="79"/>
      <c r="ETT92" s="77"/>
      <c r="ETU92" s="78"/>
      <c r="EUA92" s="79"/>
      <c r="EUB92" s="77"/>
      <c r="EUC92" s="78"/>
      <c r="EUI92" s="79"/>
      <c r="EUJ92" s="77"/>
      <c r="EUK92" s="78"/>
      <c r="EUQ92" s="79"/>
      <c r="EUR92" s="77"/>
      <c r="EUS92" s="78"/>
      <c r="EUY92" s="79"/>
      <c r="EUZ92" s="77"/>
      <c r="EVA92" s="78"/>
      <c r="EVG92" s="79"/>
      <c r="EVH92" s="77"/>
      <c r="EVI92" s="78"/>
      <c r="EVO92" s="79"/>
      <c r="EVP92" s="77"/>
      <c r="EVQ92" s="78"/>
      <c r="EVW92" s="79"/>
      <c r="EVX92" s="77"/>
      <c r="EVY92" s="78"/>
      <c r="EWE92" s="79"/>
      <c r="EWF92" s="77"/>
      <c r="EWG92" s="78"/>
      <c r="EWM92" s="79"/>
      <c r="EWN92" s="77"/>
      <c r="EWO92" s="78"/>
      <c r="EWU92" s="79"/>
      <c r="EWV92" s="77"/>
      <c r="EWW92" s="78"/>
      <c r="EXC92" s="79"/>
      <c r="EXD92" s="77"/>
      <c r="EXE92" s="78"/>
      <c r="EXK92" s="79"/>
      <c r="EXL92" s="77"/>
      <c r="EXM92" s="78"/>
      <c r="EXS92" s="79"/>
      <c r="EXT92" s="77"/>
      <c r="EXU92" s="78"/>
      <c r="EYA92" s="79"/>
      <c r="EYB92" s="77"/>
      <c r="EYC92" s="78"/>
      <c r="EYI92" s="79"/>
      <c r="EYJ92" s="77"/>
      <c r="EYK92" s="78"/>
      <c r="EYQ92" s="79"/>
      <c r="EYR92" s="77"/>
      <c r="EYS92" s="78"/>
      <c r="EYY92" s="79"/>
      <c r="EYZ92" s="77"/>
      <c r="EZA92" s="78"/>
      <c r="EZG92" s="79"/>
      <c r="EZH92" s="77"/>
      <c r="EZI92" s="78"/>
      <c r="EZO92" s="79"/>
      <c r="EZP92" s="77"/>
      <c r="EZQ92" s="78"/>
      <c r="EZW92" s="79"/>
      <c r="EZX92" s="77"/>
      <c r="EZY92" s="78"/>
      <c r="FAE92" s="79"/>
      <c r="FAF92" s="77"/>
      <c r="FAG92" s="78"/>
      <c r="FAM92" s="79"/>
      <c r="FAN92" s="77"/>
      <c r="FAO92" s="78"/>
      <c r="FAU92" s="79"/>
      <c r="FAV92" s="77"/>
      <c r="FAW92" s="78"/>
      <c r="FBC92" s="79"/>
      <c r="FBD92" s="77"/>
      <c r="FBE92" s="78"/>
      <c r="FBK92" s="79"/>
      <c r="FBL92" s="77"/>
      <c r="FBM92" s="78"/>
      <c r="FBS92" s="79"/>
      <c r="FBT92" s="77"/>
      <c r="FBU92" s="78"/>
      <c r="FCA92" s="79"/>
      <c r="FCB92" s="77"/>
      <c r="FCC92" s="78"/>
      <c r="FCI92" s="79"/>
      <c r="FCJ92" s="77"/>
      <c r="FCK92" s="78"/>
      <c r="FCQ92" s="79"/>
      <c r="FCR92" s="77"/>
      <c r="FCS92" s="78"/>
      <c r="FCY92" s="79"/>
      <c r="FCZ92" s="77"/>
      <c r="FDA92" s="78"/>
      <c r="FDG92" s="79"/>
      <c r="FDH92" s="77"/>
      <c r="FDI92" s="78"/>
      <c r="FDO92" s="79"/>
      <c r="FDP92" s="77"/>
      <c r="FDQ92" s="78"/>
      <c r="FDW92" s="79"/>
      <c r="FDX92" s="77"/>
      <c r="FDY92" s="78"/>
      <c r="FEE92" s="79"/>
      <c r="FEF92" s="77"/>
      <c r="FEG92" s="78"/>
      <c r="FEM92" s="79"/>
      <c r="FEN92" s="77"/>
      <c r="FEO92" s="78"/>
      <c r="FEU92" s="79"/>
      <c r="FEV92" s="77"/>
      <c r="FEW92" s="78"/>
      <c r="FFC92" s="79"/>
      <c r="FFD92" s="77"/>
      <c r="FFE92" s="78"/>
      <c r="FFK92" s="79"/>
      <c r="FFL92" s="77"/>
      <c r="FFM92" s="78"/>
      <c r="FFS92" s="79"/>
      <c r="FFT92" s="77"/>
      <c r="FFU92" s="78"/>
      <c r="FGA92" s="79"/>
      <c r="FGB92" s="77"/>
      <c r="FGC92" s="78"/>
      <c r="FGI92" s="79"/>
      <c r="FGJ92" s="77"/>
      <c r="FGK92" s="78"/>
      <c r="FGQ92" s="79"/>
      <c r="FGR92" s="77"/>
      <c r="FGS92" s="78"/>
      <c r="FGY92" s="79"/>
      <c r="FGZ92" s="77"/>
      <c r="FHA92" s="78"/>
      <c r="FHG92" s="79"/>
      <c r="FHH92" s="77"/>
      <c r="FHI92" s="78"/>
      <c r="FHO92" s="79"/>
      <c r="FHP92" s="77"/>
      <c r="FHQ92" s="78"/>
      <c r="FHW92" s="79"/>
      <c r="FHX92" s="77"/>
      <c r="FHY92" s="78"/>
      <c r="FIE92" s="79"/>
      <c r="FIF92" s="77"/>
      <c r="FIG92" s="78"/>
      <c r="FIM92" s="79"/>
      <c r="FIN92" s="77"/>
      <c r="FIO92" s="78"/>
      <c r="FIU92" s="79"/>
      <c r="FIV92" s="77"/>
      <c r="FIW92" s="78"/>
      <c r="FJC92" s="79"/>
      <c r="FJD92" s="77"/>
      <c r="FJE92" s="78"/>
      <c r="FJK92" s="79"/>
      <c r="FJL92" s="77"/>
      <c r="FJM92" s="78"/>
      <c r="FJS92" s="79"/>
      <c r="FJT92" s="77"/>
      <c r="FJU92" s="78"/>
      <c r="FKA92" s="79"/>
      <c r="FKB92" s="77"/>
      <c r="FKC92" s="78"/>
      <c r="FKI92" s="79"/>
      <c r="FKJ92" s="77"/>
      <c r="FKK92" s="78"/>
      <c r="FKQ92" s="79"/>
      <c r="FKR92" s="77"/>
      <c r="FKS92" s="78"/>
      <c r="FKY92" s="79"/>
      <c r="FKZ92" s="77"/>
      <c r="FLA92" s="78"/>
      <c r="FLG92" s="79"/>
      <c r="FLH92" s="77"/>
      <c r="FLI92" s="78"/>
      <c r="FLO92" s="79"/>
      <c r="FLP92" s="77"/>
      <c r="FLQ92" s="78"/>
      <c r="FLW92" s="79"/>
      <c r="FLX92" s="77"/>
      <c r="FLY92" s="78"/>
      <c r="FME92" s="79"/>
      <c r="FMF92" s="77"/>
      <c r="FMG92" s="78"/>
      <c r="FMM92" s="79"/>
      <c r="FMN92" s="77"/>
      <c r="FMO92" s="78"/>
      <c r="FMU92" s="79"/>
      <c r="FMV92" s="77"/>
      <c r="FMW92" s="78"/>
      <c r="FNC92" s="79"/>
      <c r="FND92" s="77"/>
      <c r="FNE92" s="78"/>
      <c r="FNK92" s="79"/>
      <c r="FNL92" s="77"/>
      <c r="FNM92" s="78"/>
      <c r="FNS92" s="79"/>
      <c r="FNT92" s="77"/>
      <c r="FNU92" s="78"/>
      <c r="FOA92" s="79"/>
      <c r="FOB92" s="77"/>
      <c r="FOC92" s="78"/>
      <c r="FOI92" s="79"/>
      <c r="FOJ92" s="77"/>
      <c r="FOK92" s="78"/>
      <c r="FOQ92" s="79"/>
      <c r="FOR92" s="77"/>
      <c r="FOS92" s="78"/>
      <c r="FOY92" s="79"/>
      <c r="FOZ92" s="77"/>
      <c r="FPA92" s="78"/>
      <c r="FPG92" s="79"/>
      <c r="FPH92" s="77"/>
      <c r="FPI92" s="78"/>
      <c r="FPO92" s="79"/>
      <c r="FPP92" s="77"/>
      <c r="FPQ92" s="78"/>
      <c r="FPW92" s="79"/>
      <c r="FPX92" s="77"/>
      <c r="FPY92" s="78"/>
      <c r="FQE92" s="79"/>
      <c r="FQF92" s="77"/>
      <c r="FQG92" s="78"/>
      <c r="FQM92" s="79"/>
      <c r="FQN92" s="77"/>
      <c r="FQO92" s="78"/>
      <c r="FQU92" s="79"/>
      <c r="FQV92" s="77"/>
      <c r="FQW92" s="78"/>
      <c r="FRC92" s="79"/>
      <c r="FRD92" s="77"/>
      <c r="FRE92" s="78"/>
      <c r="FRK92" s="79"/>
      <c r="FRL92" s="77"/>
      <c r="FRM92" s="78"/>
      <c r="FRS92" s="79"/>
      <c r="FRT92" s="77"/>
      <c r="FRU92" s="78"/>
      <c r="FSA92" s="79"/>
      <c r="FSB92" s="77"/>
      <c r="FSC92" s="78"/>
      <c r="FSI92" s="79"/>
      <c r="FSJ92" s="77"/>
      <c r="FSK92" s="78"/>
      <c r="FSQ92" s="79"/>
      <c r="FSR92" s="77"/>
      <c r="FSS92" s="78"/>
      <c r="FSY92" s="79"/>
      <c r="FSZ92" s="77"/>
      <c r="FTA92" s="78"/>
      <c r="FTG92" s="79"/>
      <c r="FTH92" s="77"/>
      <c r="FTI92" s="78"/>
      <c r="FTO92" s="79"/>
      <c r="FTP92" s="77"/>
      <c r="FTQ92" s="78"/>
      <c r="FTW92" s="79"/>
      <c r="FTX92" s="77"/>
      <c r="FTY92" s="78"/>
      <c r="FUE92" s="79"/>
      <c r="FUF92" s="77"/>
      <c r="FUG92" s="78"/>
      <c r="FUM92" s="79"/>
      <c r="FUN92" s="77"/>
      <c r="FUO92" s="78"/>
      <c r="FUU92" s="79"/>
      <c r="FUV92" s="77"/>
      <c r="FUW92" s="78"/>
      <c r="FVC92" s="79"/>
      <c r="FVD92" s="77"/>
      <c r="FVE92" s="78"/>
      <c r="FVK92" s="79"/>
      <c r="FVL92" s="77"/>
      <c r="FVM92" s="78"/>
      <c r="FVS92" s="79"/>
      <c r="FVT92" s="77"/>
      <c r="FVU92" s="78"/>
      <c r="FWA92" s="79"/>
      <c r="FWB92" s="77"/>
      <c r="FWC92" s="78"/>
      <c r="FWI92" s="79"/>
      <c r="FWJ92" s="77"/>
      <c r="FWK92" s="78"/>
      <c r="FWQ92" s="79"/>
      <c r="FWR92" s="77"/>
      <c r="FWS92" s="78"/>
      <c r="FWY92" s="79"/>
      <c r="FWZ92" s="77"/>
      <c r="FXA92" s="78"/>
      <c r="FXG92" s="79"/>
      <c r="FXH92" s="77"/>
      <c r="FXI92" s="78"/>
      <c r="FXO92" s="79"/>
      <c r="FXP92" s="77"/>
      <c r="FXQ92" s="78"/>
      <c r="FXW92" s="79"/>
      <c r="FXX92" s="77"/>
      <c r="FXY92" s="78"/>
      <c r="FYE92" s="79"/>
      <c r="FYF92" s="77"/>
      <c r="FYG92" s="78"/>
      <c r="FYM92" s="79"/>
      <c r="FYN92" s="77"/>
      <c r="FYO92" s="78"/>
      <c r="FYU92" s="79"/>
      <c r="FYV92" s="77"/>
      <c r="FYW92" s="78"/>
      <c r="FZC92" s="79"/>
      <c r="FZD92" s="77"/>
      <c r="FZE92" s="78"/>
      <c r="FZK92" s="79"/>
      <c r="FZL92" s="77"/>
      <c r="FZM92" s="78"/>
      <c r="FZS92" s="79"/>
      <c r="FZT92" s="77"/>
      <c r="FZU92" s="78"/>
      <c r="GAA92" s="79"/>
      <c r="GAB92" s="77"/>
      <c r="GAC92" s="78"/>
      <c r="GAI92" s="79"/>
      <c r="GAJ92" s="77"/>
      <c r="GAK92" s="78"/>
      <c r="GAQ92" s="79"/>
      <c r="GAR92" s="77"/>
      <c r="GAS92" s="78"/>
      <c r="GAY92" s="79"/>
      <c r="GAZ92" s="77"/>
      <c r="GBA92" s="78"/>
      <c r="GBG92" s="79"/>
      <c r="GBH92" s="77"/>
      <c r="GBI92" s="78"/>
      <c r="GBO92" s="79"/>
      <c r="GBP92" s="77"/>
      <c r="GBQ92" s="78"/>
      <c r="GBW92" s="79"/>
      <c r="GBX92" s="77"/>
      <c r="GBY92" s="78"/>
      <c r="GCE92" s="79"/>
      <c r="GCF92" s="77"/>
      <c r="GCG92" s="78"/>
      <c r="GCM92" s="79"/>
      <c r="GCN92" s="77"/>
      <c r="GCO92" s="78"/>
      <c r="GCU92" s="79"/>
      <c r="GCV92" s="77"/>
      <c r="GCW92" s="78"/>
      <c r="GDC92" s="79"/>
      <c r="GDD92" s="77"/>
      <c r="GDE92" s="78"/>
      <c r="GDK92" s="79"/>
      <c r="GDL92" s="77"/>
      <c r="GDM92" s="78"/>
      <c r="GDS92" s="79"/>
      <c r="GDT92" s="77"/>
      <c r="GDU92" s="78"/>
      <c r="GEA92" s="79"/>
      <c r="GEB92" s="77"/>
      <c r="GEC92" s="78"/>
      <c r="GEI92" s="79"/>
      <c r="GEJ92" s="77"/>
      <c r="GEK92" s="78"/>
      <c r="GEQ92" s="79"/>
      <c r="GER92" s="77"/>
      <c r="GES92" s="78"/>
      <c r="GEY92" s="79"/>
      <c r="GEZ92" s="77"/>
      <c r="GFA92" s="78"/>
      <c r="GFG92" s="79"/>
      <c r="GFH92" s="77"/>
      <c r="GFI92" s="78"/>
      <c r="GFO92" s="79"/>
      <c r="GFP92" s="77"/>
      <c r="GFQ92" s="78"/>
      <c r="GFW92" s="79"/>
      <c r="GFX92" s="77"/>
      <c r="GFY92" s="78"/>
      <c r="GGE92" s="79"/>
      <c r="GGF92" s="77"/>
      <c r="GGG92" s="78"/>
      <c r="GGM92" s="79"/>
      <c r="GGN92" s="77"/>
      <c r="GGO92" s="78"/>
      <c r="GGU92" s="79"/>
      <c r="GGV92" s="77"/>
      <c r="GGW92" s="78"/>
      <c r="GHC92" s="79"/>
      <c r="GHD92" s="77"/>
      <c r="GHE92" s="78"/>
      <c r="GHK92" s="79"/>
      <c r="GHL92" s="77"/>
      <c r="GHM92" s="78"/>
      <c r="GHS92" s="79"/>
      <c r="GHT92" s="77"/>
      <c r="GHU92" s="78"/>
      <c r="GIA92" s="79"/>
      <c r="GIB92" s="77"/>
      <c r="GIC92" s="78"/>
      <c r="GII92" s="79"/>
      <c r="GIJ92" s="77"/>
      <c r="GIK92" s="78"/>
      <c r="GIQ92" s="79"/>
      <c r="GIR92" s="77"/>
      <c r="GIS92" s="78"/>
      <c r="GIY92" s="79"/>
      <c r="GIZ92" s="77"/>
      <c r="GJA92" s="78"/>
      <c r="GJG92" s="79"/>
      <c r="GJH92" s="77"/>
      <c r="GJI92" s="78"/>
      <c r="GJO92" s="79"/>
      <c r="GJP92" s="77"/>
      <c r="GJQ92" s="78"/>
      <c r="GJW92" s="79"/>
      <c r="GJX92" s="77"/>
      <c r="GJY92" s="78"/>
      <c r="GKE92" s="79"/>
      <c r="GKF92" s="77"/>
      <c r="GKG92" s="78"/>
      <c r="GKM92" s="79"/>
      <c r="GKN92" s="77"/>
      <c r="GKO92" s="78"/>
      <c r="GKU92" s="79"/>
      <c r="GKV92" s="77"/>
      <c r="GKW92" s="78"/>
      <c r="GLC92" s="79"/>
      <c r="GLD92" s="77"/>
      <c r="GLE92" s="78"/>
      <c r="GLK92" s="79"/>
      <c r="GLL92" s="77"/>
      <c r="GLM92" s="78"/>
      <c r="GLS92" s="79"/>
      <c r="GLT92" s="77"/>
      <c r="GLU92" s="78"/>
      <c r="GMA92" s="79"/>
      <c r="GMB92" s="77"/>
      <c r="GMC92" s="78"/>
      <c r="GMI92" s="79"/>
      <c r="GMJ92" s="77"/>
      <c r="GMK92" s="78"/>
      <c r="GMQ92" s="79"/>
      <c r="GMR92" s="77"/>
      <c r="GMS92" s="78"/>
      <c r="GMY92" s="79"/>
      <c r="GMZ92" s="77"/>
      <c r="GNA92" s="78"/>
      <c r="GNG92" s="79"/>
      <c r="GNH92" s="77"/>
      <c r="GNI92" s="78"/>
      <c r="GNO92" s="79"/>
      <c r="GNP92" s="77"/>
      <c r="GNQ92" s="78"/>
      <c r="GNW92" s="79"/>
      <c r="GNX92" s="77"/>
      <c r="GNY92" s="78"/>
      <c r="GOE92" s="79"/>
      <c r="GOF92" s="77"/>
      <c r="GOG92" s="78"/>
      <c r="GOM92" s="79"/>
      <c r="GON92" s="77"/>
      <c r="GOO92" s="78"/>
      <c r="GOU92" s="79"/>
      <c r="GOV92" s="77"/>
      <c r="GOW92" s="78"/>
      <c r="GPC92" s="79"/>
      <c r="GPD92" s="77"/>
      <c r="GPE92" s="78"/>
      <c r="GPK92" s="79"/>
      <c r="GPL92" s="77"/>
      <c r="GPM92" s="78"/>
      <c r="GPS92" s="79"/>
      <c r="GPT92" s="77"/>
      <c r="GPU92" s="78"/>
      <c r="GQA92" s="79"/>
      <c r="GQB92" s="77"/>
      <c r="GQC92" s="78"/>
      <c r="GQI92" s="79"/>
      <c r="GQJ92" s="77"/>
      <c r="GQK92" s="78"/>
      <c r="GQQ92" s="79"/>
      <c r="GQR92" s="77"/>
      <c r="GQS92" s="78"/>
      <c r="GQY92" s="79"/>
      <c r="GQZ92" s="77"/>
      <c r="GRA92" s="78"/>
      <c r="GRG92" s="79"/>
      <c r="GRH92" s="77"/>
      <c r="GRI92" s="78"/>
      <c r="GRO92" s="79"/>
      <c r="GRP92" s="77"/>
      <c r="GRQ92" s="78"/>
      <c r="GRW92" s="79"/>
      <c r="GRX92" s="77"/>
      <c r="GRY92" s="78"/>
      <c r="GSE92" s="79"/>
      <c r="GSF92" s="77"/>
      <c r="GSG92" s="78"/>
      <c r="GSM92" s="79"/>
      <c r="GSN92" s="77"/>
      <c r="GSO92" s="78"/>
      <c r="GSU92" s="79"/>
      <c r="GSV92" s="77"/>
      <c r="GSW92" s="78"/>
      <c r="GTC92" s="79"/>
      <c r="GTD92" s="77"/>
      <c r="GTE92" s="78"/>
      <c r="GTK92" s="79"/>
      <c r="GTL92" s="77"/>
      <c r="GTM92" s="78"/>
      <c r="GTS92" s="79"/>
      <c r="GTT92" s="77"/>
      <c r="GTU92" s="78"/>
      <c r="GUA92" s="79"/>
      <c r="GUB92" s="77"/>
      <c r="GUC92" s="78"/>
      <c r="GUI92" s="79"/>
      <c r="GUJ92" s="77"/>
      <c r="GUK92" s="78"/>
      <c r="GUQ92" s="79"/>
      <c r="GUR92" s="77"/>
      <c r="GUS92" s="78"/>
      <c r="GUY92" s="79"/>
      <c r="GUZ92" s="77"/>
      <c r="GVA92" s="78"/>
      <c r="GVG92" s="79"/>
      <c r="GVH92" s="77"/>
      <c r="GVI92" s="78"/>
      <c r="GVO92" s="79"/>
      <c r="GVP92" s="77"/>
      <c r="GVQ92" s="78"/>
      <c r="GVW92" s="79"/>
      <c r="GVX92" s="77"/>
      <c r="GVY92" s="78"/>
      <c r="GWE92" s="79"/>
      <c r="GWF92" s="77"/>
      <c r="GWG92" s="78"/>
      <c r="GWM92" s="79"/>
      <c r="GWN92" s="77"/>
      <c r="GWO92" s="78"/>
      <c r="GWU92" s="79"/>
      <c r="GWV92" s="77"/>
      <c r="GWW92" s="78"/>
      <c r="GXC92" s="79"/>
      <c r="GXD92" s="77"/>
      <c r="GXE92" s="78"/>
      <c r="GXK92" s="79"/>
      <c r="GXL92" s="77"/>
      <c r="GXM92" s="78"/>
      <c r="GXS92" s="79"/>
      <c r="GXT92" s="77"/>
      <c r="GXU92" s="78"/>
      <c r="GYA92" s="79"/>
      <c r="GYB92" s="77"/>
      <c r="GYC92" s="78"/>
      <c r="GYI92" s="79"/>
      <c r="GYJ92" s="77"/>
      <c r="GYK92" s="78"/>
      <c r="GYQ92" s="79"/>
      <c r="GYR92" s="77"/>
      <c r="GYS92" s="78"/>
      <c r="GYY92" s="79"/>
      <c r="GYZ92" s="77"/>
      <c r="GZA92" s="78"/>
      <c r="GZG92" s="79"/>
      <c r="GZH92" s="77"/>
      <c r="GZI92" s="78"/>
      <c r="GZO92" s="79"/>
      <c r="GZP92" s="77"/>
      <c r="GZQ92" s="78"/>
      <c r="GZW92" s="79"/>
      <c r="GZX92" s="77"/>
      <c r="GZY92" s="78"/>
      <c r="HAE92" s="79"/>
      <c r="HAF92" s="77"/>
      <c r="HAG92" s="78"/>
      <c r="HAM92" s="79"/>
      <c r="HAN92" s="77"/>
      <c r="HAO92" s="78"/>
      <c r="HAU92" s="79"/>
      <c r="HAV92" s="77"/>
      <c r="HAW92" s="78"/>
      <c r="HBC92" s="79"/>
      <c r="HBD92" s="77"/>
      <c r="HBE92" s="78"/>
      <c r="HBK92" s="79"/>
      <c r="HBL92" s="77"/>
      <c r="HBM92" s="78"/>
      <c r="HBS92" s="79"/>
      <c r="HBT92" s="77"/>
      <c r="HBU92" s="78"/>
      <c r="HCA92" s="79"/>
      <c r="HCB92" s="77"/>
      <c r="HCC92" s="78"/>
      <c r="HCI92" s="79"/>
      <c r="HCJ92" s="77"/>
      <c r="HCK92" s="78"/>
      <c r="HCQ92" s="79"/>
      <c r="HCR92" s="77"/>
      <c r="HCS92" s="78"/>
      <c r="HCY92" s="79"/>
      <c r="HCZ92" s="77"/>
      <c r="HDA92" s="78"/>
      <c r="HDG92" s="79"/>
      <c r="HDH92" s="77"/>
      <c r="HDI92" s="78"/>
      <c r="HDO92" s="79"/>
      <c r="HDP92" s="77"/>
      <c r="HDQ92" s="78"/>
      <c r="HDW92" s="79"/>
      <c r="HDX92" s="77"/>
      <c r="HDY92" s="78"/>
      <c r="HEE92" s="79"/>
      <c r="HEF92" s="77"/>
      <c r="HEG92" s="78"/>
      <c r="HEM92" s="79"/>
      <c r="HEN92" s="77"/>
      <c r="HEO92" s="78"/>
      <c r="HEU92" s="79"/>
      <c r="HEV92" s="77"/>
      <c r="HEW92" s="78"/>
      <c r="HFC92" s="79"/>
      <c r="HFD92" s="77"/>
      <c r="HFE92" s="78"/>
      <c r="HFK92" s="79"/>
      <c r="HFL92" s="77"/>
      <c r="HFM92" s="78"/>
      <c r="HFS92" s="79"/>
      <c r="HFT92" s="77"/>
      <c r="HFU92" s="78"/>
      <c r="HGA92" s="79"/>
      <c r="HGB92" s="77"/>
      <c r="HGC92" s="78"/>
      <c r="HGI92" s="79"/>
      <c r="HGJ92" s="77"/>
      <c r="HGK92" s="78"/>
      <c r="HGQ92" s="79"/>
      <c r="HGR92" s="77"/>
      <c r="HGS92" s="78"/>
      <c r="HGY92" s="79"/>
      <c r="HGZ92" s="77"/>
      <c r="HHA92" s="78"/>
      <c r="HHG92" s="79"/>
      <c r="HHH92" s="77"/>
      <c r="HHI92" s="78"/>
      <c r="HHO92" s="79"/>
      <c r="HHP92" s="77"/>
      <c r="HHQ92" s="78"/>
      <c r="HHW92" s="79"/>
      <c r="HHX92" s="77"/>
      <c r="HHY92" s="78"/>
      <c r="HIE92" s="79"/>
      <c r="HIF92" s="77"/>
      <c r="HIG92" s="78"/>
      <c r="HIM92" s="79"/>
      <c r="HIN92" s="77"/>
      <c r="HIO92" s="78"/>
      <c r="HIU92" s="79"/>
      <c r="HIV92" s="77"/>
      <c r="HIW92" s="78"/>
      <c r="HJC92" s="79"/>
      <c r="HJD92" s="77"/>
      <c r="HJE92" s="78"/>
      <c r="HJK92" s="79"/>
      <c r="HJL92" s="77"/>
      <c r="HJM92" s="78"/>
      <c r="HJS92" s="79"/>
      <c r="HJT92" s="77"/>
      <c r="HJU92" s="78"/>
      <c r="HKA92" s="79"/>
      <c r="HKB92" s="77"/>
      <c r="HKC92" s="78"/>
      <c r="HKI92" s="79"/>
      <c r="HKJ92" s="77"/>
      <c r="HKK92" s="78"/>
      <c r="HKQ92" s="79"/>
      <c r="HKR92" s="77"/>
      <c r="HKS92" s="78"/>
      <c r="HKY92" s="79"/>
      <c r="HKZ92" s="77"/>
      <c r="HLA92" s="78"/>
      <c r="HLG92" s="79"/>
      <c r="HLH92" s="77"/>
      <c r="HLI92" s="78"/>
      <c r="HLO92" s="79"/>
      <c r="HLP92" s="77"/>
      <c r="HLQ92" s="78"/>
      <c r="HLW92" s="79"/>
      <c r="HLX92" s="77"/>
      <c r="HLY92" s="78"/>
      <c r="HME92" s="79"/>
      <c r="HMF92" s="77"/>
      <c r="HMG92" s="78"/>
      <c r="HMM92" s="79"/>
      <c r="HMN92" s="77"/>
      <c r="HMO92" s="78"/>
      <c r="HMU92" s="79"/>
      <c r="HMV92" s="77"/>
      <c r="HMW92" s="78"/>
      <c r="HNC92" s="79"/>
      <c r="HND92" s="77"/>
      <c r="HNE92" s="78"/>
      <c r="HNK92" s="79"/>
      <c r="HNL92" s="77"/>
      <c r="HNM92" s="78"/>
      <c r="HNS92" s="79"/>
      <c r="HNT92" s="77"/>
      <c r="HNU92" s="78"/>
      <c r="HOA92" s="79"/>
      <c r="HOB92" s="77"/>
      <c r="HOC92" s="78"/>
      <c r="HOI92" s="79"/>
      <c r="HOJ92" s="77"/>
      <c r="HOK92" s="78"/>
      <c r="HOQ92" s="79"/>
      <c r="HOR92" s="77"/>
      <c r="HOS92" s="78"/>
      <c r="HOY92" s="79"/>
      <c r="HOZ92" s="77"/>
      <c r="HPA92" s="78"/>
      <c r="HPG92" s="79"/>
      <c r="HPH92" s="77"/>
      <c r="HPI92" s="78"/>
      <c r="HPO92" s="79"/>
      <c r="HPP92" s="77"/>
      <c r="HPQ92" s="78"/>
      <c r="HPW92" s="79"/>
      <c r="HPX92" s="77"/>
      <c r="HPY92" s="78"/>
      <c r="HQE92" s="79"/>
      <c r="HQF92" s="77"/>
      <c r="HQG92" s="78"/>
      <c r="HQM92" s="79"/>
      <c r="HQN92" s="77"/>
      <c r="HQO92" s="78"/>
      <c r="HQU92" s="79"/>
      <c r="HQV92" s="77"/>
      <c r="HQW92" s="78"/>
      <c r="HRC92" s="79"/>
      <c r="HRD92" s="77"/>
      <c r="HRE92" s="78"/>
      <c r="HRK92" s="79"/>
      <c r="HRL92" s="77"/>
      <c r="HRM92" s="78"/>
      <c r="HRS92" s="79"/>
      <c r="HRT92" s="77"/>
      <c r="HRU92" s="78"/>
      <c r="HSA92" s="79"/>
      <c r="HSB92" s="77"/>
      <c r="HSC92" s="78"/>
      <c r="HSI92" s="79"/>
      <c r="HSJ92" s="77"/>
      <c r="HSK92" s="78"/>
      <c r="HSQ92" s="79"/>
      <c r="HSR92" s="77"/>
      <c r="HSS92" s="78"/>
      <c r="HSY92" s="79"/>
      <c r="HSZ92" s="77"/>
      <c r="HTA92" s="78"/>
      <c r="HTG92" s="79"/>
      <c r="HTH92" s="77"/>
      <c r="HTI92" s="78"/>
      <c r="HTO92" s="79"/>
      <c r="HTP92" s="77"/>
      <c r="HTQ92" s="78"/>
      <c r="HTW92" s="79"/>
      <c r="HTX92" s="77"/>
      <c r="HTY92" s="78"/>
      <c r="HUE92" s="79"/>
      <c r="HUF92" s="77"/>
      <c r="HUG92" s="78"/>
      <c r="HUM92" s="79"/>
      <c r="HUN92" s="77"/>
      <c r="HUO92" s="78"/>
      <c r="HUU92" s="79"/>
      <c r="HUV92" s="77"/>
      <c r="HUW92" s="78"/>
      <c r="HVC92" s="79"/>
      <c r="HVD92" s="77"/>
      <c r="HVE92" s="78"/>
      <c r="HVK92" s="79"/>
      <c r="HVL92" s="77"/>
      <c r="HVM92" s="78"/>
      <c r="HVS92" s="79"/>
      <c r="HVT92" s="77"/>
      <c r="HVU92" s="78"/>
      <c r="HWA92" s="79"/>
      <c r="HWB92" s="77"/>
      <c r="HWC92" s="78"/>
      <c r="HWI92" s="79"/>
      <c r="HWJ92" s="77"/>
      <c r="HWK92" s="78"/>
      <c r="HWQ92" s="79"/>
      <c r="HWR92" s="77"/>
      <c r="HWS92" s="78"/>
      <c r="HWY92" s="79"/>
      <c r="HWZ92" s="77"/>
      <c r="HXA92" s="78"/>
      <c r="HXG92" s="79"/>
      <c r="HXH92" s="77"/>
      <c r="HXI92" s="78"/>
      <c r="HXO92" s="79"/>
      <c r="HXP92" s="77"/>
      <c r="HXQ92" s="78"/>
      <c r="HXW92" s="79"/>
      <c r="HXX92" s="77"/>
      <c r="HXY92" s="78"/>
      <c r="HYE92" s="79"/>
      <c r="HYF92" s="77"/>
      <c r="HYG92" s="78"/>
      <c r="HYM92" s="79"/>
      <c r="HYN92" s="77"/>
      <c r="HYO92" s="78"/>
      <c r="HYU92" s="79"/>
      <c r="HYV92" s="77"/>
      <c r="HYW92" s="78"/>
      <c r="HZC92" s="79"/>
      <c r="HZD92" s="77"/>
      <c r="HZE92" s="78"/>
      <c r="HZK92" s="79"/>
      <c r="HZL92" s="77"/>
      <c r="HZM92" s="78"/>
      <c r="HZS92" s="79"/>
      <c r="HZT92" s="77"/>
      <c r="HZU92" s="78"/>
      <c r="IAA92" s="79"/>
      <c r="IAB92" s="77"/>
      <c r="IAC92" s="78"/>
      <c r="IAI92" s="79"/>
      <c r="IAJ92" s="77"/>
      <c r="IAK92" s="78"/>
      <c r="IAQ92" s="79"/>
      <c r="IAR92" s="77"/>
      <c r="IAS92" s="78"/>
      <c r="IAY92" s="79"/>
      <c r="IAZ92" s="77"/>
      <c r="IBA92" s="78"/>
      <c r="IBG92" s="79"/>
      <c r="IBH92" s="77"/>
      <c r="IBI92" s="78"/>
      <c r="IBO92" s="79"/>
      <c r="IBP92" s="77"/>
      <c r="IBQ92" s="78"/>
      <c r="IBW92" s="79"/>
      <c r="IBX92" s="77"/>
      <c r="IBY92" s="78"/>
      <c r="ICE92" s="79"/>
      <c r="ICF92" s="77"/>
      <c r="ICG92" s="78"/>
      <c r="ICM92" s="79"/>
      <c r="ICN92" s="77"/>
      <c r="ICO92" s="78"/>
      <c r="ICU92" s="79"/>
      <c r="ICV92" s="77"/>
      <c r="ICW92" s="78"/>
      <c r="IDC92" s="79"/>
      <c r="IDD92" s="77"/>
      <c r="IDE92" s="78"/>
      <c r="IDK92" s="79"/>
      <c r="IDL92" s="77"/>
      <c r="IDM92" s="78"/>
      <c r="IDS92" s="79"/>
      <c r="IDT92" s="77"/>
      <c r="IDU92" s="78"/>
      <c r="IEA92" s="79"/>
      <c r="IEB92" s="77"/>
      <c r="IEC92" s="78"/>
      <c r="IEI92" s="79"/>
      <c r="IEJ92" s="77"/>
      <c r="IEK92" s="78"/>
      <c r="IEQ92" s="79"/>
      <c r="IER92" s="77"/>
      <c r="IES92" s="78"/>
      <c r="IEY92" s="79"/>
      <c r="IEZ92" s="77"/>
      <c r="IFA92" s="78"/>
      <c r="IFG92" s="79"/>
      <c r="IFH92" s="77"/>
      <c r="IFI92" s="78"/>
      <c r="IFO92" s="79"/>
      <c r="IFP92" s="77"/>
      <c r="IFQ92" s="78"/>
      <c r="IFW92" s="79"/>
      <c r="IFX92" s="77"/>
      <c r="IFY92" s="78"/>
      <c r="IGE92" s="79"/>
      <c r="IGF92" s="77"/>
      <c r="IGG92" s="78"/>
      <c r="IGM92" s="79"/>
      <c r="IGN92" s="77"/>
      <c r="IGO92" s="78"/>
      <c r="IGU92" s="79"/>
      <c r="IGV92" s="77"/>
      <c r="IGW92" s="78"/>
      <c r="IHC92" s="79"/>
      <c r="IHD92" s="77"/>
      <c r="IHE92" s="78"/>
      <c r="IHK92" s="79"/>
      <c r="IHL92" s="77"/>
      <c r="IHM92" s="78"/>
      <c r="IHS92" s="79"/>
      <c r="IHT92" s="77"/>
      <c r="IHU92" s="78"/>
      <c r="IIA92" s="79"/>
      <c r="IIB92" s="77"/>
      <c r="IIC92" s="78"/>
      <c r="III92" s="79"/>
      <c r="IIJ92" s="77"/>
      <c r="IIK92" s="78"/>
      <c r="IIQ92" s="79"/>
      <c r="IIR92" s="77"/>
      <c r="IIS92" s="78"/>
      <c r="IIY92" s="79"/>
      <c r="IIZ92" s="77"/>
      <c r="IJA92" s="78"/>
      <c r="IJG92" s="79"/>
      <c r="IJH92" s="77"/>
      <c r="IJI92" s="78"/>
      <c r="IJO92" s="79"/>
      <c r="IJP92" s="77"/>
      <c r="IJQ92" s="78"/>
      <c r="IJW92" s="79"/>
      <c r="IJX92" s="77"/>
      <c r="IJY92" s="78"/>
      <c r="IKE92" s="79"/>
      <c r="IKF92" s="77"/>
      <c r="IKG92" s="78"/>
      <c r="IKM92" s="79"/>
      <c r="IKN92" s="77"/>
      <c r="IKO92" s="78"/>
      <c r="IKU92" s="79"/>
      <c r="IKV92" s="77"/>
      <c r="IKW92" s="78"/>
      <c r="ILC92" s="79"/>
      <c r="ILD92" s="77"/>
      <c r="ILE92" s="78"/>
      <c r="ILK92" s="79"/>
      <c r="ILL92" s="77"/>
      <c r="ILM92" s="78"/>
      <c r="ILS92" s="79"/>
      <c r="ILT92" s="77"/>
      <c r="ILU92" s="78"/>
      <c r="IMA92" s="79"/>
      <c r="IMB92" s="77"/>
      <c r="IMC92" s="78"/>
      <c r="IMI92" s="79"/>
      <c r="IMJ92" s="77"/>
      <c r="IMK92" s="78"/>
      <c r="IMQ92" s="79"/>
      <c r="IMR92" s="77"/>
      <c r="IMS92" s="78"/>
      <c r="IMY92" s="79"/>
      <c r="IMZ92" s="77"/>
      <c r="INA92" s="78"/>
      <c r="ING92" s="79"/>
      <c r="INH92" s="77"/>
      <c r="INI92" s="78"/>
      <c r="INO92" s="79"/>
      <c r="INP92" s="77"/>
      <c r="INQ92" s="78"/>
      <c r="INW92" s="79"/>
      <c r="INX92" s="77"/>
      <c r="INY92" s="78"/>
      <c r="IOE92" s="79"/>
      <c r="IOF92" s="77"/>
      <c r="IOG92" s="78"/>
      <c r="IOM92" s="79"/>
      <c r="ION92" s="77"/>
      <c r="IOO92" s="78"/>
      <c r="IOU92" s="79"/>
      <c r="IOV92" s="77"/>
      <c r="IOW92" s="78"/>
      <c r="IPC92" s="79"/>
      <c r="IPD92" s="77"/>
      <c r="IPE92" s="78"/>
      <c r="IPK92" s="79"/>
      <c r="IPL92" s="77"/>
      <c r="IPM92" s="78"/>
      <c r="IPS92" s="79"/>
      <c r="IPT92" s="77"/>
      <c r="IPU92" s="78"/>
      <c r="IQA92" s="79"/>
      <c r="IQB92" s="77"/>
      <c r="IQC92" s="78"/>
      <c r="IQI92" s="79"/>
      <c r="IQJ92" s="77"/>
      <c r="IQK92" s="78"/>
      <c r="IQQ92" s="79"/>
      <c r="IQR92" s="77"/>
      <c r="IQS92" s="78"/>
      <c r="IQY92" s="79"/>
      <c r="IQZ92" s="77"/>
      <c r="IRA92" s="78"/>
      <c r="IRG92" s="79"/>
      <c r="IRH92" s="77"/>
      <c r="IRI92" s="78"/>
      <c r="IRO92" s="79"/>
      <c r="IRP92" s="77"/>
      <c r="IRQ92" s="78"/>
      <c r="IRW92" s="79"/>
      <c r="IRX92" s="77"/>
      <c r="IRY92" s="78"/>
      <c r="ISE92" s="79"/>
      <c r="ISF92" s="77"/>
      <c r="ISG92" s="78"/>
      <c r="ISM92" s="79"/>
      <c r="ISN92" s="77"/>
      <c r="ISO92" s="78"/>
      <c r="ISU92" s="79"/>
      <c r="ISV92" s="77"/>
      <c r="ISW92" s="78"/>
      <c r="ITC92" s="79"/>
      <c r="ITD92" s="77"/>
      <c r="ITE92" s="78"/>
      <c r="ITK92" s="79"/>
      <c r="ITL92" s="77"/>
      <c r="ITM92" s="78"/>
      <c r="ITS92" s="79"/>
      <c r="ITT92" s="77"/>
      <c r="ITU92" s="78"/>
      <c r="IUA92" s="79"/>
      <c r="IUB92" s="77"/>
      <c r="IUC92" s="78"/>
      <c r="IUI92" s="79"/>
      <c r="IUJ92" s="77"/>
      <c r="IUK92" s="78"/>
      <c r="IUQ92" s="79"/>
      <c r="IUR92" s="77"/>
      <c r="IUS92" s="78"/>
      <c r="IUY92" s="79"/>
      <c r="IUZ92" s="77"/>
      <c r="IVA92" s="78"/>
      <c r="IVG92" s="79"/>
      <c r="IVH92" s="77"/>
      <c r="IVI92" s="78"/>
      <c r="IVO92" s="79"/>
      <c r="IVP92" s="77"/>
      <c r="IVQ92" s="78"/>
      <c r="IVW92" s="79"/>
      <c r="IVX92" s="77"/>
      <c r="IVY92" s="78"/>
      <c r="IWE92" s="79"/>
      <c r="IWF92" s="77"/>
      <c r="IWG92" s="78"/>
      <c r="IWM92" s="79"/>
      <c r="IWN92" s="77"/>
      <c r="IWO92" s="78"/>
      <c r="IWU92" s="79"/>
      <c r="IWV92" s="77"/>
      <c r="IWW92" s="78"/>
      <c r="IXC92" s="79"/>
      <c r="IXD92" s="77"/>
      <c r="IXE92" s="78"/>
      <c r="IXK92" s="79"/>
      <c r="IXL92" s="77"/>
      <c r="IXM92" s="78"/>
      <c r="IXS92" s="79"/>
      <c r="IXT92" s="77"/>
      <c r="IXU92" s="78"/>
      <c r="IYA92" s="79"/>
      <c r="IYB92" s="77"/>
      <c r="IYC92" s="78"/>
      <c r="IYI92" s="79"/>
      <c r="IYJ92" s="77"/>
      <c r="IYK92" s="78"/>
      <c r="IYQ92" s="79"/>
      <c r="IYR92" s="77"/>
      <c r="IYS92" s="78"/>
      <c r="IYY92" s="79"/>
      <c r="IYZ92" s="77"/>
      <c r="IZA92" s="78"/>
      <c r="IZG92" s="79"/>
      <c r="IZH92" s="77"/>
      <c r="IZI92" s="78"/>
      <c r="IZO92" s="79"/>
      <c r="IZP92" s="77"/>
      <c r="IZQ92" s="78"/>
      <c r="IZW92" s="79"/>
      <c r="IZX92" s="77"/>
      <c r="IZY92" s="78"/>
      <c r="JAE92" s="79"/>
      <c r="JAF92" s="77"/>
      <c r="JAG92" s="78"/>
      <c r="JAM92" s="79"/>
      <c r="JAN92" s="77"/>
      <c r="JAO92" s="78"/>
      <c r="JAU92" s="79"/>
      <c r="JAV92" s="77"/>
      <c r="JAW92" s="78"/>
      <c r="JBC92" s="79"/>
      <c r="JBD92" s="77"/>
      <c r="JBE92" s="78"/>
      <c r="JBK92" s="79"/>
      <c r="JBL92" s="77"/>
      <c r="JBM92" s="78"/>
      <c r="JBS92" s="79"/>
      <c r="JBT92" s="77"/>
      <c r="JBU92" s="78"/>
      <c r="JCA92" s="79"/>
      <c r="JCB92" s="77"/>
      <c r="JCC92" s="78"/>
      <c r="JCI92" s="79"/>
      <c r="JCJ92" s="77"/>
      <c r="JCK92" s="78"/>
      <c r="JCQ92" s="79"/>
      <c r="JCR92" s="77"/>
      <c r="JCS92" s="78"/>
      <c r="JCY92" s="79"/>
      <c r="JCZ92" s="77"/>
      <c r="JDA92" s="78"/>
      <c r="JDG92" s="79"/>
      <c r="JDH92" s="77"/>
      <c r="JDI92" s="78"/>
      <c r="JDO92" s="79"/>
      <c r="JDP92" s="77"/>
      <c r="JDQ92" s="78"/>
      <c r="JDW92" s="79"/>
      <c r="JDX92" s="77"/>
      <c r="JDY92" s="78"/>
      <c r="JEE92" s="79"/>
      <c r="JEF92" s="77"/>
      <c r="JEG92" s="78"/>
      <c r="JEM92" s="79"/>
      <c r="JEN92" s="77"/>
      <c r="JEO92" s="78"/>
      <c r="JEU92" s="79"/>
      <c r="JEV92" s="77"/>
      <c r="JEW92" s="78"/>
      <c r="JFC92" s="79"/>
      <c r="JFD92" s="77"/>
      <c r="JFE92" s="78"/>
      <c r="JFK92" s="79"/>
      <c r="JFL92" s="77"/>
      <c r="JFM92" s="78"/>
      <c r="JFS92" s="79"/>
      <c r="JFT92" s="77"/>
      <c r="JFU92" s="78"/>
      <c r="JGA92" s="79"/>
      <c r="JGB92" s="77"/>
      <c r="JGC92" s="78"/>
      <c r="JGI92" s="79"/>
      <c r="JGJ92" s="77"/>
      <c r="JGK92" s="78"/>
      <c r="JGQ92" s="79"/>
      <c r="JGR92" s="77"/>
      <c r="JGS92" s="78"/>
      <c r="JGY92" s="79"/>
      <c r="JGZ92" s="77"/>
      <c r="JHA92" s="78"/>
      <c r="JHG92" s="79"/>
      <c r="JHH92" s="77"/>
      <c r="JHI92" s="78"/>
      <c r="JHO92" s="79"/>
      <c r="JHP92" s="77"/>
      <c r="JHQ92" s="78"/>
      <c r="JHW92" s="79"/>
      <c r="JHX92" s="77"/>
      <c r="JHY92" s="78"/>
      <c r="JIE92" s="79"/>
      <c r="JIF92" s="77"/>
      <c r="JIG92" s="78"/>
      <c r="JIM92" s="79"/>
      <c r="JIN92" s="77"/>
      <c r="JIO92" s="78"/>
      <c r="JIU92" s="79"/>
      <c r="JIV92" s="77"/>
      <c r="JIW92" s="78"/>
      <c r="JJC92" s="79"/>
      <c r="JJD92" s="77"/>
      <c r="JJE92" s="78"/>
      <c r="JJK92" s="79"/>
      <c r="JJL92" s="77"/>
      <c r="JJM92" s="78"/>
      <c r="JJS92" s="79"/>
      <c r="JJT92" s="77"/>
      <c r="JJU92" s="78"/>
      <c r="JKA92" s="79"/>
      <c r="JKB92" s="77"/>
      <c r="JKC92" s="78"/>
      <c r="JKI92" s="79"/>
      <c r="JKJ92" s="77"/>
      <c r="JKK92" s="78"/>
      <c r="JKQ92" s="79"/>
      <c r="JKR92" s="77"/>
      <c r="JKS92" s="78"/>
      <c r="JKY92" s="79"/>
      <c r="JKZ92" s="77"/>
      <c r="JLA92" s="78"/>
      <c r="JLG92" s="79"/>
      <c r="JLH92" s="77"/>
      <c r="JLI92" s="78"/>
      <c r="JLO92" s="79"/>
      <c r="JLP92" s="77"/>
      <c r="JLQ92" s="78"/>
      <c r="JLW92" s="79"/>
      <c r="JLX92" s="77"/>
      <c r="JLY92" s="78"/>
      <c r="JME92" s="79"/>
      <c r="JMF92" s="77"/>
      <c r="JMG92" s="78"/>
      <c r="JMM92" s="79"/>
      <c r="JMN92" s="77"/>
      <c r="JMO92" s="78"/>
      <c r="JMU92" s="79"/>
      <c r="JMV92" s="77"/>
      <c r="JMW92" s="78"/>
      <c r="JNC92" s="79"/>
      <c r="JND92" s="77"/>
      <c r="JNE92" s="78"/>
      <c r="JNK92" s="79"/>
      <c r="JNL92" s="77"/>
      <c r="JNM92" s="78"/>
      <c r="JNS92" s="79"/>
      <c r="JNT92" s="77"/>
      <c r="JNU92" s="78"/>
      <c r="JOA92" s="79"/>
      <c r="JOB92" s="77"/>
      <c r="JOC92" s="78"/>
      <c r="JOI92" s="79"/>
      <c r="JOJ92" s="77"/>
      <c r="JOK92" s="78"/>
      <c r="JOQ92" s="79"/>
      <c r="JOR92" s="77"/>
      <c r="JOS92" s="78"/>
      <c r="JOY92" s="79"/>
      <c r="JOZ92" s="77"/>
      <c r="JPA92" s="78"/>
      <c r="JPG92" s="79"/>
      <c r="JPH92" s="77"/>
      <c r="JPI92" s="78"/>
      <c r="JPO92" s="79"/>
      <c r="JPP92" s="77"/>
      <c r="JPQ92" s="78"/>
      <c r="JPW92" s="79"/>
      <c r="JPX92" s="77"/>
      <c r="JPY92" s="78"/>
      <c r="JQE92" s="79"/>
      <c r="JQF92" s="77"/>
      <c r="JQG92" s="78"/>
      <c r="JQM92" s="79"/>
      <c r="JQN92" s="77"/>
      <c r="JQO92" s="78"/>
      <c r="JQU92" s="79"/>
      <c r="JQV92" s="77"/>
      <c r="JQW92" s="78"/>
      <c r="JRC92" s="79"/>
      <c r="JRD92" s="77"/>
      <c r="JRE92" s="78"/>
      <c r="JRK92" s="79"/>
      <c r="JRL92" s="77"/>
      <c r="JRM92" s="78"/>
      <c r="JRS92" s="79"/>
      <c r="JRT92" s="77"/>
      <c r="JRU92" s="78"/>
      <c r="JSA92" s="79"/>
      <c r="JSB92" s="77"/>
      <c r="JSC92" s="78"/>
      <c r="JSI92" s="79"/>
      <c r="JSJ92" s="77"/>
      <c r="JSK92" s="78"/>
      <c r="JSQ92" s="79"/>
      <c r="JSR92" s="77"/>
      <c r="JSS92" s="78"/>
      <c r="JSY92" s="79"/>
      <c r="JSZ92" s="77"/>
      <c r="JTA92" s="78"/>
      <c r="JTG92" s="79"/>
      <c r="JTH92" s="77"/>
      <c r="JTI92" s="78"/>
      <c r="JTO92" s="79"/>
      <c r="JTP92" s="77"/>
      <c r="JTQ92" s="78"/>
      <c r="JTW92" s="79"/>
      <c r="JTX92" s="77"/>
      <c r="JTY92" s="78"/>
      <c r="JUE92" s="79"/>
      <c r="JUF92" s="77"/>
      <c r="JUG92" s="78"/>
      <c r="JUM92" s="79"/>
      <c r="JUN92" s="77"/>
      <c r="JUO92" s="78"/>
      <c r="JUU92" s="79"/>
      <c r="JUV92" s="77"/>
      <c r="JUW92" s="78"/>
      <c r="JVC92" s="79"/>
      <c r="JVD92" s="77"/>
      <c r="JVE92" s="78"/>
      <c r="JVK92" s="79"/>
      <c r="JVL92" s="77"/>
      <c r="JVM92" s="78"/>
      <c r="JVS92" s="79"/>
      <c r="JVT92" s="77"/>
      <c r="JVU92" s="78"/>
      <c r="JWA92" s="79"/>
      <c r="JWB92" s="77"/>
      <c r="JWC92" s="78"/>
      <c r="JWI92" s="79"/>
      <c r="JWJ92" s="77"/>
      <c r="JWK92" s="78"/>
      <c r="JWQ92" s="79"/>
      <c r="JWR92" s="77"/>
      <c r="JWS92" s="78"/>
      <c r="JWY92" s="79"/>
      <c r="JWZ92" s="77"/>
      <c r="JXA92" s="78"/>
      <c r="JXG92" s="79"/>
      <c r="JXH92" s="77"/>
      <c r="JXI92" s="78"/>
      <c r="JXO92" s="79"/>
      <c r="JXP92" s="77"/>
      <c r="JXQ92" s="78"/>
      <c r="JXW92" s="79"/>
      <c r="JXX92" s="77"/>
      <c r="JXY92" s="78"/>
      <c r="JYE92" s="79"/>
      <c r="JYF92" s="77"/>
      <c r="JYG92" s="78"/>
      <c r="JYM92" s="79"/>
      <c r="JYN92" s="77"/>
      <c r="JYO92" s="78"/>
      <c r="JYU92" s="79"/>
      <c r="JYV92" s="77"/>
      <c r="JYW92" s="78"/>
      <c r="JZC92" s="79"/>
      <c r="JZD92" s="77"/>
      <c r="JZE92" s="78"/>
      <c r="JZK92" s="79"/>
      <c r="JZL92" s="77"/>
      <c r="JZM92" s="78"/>
      <c r="JZS92" s="79"/>
      <c r="JZT92" s="77"/>
      <c r="JZU92" s="78"/>
      <c r="KAA92" s="79"/>
      <c r="KAB92" s="77"/>
      <c r="KAC92" s="78"/>
      <c r="KAI92" s="79"/>
      <c r="KAJ92" s="77"/>
      <c r="KAK92" s="78"/>
      <c r="KAQ92" s="79"/>
      <c r="KAR92" s="77"/>
      <c r="KAS92" s="78"/>
      <c r="KAY92" s="79"/>
      <c r="KAZ92" s="77"/>
      <c r="KBA92" s="78"/>
      <c r="KBG92" s="79"/>
      <c r="KBH92" s="77"/>
      <c r="KBI92" s="78"/>
      <c r="KBO92" s="79"/>
      <c r="KBP92" s="77"/>
      <c r="KBQ92" s="78"/>
      <c r="KBW92" s="79"/>
      <c r="KBX92" s="77"/>
      <c r="KBY92" s="78"/>
      <c r="KCE92" s="79"/>
      <c r="KCF92" s="77"/>
      <c r="KCG92" s="78"/>
      <c r="KCM92" s="79"/>
      <c r="KCN92" s="77"/>
      <c r="KCO92" s="78"/>
      <c r="KCU92" s="79"/>
      <c r="KCV92" s="77"/>
      <c r="KCW92" s="78"/>
      <c r="KDC92" s="79"/>
      <c r="KDD92" s="77"/>
      <c r="KDE92" s="78"/>
      <c r="KDK92" s="79"/>
      <c r="KDL92" s="77"/>
      <c r="KDM92" s="78"/>
      <c r="KDS92" s="79"/>
      <c r="KDT92" s="77"/>
      <c r="KDU92" s="78"/>
      <c r="KEA92" s="79"/>
      <c r="KEB92" s="77"/>
      <c r="KEC92" s="78"/>
      <c r="KEI92" s="79"/>
      <c r="KEJ92" s="77"/>
      <c r="KEK92" s="78"/>
      <c r="KEQ92" s="79"/>
      <c r="KER92" s="77"/>
      <c r="KES92" s="78"/>
      <c r="KEY92" s="79"/>
      <c r="KEZ92" s="77"/>
      <c r="KFA92" s="78"/>
      <c r="KFG92" s="79"/>
      <c r="KFH92" s="77"/>
      <c r="KFI92" s="78"/>
      <c r="KFO92" s="79"/>
      <c r="KFP92" s="77"/>
      <c r="KFQ92" s="78"/>
      <c r="KFW92" s="79"/>
      <c r="KFX92" s="77"/>
      <c r="KFY92" s="78"/>
      <c r="KGE92" s="79"/>
      <c r="KGF92" s="77"/>
      <c r="KGG92" s="78"/>
      <c r="KGM92" s="79"/>
      <c r="KGN92" s="77"/>
      <c r="KGO92" s="78"/>
      <c r="KGU92" s="79"/>
      <c r="KGV92" s="77"/>
      <c r="KGW92" s="78"/>
      <c r="KHC92" s="79"/>
      <c r="KHD92" s="77"/>
      <c r="KHE92" s="78"/>
      <c r="KHK92" s="79"/>
      <c r="KHL92" s="77"/>
      <c r="KHM92" s="78"/>
      <c r="KHS92" s="79"/>
      <c r="KHT92" s="77"/>
      <c r="KHU92" s="78"/>
      <c r="KIA92" s="79"/>
      <c r="KIB92" s="77"/>
      <c r="KIC92" s="78"/>
      <c r="KII92" s="79"/>
      <c r="KIJ92" s="77"/>
      <c r="KIK92" s="78"/>
      <c r="KIQ92" s="79"/>
      <c r="KIR92" s="77"/>
      <c r="KIS92" s="78"/>
      <c r="KIY92" s="79"/>
      <c r="KIZ92" s="77"/>
      <c r="KJA92" s="78"/>
      <c r="KJG92" s="79"/>
      <c r="KJH92" s="77"/>
      <c r="KJI92" s="78"/>
      <c r="KJO92" s="79"/>
      <c r="KJP92" s="77"/>
      <c r="KJQ92" s="78"/>
      <c r="KJW92" s="79"/>
      <c r="KJX92" s="77"/>
      <c r="KJY92" s="78"/>
      <c r="KKE92" s="79"/>
      <c r="KKF92" s="77"/>
      <c r="KKG92" s="78"/>
      <c r="KKM92" s="79"/>
      <c r="KKN92" s="77"/>
      <c r="KKO92" s="78"/>
      <c r="KKU92" s="79"/>
      <c r="KKV92" s="77"/>
      <c r="KKW92" s="78"/>
      <c r="KLC92" s="79"/>
      <c r="KLD92" s="77"/>
      <c r="KLE92" s="78"/>
      <c r="KLK92" s="79"/>
      <c r="KLL92" s="77"/>
      <c r="KLM92" s="78"/>
      <c r="KLS92" s="79"/>
      <c r="KLT92" s="77"/>
      <c r="KLU92" s="78"/>
      <c r="KMA92" s="79"/>
      <c r="KMB92" s="77"/>
      <c r="KMC92" s="78"/>
      <c r="KMI92" s="79"/>
      <c r="KMJ92" s="77"/>
      <c r="KMK92" s="78"/>
      <c r="KMQ92" s="79"/>
      <c r="KMR92" s="77"/>
      <c r="KMS92" s="78"/>
      <c r="KMY92" s="79"/>
      <c r="KMZ92" s="77"/>
      <c r="KNA92" s="78"/>
      <c r="KNG92" s="79"/>
      <c r="KNH92" s="77"/>
      <c r="KNI92" s="78"/>
      <c r="KNO92" s="79"/>
      <c r="KNP92" s="77"/>
      <c r="KNQ92" s="78"/>
      <c r="KNW92" s="79"/>
      <c r="KNX92" s="77"/>
      <c r="KNY92" s="78"/>
      <c r="KOE92" s="79"/>
      <c r="KOF92" s="77"/>
      <c r="KOG92" s="78"/>
      <c r="KOM92" s="79"/>
      <c r="KON92" s="77"/>
      <c r="KOO92" s="78"/>
      <c r="KOU92" s="79"/>
      <c r="KOV92" s="77"/>
      <c r="KOW92" s="78"/>
      <c r="KPC92" s="79"/>
      <c r="KPD92" s="77"/>
      <c r="KPE92" s="78"/>
      <c r="KPK92" s="79"/>
      <c r="KPL92" s="77"/>
      <c r="KPM92" s="78"/>
      <c r="KPS92" s="79"/>
      <c r="KPT92" s="77"/>
      <c r="KPU92" s="78"/>
      <c r="KQA92" s="79"/>
      <c r="KQB92" s="77"/>
      <c r="KQC92" s="78"/>
      <c r="KQI92" s="79"/>
      <c r="KQJ92" s="77"/>
      <c r="KQK92" s="78"/>
      <c r="KQQ92" s="79"/>
      <c r="KQR92" s="77"/>
      <c r="KQS92" s="78"/>
      <c r="KQY92" s="79"/>
      <c r="KQZ92" s="77"/>
      <c r="KRA92" s="78"/>
      <c r="KRG92" s="79"/>
      <c r="KRH92" s="77"/>
      <c r="KRI92" s="78"/>
      <c r="KRO92" s="79"/>
      <c r="KRP92" s="77"/>
      <c r="KRQ92" s="78"/>
      <c r="KRW92" s="79"/>
      <c r="KRX92" s="77"/>
      <c r="KRY92" s="78"/>
      <c r="KSE92" s="79"/>
      <c r="KSF92" s="77"/>
      <c r="KSG92" s="78"/>
      <c r="KSM92" s="79"/>
      <c r="KSN92" s="77"/>
      <c r="KSO92" s="78"/>
      <c r="KSU92" s="79"/>
      <c r="KSV92" s="77"/>
      <c r="KSW92" s="78"/>
      <c r="KTC92" s="79"/>
      <c r="KTD92" s="77"/>
      <c r="KTE92" s="78"/>
      <c r="KTK92" s="79"/>
      <c r="KTL92" s="77"/>
      <c r="KTM92" s="78"/>
      <c r="KTS92" s="79"/>
      <c r="KTT92" s="77"/>
      <c r="KTU92" s="78"/>
      <c r="KUA92" s="79"/>
      <c r="KUB92" s="77"/>
      <c r="KUC92" s="78"/>
      <c r="KUI92" s="79"/>
      <c r="KUJ92" s="77"/>
      <c r="KUK92" s="78"/>
      <c r="KUQ92" s="79"/>
      <c r="KUR92" s="77"/>
      <c r="KUS92" s="78"/>
      <c r="KUY92" s="79"/>
      <c r="KUZ92" s="77"/>
      <c r="KVA92" s="78"/>
      <c r="KVG92" s="79"/>
      <c r="KVH92" s="77"/>
      <c r="KVI92" s="78"/>
      <c r="KVO92" s="79"/>
      <c r="KVP92" s="77"/>
      <c r="KVQ92" s="78"/>
      <c r="KVW92" s="79"/>
      <c r="KVX92" s="77"/>
      <c r="KVY92" s="78"/>
      <c r="KWE92" s="79"/>
      <c r="KWF92" s="77"/>
      <c r="KWG92" s="78"/>
      <c r="KWM92" s="79"/>
      <c r="KWN92" s="77"/>
      <c r="KWO92" s="78"/>
      <c r="KWU92" s="79"/>
      <c r="KWV92" s="77"/>
      <c r="KWW92" s="78"/>
      <c r="KXC92" s="79"/>
      <c r="KXD92" s="77"/>
      <c r="KXE92" s="78"/>
      <c r="KXK92" s="79"/>
      <c r="KXL92" s="77"/>
      <c r="KXM92" s="78"/>
      <c r="KXS92" s="79"/>
      <c r="KXT92" s="77"/>
      <c r="KXU92" s="78"/>
      <c r="KYA92" s="79"/>
      <c r="KYB92" s="77"/>
      <c r="KYC92" s="78"/>
      <c r="KYI92" s="79"/>
      <c r="KYJ92" s="77"/>
      <c r="KYK92" s="78"/>
      <c r="KYQ92" s="79"/>
      <c r="KYR92" s="77"/>
      <c r="KYS92" s="78"/>
      <c r="KYY92" s="79"/>
      <c r="KYZ92" s="77"/>
      <c r="KZA92" s="78"/>
      <c r="KZG92" s="79"/>
      <c r="KZH92" s="77"/>
      <c r="KZI92" s="78"/>
      <c r="KZO92" s="79"/>
      <c r="KZP92" s="77"/>
      <c r="KZQ92" s="78"/>
      <c r="KZW92" s="79"/>
      <c r="KZX92" s="77"/>
      <c r="KZY92" s="78"/>
      <c r="LAE92" s="79"/>
      <c r="LAF92" s="77"/>
      <c r="LAG92" s="78"/>
      <c r="LAM92" s="79"/>
      <c r="LAN92" s="77"/>
      <c r="LAO92" s="78"/>
      <c r="LAU92" s="79"/>
      <c r="LAV92" s="77"/>
      <c r="LAW92" s="78"/>
      <c r="LBC92" s="79"/>
      <c r="LBD92" s="77"/>
      <c r="LBE92" s="78"/>
      <c r="LBK92" s="79"/>
      <c r="LBL92" s="77"/>
      <c r="LBM92" s="78"/>
      <c r="LBS92" s="79"/>
      <c r="LBT92" s="77"/>
      <c r="LBU92" s="78"/>
      <c r="LCA92" s="79"/>
      <c r="LCB92" s="77"/>
      <c r="LCC92" s="78"/>
      <c r="LCI92" s="79"/>
      <c r="LCJ92" s="77"/>
      <c r="LCK92" s="78"/>
      <c r="LCQ92" s="79"/>
      <c r="LCR92" s="77"/>
      <c r="LCS92" s="78"/>
      <c r="LCY92" s="79"/>
      <c r="LCZ92" s="77"/>
      <c r="LDA92" s="78"/>
      <c r="LDG92" s="79"/>
      <c r="LDH92" s="77"/>
      <c r="LDI92" s="78"/>
      <c r="LDO92" s="79"/>
      <c r="LDP92" s="77"/>
      <c r="LDQ92" s="78"/>
      <c r="LDW92" s="79"/>
      <c r="LDX92" s="77"/>
      <c r="LDY92" s="78"/>
      <c r="LEE92" s="79"/>
      <c r="LEF92" s="77"/>
      <c r="LEG92" s="78"/>
      <c r="LEM92" s="79"/>
      <c r="LEN92" s="77"/>
      <c r="LEO92" s="78"/>
      <c r="LEU92" s="79"/>
      <c r="LEV92" s="77"/>
      <c r="LEW92" s="78"/>
      <c r="LFC92" s="79"/>
      <c r="LFD92" s="77"/>
      <c r="LFE92" s="78"/>
      <c r="LFK92" s="79"/>
      <c r="LFL92" s="77"/>
      <c r="LFM92" s="78"/>
      <c r="LFS92" s="79"/>
      <c r="LFT92" s="77"/>
      <c r="LFU92" s="78"/>
      <c r="LGA92" s="79"/>
      <c r="LGB92" s="77"/>
      <c r="LGC92" s="78"/>
      <c r="LGI92" s="79"/>
      <c r="LGJ92" s="77"/>
      <c r="LGK92" s="78"/>
      <c r="LGQ92" s="79"/>
      <c r="LGR92" s="77"/>
      <c r="LGS92" s="78"/>
      <c r="LGY92" s="79"/>
      <c r="LGZ92" s="77"/>
      <c r="LHA92" s="78"/>
      <c r="LHG92" s="79"/>
      <c r="LHH92" s="77"/>
      <c r="LHI92" s="78"/>
      <c r="LHO92" s="79"/>
      <c r="LHP92" s="77"/>
      <c r="LHQ92" s="78"/>
      <c r="LHW92" s="79"/>
      <c r="LHX92" s="77"/>
      <c r="LHY92" s="78"/>
      <c r="LIE92" s="79"/>
      <c r="LIF92" s="77"/>
      <c r="LIG92" s="78"/>
      <c r="LIM92" s="79"/>
      <c r="LIN92" s="77"/>
      <c r="LIO92" s="78"/>
      <c r="LIU92" s="79"/>
      <c r="LIV92" s="77"/>
      <c r="LIW92" s="78"/>
      <c r="LJC92" s="79"/>
      <c r="LJD92" s="77"/>
      <c r="LJE92" s="78"/>
      <c r="LJK92" s="79"/>
      <c r="LJL92" s="77"/>
      <c r="LJM92" s="78"/>
      <c r="LJS92" s="79"/>
      <c r="LJT92" s="77"/>
      <c r="LJU92" s="78"/>
      <c r="LKA92" s="79"/>
      <c r="LKB92" s="77"/>
      <c r="LKC92" s="78"/>
      <c r="LKI92" s="79"/>
      <c r="LKJ92" s="77"/>
      <c r="LKK92" s="78"/>
      <c r="LKQ92" s="79"/>
      <c r="LKR92" s="77"/>
      <c r="LKS92" s="78"/>
      <c r="LKY92" s="79"/>
      <c r="LKZ92" s="77"/>
      <c r="LLA92" s="78"/>
      <c r="LLG92" s="79"/>
      <c r="LLH92" s="77"/>
      <c r="LLI92" s="78"/>
      <c r="LLO92" s="79"/>
      <c r="LLP92" s="77"/>
      <c r="LLQ92" s="78"/>
      <c r="LLW92" s="79"/>
      <c r="LLX92" s="77"/>
      <c r="LLY92" s="78"/>
      <c r="LME92" s="79"/>
      <c r="LMF92" s="77"/>
      <c r="LMG92" s="78"/>
      <c r="LMM92" s="79"/>
      <c r="LMN92" s="77"/>
      <c r="LMO92" s="78"/>
      <c r="LMU92" s="79"/>
      <c r="LMV92" s="77"/>
      <c r="LMW92" s="78"/>
      <c r="LNC92" s="79"/>
      <c r="LND92" s="77"/>
      <c r="LNE92" s="78"/>
      <c r="LNK92" s="79"/>
      <c r="LNL92" s="77"/>
      <c r="LNM92" s="78"/>
      <c r="LNS92" s="79"/>
      <c r="LNT92" s="77"/>
      <c r="LNU92" s="78"/>
      <c r="LOA92" s="79"/>
      <c r="LOB92" s="77"/>
      <c r="LOC92" s="78"/>
      <c r="LOI92" s="79"/>
      <c r="LOJ92" s="77"/>
      <c r="LOK92" s="78"/>
      <c r="LOQ92" s="79"/>
      <c r="LOR92" s="77"/>
      <c r="LOS92" s="78"/>
      <c r="LOY92" s="79"/>
      <c r="LOZ92" s="77"/>
      <c r="LPA92" s="78"/>
      <c r="LPG92" s="79"/>
      <c r="LPH92" s="77"/>
      <c r="LPI92" s="78"/>
      <c r="LPO92" s="79"/>
      <c r="LPP92" s="77"/>
      <c r="LPQ92" s="78"/>
      <c r="LPW92" s="79"/>
      <c r="LPX92" s="77"/>
      <c r="LPY92" s="78"/>
      <c r="LQE92" s="79"/>
      <c r="LQF92" s="77"/>
      <c r="LQG92" s="78"/>
      <c r="LQM92" s="79"/>
      <c r="LQN92" s="77"/>
      <c r="LQO92" s="78"/>
      <c r="LQU92" s="79"/>
      <c r="LQV92" s="77"/>
      <c r="LQW92" s="78"/>
      <c r="LRC92" s="79"/>
      <c r="LRD92" s="77"/>
      <c r="LRE92" s="78"/>
      <c r="LRK92" s="79"/>
      <c r="LRL92" s="77"/>
      <c r="LRM92" s="78"/>
      <c r="LRS92" s="79"/>
      <c r="LRT92" s="77"/>
      <c r="LRU92" s="78"/>
      <c r="LSA92" s="79"/>
      <c r="LSB92" s="77"/>
      <c r="LSC92" s="78"/>
      <c r="LSI92" s="79"/>
      <c r="LSJ92" s="77"/>
      <c r="LSK92" s="78"/>
      <c r="LSQ92" s="79"/>
      <c r="LSR92" s="77"/>
      <c r="LSS92" s="78"/>
      <c r="LSY92" s="79"/>
      <c r="LSZ92" s="77"/>
      <c r="LTA92" s="78"/>
      <c r="LTG92" s="79"/>
      <c r="LTH92" s="77"/>
      <c r="LTI92" s="78"/>
      <c r="LTO92" s="79"/>
      <c r="LTP92" s="77"/>
      <c r="LTQ92" s="78"/>
      <c r="LTW92" s="79"/>
      <c r="LTX92" s="77"/>
      <c r="LTY92" s="78"/>
      <c r="LUE92" s="79"/>
      <c r="LUF92" s="77"/>
      <c r="LUG92" s="78"/>
      <c r="LUM92" s="79"/>
      <c r="LUN92" s="77"/>
      <c r="LUO92" s="78"/>
      <c r="LUU92" s="79"/>
      <c r="LUV92" s="77"/>
      <c r="LUW92" s="78"/>
      <c r="LVC92" s="79"/>
      <c r="LVD92" s="77"/>
      <c r="LVE92" s="78"/>
      <c r="LVK92" s="79"/>
      <c r="LVL92" s="77"/>
      <c r="LVM92" s="78"/>
      <c r="LVS92" s="79"/>
      <c r="LVT92" s="77"/>
      <c r="LVU92" s="78"/>
      <c r="LWA92" s="79"/>
      <c r="LWB92" s="77"/>
      <c r="LWC92" s="78"/>
      <c r="LWI92" s="79"/>
      <c r="LWJ92" s="77"/>
      <c r="LWK92" s="78"/>
      <c r="LWQ92" s="79"/>
      <c r="LWR92" s="77"/>
      <c r="LWS92" s="78"/>
      <c r="LWY92" s="79"/>
      <c r="LWZ92" s="77"/>
      <c r="LXA92" s="78"/>
      <c r="LXG92" s="79"/>
      <c r="LXH92" s="77"/>
      <c r="LXI92" s="78"/>
      <c r="LXO92" s="79"/>
      <c r="LXP92" s="77"/>
      <c r="LXQ92" s="78"/>
      <c r="LXW92" s="79"/>
      <c r="LXX92" s="77"/>
      <c r="LXY92" s="78"/>
      <c r="LYE92" s="79"/>
      <c r="LYF92" s="77"/>
      <c r="LYG92" s="78"/>
      <c r="LYM92" s="79"/>
      <c r="LYN92" s="77"/>
      <c r="LYO92" s="78"/>
      <c r="LYU92" s="79"/>
      <c r="LYV92" s="77"/>
      <c r="LYW92" s="78"/>
      <c r="LZC92" s="79"/>
      <c r="LZD92" s="77"/>
      <c r="LZE92" s="78"/>
      <c r="LZK92" s="79"/>
      <c r="LZL92" s="77"/>
      <c r="LZM92" s="78"/>
      <c r="LZS92" s="79"/>
      <c r="LZT92" s="77"/>
      <c r="LZU92" s="78"/>
      <c r="MAA92" s="79"/>
      <c r="MAB92" s="77"/>
      <c r="MAC92" s="78"/>
      <c r="MAI92" s="79"/>
      <c r="MAJ92" s="77"/>
      <c r="MAK92" s="78"/>
      <c r="MAQ92" s="79"/>
      <c r="MAR92" s="77"/>
      <c r="MAS92" s="78"/>
      <c r="MAY92" s="79"/>
      <c r="MAZ92" s="77"/>
      <c r="MBA92" s="78"/>
      <c r="MBG92" s="79"/>
      <c r="MBH92" s="77"/>
      <c r="MBI92" s="78"/>
      <c r="MBO92" s="79"/>
      <c r="MBP92" s="77"/>
      <c r="MBQ92" s="78"/>
      <c r="MBW92" s="79"/>
      <c r="MBX92" s="77"/>
      <c r="MBY92" s="78"/>
      <c r="MCE92" s="79"/>
      <c r="MCF92" s="77"/>
      <c r="MCG92" s="78"/>
      <c r="MCM92" s="79"/>
      <c r="MCN92" s="77"/>
      <c r="MCO92" s="78"/>
      <c r="MCU92" s="79"/>
      <c r="MCV92" s="77"/>
      <c r="MCW92" s="78"/>
      <c r="MDC92" s="79"/>
      <c r="MDD92" s="77"/>
      <c r="MDE92" s="78"/>
      <c r="MDK92" s="79"/>
      <c r="MDL92" s="77"/>
      <c r="MDM92" s="78"/>
      <c r="MDS92" s="79"/>
      <c r="MDT92" s="77"/>
      <c r="MDU92" s="78"/>
      <c r="MEA92" s="79"/>
      <c r="MEB92" s="77"/>
      <c r="MEC92" s="78"/>
      <c r="MEI92" s="79"/>
      <c r="MEJ92" s="77"/>
      <c r="MEK92" s="78"/>
      <c r="MEQ92" s="79"/>
      <c r="MER92" s="77"/>
      <c r="MES92" s="78"/>
      <c r="MEY92" s="79"/>
      <c r="MEZ92" s="77"/>
      <c r="MFA92" s="78"/>
      <c r="MFG92" s="79"/>
      <c r="MFH92" s="77"/>
      <c r="MFI92" s="78"/>
      <c r="MFO92" s="79"/>
      <c r="MFP92" s="77"/>
      <c r="MFQ92" s="78"/>
      <c r="MFW92" s="79"/>
      <c r="MFX92" s="77"/>
      <c r="MFY92" s="78"/>
      <c r="MGE92" s="79"/>
      <c r="MGF92" s="77"/>
      <c r="MGG92" s="78"/>
      <c r="MGM92" s="79"/>
      <c r="MGN92" s="77"/>
      <c r="MGO92" s="78"/>
      <c r="MGU92" s="79"/>
      <c r="MGV92" s="77"/>
      <c r="MGW92" s="78"/>
      <c r="MHC92" s="79"/>
      <c r="MHD92" s="77"/>
      <c r="MHE92" s="78"/>
      <c r="MHK92" s="79"/>
      <c r="MHL92" s="77"/>
      <c r="MHM92" s="78"/>
      <c r="MHS92" s="79"/>
      <c r="MHT92" s="77"/>
      <c r="MHU92" s="78"/>
      <c r="MIA92" s="79"/>
      <c r="MIB92" s="77"/>
      <c r="MIC92" s="78"/>
      <c r="MII92" s="79"/>
      <c r="MIJ92" s="77"/>
      <c r="MIK92" s="78"/>
      <c r="MIQ92" s="79"/>
      <c r="MIR92" s="77"/>
      <c r="MIS92" s="78"/>
      <c r="MIY92" s="79"/>
      <c r="MIZ92" s="77"/>
      <c r="MJA92" s="78"/>
      <c r="MJG92" s="79"/>
      <c r="MJH92" s="77"/>
      <c r="MJI92" s="78"/>
      <c r="MJO92" s="79"/>
      <c r="MJP92" s="77"/>
      <c r="MJQ92" s="78"/>
      <c r="MJW92" s="79"/>
      <c r="MJX92" s="77"/>
      <c r="MJY92" s="78"/>
      <c r="MKE92" s="79"/>
      <c r="MKF92" s="77"/>
      <c r="MKG92" s="78"/>
      <c r="MKM92" s="79"/>
      <c r="MKN92" s="77"/>
      <c r="MKO92" s="78"/>
      <c r="MKU92" s="79"/>
      <c r="MKV92" s="77"/>
      <c r="MKW92" s="78"/>
      <c r="MLC92" s="79"/>
      <c r="MLD92" s="77"/>
      <c r="MLE92" s="78"/>
      <c r="MLK92" s="79"/>
      <c r="MLL92" s="77"/>
      <c r="MLM92" s="78"/>
      <c r="MLS92" s="79"/>
      <c r="MLT92" s="77"/>
      <c r="MLU92" s="78"/>
      <c r="MMA92" s="79"/>
      <c r="MMB92" s="77"/>
      <c r="MMC92" s="78"/>
      <c r="MMI92" s="79"/>
      <c r="MMJ92" s="77"/>
      <c r="MMK92" s="78"/>
      <c r="MMQ92" s="79"/>
      <c r="MMR92" s="77"/>
      <c r="MMS92" s="78"/>
      <c r="MMY92" s="79"/>
      <c r="MMZ92" s="77"/>
      <c r="MNA92" s="78"/>
      <c r="MNG92" s="79"/>
      <c r="MNH92" s="77"/>
      <c r="MNI92" s="78"/>
      <c r="MNO92" s="79"/>
      <c r="MNP92" s="77"/>
      <c r="MNQ92" s="78"/>
      <c r="MNW92" s="79"/>
      <c r="MNX92" s="77"/>
      <c r="MNY92" s="78"/>
      <c r="MOE92" s="79"/>
      <c r="MOF92" s="77"/>
      <c r="MOG92" s="78"/>
      <c r="MOM92" s="79"/>
      <c r="MON92" s="77"/>
      <c r="MOO92" s="78"/>
      <c r="MOU92" s="79"/>
      <c r="MOV92" s="77"/>
      <c r="MOW92" s="78"/>
      <c r="MPC92" s="79"/>
      <c r="MPD92" s="77"/>
      <c r="MPE92" s="78"/>
      <c r="MPK92" s="79"/>
      <c r="MPL92" s="77"/>
      <c r="MPM92" s="78"/>
      <c r="MPS92" s="79"/>
      <c r="MPT92" s="77"/>
      <c r="MPU92" s="78"/>
      <c r="MQA92" s="79"/>
      <c r="MQB92" s="77"/>
      <c r="MQC92" s="78"/>
      <c r="MQI92" s="79"/>
      <c r="MQJ92" s="77"/>
      <c r="MQK92" s="78"/>
      <c r="MQQ92" s="79"/>
      <c r="MQR92" s="77"/>
      <c r="MQS92" s="78"/>
      <c r="MQY92" s="79"/>
      <c r="MQZ92" s="77"/>
      <c r="MRA92" s="78"/>
      <c r="MRG92" s="79"/>
      <c r="MRH92" s="77"/>
      <c r="MRI92" s="78"/>
      <c r="MRO92" s="79"/>
      <c r="MRP92" s="77"/>
      <c r="MRQ92" s="78"/>
      <c r="MRW92" s="79"/>
      <c r="MRX92" s="77"/>
      <c r="MRY92" s="78"/>
      <c r="MSE92" s="79"/>
      <c r="MSF92" s="77"/>
      <c r="MSG92" s="78"/>
      <c r="MSM92" s="79"/>
      <c r="MSN92" s="77"/>
      <c r="MSO92" s="78"/>
      <c r="MSU92" s="79"/>
      <c r="MSV92" s="77"/>
      <c r="MSW92" s="78"/>
      <c r="MTC92" s="79"/>
      <c r="MTD92" s="77"/>
      <c r="MTE92" s="78"/>
      <c r="MTK92" s="79"/>
      <c r="MTL92" s="77"/>
      <c r="MTM92" s="78"/>
      <c r="MTS92" s="79"/>
      <c r="MTT92" s="77"/>
      <c r="MTU92" s="78"/>
      <c r="MUA92" s="79"/>
      <c r="MUB92" s="77"/>
      <c r="MUC92" s="78"/>
      <c r="MUI92" s="79"/>
      <c r="MUJ92" s="77"/>
      <c r="MUK92" s="78"/>
      <c r="MUQ92" s="79"/>
      <c r="MUR92" s="77"/>
      <c r="MUS92" s="78"/>
      <c r="MUY92" s="79"/>
      <c r="MUZ92" s="77"/>
      <c r="MVA92" s="78"/>
      <c r="MVG92" s="79"/>
      <c r="MVH92" s="77"/>
      <c r="MVI92" s="78"/>
      <c r="MVO92" s="79"/>
      <c r="MVP92" s="77"/>
      <c r="MVQ92" s="78"/>
      <c r="MVW92" s="79"/>
      <c r="MVX92" s="77"/>
      <c r="MVY92" s="78"/>
      <c r="MWE92" s="79"/>
      <c r="MWF92" s="77"/>
      <c r="MWG92" s="78"/>
      <c r="MWM92" s="79"/>
      <c r="MWN92" s="77"/>
      <c r="MWO92" s="78"/>
      <c r="MWU92" s="79"/>
      <c r="MWV92" s="77"/>
      <c r="MWW92" s="78"/>
      <c r="MXC92" s="79"/>
      <c r="MXD92" s="77"/>
      <c r="MXE92" s="78"/>
      <c r="MXK92" s="79"/>
      <c r="MXL92" s="77"/>
      <c r="MXM92" s="78"/>
      <c r="MXS92" s="79"/>
      <c r="MXT92" s="77"/>
      <c r="MXU92" s="78"/>
      <c r="MYA92" s="79"/>
      <c r="MYB92" s="77"/>
      <c r="MYC92" s="78"/>
      <c r="MYI92" s="79"/>
      <c r="MYJ92" s="77"/>
      <c r="MYK92" s="78"/>
      <c r="MYQ92" s="79"/>
      <c r="MYR92" s="77"/>
      <c r="MYS92" s="78"/>
      <c r="MYY92" s="79"/>
      <c r="MYZ92" s="77"/>
      <c r="MZA92" s="78"/>
      <c r="MZG92" s="79"/>
      <c r="MZH92" s="77"/>
      <c r="MZI92" s="78"/>
      <c r="MZO92" s="79"/>
      <c r="MZP92" s="77"/>
      <c r="MZQ92" s="78"/>
      <c r="MZW92" s="79"/>
      <c r="MZX92" s="77"/>
      <c r="MZY92" s="78"/>
      <c r="NAE92" s="79"/>
      <c r="NAF92" s="77"/>
      <c r="NAG92" s="78"/>
      <c r="NAM92" s="79"/>
      <c r="NAN92" s="77"/>
      <c r="NAO92" s="78"/>
      <c r="NAU92" s="79"/>
      <c r="NAV92" s="77"/>
      <c r="NAW92" s="78"/>
      <c r="NBC92" s="79"/>
      <c r="NBD92" s="77"/>
      <c r="NBE92" s="78"/>
      <c r="NBK92" s="79"/>
      <c r="NBL92" s="77"/>
      <c r="NBM92" s="78"/>
      <c r="NBS92" s="79"/>
      <c r="NBT92" s="77"/>
      <c r="NBU92" s="78"/>
      <c r="NCA92" s="79"/>
      <c r="NCB92" s="77"/>
      <c r="NCC92" s="78"/>
      <c r="NCI92" s="79"/>
      <c r="NCJ92" s="77"/>
      <c r="NCK92" s="78"/>
      <c r="NCQ92" s="79"/>
      <c r="NCR92" s="77"/>
      <c r="NCS92" s="78"/>
      <c r="NCY92" s="79"/>
      <c r="NCZ92" s="77"/>
      <c r="NDA92" s="78"/>
      <c r="NDG92" s="79"/>
      <c r="NDH92" s="77"/>
      <c r="NDI92" s="78"/>
      <c r="NDO92" s="79"/>
      <c r="NDP92" s="77"/>
      <c r="NDQ92" s="78"/>
      <c r="NDW92" s="79"/>
      <c r="NDX92" s="77"/>
      <c r="NDY92" s="78"/>
      <c r="NEE92" s="79"/>
      <c r="NEF92" s="77"/>
      <c r="NEG92" s="78"/>
      <c r="NEM92" s="79"/>
      <c r="NEN92" s="77"/>
      <c r="NEO92" s="78"/>
      <c r="NEU92" s="79"/>
      <c r="NEV92" s="77"/>
      <c r="NEW92" s="78"/>
      <c r="NFC92" s="79"/>
      <c r="NFD92" s="77"/>
      <c r="NFE92" s="78"/>
      <c r="NFK92" s="79"/>
      <c r="NFL92" s="77"/>
      <c r="NFM92" s="78"/>
      <c r="NFS92" s="79"/>
      <c r="NFT92" s="77"/>
      <c r="NFU92" s="78"/>
      <c r="NGA92" s="79"/>
      <c r="NGB92" s="77"/>
      <c r="NGC92" s="78"/>
      <c r="NGI92" s="79"/>
      <c r="NGJ92" s="77"/>
      <c r="NGK92" s="78"/>
      <c r="NGQ92" s="79"/>
      <c r="NGR92" s="77"/>
      <c r="NGS92" s="78"/>
      <c r="NGY92" s="79"/>
      <c r="NGZ92" s="77"/>
      <c r="NHA92" s="78"/>
      <c r="NHG92" s="79"/>
      <c r="NHH92" s="77"/>
      <c r="NHI92" s="78"/>
      <c r="NHO92" s="79"/>
      <c r="NHP92" s="77"/>
      <c r="NHQ92" s="78"/>
      <c r="NHW92" s="79"/>
      <c r="NHX92" s="77"/>
      <c r="NHY92" s="78"/>
      <c r="NIE92" s="79"/>
      <c r="NIF92" s="77"/>
      <c r="NIG92" s="78"/>
      <c r="NIM92" s="79"/>
      <c r="NIN92" s="77"/>
      <c r="NIO92" s="78"/>
      <c r="NIU92" s="79"/>
      <c r="NIV92" s="77"/>
      <c r="NIW92" s="78"/>
      <c r="NJC92" s="79"/>
      <c r="NJD92" s="77"/>
      <c r="NJE92" s="78"/>
      <c r="NJK92" s="79"/>
      <c r="NJL92" s="77"/>
      <c r="NJM92" s="78"/>
      <c r="NJS92" s="79"/>
      <c r="NJT92" s="77"/>
      <c r="NJU92" s="78"/>
      <c r="NKA92" s="79"/>
      <c r="NKB92" s="77"/>
      <c r="NKC92" s="78"/>
      <c r="NKI92" s="79"/>
      <c r="NKJ92" s="77"/>
      <c r="NKK92" s="78"/>
      <c r="NKQ92" s="79"/>
      <c r="NKR92" s="77"/>
      <c r="NKS92" s="78"/>
      <c r="NKY92" s="79"/>
      <c r="NKZ92" s="77"/>
      <c r="NLA92" s="78"/>
      <c r="NLG92" s="79"/>
      <c r="NLH92" s="77"/>
      <c r="NLI92" s="78"/>
      <c r="NLO92" s="79"/>
      <c r="NLP92" s="77"/>
      <c r="NLQ92" s="78"/>
      <c r="NLW92" s="79"/>
      <c r="NLX92" s="77"/>
      <c r="NLY92" s="78"/>
      <c r="NME92" s="79"/>
      <c r="NMF92" s="77"/>
      <c r="NMG92" s="78"/>
      <c r="NMM92" s="79"/>
      <c r="NMN92" s="77"/>
      <c r="NMO92" s="78"/>
      <c r="NMU92" s="79"/>
      <c r="NMV92" s="77"/>
      <c r="NMW92" s="78"/>
      <c r="NNC92" s="79"/>
      <c r="NND92" s="77"/>
      <c r="NNE92" s="78"/>
      <c r="NNK92" s="79"/>
      <c r="NNL92" s="77"/>
      <c r="NNM92" s="78"/>
      <c r="NNS92" s="79"/>
      <c r="NNT92" s="77"/>
      <c r="NNU92" s="78"/>
      <c r="NOA92" s="79"/>
      <c r="NOB92" s="77"/>
      <c r="NOC92" s="78"/>
      <c r="NOI92" s="79"/>
      <c r="NOJ92" s="77"/>
      <c r="NOK92" s="78"/>
      <c r="NOQ92" s="79"/>
      <c r="NOR92" s="77"/>
      <c r="NOS92" s="78"/>
      <c r="NOY92" s="79"/>
      <c r="NOZ92" s="77"/>
      <c r="NPA92" s="78"/>
      <c r="NPG92" s="79"/>
      <c r="NPH92" s="77"/>
      <c r="NPI92" s="78"/>
      <c r="NPO92" s="79"/>
      <c r="NPP92" s="77"/>
      <c r="NPQ92" s="78"/>
      <c r="NPW92" s="79"/>
      <c r="NPX92" s="77"/>
      <c r="NPY92" s="78"/>
      <c r="NQE92" s="79"/>
      <c r="NQF92" s="77"/>
      <c r="NQG92" s="78"/>
      <c r="NQM92" s="79"/>
      <c r="NQN92" s="77"/>
      <c r="NQO92" s="78"/>
      <c r="NQU92" s="79"/>
      <c r="NQV92" s="77"/>
      <c r="NQW92" s="78"/>
      <c r="NRC92" s="79"/>
      <c r="NRD92" s="77"/>
      <c r="NRE92" s="78"/>
      <c r="NRK92" s="79"/>
      <c r="NRL92" s="77"/>
      <c r="NRM92" s="78"/>
      <c r="NRS92" s="79"/>
      <c r="NRT92" s="77"/>
      <c r="NRU92" s="78"/>
      <c r="NSA92" s="79"/>
      <c r="NSB92" s="77"/>
      <c r="NSC92" s="78"/>
      <c r="NSI92" s="79"/>
      <c r="NSJ92" s="77"/>
      <c r="NSK92" s="78"/>
      <c r="NSQ92" s="79"/>
      <c r="NSR92" s="77"/>
      <c r="NSS92" s="78"/>
      <c r="NSY92" s="79"/>
      <c r="NSZ92" s="77"/>
      <c r="NTA92" s="78"/>
      <c r="NTG92" s="79"/>
      <c r="NTH92" s="77"/>
      <c r="NTI92" s="78"/>
      <c r="NTO92" s="79"/>
      <c r="NTP92" s="77"/>
      <c r="NTQ92" s="78"/>
      <c r="NTW92" s="79"/>
      <c r="NTX92" s="77"/>
      <c r="NTY92" s="78"/>
      <c r="NUE92" s="79"/>
      <c r="NUF92" s="77"/>
      <c r="NUG92" s="78"/>
      <c r="NUM92" s="79"/>
      <c r="NUN92" s="77"/>
      <c r="NUO92" s="78"/>
      <c r="NUU92" s="79"/>
      <c r="NUV92" s="77"/>
      <c r="NUW92" s="78"/>
      <c r="NVC92" s="79"/>
      <c r="NVD92" s="77"/>
      <c r="NVE92" s="78"/>
      <c r="NVK92" s="79"/>
      <c r="NVL92" s="77"/>
      <c r="NVM92" s="78"/>
      <c r="NVS92" s="79"/>
      <c r="NVT92" s="77"/>
      <c r="NVU92" s="78"/>
      <c r="NWA92" s="79"/>
      <c r="NWB92" s="77"/>
      <c r="NWC92" s="78"/>
      <c r="NWI92" s="79"/>
      <c r="NWJ92" s="77"/>
      <c r="NWK92" s="78"/>
      <c r="NWQ92" s="79"/>
      <c r="NWR92" s="77"/>
      <c r="NWS92" s="78"/>
      <c r="NWY92" s="79"/>
      <c r="NWZ92" s="77"/>
      <c r="NXA92" s="78"/>
      <c r="NXG92" s="79"/>
      <c r="NXH92" s="77"/>
      <c r="NXI92" s="78"/>
      <c r="NXO92" s="79"/>
      <c r="NXP92" s="77"/>
      <c r="NXQ92" s="78"/>
      <c r="NXW92" s="79"/>
      <c r="NXX92" s="77"/>
      <c r="NXY92" s="78"/>
      <c r="NYE92" s="79"/>
      <c r="NYF92" s="77"/>
      <c r="NYG92" s="78"/>
      <c r="NYM92" s="79"/>
      <c r="NYN92" s="77"/>
      <c r="NYO92" s="78"/>
      <c r="NYU92" s="79"/>
      <c r="NYV92" s="77"/>
      <c r="NYW92" s="78"/>
      <c r="NZC92" s="79"/>
      <c r="NZD92" s="77"/>
      <c r="NZE92" s="78"/>
      <c r="NZK92" s="79"/>
      <c r="NZL92" s="77"/>
      <c r="NZM92" s="78"/>
      <c r="NZS92" s="79"/>
      <c r="NZT92" s="77"/>
      <c r="NZU92" s="78"/>
      <c r="OAA92" s="79"/>
      <c r="OAB92" s="77"/>
      <c r="OAC92" s="78"/>
      <c r="OAI92" s="79"/>
      <c r="OAJ92" s="77"/>
      <c r="OAK92" s="78"/>
      <c r="OAQ92" s="79"/>
      <c r="OAR92" s="77"/>
      <c r="OAS92" s="78"/>
      <c r="OAY92" s="79"/>
      <c r="OAZ92" s="77"/>
      <c r="OBA92" s="78"/>
      <c r="OBG92" s="79"/>
      <c r="OBH92" s="77"/>
      <c r="OBI92" s="78"/>
      <c r="OBO92" s="79"/>
      <c r="OBP92" s="77"/>
      <c r="OBQ92" s="78"/>
      <c r="OBW92" s="79"/>
      <c r="OBX92" s="77"/>
      <c r="OBY92" s="78"/>
      <c r="OCE92" s="79"/>
      <c r="OCF92" s="77"/>
      <c r="OCG92" s="78"/>
      <c r="OCM92" s="79"/>
      <c r="OCN92" s="77"/>
      <c r="OCO92" s="78"/>
      <c r="OCU92" s="79"/>
      <c r="OCV92" s="77"/>
      <c r="OCW92" s="78"/>
      <c r="ODC92" s="79"/>
      <c r="ODD92" s="77"/>
      <c r="ODE92" s="78"/>
      <c r="ODK92" s="79"/>
      <c r="ODL92" s="77"/>
      <c r="ODM92" s="78"/>
      <c r="ODS92" s="79"/>
      <c r="ODT92" s="77"/>
      <c r="ODU92" s="78"/>
      <c r="OEA92" s="79"/>
      <c r="OEB92" s="77"/>
      <c r="OEC92" s="78"/>
      <c r="OEI92" s="79"/>
      <c r="OEJ92" s="77"/>
      <c r="OEK92" s="78"/>
      <c r="OEQ92" s="79"/>
      <c r="OER92" s="77"/>
      <c r="OES92" s="78"/>
      <c r="OEY92" s="79"/>
      <c r="OEZ92" s="77"/>
      <c r="OFA92" s="78"/>
      <c r="OFG92" s="79"/>
      <c r="OFH92" s="77"/>
      <c r="OFI92" s="78"/>
      <c r="OFO92" s="79"/>
      <c r="OFP92" s="77"/>
      <c r="OFQ92" s="78"/>
      <c r="OFW92" s="79"/>
      <c r="OFX92" s="77"/>
      <c r="OFY92" s="78"/>
      <c r="OGE92" s="79"/>
      <c r="OGF92" s="77"/>
      <c r="OGG92" s="78"/>
      <c r="OGM92" s="79"/>
      <c r="OGN92" s="77"/>
      <c r="OGO92" s="78"/>
      <c r="OGU92" s="79"/>
      <c r="OGV92" s="77"/>
      <c r="OGW92" s="78"/>
      <c r="OHC92" s="79"/>
      <c r="OHD92" s="77"/>
      <c r="OHE92" s="78"/>
      <c r="OHK92" s="79"/>
      <c r="OHL92" s="77"/>
      <c r="OHM92" s="78"/>
      <c r="OHS92" s="79"/>
      <c r="OHT92" s="77"/>
      <c r="OHU92" s="78"/>
      <c r="OIA92" s="79"/>
      <c r="OIB92" s="77"/>
      <c r="OIC92" s="78"/>
      <c r="OII92" s="79"/>
      <c r="OIJ92" s="77"/>
      <c r="OIK92" s="78"/>
      <c r="OIQ92" s="79"/>
      <c r="OIR92" s="77"/>
      <c r="OIS92" s="78"/>
      <c r="OIY92" s="79"/>
      <c r="OIZ92" s="77"/>
      <c r="OJA92" s="78"/>
      <c r="OJG92" s="79"/>
      <c r="OJH92" s="77"/>
      <c r="OJI92" s="78"/>
      <c r="OJO92" s="79"/>
      <c r="OJP92" s="77"/>
      <c r="OJQ92" s="78"/>
      <c r="OJW92" s="79"/>
      <c r="OJX92" s="77"/>
      <c r="OJY92" s="78"/>
      <c r="OKE92" s="79"/>
      <c r="OKF92" s="77"/>
      <c r="OKG92" s="78"/>
      <c r="OKM92" s="79"/>
      <c r="OKN92" s="77"/>
      <c r="OKO92" s="78"/>
      <c r="OKU92" s="79"/>
      <c r="OKV92" s="77"/>
      <c r="OKW92" s="78"/>
      <c r="OLC92" s="79"/>
      <c r="OLD92" s="77"/>
      <c r="OLE92" s="78"/>
      <c r="OLK92" s="79"/>
      <c r="OLL92" s="77"/>
      <c r="OLM92" s="78"/>
      <c r="OLS92" s="79"/>
      <c r="OLT92" s="77"/>
      <c r="OLU92" s="78"/>
      <c r="OMA92" s="79"/>
      <c r="OMB92" s="77"/>
      <c r="OMC92" s="78"/>
      <c r="OMI92" s="79"/>
      <c r="OMJ92" s="77"/>
      <c r="OMK92" s="78"/>
      <c r="OMQ92" s="79"/>
      <c r="OMR92" s="77"/>
      <c r="OMS92" s="78"/>
      <c r="OMY92" s="79"/>
      <c r="OMZ92" s="77"/>
      <c r="ONA92" s="78"/>
      <c r="ONG92" s="79"/>
      <c r="ONH92" s="77"/>
      <c r="ONI92" s="78"/>
      <c r="ONO92" s="79"/>
      <c r="ONP92" s="77"/>
      <c r="ONQ92" s="78"/>
      <c r="ONW92" s="79"/>
      <c r="ONX92" s="77"/>
      <c r="ONY92" s="78"/>
      <c r="OOE92" s="79"/>
      <c r="OOF92" s="77"/>
      <c r="OOG92" s="78"/>
      <c r="OOM92" s="79"/>
      <c r="OON92" s="77"/>
      <c r="OOO92" s="78"/>
      <c r="OOU92" s="79"/>
      <c r="OOV92" s="77"/>
      <c r="OOW92" s="78"/>
      <c r="OPC92" s="79"/>
      <c r="OPD92" s="77"/>
      <c r="OPE92" s="78"/>
      <c r="OPK92" s="79"/>
      <c r="OPL92" s="77"/>
      <c r="OPM92" s="78"/>
      <c r="OPS92" s="79"/>
      <c r="OPT92" s="77"/>
      <c r="OPU92" s="78"/>
      <c r="OQA92" s="79"/>
      <c r="OQB92" s="77"/>
      <c r="OQC92" s="78"/>
      <c r="OQI92" s="79"/>
      <c r="OQJ92" s="77"/>
      <c r="OQK92" s="78"/>
      <c r="OQQ92" s="79"/>
      <c r="OQR92" s="77"/>
      <c r="OQS92" s="78"/>
      <c r="OQY92" s="79"/>
      <c r="OQZ92" s="77"/>
      <c r="ORA92" s="78"/>
      <c r="ORG92" s="79"/>
      <c r="ORH92" s="77"/>
      <c r="ORI92" s="78"/>
      <c r="ORO92" s="79"/>
      <c r="ORP92" s="77"/>
      <c r="ORQ92" s="78"/>
      <c r="ORW92" s="79"/>
      <c r="ORX92" s="77"/>
      <c r="ORY92" s="78"/>
      <c r="OSE92" s="79"/>
      <c r="OSF92" s="77"/>
      <c r="OSG92" s="78"/>
      <c r="OSM92" s="79"/>
      <c r="OSN92" s="77"/>
      <c r="OSO92" s="78"/>
      <c r="OSU92" s="79"/>
      <c r="OSV92" s="77"/>
      <c r="OSW92" s="78"/>
      <c r="OTC92" s="79"/>
      <c r="OTD92" s="77"/>
      <c r="OTE92" s="78"/>
      <c r="OTK92" s="79"/>
      <c r="OTL92" s="77"/>
      <c r="OTM92" s="78"/>
      <c r="OTS92" s="79"/>
      <c r="OTT92" s="77"/>
      <c r="OTU92" s="78"/>
      <c r="OUA92" s="79"/>
      <c r="OUB92" s="77"/>
      <c r="OUC92" s="78"/>
      <c r="OUI92" s="79"/>
      <c r="OUJ92" s="77"/>
      <c r="OUK92" s="78"/>
      <c r="OUQ92" s="79"/>
      <c r="OUR92" s="77"/>
      <c r="OUS92" s="78"/>
      <c r="OUY92" s="79"/>
      <c r="OUZ92" s="77"/>
      <c r="OVA92" s="78"/>
      <c r="OVG92" s="79"/>
      <c r="OVH92" s="77"/>
      <c r="OVI92" s="78"/>
      <c r="OVO92" s="79"/>
      <c r="OVP92" s="77"/>
      <c r="OVQ92" s="78"/>
      <c r="OVW92" s="79"/>
      <c r="OVX92" s="77"/>
      <c r="OVY92" s="78"/>
      <c r="OWE92" s="79"/>
      <c r="OWF92" s="77"/>
      <c r="OWG92" s="78"/>
      <c r="OWM92" s="79"/>
      <c r="OWN92" s="77"/>
      <c r="OWO92" s="78"/>
      <c r="OWU92" s="79"/>
      <c r="OWV92" s="77"/>
      <c r="OWW92" s="78"/>
      <c r="OXC92" s="79"/>
      <c r="OXD92" s="77"/>
      <c r="OXE92" s="78"/>
      <c r="OXK92" s="79"/>
      <c r="OXL92" s="77"/>
      <c r="OXM92" s="78"/>
      <c r="OXS92" s="79"/>
      <c r="OXT92" s="77"/>
      <c r="OXU92" s="78"/>
      <c r="OYA92" s="79"/>
      <c r="OYB92" s="77"/>
      <c r="OYC92" s="78"/>
      <c r="OYI92" s="79"/>
      <c r="OYJ92" s="77"/>
      <c r="OYK92" s="78"/>
      <c r="OYQ92" s="79"/>
      <c r="OYR92" s="77"/>
      <c r="OYS92" s="78"/>
      <c r="OYY92" s="79"/>
      <c r="OYZ92" s="77"/>
      <c r="OZA92" s="78"/>
      <c r="OZG92" s="79"/>
      <c r="OZH92" s="77"/>
      <c r="OZI92" s="78"/>
      <c r="OZO92" s="79"/>
      <c r="OZP92" s="77"/>
      <c r="OZQ92" s="78"/>
      <c r="OZW92" s="79"/>
      <c r="OZX92" s="77"/>
      <c r="OZY92" s="78"/>
      <c r="PAE92" s="79"/>
      <c r="PAF92" s="77"/>
      <c r="PAG92" s="78"/>
      <c r="PAM92" s="79"/>
      <c r="PAN92" s="77"/>
      <c r="PAO92" s="78"/>
      <c r="PAU92" s="79"/>
      <c r="PAV92" s="77"/>
      <c r="PAW92" s="78"/>
      <c r="PBC92" s="79"/>
      <c r="PBD92" s="77"/>
      <c r="PBE92" s="78"/>
      <c r="PBK92" s="79"/>
      <c r="PBL92" s="77"/>
      <c r="PBM92" s="78"/>
      <c r="PBS92" s="79"/>
      <c r="PBT92" s="77"/>
      <c r="PBU92" s="78"/>
      <c r="PCA92" s="79"/>
      <c r="PCB92" s="77"/>
      <c r="PCC92" s="78"/>
      <c r="PCI92" s="79"/>
      <c r="PCJ92" s="77"/>
      <c r="PCK92" s="78"/>
      <c r="PCQ92" s="79"/>
      <c r="PCR92" s="77"/>
      <c r="PCS92" s="78"/>
      <c r="PCY92" s="79"/>
      <c r="PCZ92" s="77"/>
      <c r="PDA92" s="78"/>
      <c r="PDG92" s="79"/>
      <c r="PDH92" s="77"/>
      <c r="PDI92" s="78"/>
      <c r="PDO92" s="79"/>
      <c r="PDP92" s="77"/>
      <c r="PDQ92" s="78"/>
      <c r="PDW92" s="79"/>
      <c r="PDX92" s="77"/>
      <c r="PDY92" s="78"/>
      <c r="PEE92" s="79"/>
      <c r="PEF92" s="77"/>
      <c r="PEG92" s="78"/>
      <c r="PEM92" s="79"/>
      <c r="PEN92" s="77"/>
      <c r="PEO92" s="78"/>
      <c r="PEU92" s="79"/>
      <c r="PEV92" s="77"/>
      <c r="PEW92" s="78"/>
      <c r="PFC92" s="79"/>
      <c r="PFD92" s="77"/>
      <c r="PFE92" s="78"/>
      <c r="PFK92" s="79"/>
      <c r="PFL92" s="77"/>
      <c r="PFM92" s="78"/>
      <c r="PFS92" s="79"/>
      <c r="PFT92" s="77"/>
      <c r="PFU92" s="78"/>
      <c r="PGA92" s="79"/>
      <c r="PGB92" s="77"/>
      <c r="PGC92" s="78"/>
      <c r="PGI92" s="79"/>
      <c r="PGJ92" s="77"/>
      <c r="PGK92" s="78"/>
      <c r="PGQ92" s="79"/>
      <c r="PGR92" s="77"/>
      <c r="PGS92" s="78"/>
      <c r="PGY92" s="79"/>
      <c r="PGZ92" s="77"/>
      <c r="PHA92" s="78"/>
      <c r="PHG92" s="79"/>
      <c r="PHH92" s="77"/>
      <c r="PHI92" s="78"/>
      <c r="PHO92" s="79"/>
      <c r="PHP92" s="77"/>
      <c r="PHQ92" s="78"/>
      <c r="PHW92" s="79"/>
      <c r="PHX92" s="77"/>
      <c r="PHY92" s="78"/>
      <c r="PIE92" s="79"/>
      <c r="PIF92" s="77"/>
      <c r="PIG92" s="78"/>
      <c r="PIM92" s="79"/>
      <c r="PIN92" s="77"/>
      <c r="PIO92" s="78"/>
      <c r="PIU92" s="79"/>
      <c r="PIV92" s="77"/>
      <c r="PIW92" s="78"/>
      <c r="PJC92" s="79"/>
      <c r="PJD92" s="77"/>
      <c r="PJE92" s="78"/>
      <c r="PJK92" s="79"/>
      <c r="PJL92" s="77"/>
      <c r="PJM92" s="78"/>
      <c r="PJS92" s="79"/>
      <c r="PJT92" s="77"/>
      <c r="PJU92" s="78"/>
      <c r="PKA92" s="79"/>
      <c r="PKB92" s="77"/>
      <c r="PKC92" s="78"/>
      <c r="PKI92" s="79"/>
      <c r="PKJ92" s="77"/>
      <c r="PKK92" s="78"/>
      <c r="PKQ92" s="79"/>
      <c r="PKR92" s="77"/>
      <c r="PKS92" s="78"/>
      <c r="PKY92" s="79"/>
      <c r="PKZ92" s="77"/>
      <c r="PLA92" s="78"/>
      <c r="PLG92" s="79"/>
      <c r="PLH92" s="77"/>
      <c r="PLI92" s="78"/>
      <c r="PLO92" s="79"/>
      <c r="PLP92" s="77"/>
      <c r="PLQ92" s="78"/>
      <c r="PLW92" s="79"/>
      <c r="PLX92" s="77"/>
      <c r="PLY92" s="78"/>
      <c r="PME92" s="79"/>
      <c r="PMF92" s="77"/>
      <c r="PMG92" s="78"/>
      <c r="PMM92" s="79"/>
      <c r="PMN92" s="77"/>
      <c r="PMO92" s="78"/>
      <c r="PMU92" s="79"/>
      <c r="PMV92" s="77"/>
      <c r="PMW92" s="78"/>
      <c r="PNC92" s="79"/>
      <c r="PND92" s="77"/>
      <c r="PNE92" s="78"/>
      <c r="PNK92" s="79"/>
      <c r="PNL92" s="77"/>
      <c r="PNM92" s="78"/>
      <c r="PNS92" s="79"/>
      <c r="PNT92" s="77"/>
      <c r="PNU92" s="78"/>
      <c r="POA92" s="79"/>
      <c r="POB92" s="77"/>
      <c r="POC92" s="78"/>
      <c r="POI92" s="79"/>
      <c r="POJ92" s="77"/>
      <c r="POK92" s="78"/>
      <c r="POQ92" s="79"/>
      <c r="POR92" s="77"/>
      <c r="POS92" s="78"/>
      <c r="POY92" s="79"/>
      <c r="POZ92" s="77"/>
      <c r="PPA92" s="78"/>
      <c r="PPG92" s="79"/>
      <c r="PPH92" s="77"/>
      <c r="PPI92" s="78"/>
      <c r="PPO92" s="79"/>
      <c r="PPP92" s="77"/>
      <c r="PPQ92" s="78"/>
      <c r="PPW92" s="79"/>
      <c r="PPX92" s="77"/>
      <c r="PPY92" s="78"/>
      <c r="PQE92" s="79"/>
      <c r="PQF92" s="77"/>
      <c r="PQG92" s="78"/>
      <c r="PQM92" s="79"/>
      <c r="PQN92" s="77"/>
      <c r="PQO92" s="78"/>
      <c r="PQU92" s="79"/>
      <c r="PQV92" s="77"/>
      <c r="PQW92" s="78"/>
      <c r="PRC92" s="79"/>
      <c r="PRD92" s="77"/>
      <c r="PRE92" s="78"/>
      <c r="PRK92" s="79"/>
      <c r="PRL92" s="77"/>
      <c r="PRM92" s="78"/>
      <c r="PRS92" s="79"/>
      <c r="PRT92" s="77"/>
      <c r="PRU92" s="78"/>
      <c r="PSA92" s="79"/>
      <c r="PSB92" s="77"/>
      <c r="PSC92" s="78"/>
      <c r="PSI92" s="79"/>
      <c r="PSJ92" s="77"/>
      <c r="PSK92" s="78"/>
      <c r="PSQ92" s="79"/>
      <c r="PSR92" s="77"/>
      <c r="PSS92" s="78"/>
      <c r="PSY92" s="79"/>
      <c r="PSZ92" s="77"/>
      <c r="PTA92" s="78"/>
      <c r="PTG92" s="79"/>
      <c r="PTH92" s="77"/>
      <c r="PTI92" s="78"/>
      <c r="PTO92" s="79"/>
      <c r="PTP92" s="77"/>
      <c r="PTQ92" s="78"/>
      <c r="PTW92" s="79"/>
      <c r="PTX92" s="77"/>
      <c r="PTY92" s="78"/>
      <c r="PUE92" s="79"/>
      <c r="PUF92" s="77"/>
      <c r="PUG92" s="78"/>
      <c r="PUM92" s="79"/>
      <c r="PUN92" s="77"/>
      <c r="PUO92" s="78"/>
      <c r="PUU92" s="79"/>
      <c r="PUV92" s="77"/>
      <c r="PUW92" s="78"/>
      <c r="PVC92" s="79"/>
      <c r="PVD92" s="77"/>
      <c r="PVE92" s="78"/>
      <c r="PVK92" s="79"/>
      <c r="PVL92" s="77"/>
      <c r="PVM92" s="78"/>
      <c r="PVS92" s="79"/>
      <c r="PVT92" s="77"/>
      <c r="PVU92" s="78"/>
      <c r="PWA92" s="79"/>
      <c r="PWB92" s="77"/>
      <c r="PWC92" s="78"/>
      <c r="PWI92" s="79"/>
      <c r="PWJ92" s="77"/>
      <c r="PWK92" s="78"/>
      <c r="PWQ92" s="79"/>
      <c r="PWR92" s="77"/>
      <c r="PWS92" s="78"/>
      <c r="PWY92" s="79"/>
      <c r="PWZ92" s="77"/>
      <c r="PXA92" s="78"/>
      <c r="PXG92" s="79"/>
      <c r="PXH92" s="77"/>
      <c r="PXI92" s="78"/>
      <c r="PXO92" s="79"/>
      <c r="PXP92" s="77"/>
      <c r="PXQ92" s="78"/>
      <c r="PXW92" s="79"/>
      <c r="PXX92" s="77"/>
      <c r="PXY92" s="78"/>
      <c r="PYE92" s="79"/>
      <c r="PYF92" s="77"/>
      <c r="PYG92" s="78"/>
      <c r="PYM92" s="79"/>
      <c r="PYN92" s="77"/>
      <c r="PYO92" s="78"/>
      <c r="PYU92" s="79"/>
      <c r="PYV92" s="77"/>
      <c r="PYW92" s="78"/>
      <c r="PZC92" s="79"/>
      <c r="PZD92" s="77"/>
      <c r="PZE92" s="78"/>
      <c r="PZK92" s="79"/>
      <c r="PZL92" s="77"/>
      <c r="PZM92" s="78"/>
      <c r="PZS92" s="79"/>
      <c r="PZT92" s="77"/>
      <c r="PZU92" s="78"/>
      <c r="QAA92" s="79"/>
      <c r="QAB92" s="77"/>
      <c r="QAC92" s="78"/>
      <c r="QAI92" s="79"/>
      <c r="QAJ92" s="77"/>
      <c r="QAK92" s="78"/>
      <c r="QAQ92" s="79"/>
      <c r="QAR92" s="77"/>
      <c r="QAS92" s="78"/>
      <c r="QAY92" s="79"/>
      <c r="QAZ92" s="77"/>
      <c r="QBA92" s="78"/>
      <c r="QBG92" s="79"/>
      <c r="QBH92" s="77"/>
      <c r="QBI92" s="78"/>
      <c r="QBO92" s="79"/>
      <c r="QBP92" s="77"/>
      <c r="QBQ92" s="78"/>
      <c r="QBW92" s="79"/>
      <c r="QBX92" s="77"/>
      <c r="QBY92" s="78"/>
      <c r="QCE92" s="79"/>
      <c r="QCF92" s="77"/>
      <c r="QCG92" s="78"/>
      <c r="QCM92" s="79"/>
      <c r="QCN92" s="77"/>
      <c r="QCO92" s="78"/>
      <c r="QCU92" s="79"/>
      <c r="QCV92" s="77"/>
      <c r="QCW92" s="78"/>
      <c r="QDC92" s="79"/>
      <c r="QDD92" s="77"/>
      <c r="QDE92" s="78"/>
      <c r="QDK92" s="79"/>
      <c r="QDL92" s="77"/>
      <c r="QDM92" s="78"/>
      <c r="QDS92" s="79"/>
      <c r="QDT92" s="77"/>
      <c r="QDU92" s="78"/>
      <c r="QEA92" s="79"/>
      <c r="QEB92" s="77"/>
      <c r="QEC92" s="78"/>
      <c r="QEI92" s="79"/>
      <c r="QEJ92" s="77"/>
      <c r="QEK92" s="78"/>
      <c r="QEQ92" s="79"/>
      <c r="QER92" s="77"/>
      <c r="QES92" s="78"/>
      <c r="QEY92" s="79"/>
      <c r="QEZ92" s="77"/>
      <c r="QFA92" s="78"/>
      <c r="QFG92" s="79"/>
      <c r="QFH92" s="77"/>
      <c r="QFI92" s="78"/>
      <c r="QFO92" s="79"/>
      <c r="QFP92" s="77"/>
      <c r="QFQ92" s="78"/>
      <c r="QFW92" s="79"/>
      <c r="QFX92" s="77"/>
      <c r="QFY92" s="78"/>
      <c r="QGE92" s="79"/>
      <c r="QGF92" s="77"/>
      <c r="QGG92" s="78"/>
      <c r="QGM92" s="79"/>
      <c r="QGN92" s="77"/>
      <c r="QGO92" s="78"/>
      <c r="QGU92" s="79"/>
      <c r="QGV92" s="77"/>
      <c r="QGW92" s="78"/>
      <c r="QHC92" s="79"/>
      <c r="QHD92" s="77"/>
      <c r="QHE92" s="78"/>
      <c r="QHK92" s="79"/>
      <c r="QHL92" s="77"/>
      <c r="QHM92" s="78"/>
      <c r="QHS92" s="79"/>
      <c r="QHT92" s="77"/>
      <c r="QHU92" s="78"/>
      <c r="QIA92" s="79"/>
      <c r="QIB92" s="77"/>
      <c r="QIC92" s="78"/>
      <c r="QII92" s="79"/>
      <c r="QIJ92" s="77"/>
      <c r="QIK92" s="78"/>
      <c r="QIQ92" s="79"/>
      <c r="QIR92" s="77"/>
      <c r="QIS92" s="78"/>
      <c r="QIY92" s="79"/>
      <c r="QIZ92" s="77"/>
      <c r="QJA92" s="78"/>
      <c r="QJG92" s="79"/>
      <c r="QJH92" s="77"/>
      <c r="QJI92" s="78"/>
      <c r="QJO92" s="79"/>
      <c r="QJP92" s="77"/>
      <c r="QJQ92" s="78"/>
      <c r="QJW92" s="79"/>
      <c r="QJX92" s="77"/>
      <c r="QJY92" s="78"/>
      <c r="QKE92" s="79"/>
      <c r="QKF92" s="77"/>
      <c r="QKG92" s="78"/>
      <c r="QKM92" s="79"/>
      <c r="QKN92" s="77"/>
      <c r="QKO92" s="78"/>
      <c r="QKU92" s="79"/>
      <c r="QKV92" s="77"/>
      <c r="QKW92" s="78"/>
      <c r="QLC92" s="79"/>
      <c r="QLD92" s="77"/>
      <c r="QLE92" s="78"/>
      <c r="QLK92" s="79"/>
      <c r="QLL92" s="77"/>
      <c r="QLM92" s="78"/>
      <c r="QLS92" s="79"/>
      <c r="QLT92" s="77"/>
      <c r="QLU92" s="78"/>
      <c r="QMA92" s="79"/>
      <c r="QMB92" s="77"/>
      <c r="QMC92" s="78"/>
      <c r="QMI92" s="79"/>
      <c r="QMJ92" s="77"/>
      <c r="QMK92" s="78"/>
      <c r="QMQ92" s="79"/>
      <c r="QMR92" s="77"/>
      <c r="QMS92" s="78"/>
      <c r="QMY92" s="79"/>
      <c r="QMZ92" s="77"/>
      <c r="QNA92" s="78"/>
      <c r="QNG92" s="79"/>
      <c r="QNH92" s="77"/>
      <c r="QNI92" s="78"/>
      <c r="QNO92" s="79"/>
      <c r="QNP92" s="77"/>
      <c r="QNQ92" s="78"/>
      <c r="QNW92" s="79"/>
      <c r="QNX92" s="77"/>
      <c r="QNY92" s="78"/>
      <c r="QOE92" s="79"/>
      <c r="QOF92" s="77"/>
      <c r="QOG92" s="78"/>
      <c r="QOM92" s="79"/>
      <c r="QON92" s="77"/>
      <c r="QOO92" s="78"/>
      <c r="QOU92" s="79"/>
      <c r="QOV92" s="77"/>
      <c r="QOW92" s="78"/>
      <c r="QPC92" s="79"/>
      <c r="QPD92" s="77"/>
      <c r="QPE92" s="78"/>
      <c r="QPK92" s="79"/>
      <c r="QPL92" s="77"/>
      <c r="QPM92" s="78"/>
      <c r="QPS92" s="79"/>
      <c r="QPT92" s="77"/>
      <c r="QPU92" s="78"/>
      <c r="QQA92" s="79"/>
      <c r="QQB92" s="77"/>
      <c r="QQC92" s="78"/>
      <c r="QQI92" s="79"/>
      <c r="QQJ92" s="77"/>
      <c r="QQK92" s="78"/>
      <c r="QQQ92" s="79"/>
      <c r="QQR92" s="77"/>
      <c r="QQS92" s="78"/>
      <c r="QQY92" s="79"/>
      <c r="QQZ92" s="77"/>
      <c r="QRA92" s="78"/>
      <c r="QRG92" s="79"/>
      <c r="QRH92" s="77"/>
      <c r="QRI92" s="78"/>
      <c r="QRO92" s="79"/>
      <c r="QRP92" s="77"/>
      <c r="QRQ92" s="78"/>
      <c r="QRW92" s="79"/>
      <c r="QRX92" s="77"/>
      <c r="QRY92" s="78"/>
      <c r="QSE92" s="79"/>
      <c r="QSF92" s="77"/>
      <c r="QSG92" s="78"/>
      <c r="QSM92" s="79"/>
      <c r="QSN92" s="77"/>
      <c r="QSO92" s="78"/>
      <c r="QSU92" s="79"/>
      <c r="QSV92" s="77"/>
      <c r="QSW92" s="78"/>
      <c r="QTC92" s="79"/>
      <c r="QTD92" s="77"/>
      <c r="QTE92" s="78"/>
      <c r="QTK92" s="79"/>
      <c r="QTL92" s="77"/>
      <c r="QTM92" s="78"/>
      <c r="QTS92" s="79"/>
      <c r="QTT92" s="77"/>
      <c r="QTU92" s="78"/>
      <c r="QUA92" s="79"/>
      <c r="QUB92" s="77"/>
      <c r="QUC92" s="78"/>
      <c r="QUI92" s="79"/>
      <c r="QUJ92" s="77"/>
      <c r="QUK92" s="78"/>
      <c r="QUQ92" s="79"/>
      <c r="QUR92" s="77"/>
      <c r="QUS92" s="78"/>
      <c r="QUY92" s="79"/>
      <c r="QUZ92" s="77"/>
      <c r="QVA92" s="78"/>
      <c r="QVG92" s="79"/>
      <c r="QVH92" s="77"/>
      <c r="QVI92" s="78"/>
      <c r="QVO92" s="79"/>
      <c r="QVP92" s="77"/>
      <c r="QVQ92" s="78"/>
      <c r="QVW92" s="79"/>
      <c r="QVX92" s="77"/>
      <c r="QVY92" s="78"/>
      <c r="QWE92" s="79"/>
      <c r="QWF92" s="77"/>
      <c r="QWG92" s="78"/>
      <c r="QWM92" s="79"/>
      <c r="QWN92" s="77"/>
      <c r="QWO92" s="78"/>
      <c r="QWU92" s="79"/>
      <c r="QWV92" s="77"/>
      <c r="QWW92" s="78"/>
      <c r="QXC92" s="79"/>
      <c r="QXD92" s="77"/>
      <c r="QXE92" s="78"/>
      <c r="QXK92" s="79"/>
      <c r="QXL92" s="77"/>
      <c r="QXM92" s="78"/>
      <c r="QXS92" s="79"/>
      <c r="QXT92" s="77"/>
      <c r="QXU92" s="78"/>
      <c r="QYA92" s="79"/>
      <c r="QYB92" s="77"/>
      <c r="QYC92" s="78"/>
      <c r="QYI92" s="79"/>
      <c r="QYJ92" s="77"/>
      <c r="QYK92" s="78"/>
      <c r="QYQ92" s="79"/>
      <c r="QYR92" s="77"/>
      <c r="QYS92" s="78"/>
      <c r="QYY92" s="79"/>
      <c r="QYZ92" s="77"/>
      <c r="QZA92" s="78"/>
      <c r="QZG92" s="79"/>
      <c r="QZH92" s="77"/>
      <c r="QZI92" s="78"/>
      <c r="QZO92" s="79"/>
      <c r="QZP92" s="77"/>
      <c r="QZQ92" s="78"/>
      <c r="QZW92" s="79"/>
      <c r="QZX92" s="77"/>
      <c r="QZY92" s="78"/>
      <c r="RAE92" s="79"/>
      <c r="RAF92" s="77"/>
      <c r="RAG92" s="78"/>
      <c r="RAM92" s="79"/>
      <c r="RAN92" s="77"/>
      <c r="RAO92" s="78"/>
      <c r="RAU92" s="79"/>
      <c r="RAV92" s="77"/>
      <c r="RAW92" s="78"/>
      <c r="RBC92" s="79"/>
      <c r="RBD92" s="77"/>
      <c r="RBE92" s="78"/>
      <c r="RBK92" s="79"/>
      <c r="RBL92" s="77"/>
      <c r="RBM92" s="78"/>
      <c r="RBS92" s="79"/>
      <c r="RBT92" s="77"/>
      <c r="RBU92" s="78"/>
      <c r="RCA92" s="79"/>
      <c r="RCB92" s="77"/>
      <c r="RCC92" s="78"/>
      <c r="RCI92" s="79"/>
      <c r="RCJ92" s="77"/>
      <c r="RCK92" s="78"/>
      <c r="RCQ92" s="79"/>
      <c r="RCR92" s="77"/>
      <c r="RCS92" s="78"/>
      <c r="RCY92" s="79"/>
      <c r="RCZ92" s="77"/>
      <c r="RDA92" s="78"/>
      <c r="RDG92" s="79"/>
      <c r="RDH92" s="77"/>
      <c r="RDI92" s="78"/>
      <c r="RDO92" s="79"/>
      <c r="RDP92" s="77"/>
      <c r="RDQ92" s="78"/>
      <c r="RDW92" s="79"/>
      <c r="RDX92" s="77"/>
      <c r="RDY92" s="78"/>
      <c r="REE92" s="79"/>
      <c r="REF92" s="77"/>
      <c r="REG92" s="78"/>
      <c r="REM92" s="79"/>
      <c r="REN92" s="77"/>
      <c r="REO92" s="78"/>
      <c r="REU92" s="79"/>
      <c r="REV92" s="77"/>
      <c r="REW92" s="78"/>
      <c r="RFC92" s="79"/>
      <c r="RFD92" s="77"/>
      <c r="RFE92" s="78"/>
      <c r="RFK92" s="79"/>
      <c r="RFL92" s="77"/>
      <c r="RFM92" s="78"/>
      <c r="RFS92" s="79"/>
      <c r="RFT92" s="77"/>
      <c r="RFU92" s="78"/>
      <c r="RGA92" s="79"/>
      <c r="RGB92" s="77"/>
      <c r="RGC92" s="78"/>
      <c r="RGI92" s="79"/>
      <c r="RGJ92" s="77"/>
      <c r="RGK92" s="78"/>
      <c r="RGQ92" s="79"/>
      <c r="RGR92" s="77"/>
      <c r="RGS92" s="78"/>
      <c r="RGY92" s="79"/>
      <c r="RGZ92" s="77"/>
      <c r="RHA92" s="78"/>
      <c r="RHG92" s="79"/>
      <c r="RHH92" s="77"/>
      <c r="RHI92" s="78"/>
      <c r="RHO92" s="79"/>
      <c r="RHP92" s="77"/>
      <c r="RHQ92" s="78"/>
      <c r="RHW92" s="79"/>
      <c r="RHX92" s="77"/>
      <c r="RHY92" s="78"/>
      <c r="RIE92" s="79"/>
      <c r="RIF92" s="77"/>
      <c r="RIG92" s="78"/>
      <c r="RIM92" s="79"/>
      <c r="RIN92" s="77"/>
      <c r="RIO92" s="78"/>
      <c r="RIU92" s="79"/>
      <c r="RIV92" s="77"/>
      <c r="RIW92" s="78"/>
      <c r="RJC92" s="79"/>
      <c r="RJD92" s="77"/>
      <c r="RJE92" s="78"/>
      <c r="RJK92" s="79"/>
      <c r="RJL92" s="77"/>
      <c r="RJM92" s="78"/>
      <c r="RJS92" s="79"/>
      <c r="RJT92" s="77"/>
      <c r="RJU92" s="78"/>
      <c r="RKA92" s="79"/>
      <c r="RKB92" s="77"/>
      <c r="RKC92" s="78"/>
      <c r="RKI92" s="79"/>
      <c r="RKJ92" s="77"/>
      <c r="RKK92" s="78"/>
      <c r="RKQ92" s="79"/>
      <c r="RKR92" s="77"/>
      <c r="RKS92" s="78"/>
      <c r="RKY92" s="79"/>
      <c r="RKZ92" s="77"/>
      <c r="RLA92" s="78"/>
      <c r="RLG92" s="79"/>
      <c r="RLH92" s="77"/>
      <c r="RLI92" s="78"/>
      <c r="RLO92" s="79"/>
      <c r="RLP92" s="77"/>
      <c r="RLQ92" s="78"/>
      <c r="RLW92" s="79"/>
      <c r="RLX92" s="77"/>
      <c r="RLY92" s="78"/>
      <c r="RME92" s="79"/>
      <c r="RMF92" s="77"/>
      <c r="RMG92" s="78"/>
      <c r="RMM92" s="79"/>
      <c r="RMN92" s="77"/>
      <c r="RMO92" s="78"/>
      <c r="RMU92" s="79"/>
      <c r="RMV92" s="77"/>
      <c r="RMW92" s="78"/>
      <c r="RNC92" s="79"/>
      <c r="RND92" s="77"/>
      <c r="RNE92" s="78"/>
      <c r="RNK92" s="79"/>
      <c r="RNL92" s="77"/>
      <c r="RNM92" s="78"/>
      <c r="RNS92" s="79"/>
      <c r="RNT92" s="77"/>
      <c r="RNU92" s="78"/>
      <c r="ROA92" s="79"/>
      <c r="ROB92" s="77"/>
      <c r="ROC92" s="78"/>
      <c r="ROI92" s="79"/>
      <c r="ROJ92" s="77"/>
      <c r="ROK92" s="78"/>
      <c r="ROQ92" s="79"/>
      <c r="ROR92" s="77"/>
      <c r="ROS92" s="78"/>
      <c r="ROY92" s="79"/>
      <c r="ROZ92" s="77"/>
      <c r="RPA92" s="78"/>
      <c r="RPG92" s="79"/>
      <c r="RPH92" s="77"/>
      <c r="RPI92" s="78"/>
      <c r="RPO92" s="79"/>
      <c r="RPP92" s="77"/>
      <c r="RPQ92" s="78"/>
      <c r="RPW92" s="79"/>
      <c r="RPX92" s="77"/>
      <c r="RPY92" s="78"/>
      <c r="RQE92" s="79"/>
      <c r="RQF92" s="77"/>
      <c r="RQG92" s="78"/>
      <c r="RQM92" s="79"/>
      <c r="RQN92" s="77"/>
      <c r="RQO92" s="78"/>
      <c r="RQU92" s="79"/>
      <c r="RQV92" s="77"/>
      <c r="RQW92" s="78"/>
      <c r="RRC92" s="79"/>
      <c r="RRD92" s="77"/>
      <c r="RRE92" s="78"/>
      <c r="RRK92" s="79"/>
      <c r="RRL92" s="77"/>
      <c r="RRM92" s="78"/>
      <c r="RRS92" s="79"/>
      <c r="RRT92" s="77"/>
      <c r="RRU92" s="78"/>
      <c r="RSA92" s="79"/>
      <c r="RSB92" s="77"/>
      <c r="RSC92" s="78"/>
      <c r="RSI92" s="79"/>
      <c r="RSJ92" s="77"/>
      <c r="RSK92" s="78"/>
      <c r="RSQ92" s="79"/>
      <c r="RSR92" s="77"/>
      <c r="RSS92" s="78"/>
      <c r="RSY92" s="79"/>
      <c r="RSZ92" s="77"/>
      <c r="RTA92" s="78"/>
      <c r="RTG92" s="79"/>
      <c r="RTH92" s="77"/>
      <c r="RTI92" s="78"/>
      <c r="RTO92" s="79"/>
      <c r="RTP92" s="77"/>
      <c r="RTQ92" s="78"/>
      <c r="RTW92" s="79"/>
      <c r="RTX92" s="77"/>
      <c r="RTY92" s="78"/>
      <c r="RUE92" s="79"/>
      <c r="RUF92" s="77"/>
      <c r="RUG92" s="78"/>
      <c r="RUM92" s="79"/>
      <c r="RUN92" s="77"/>
      <c r="RUO92" s="78"/>
      <c r="RUU92" s="79"/>
      <c r="RUV92" s="77"/>
      <c r="RUW92" s="78"/>
      <c r="RVC92" s="79"/>
      <c r="RVD92" s="77"/>
      <c r="RVE92" s="78"/>
      <c r="RVK92" s="79"/>
      <c r="RVL92" s="77"/>
      <c r="RVM92" s="78"/>
      <c r="RVS92" s="79"/>
      <c r="RVT92" s="77"/>
      <c r="RVU92" s="78"/>
      <c r="RWA92" s="79"/>
      <c r="RWB92" s="77"/>
      <c r="RWC92" s="78"/>
      <c r="RWI92" s="79"/>
      <c r="RWJ92" s="77"/>
      <c r="RWK92" s="78"/>
      <c r="RWQ92" s="79"/>
      <c r="RWR92" s="77"/>
      <c r="RWS92" s="78"/>
      <c r="RWY92" s="79"/>
      <c r="RWZ92" s="77"/>
      <c r="RXA92" s="78"/>
      <c r="RXG92" s="79"/>
      <c r="RXH92" s="77"/>
      <c r="RXI92" s="78"/>
      <c r="RXO92" s="79"/>
      <c r="RXP92" s="77"/>
      <c r="RXQ92" s="78"/>
      <c r="RXW92" s="79"/>
      <c r="RXX92" s="77"/>
      <c r="RXY92" s="78"/>
      <c r="RYE92" s="79"/>
      <c r="RYF92" s="77"/>
      <c r="RYG92" s="78"/>
      <c r="RYM92" s="79"/>
      <c r="RYN92" s="77"/>
      <c r="RYO92" s="78"/>
      <c r="RYU92" s="79"/>
      <c r="RYV92" s="77"/>
      <c r="RYW92" s="78"/>
      <c r="RZC92" s="79"/>
      <c r="RZD92" s="77"/>
      <c r="RZE92" s="78"/>
      <c r="RZK92" s="79"/>
      <c r="RZL92" s="77"/>
      <c r="RZM92" s="78"/>
      <c r="RZS92" s="79"/>
      <c r="RZT92" s="77"/>
      <c r="RZU92" s="78"/>
      <c r="SAA92" s="79"/>
      <c r="SAB92" s="77"/>
      <c r="SAC92" s="78"/>
      <c r="SAI92" s="79"/>
      <c r="SAJ92" s="77"/>
      <c r="SAK92" s="78"/>
      <c r="SAQ92" s="79"/>
      <c r="SAR92" s="77"/>
      <c r="SAS92" s="78"/>
      <c r="SAY92" s="79"/>
      <c r="SAZ92" s="77"/>
      <c r="SBA92" s="78"/>
      <c r="SBG92" s="79"/>
      <c r="SBH92" s="77"/>
      <c r="SBI92" s="78"/>
      <c r="SBO92" s="79"/>
      <c r="SBP92" s="77"/>
      <c r="SBQ92" s="78"/>
      <c r="SBW92" s="79"/>
      <c r="SBX92" s="77"/>
      <c r="SBY92" s="78"/>
      <c r="SCE92" s="79"/>
      <c r="SCF92" s="77"/>
      <c r="SCG92" s="78"/>
      <c r="SCM92" s="79"/>
      <c r="SCN92" s="77"/>
      <c r="SCO92" s="78"/>
      <c r="SCU92" s="79"/>
      <c r="SCV92" s="77"/>
      <c r="SCW92" s="78"/>
      <c r="SDC92" s="79"/>
      <c r="SDD92" s="77"/>
      <c r="SDE92" s="78"/>
      <c r="SDK92" s="79"/>
      <c r="SDL92" s="77"/>
      <c r="SDM92" s="78"/>
      <c r="SDS92" s="79"/>
      <c r="SDT92" s="77"/>
      <c r="SDU92" s="78"/>
      <c r="SEA92" s="79"/>
      <c r="SEB92" s="77"/>
      <c r="SEC92" s="78"/>
      <c r="SEI92" s="79"/>
      <c r="SEJ92" s="77"/>
      <c r="SEK92" s="78"/>
      <c r="SEQ92" s="79"/>
      <c r="SER92" s="77"/>
      <c r="SES92" s="78"/>
      <c r="SEY92" s="79"/>
      <c r="SEZ92" s="77"/>
      <c r="SFA92" s="78"/>
      <c r="SFG92" s="79"/>
      <c r="SFH92" s="77"/>
      <c r="SFI92" s="78"/>
      <c r="SFO92" s="79"/>
      <c r="SFP92" s="77"/>
      <c r="SFQ92" s="78"/>
      <c r="SFW92" s="79"/>
      <c r="SFX92" s="77"/>
      <c r="SFY92" s="78"/>
      <c r="SGE92" s="79"/>
      <c r="SGF92" s="77"/>
      <c r="SGG92" s="78"/>
      <c r="SGM92" s="79"/>
      <c r="SGN92" s="77"/>
      <c r="SGO92" s="78"/>
      <c r="SGU92" s="79"/>
      <c r="SGV92" s="77"/>
      <c r="SGW92" s="78"/>
      <c r="SHC92" s="79"/>
      <c r="SHD92" s="77"/>
      <c r="SHE92" s="78"/>
      <c r="SHK92" s="79"/>
      <c r="SHL92" s="77"/>
      <c r="SHM92" s="78"/>
      <c r="SHS92" s="79"/>
      <c r="SHT92" s="77"/>
      <c r="SHU92" s="78"/>
      <c r="SIA92" s="79"/>
      <c r="SIB92" s="77"/>
      <c r="SIC92" s="78"/>
      <c r="SII92" s="79"/>
      <c r="SIJ92" s="77"/>
      <c r="SIK92" s="78"/>
      <c r="SIQ92" s="79"/>
      <c r="SIR92" s="77"/>
      <c r="SIS92" s="78"/>
      <c r="SIY92" s="79"/>
      <c r="SIZ92" s="77"/>
      <c r="SJA92" s="78"/>
      <c r="SJG92" s="79"/>
      <c r="SJH92" s="77"/>
      <c r="SJI92" s="78"/>
      <c r="SJO92" s="79"/>
      <c r="SJP92" s="77"/>
      <c r="SJQ92" s="78"/>
      <c r="SJW92" s="79"/>
      <c r="SJX92" s="77"/>
      <c r="SJY92" s="78"/>
      <c r="SKE92" s="79"/>
      <c r="SKF92" s="77"/>
      <c r="SKG92" s="78"/>
      <c r="SKM92" s="79"/>
      <c r="SKN92" s="77"/>
      <c r="SKO92" s="78"/>
      <c r="SKU92" s="79"/>
      <c r="SKV92" s="77"/>
      <c r="SKW92" s="78"/>
      <c r="SLC92" s="79"/>
      <c r="SLD92" s="77"/>
      <c r="SLE92" s="78"/>
      <c r="SLK92" s="79"/>
      <c r="SLL92" s="77"/>
      <c r="SLM92" s="78"/>
      <c r="SLS92" s="79"/>
      <c r="SLT92" s="77"/>
      <c r="SLU92" s="78"/>
      <c r="SMA92" s="79"/>
      <c r="SMB92" s="77"/>
      <c r="SMC92" s="78"/>
      <c r="SMI92" s="79"/>
      <c r="SMJ92" s="77"/>
      <c r="SMK92" s="78"/>
      <c r="SMQ92" s="79"/>
      <c r="SMR92" s="77"/>
      <c r="SMS92" s="78"/>
      <c r="SMY92" s="79"/>
      <c r="SMZ92" s="77"/>
      <c r="SNA92" s="78"/>
      <c r="SNG92" s="79"/>
      <c r="SNH92" s="77"/>
      <c r="SNI92" s="78"/>
      <c r="SNO92" s="79"/>
      <c r="SNP92" s="77"/>
      <c r="SNQ92" s="78"/>
      <c r="SNW92" s="79"/>
      <c r="SNX92" s="77"/>
      <c r="SNY92" s="78"/>
      <c r="SOE92" s="79"/>
      <c r="SOF92" s="77"/>
      <c r="SOG92" s="78"/>
      <c r="SOM92" s="79"/>
      <c r="SON92" s="77"/>
      <c r="SOO92" s="78"/>
      <c r="SOU92" s="79"/>
      <c r="SOV92" s="77"/>
      <c r="SOW92" s="78"/>
      <c r="SPC92" s="79"/>
      <c r="SPD92" s="77"/>
      <c r="SPE92" s="78"/>
      <c r="SPK92" s="79"/>
      <c r="SPL92" s="77"/>
      <c r="SPM92" s="78"/>
      <c r="SPS92" s="79"/>
      <c r="SPT92" s="77"/>
      <c r="SPU92" s="78"/>
      <c r="SQA92" s="79"/>
      <c r="SQB92" s="77"/>
      <c r="SQC92" s="78"/>
      <c r="SQI92" s="79"/>
      <c r="SQJ92" s="77"/>
      <c r="SQK92" s="78"/>
      <c r="SQQ92" s="79"/>
      <c r="SQR92" s="77"/>
      <c r="SQS92" s="78"/>
      <c r="SQY92" s="79"/>
      <c r="SQZ92" s="77"/>
      <c r="SRA92" s="78"/>
      <c r="SRG92" s="79"/>
      <c r="SRH92" s="77"/>
      <c r="SRI92" s="78"/>
      <c r="SRO92" s="79"/>
      <c r="SRP92" s="77"/>
      <c r="SRQ92" s="78"/>
      <c r="SRW92" s="79"/>
      <c r="SRX92" s="77"/>
      <c r="SRY92" s="78"/>
      <c r="SSE92" s="79"/>
      <c r="SSF92" s="77"/>
      <c r="SSG92" s="78"/>
      <c r="SSM92" s="79"/>
      <c r="SSN92" s="77"/>
      <c r="SSO92" s="78"/>
      <c r="SSU92" s="79"/>
      <c r="SSV92" s="77"/>
      <c r="SSW92" s="78"/>
      <c r="STC92" s="79"/>
      <c r="STD92" s="77"/>
      <c r="STE92" s="78"/>
      <c r="STK92" s="79"/>
      <c r="STL92" s="77"/>
      <c r="STM92" s="78"/>
      <c r="STS92" s="79"/>
      <c r="STT92" s="77"/>
      <c r="STU92" s="78"/>
      <c r="SUA92" s="79"/>
      <c r="SUB92" s="77"/>
      <c r="SUC92" s="78"/>
      <c r="SUI92" s="79"/>
      <c r="SUJ92" s="77"/>
      <c r="SUK92" s="78"/>
      <c r="SUQ92" s="79"/>
      <c r="SUR92" s="77"/>
      <c r="SUS92" s="78"/>
      <c r="SUY92" s="79"/>
      <c r="SUZ92" s="77"/>
      <c r="SVA92" s="78"/>
      <c r="SVG92" s="79"/>
      <c r="SVH92" s="77"/>
      <c r="SVI92" s="78"/>
      <c r="SVO92" s="79"/>
      <c r="SVP92" s="77"/>
      <c r="SVQ92" s="78"/>
      <c r="SVW92" s="79"/>
      <c r="SVX92" s="77"/>
      <c r="SVY92" s="78"/>
      <c r="SWE92" s="79"/>
      <c r="SWF92" s="77"/>
      <c r="SWG92" s="78"/>
      <c r="SWM92" s="79"/>
      <c r="SWN92" s="77"/>
      <c r="SWO92" s="78"/>
      <c r="SWU92" s="79"/>
      <c r="SWV92" s="77"/>
      <c r="SWW92" s="78"/>
      <c r="SXC92" s="79"/>
      <c r="SXD92" s="77"/>
      <c r="SXE92" s="78"/>
      <c r="SXK92" s="79"/>
      <c r="SXL92" s="77"/>
      <c r="SXM92" s="78"/>
      <c r="SXS92" s="79"/>
      <c r="SXT92" s="77"/>
      <c r="SXU92" s="78"/>
      <c r="SYA92" s="79"/>
      <c r="SYB92" s="77"/>
      <c r="SYC92" s="78"/>
      <c r="SYI92" s="79"/>
      <c r="SYJ92" s="77"/>
      <c r="SYK92" s="78"/>
      <c r="SYQ92" s="79"/>
      <c r="SYR92" s="77"/>
      <c r="SYS92" s="78"/>
      <c r="SYY92" s="79"/>
      <c r="SYZ92" s="77"/>
      <c r="SZA92" s="78"/>
      <c r="SZG92" s="79"/>
      <c r="SZH92" s="77"/>
      <c r="SZI92" s="78"/>
      <c r="SZO92" s="79"/>
      <c r="SZP92" s="77"/>
      <c r="SZQ92" s="78"/>
      <c r="SZW92" s="79"/>
      <c r="SZX92" s="77"/>
      <c r="SZY92" s="78"/>
      <c r="TAE92" s="79"/>
      <c r="TAF92" s="77"/>
      <c r="TAG92" s="78"/>
      <c r="TAM92" s="79"/>
      <c r="TAN92" s="77"/>
      <c r="TAO92" s="78"/>
      <c r="TAU92" s="79"/>
      <c r="TAV92" s="77"/>
      <c r="TAW92" s="78"/>
      <c r="TBC92" s="79"/>
      <c r="TBD92" s="77"/>
      <c r="TBE92" s="78"/>
      <c r="TBK92" s="79"/>
      <c r="TBL92" s="77"/>
      <c r="TBM92" s="78"/>
      <c r="TBS92" s="79"/>
      <c r="TBT92" s="77"/>
      <c r="TBU92" s="78"/>
      <c r="TCA92" s="79"/>
      <c r="TCB92" s="77"/>
      <c r="TCC92" s="78"/>
      <c r="TCI92" s="79"/>
      <c r="TCJ92" s="77"/>
      <c r="TCK92" s="78"/>
      <c r="TCQ92" s="79"/>
      <c r="TCR92" s="77"/>
      <c r="TCS92" s="78"/>
      <c r="TCY92" s="79"/>
      <c r="TCZ92" s="77"/>
      <c r="TDA92" s="78"/>
      <c r="TDG92" s="79"/>
      <c r="TDH92" s="77"/>
      <c r="TDI92" s="78"/>
      <c r="TDO92" s="79"/>
      <c r="TDP92" s="77"/>
      <c r="TDQ92" s="78"/>
      <c r="TDW92" s="79"/>
      <c r="TDX92" s="77"/>
      <c r="TDY92" s="78"/>
      <c r="TEE92" s="79"/>
      <c r="TEF92" s="77"/>
      <c r="TEG92" s="78"/>
      <c r="TEM92" s="79"/>
      <c r="TEN92" s="77"/>
      <c r="TEO92" s="78"/>
      <c r="TEU92" s="79"/>
      <c r="TEV92" s="77"/>
      <c r="TEW92" s="78"/>
      <c r="TFC92" s="79"/>
      <c r="TFD92" s="77"/>
      <c r="TFE92" s="78"/>
      <c r="TFK92" s="79"/>
      <c r="TFL92" s="77"/>
      <c r="TFM92" s="78"/>
      <c r="TFS92" s="79"/>
      <c r="TFT92" s="77"/>
      <c r="TFU92" s="78"/>
      <c r="TGA92" s="79"/>
      <c r="TGB92" s="77"/>
      <c r="TGC92" s="78"/>
      <c r="TGI92" s="79"/>
      <c r="TGJ92" s="77"/>
      <c r="TGK92" s="78"/>
      <c r="TGQ92" s="79"/>
      <c r="TGR92" s="77"/>
      <c r="TGS92" s="78"/>
      <c r="TGY92" s="79"/>
      <c r="TGZ92" s="77"/>
      <c r="THA92" s="78"/>
      <c r="THG92" s="79"/>
      <c r="THH92" s="77"/>
      <c r="THI92" s="78"/>
      <c r="THO92" s="79"/>
      <c r="THP92" s="77"/>
      <c r="THQ92" s="78"/>
      <c r="THW92" s="79"/>
      <c r="THX92" s="77"/>
      <c r="THY92" s="78"/>
      <c r="TIE92" s="79"/>
      <c r="TIF92" s="77"/>
      <c r="TIG92" s="78"/>
      <c r="TIM92" s="79"/>
      <c r="TIN92" s="77"/>
      <c r="TIO92" s="78"/>
      <c r="TIU92" s="79"/>
      <c r="TIV92" s="77"/>
      <c r="TIW92" s="78"/>
      <c r="TJC92" s="79"/>
      <c r="TJD92" s="77"/>
      <c r="TJE92" s="78"/>
      <c r="TJK92" s="79"/>
      <c r="TJL92" s="77"/>
      <c r="TJM92" s="78"/>
      <c r="TJS92" s="79"/>
      <c r="TJT92" s="77"/>
      <c r="TJU92" s="78"/>
      <c r="TKA92" s="79"/>
      <c r="TKB92" s="77"/>
      <c r="TKC92" s="78"/>
      <c r="TKI92" s="79"/>
      <c r="TKJ92" s="77"/>
      <c r="TKK92" s="78"/>
      <c r="TKQ92" s="79"/>
      <c r="TKR92" s="77"/>
      <c r="TKS92" s="78"/>
      <c r="TKY92" s="79"/>
      <c r="TKZ92" s="77"/>
      <c r="TLA92" s="78"/>
      <c r="TLG92" s="79"/>
      <c r="TLH92" s="77"/>
      <c r="TLI92" s="78"/>
      <c r="TLO92" s="79"/>
      <c r="TLP92" s="77"/>
      <c r="TLQ92" s="78"/>
      <c r="TLW92" s="79"/>
      <c r="TLX92" s="77"/>
      <c r="TLY92" s="78"/>
      <c r="TME92" s="79"/>
      <c r="TMF92" s="77"/>
      <c r="TMG92" s="78"/>
      <c r="TMM92" s="79"/>
      <c r="TMN92" s="77"/>
      <c r="TMO92" s="78"/>
      <c r="TMU92" s="79"/>
      <c r="TMV92" s="77"/>
      <c r="TMW92" s="78"/>
      <c r="TNC92" s="79"/>
      <c r="TND92" s="77"/>
      <c r="TNE92" s="78"/>
      <c r="TNK92" s="79"/>
      <c r="TNL92" s="77"/>
      <c r="TNM92" s="78"/>
      <c r="TNS92" s="79"/>
      <c r="TNT92" s="77"/>
      <c r="TNU92" s="78"/>
      <c r="TOA92" s="79"/>
      <c r="TOB92" s="77"/>
      <c r="TOC92" s="78"/>
      <c r="TOI92" s="79"/>
      <c r="TOJ92" s="77"/>
      <c r="TOK92" s="78"/>
      <c r="TOQ92" s="79"/>
      <c r="TOR92" s="77"/>
      <c r="TOS92" s="78"/>
      <c r="TOY92" s="79"/>
      <c r="TOZ92" s="77"/>
      <c r="TPA92" s="78"/>
      <c r="TPG92" s="79"/>
      <c r="TPH92" s="77"/>
      <c r="TPI92" s="78"/>
      <c r="TPO92" s="79"/>
      <c r="TPP92" s="77"/>
      <c r="TPQ92" s="78"/>
      <c r="TPW92" s="79"/>
      <c r="TPX92" s="77"/>
      <c r="TPY92" s="78"/>
      <c r="TQE92" s="79"/>
      <c r="TQF92" s="77"/>
      <c r="TQG92" s="78"/>
      <c r="TQM92" s="79"/>
      <c r="TQN92" s="77"/>
      <c r="TQO92" s="78"/>
      <c r="TQU92" s="79"/>
      <c r="TQV92" s="77"/>
      <c r="TQW92" s="78"/>
      <c r="TRC92" s="79"/>
      <c r="TRD92" s="77"/>
      <c r="TRE92" s="78"/>
      <c r="TRK92" s="79"/>
      <c r="TRL92" s="77"/>
      <c r="TRM92" s="78"/>
      <c r="TRS92" s="79"/>
      <c r="TRT92" s="77"/>
      <c r="TRU92" s="78"/>
      <c r="TSA92" s="79"/>
      <c r="TSB92" s="77"/>
      <c r="TSC92" s="78"/>
      <c r="TSI92" s="79"/>
      <c r="TSJ92" s="77"/>
      <c r="TSK92" s="78"/>
      <c r="TSQ92" s="79"/>
      <c r="TSR92" s="77"/>
      <c r="TSS92" s="78"/>
      <c r="TSY92" s="79"/>
      <c r="TSZ92" s="77"/>
      <c r="TTA92" s="78"/>
      <c r="TTG92" s="79"/>
      <c r="TTH92" s="77"/>
      <c r="TTI92" s="78"/>
      <c r="TTO92" s="79"/>
      <c r="TTP92" s="77"/>
      <c r="TTQ92" s="78"/>
      <c r="TTW92" s="79"/>
      <c r="TTX92" s="77"/>
      <c r="TTY92" s="78"/>
      <c r="TUE92" s="79"/>
      <c r="TUF92" s="77"/>
      <c r="TUG92" s="78"/>
      <c r="TUM92" s="79"/>
      <c r="TUN92" s="77"/>
      <c r="TUO92" s="78"/>
      <c r="TUU92" s="79"/>
      <c r="TUV92" s="77"/>
      <c r="TUW92" s="78"/>
      <c r="TVC92" s="79"/>
      <c r="TVD92" s="77"/>
      <c r="TVE92" s="78"/>
      <c r="TVK92" s="79"/>
      <c r="TVL92" s="77"/>
      <c r="TVM92" s="78"/>
      <c r="TVS92" s="79"/>
      <c r="TVT92" s="77"/>
      <c r="TVU92" s="78"/>
      <c r="TWA92" s="79"/>
      <c r="TWB92" s="77"/>
      <c r="TWC92" s="78"/>
      <c r="TWI92" s="79"/>
      <c r="TWJ92" s="77"/>
      <c r="TWK92" s="78"/>
      <c r="TWQ92" s="79"/>
      <c r="TWR92" s="77"/>
      <c r="TWS92" s="78"/>
      <c r="TWY92" s="79"/>
      <c r="TWZ92" s="77"/>
      <c r="TXA92" s="78"/>
      <c r="TXG92" s="79"/>
      <c r="TXH92" s="77"/>
      <c r="TXI92" s="78"/>
      <c r="TXO92" s="79"/>
      <c r="TXP92" s="77"/>
      <c r="TXQ92" s="78"/>
      <c r="TXW92" s="79"/>
      <c r="TXX92" s="77"/>
      <c r="TXY92" s="78"/>
      <c r="TYE92" s="79"/>
      <c r="TYF92" s="77"/>
      <c r="TYG92" s="78"/>
      <c r="TYM92" s="79"/>
      <c r="TYN92" s="77"/>
      <c r="TYO92" s="78"/>
      <c r="TYU92" s="79"/>
      <c r="TYV92" s="77"/>
      <c r="TYW92" s="78"/>
      <c r="TZC92" s="79"/>
      <c r="TZD92" s="77"/>
      <c r="TZE92" s="78"/>
      <c r="TZK92" s="79"/>
      <c r="TZL92" s="77"/>
      <c r="TZM92" s="78"/>
      <c r="TZS92" s="79"/>
      <c r="TZT92" s="77"/>
      <c r="TZU92" s="78"/>
      <c r="UAA92" s="79"/>
      <c r="UAB92" s="77"/>
      <c r="UAC92" s="78"/>
      <c r="UAI92" s="79"/>
      <c r="UAJ92" s="77"/>
      <c r="UAK92" s="78"/>
      <c r="UAQ92" s="79"/>
      <c r="UAR92" s="77"/>
      <c r="UAS92" s="78"/>
      <c r="UAY92" s="79"/>
      <c r="UAZ92" s="77"/>
      <c r="UBA92" s="78"/>
      <c r="UBG92" s="79"/>
      <c r="UBH92" s="77"/>
      <c r="UBI92" s="78"/>
      <c r="UBO92" s="79"/>
      <c r="UBP92" s="77"/>
      <c r="UBQ92" s="78"/>
      <c r="UBW92" s="79"/>
      <c r="UBX92" s="77"/>
      <c r="UBY92" s="78"/>
      <c r="UCE92" s="79"/>
      <c r="UCF92" s="77"/>
      <c r="UCG92" s="78"/>
      <c r="UCM92" s="79"/>
      <c r="UCN92" s="77"/>
      <c r="UCO92" s="78"/>
      <c r="UCU92" s="79"/>
      <c r="UCV92" s="77"/>
      <c r="UCW92" s="78"/>
      <c r="UDC92" s="79"/>
      <c r="UDD92" s="77"/>
      <c r="UDE92" s="78"/>
      <c r="UDK92" s="79"/>
      <c r="UDL92" s="77"/>
      <c r="UDM92" s="78"/>
      <c r="UDS92" s="79"/>
      <c r="UDT92" s="77"/>
      <c r="UDU92" s="78"/>
      <c r="UEA92" s="79"/>
      <c r="UEB92" s="77"/>
      <c r="UEC92" s="78"/>
      <c r="UEI92" s="79"/>
      <c r="UEJ92" s="77"/>
      <c r="UEK92" s="78"/>
      <c r="UEQ92" s="79"/>
      <c r="UER92" s="77"/>
      <c r="UES92" s="78"/>
      <c r="UEY92" s="79"/>
      <c r="UEZ92" s="77"/>
      <c r="UFA92" s="78"/>
      <c r="UFG92" s="79"/>
      <c r="UFH92" s="77"/>
      <c r="UFI92" s="78"/>
      <c r="UFO92" s="79"/>
      <c r="UFP92" s="77"/>
      <c r="UFQ92" s="78"/>
      <c r="UFW92" s="79"/>
      <c r="UFX92" s="77"/>
      <c r="UFY92" s="78"/>
      <c r="UGE92" s="79"/>
      <c r="UGF92" s="77"/>
      <c r="UGG92" s="78"/>
      <c r="UGM92" s="79"/>
      <c r="UGN92" s="77"/>
      <c r="UGO92" s="78"/>
      <c r="UGU92" s="79"/>
      <c r="UGV92" s="77"/>
      <c r="UGW92" s="78"/>
      <c r="UHC92" s="79"/>
      <c r="UHD92" s="77"/>
      <c r="UHE92" s="78"/>
      <c r="UHK92" s="79"/>
      <c r="UHL92" s="77"/>
      <c r="UHM92" s="78"/>
      <c r="UHS92" s="79"/>
      <c r="UHT92" s="77"/>
      <c r="UHU92" s="78"/>
      <c r="UIA92" s="79"/>
      <c r="UIB92" s="77"/>
      <c r="UIC92" s="78"/>
      <c r="UII92" s="79"/>
      <c r="UIJ92" s="77"/>
      <c r="UIK92" s="78"/>
      <c r="UIQ92" s="79"/>
      <c r="UIR92" s="77"/>
      <c r="UIS92" s="78"/>
      <c r="UIY92" s="79"/>
      <c r="UIZ92" s="77"/>
      <c r="UJA92" s="78"/>
      <c r="UJG92" s="79"/>
      <c r="UJH92" s="77"/>
      <c r="UJI92" s="78"/>
      <c r="UJO92" s="79"/>
      <c r="UJP92" s="77"/>
      <c r="UJQ92" s="78"/>
      <c r="UJW92" s="79"/>
      <c r="UJX92" s="77"/>
      <c r="UJY92" s="78"/>
      <c r="UKE92" s="79"/>
      <c r="UKF92" s="77"/>
      <c r="UKG92" s="78"/>
      <c r="UKM92" s="79"/>
      <c r="UKN92" s="77"/>
      <c r="UKO92" s="78"/>
      <c r="UKU92" s="79"/>
      <c r="UKV92" s="77"/>
      <c r="UKW92" s="78"/>
      <c r="ULC92" s="79"/>
      <c r="ULD92" s="77"/>
      <c r="ULE92" s="78"/>
      <c r="ULK92" s="79"/>
      <c r="ULL92" s="77"/>
      <c r="ULM92" s="78"/>
      <c r="ULS92" s="79"/>
      <c r="ULT92" s="77"/>
      <c r="ULU92" s="78"/>
      <c r="UMA92" s="79"/>
      <c r="UMB92" s="77"/>
      <c r="UMC92" s="78"/>
      <c r="UMI92" s="79"/>
      <c r="UMJ92" s="77"/>
      <c r="UMK92" s="78"/>
      <c r="UMQ92" s="79"/>
      <c r="UMR92" s="77"/>
      <c r="UMS92" s="78"/>
      <c r="UMY92" s="79"/>
      <c r="UMZ92" s="77"/>
      <c r="UNA92" s="78"/>
      <c r="UNG92" s="79"/>
      <c r="UNH92" s="77"/>
      <c r="UNI92" s="78"/>
      <c r="UNO92" s="79"/>
      <c r="UNP92" s="77"/>
      <c r="UNQ92" s="78"/>
      <c r="UNW92" s="79"/>
      <c r="UNX92" s="77"/>
      <c r="UNY92" s="78"/>
      <c r="UOE92" s="79"/>
      <c r="UOF92" s="77"/>
      <c r="UOG92" s="78"/>
      <c r="UOM92" s="79"/>
      <c r="UON92" s="77"/>
      <c r="UOO92" s="78"/>
      <c r="UOU92" s="79"/>
      <c r="UOV92" s="77"/>
      <c r="UOW92" s="78"/>
      <c r="UPC92" s="79"/>
      <c r="UPD92" s="77"/>
      <c r="UPE92" s="78"/>
      <c r="UPK92" s="79"/>
      <c r="UPL92" s="77"/>
      <c r="UPM92" s="78"/>
      <c r="UPS92" s="79"/>
      <c r="UPT92" s="77"/>
      <c r="UPU92" s="78"/>
      <c r="UQA92" s="79"/>
      <c r="UQB92" s="77"/>
      <c r="UQC92" s="78"/>
      <c r="UQI92" s="79"/>
      <c r="UQJ92" s="77"/>
      <c r="UQK92" s="78"/>
      <c r="UQQ92" s="79"/>
      <c r="UQR92" s="77"/>
      <c r="UQS92" s="78"/>
      <c r="UQY92" s="79"/>
      <c r="UQZ92" s="77"/>
      <c r="URA92" s="78"/>
      <c r="URG92" s="79"/>
      <c r="URH92" s="77"/>
      <c r="URI92" s="78"/>
      <c r="URO92" s="79"/>
      <c r="URP92" s="77"/>
      <c r="URQ92" s="78"/>
      <c r="URW92" s="79"/>
      <c r="URX92" s="77"/>
      <c r="URY92" s="78"/>
      <c r="USE92" s="79"/>
      <c r="USF92" s="77"/>
      <c r="USG92" s="78"/>
      <c r="USM92" s="79"/>
      <c r="USN92" s="77"/>
      <c r="USO92" s="78"/>
      <c r="USU92" s="79"/>
      <c r="USV92" s="77"/>
      <c r="USW92" s="78"/>
      <c r="UTC92" s="79"/>
      <c r="UTD92" s="77"/>
      <c r="UTE92" s="78"/>
      <c r="UTK92" s="79"/>
      <c r="UTL92" s="77"/>
      <c r="UTM92" s="78"/>
      <c r="UTS92" s="79"/>
      <c r="UTT92" s="77"/>
      <c r="UTU92" s="78"/>
      <c r="UUA92" s="79"/>
      <c r="UUB92" s="77"/>
      <c r="UUC92" s="78"/>
      <c r="UUI92" s="79"/>
      <c r="UUJ92" s="77"/>
      <c r="UUK92" s="78"/>
      <c r="UUQ92" s="79"/>
      <c r="UUR92" s="77"/>
      <c r="UUS92" s="78"/>
      <c r="UUY92" s="79"/>
      <c r="UUZ92" s="77"/>
      <c r="UVA92" s="78"/>
      <c r="UVG92" s="79"/>
      <c r="UVH92" s="77"/>
      <c r="UVI92" s="78"/>
      <c r="UVO92" s="79"/>
      <c r="UVP92" s="77"/>
      <c r="UVQ92" s="78"/>
      <c r="UVW92" s="79"/>
      <c r="UVX92" s="77"/>
      <c r="UVY92" s="78"/>
      <c r="UWE92" s="79"/>
      <c r="UWF92" s="77"/>
      <c r="UWG92" s="78"/>
      <c r="UWM92" s="79"/>
      <c r="UWN92" s="77"/>
      <c r="UWO92" s="78"/>
      <c r="UWU92" s="79"/>
      <c r="UWV92" s="77"/>
      <c r="UWW92" s="78"/>
      <c r="UXC92" s="79"/>
      <c r="UXD92" s="77"/>
      <c r="UXE92" s="78"/>
      <c r="UXK92" s="79"/>
      <c r="UXL92" s="77"/>
      <c r="UXM92" s="78"/>
      <c r="UXS92" s="79"/>
      <c r="UXT92" s="77"/>
      <c r="UXU92" s="78"/>
      <c r="UYA92" s="79"/>
      <c r="UYB92" s="77"/>
      <c r="UYC92" s="78"/>
      <c r="UYI92" s="79"/>
      <c r="UYJ92" s="77"/>
      <c r="UYK92" s="78"/>
      <c r="UYQ92" s="79"/>
      <c r="UYR92" s="77"/>
      <c r="UYS92" s="78"/>
      <c r="UYY92" s="79"/>
      <c r="UYZ92" s="77"/>
      <c r="UZA92" s="78"/>
      <c r="UZG92" s="79"/>
      <c r="UZH92" s="77"/>
      <c r="UZI92" s="78"/>
      <c r="UZO92" s="79"/>
      <c r="UZP92" s="77"/>
      <c r="UZQ92" s="78"/>
      <c r="UZW92" s="79"/>
      <c r="UZX92" s="77"/>
      <c r="UZY92" s="78"/>
      <c r="VAE92" s="79"/>
      <c r="VAF92" s="77"/>
      <c r="VAG92" s="78"/>
      <c r="VAM92" s="79"/>
      <c r="VAN92" s="77"/>
      <c r="VAO92" s="78"/>
      <c r="VAU92" s="79"/>
      <c r="VAV92" s="77"/>
      <c r="VAW92" s="78"/>
      <c r="VBC92" s="79"/>
      <c r="VBD92" s="77"/>
      <c r="VBE92" s="78"/>
      <c r="VBK92" s="79"/>
      <c r="VBL92" s="77"/>
      <c r="VBM92" s="78"/>
      <c r="VBS92" s="79"/>
      <c r="VBT92" s="77"/>
      <c r="VBU92" s="78"/>
      <c r="VCA92" s="79"/>
      <c r="VCB92" s="77"/>
      <c r="VCC92" s="78"/>
      <c r="VCI92" s="79"/>
      <c r="VCJ92" s="77"/>
      <c r="VCK92" s="78"/>
      <c r="VCQ92" s="79"/>
      <c r="VCR92" s="77"/>
      <c r="VCS92" s="78"/>
      <c r="VCY92" s="79"/>
      <c r="VCZ92" s="77"/>
      <c r="VDA92" s="78"/>
      <c r="VDG92" s="79"/>
      <c r="VDH92" s="77"/>
      <c r="VDI92" s="78"/>
      <c r="VDO92" s="79"/>
      <c r="VDP92" s="77"/>
      <c r="VDQ92" s="78"/>
      <c r="VDW92" s="79"/>
      <c r="VDX92" s="77"/>
      <c r="VDY92" s="78"/>
      <c r="VEE92" s="79"/>
      <c r="VEF92" s="77"/>
      <c r="VEG92" s="78"/>
      <c r="VEM92" s="79"/>
      <c r="VEN92" s="77"/>
      <c r="VEO92" s="78"/>
      <c r="VEU92" s="79"/>
      <c r="VEV92" s="77"/>
      <c r="VEW92" s="78"/>
      <c r="VFC92" s="79"/>
      <c r="VFD92" s="77"/>
      <c r="VFE92" s="78"/>
      <c r="VFK92" s="79"/>
      <c r="VFL92" s="77"/>
      <c r="VFM92" s="78"/>
      <c r="VFS92" s="79"/>
      <c r="VFT92" s="77"/>
      <c r="VFU92" s="78"/>
      <c r="VGA92" s="79"/>
      <c r="VGB92" s="77"/>
      <c r="VGC92" s="78"/>
      <c r="VGI92" s="79"/>
      <c r="VGJ92" s="77"/>
      <c r="VGK92" s="78"/>
      <c r="VGQ92" s="79"/>
      <c r="VGR92" s="77"/>
      <c r="VGS92" s="78"/>
      <c r="VGY92" s="79"/>
      <c r="VGZ92" s="77"/>
      <c r="VHA92" s="78"/>
      <c r="VHG92" s="79"/>
      <c r="VHH92" s="77"/>
      <c r="VHI92" s="78"/>
      <c r="VHO92" s="79"/>
      <c r="VHP92" s="77"/>
      <c r="VHQ92" s="78"/>
      <c r="VHW92" s="79"/>
      <c r="VHX92" s="77"/>
      <c r="VHY92" s="78"/>
      <c r="VIE92" s="79"/>
      <c r="VIF92" s="77"/>
      <c r="VIG92" s="78"/>
      <c r="VIM92" s="79"/>
      <c r="VIN92" s="77"/>
      <c r="VIO92" s="78"/>
      <c r="VIU92" s="79"/>
      <c r="VIV92" s="77"/>
      <c r="VIW92" s="78"/>
      <c r="VJC92" s="79"/>
      <c r="VJD92" s="77"/>
      <c r="VJE92" s="78"/>
      <c r="VJK92" s="79"/>
      <c r="VJL92" s="77"/>
      <c r="VJM92" s="78"/>
      <c r="VJS92" s="79"/>
      <c r="VJT92" s="77"/>
      <c r="VJU92" s="78"/>
      <c r="VKA92" s="79"/>
      <c r="VKB92" s="77"/>
      <c r="VKC92" s="78"/>
      <c r="VKI92" s="79"/>
      <c r="VKJ92" s="77"/>
      <c r="VKK92" s="78"/>
      <c r="VKQ92" s="79"/>
      <c r="VKR92" s="77"/>
      <c r="VKS92" s="78"/>
      <c r="VKY92" s="79"/>
      <c r="VKZ92" s="77"/>
      <c r="VLA92" s="78"/>
      <c r="VLG92" s="79"/>
      <c r="VLH92" s="77"/>
      <c r="VLI92" s="78"/>
      <c r="VLO92" s="79"/>
      <c r="VLP92" s="77"/>
      <c r="VLQ92" s="78"/>
      <c r="VLW92" s="79"/>
      <c r="VLX92" s="77"/>
      <c r="VLY92" s="78"/>
      <c r="VME92" s="79"/>
      <c r="VMF92" s="77"/>
      <c r="VMG92" s="78"/>
      <c r="VMM92" s="79"/>
      <c r="VMN92" s="77"/>
      <c r="VMO92" s="78"/>
      <c r="VMU92" s="79"/>
      <c r="VMV92" s="77"/>
      <c r="VMW92" s="78"/>
      <c r="VNC92" s="79"/>
      <c r="VND92" s="77"/>
      <c r="VNE92" s="78"/>
      <c r="VNK92" s="79"/>
      <c r="VNL92" s="77"/>
      <c r="VNM92" s="78"/>
      <c r="VNS92" s="79"/>
      <c r="VNT92" s="77"/>
      <c r="VNU92" s="78"/>
      <c r="VOA92" s="79"/>
      <c r="VOB92" s="77"/>
      <c r="VOC92" s="78"/>
      <c r="VOI92" s="79"/>
      <c r="VOJ92" s="77"/>
      <c r="VOK92" s="78"/>
      <c r="VOQ92" s="79"/>
      <c r="VOR92" s="77"/>
      <c r="VOS92" s="78"/>
      <c r="VOY92" s="79"/>
      <c r="VOZ92" s="77"/>
      <c r="VPA92" s="78"/>
      <c r="VPG92" s="79"/>
      <c r="VPH92" s="77"/>
      <c r="VPI92" s="78"/>
      <c r="VPO92" s="79"/>
      <c r="VPP92" s="77"/>
      <c r="VPQ92" s="78"/>
      <c r="VPW92" s="79"/>
      <c r="VPX92" s="77"/>
      <c r="VPY92" s="78"/>
      <c r="VQE92" s="79"/>
      <c r="VQF92" s="77"/>
      <c r="VQG92" s="78"/>
      <c r="VQM92" s="79"/>
      <c r="VQN92" s="77"/>
      <c r="VQO92" s="78"/>
      <c r="VQU92" s="79"/>
      <c r="VQV92" s="77"/>
      <c r="VQW92" s="78"/>
      <c r="VRC92" s="79"/>
      <c r="VRD92" s="77"/>
      <c r="VRE92" s="78"/>
      <c r="VRK92" s="79"/>
      <c r="VRL92" s="77"/>
      <c r="VRM92" s="78"/>
      <c r="VRS92" s="79"/>
      <c r="VRT92" s="77"/>
      <c r="VRU92" s="78"/>
      <c r="VSA92" s="79"/>
      <c r="VSB92" s="77"/>
      <c r="VSC92" s="78"/>
      <c r="VSI92" s="79"/>
      <c r="VSJ92" s="77"/>
      <c r="VSK92" s="78"/>
      <c r="VSQ92" s="79"/>
      <c r="VSR92" s="77"/>
      <c r="VSS92" s="78"/>
      <c r="VSY92" s="79"/>
      <c r="VSZ92" s="77"/>
      <c r="VTA92" s="78"/>
      <c r="VTG92" s="79"/>
      <c r="VTH92" s="77"/>
      <c r="VTI92" s="78"/>
      <c r="VTO92" s="79"/>
      <c r="VTP92" s="77"/>
      <c r="VTQ92" s="78"/>
      <c r="VTW92" s="79"/>
      <c r="VTX92" s="77"/>
      <c r="VTY92" s="78"/>
      <c r="VUE92" s="79"/>
      <c r="VUF92" s="77"/>
      <c r="VUG92" s="78"/>
      <c r="VUM92" s="79"/>
      <c r="VUN92" s="77"/>
      <c r="VUO92" s="78"/>
      <c r="VUU92" s="79"/>
      <c r="VUV92" s="77"/>
      <c r="VUW92" s="78"/>
      <c r="VVC92" s="79"/>
      <c r="VVD92" s="77"/>
      <c r="VVE92" s="78"/>
      <c r="VVK92" s="79"/>
      <c r="VVL92" s="77"/>
      <c r="VVM92" s="78"/>
      <c r="VVS92" s="79"/>
      <c r="VVT92" s="77"/>
      <c r="VVU92" s="78"/>
      <c r="VWA92" s="79"/>
      <c r="VWB92" s="77"/>
      <c r="VWC92" s="78"/>
      <c r="VWI92" s="79"/>
      <c r="VWJ92" s="77"/>
      <c r="VWK92" s="78"/>
      <c r="VWQ92" s="79"/>
      <c r="VWR92" s="77"/>
      <c r="VWS92" s="78"/>
      <c r="VWY92" s="79"/>
      <c r="VWZ92" s="77"/>
      <c r="VXA92" s="78"/>
      <c r="VXG92" s="79"/>
      <c r="VXH92" s="77"/>
      <c r="VXI92" s="78"/>
      <c r="VXO92" s="79"/>
      <c r="VXP92" s="77"/>
      <c r="VXQ92" s="78"/>
      <c r="VXW92" s="79"/>
      <c r="VXX92" s="77"/>
      <c r="VXY92" s="78"/>
      <c r="VYE92" s="79"/>
      <c r="VYF92" s="77"/>
      <c r="VYG92" s="78"/>
      <c r="VYM92" s="79"/>
      <c r="VYN92" s="77"/>
      <c r="VYO92" s="78"/>
      <c r="VYU92" s="79"/>
      <c r="VYV92" s="77"/>
      <c r="VYW92" s="78"/>
      <c r="VZC92" s="79"/>
      <c r="VZD92" s="77"/>
      <c r="VZE92" s="78"/>
      <c r="VZK92" s="79"/>
      <c r="VZL92" s="77"/>
      <c r="VZM92" s="78"/>
      <c r="VZS92" s="79"/>
      <c r="VZT92" s="77"/>
      <c r="VZU92" s="78"/>
      <c r="WAA92" s="79"/>
      <c r="WAB92" s="77"/>
      <c r="WAC92" s="78"/>
      <c r="WAI92" s="79"/>
      <c r="WAJ92" s="77"/>
      <c r="WAK92" s="78"/>
      <c r="WAQ92" s="79"/>
      <c r="WAR92" s="77"/>
      <c r="WAS92" s="78"/>
      <c r="WAY92" s="79"/>
      <c r="WAZ92" s="77"/>
      <c r="WBA92" s="78"/>
      <c r="WBG92" s="79"/>
      <c r="WBH92" s="77"/>
      <c r="WBI92" s="78"/>
      <c r="WBO92" s="79"/>
      <c r="WBP92" s="77"/>
      <c r="WBQ92" s="78"/>
      <c r="WBW92" s="79"/>
      <c r="WBX92" s="77"/>
      <c r="WBY92" s="78"/>
      <c r="WCE92" s="79"/>
      <c r="WCF92" s="77"/>
      <c r="WCG92" s="78"/>
      <c r="WCM92" s="79"/>
      <c r="WCN92" s="77"/>
      <c r="WCO92" s="78"/>
      <c r="WCU92" s="79"/>
      <c r="WCV92" s="77"/>
      <c r="WCW92" s="78"/>
      <c r="WDC92" s="79"/>
      <c r="WDD92" s="77"/>
      <c r="WDE92" s="78"/>
      <c r="WDK92" s="79"/>
      <c r="WDL92" s="77"/>
      <c r="WDM92" s="78"/>
      <c r="WDS92" s="79"/>
      <c r="WDT92" s="77"/>
      <c r="WDU92" s="78"/>
      <c r="WEA92" s="79"/>
      <c r="WEB92" s="77"/>
      <c r="WEC92" s="78"/>
      <c r="WEI92" s="79"/>
      <c r="WEJ92" s="77"/>
      <c r="WEK92" s="78"/>
      <c r="WEQ92" s="79"/>
      <c r="WER92" s="77"/>
      <c r="WES92" s="78"/>
      <c r="WEY92" s="79"/>
      <c r="WEZ92" s="77"/>
      <c r="WFA92" s="78"/>
      <c r="WFG92" s="79"/>
      <c r="WFH92" s="77"/>
      <c r="WFI92" s="78"/>
      <c r="WFO92" s="79"/>
      <c r="WFP92" s="77"/>
      <c r="WFQ92" s="78"/>
      <c r="WFW92" s="79"/>
      <c r="WFX92" s="77"/>
      <c r="WFY92" s="78"/>
      <c r="WGE92" s="79"/>
      <c r="WGF92" s="77"/>
      <c r="WGG92" s="78"/>
      <c r="WGM92" s="79"/>
      <c r="WGN92" s="77"/>
      <c r="WGO92" s="78"/>
      <c r="WGU92" s="79"/>
      <c r="WGV92" s="77"/>
      <c r="WGW92" s="78"/>
      <c r="WHC92" s="79"/>
      <c r="WHD92" s="77"/>
      <c r="WHE92" s="78"/>
      <c r="WHK92" s="79"/>
      <c r="WHL92" s="77"/>
      <c r="WHM92" s="78"/>
      <c r="WHS92" s="79"/>
      <c r="WHT92" s="77"/>
      <c r="WHU92" s="78"/>
      <c r="WIA92" s="79"/>
      <c r="WIB92" s="77"/>
      <c r="WIC92" s="78"/>
      <c r="WII92" s="79"/>
      <c r="WIJ92" s="77"/>
      <c r="WIK92" s="78"/>
      <c r="WIQ92" s="79"/>
      <c r="WIR92" s="77"/>
      <c r="WIS92" s="78"/>
      <c r="WIY92" s="79"/>
      <c r="WIZ92" s="77"/>
      <c r="WJA92" s="78"/>
      <c r="WJG92" s="79"/>
      <c r="WJH92" s="77"/>
      <c r="WJI92" s="78"/>
      <c r="WJO92" s="79"/>
      <c r="WJP92" s="77"/>
      <c r="WJQ92" s="78"/>
      <c r="WJW92" s="79"/>
      <c r="WJX92" s="77"/>
      <c r="WJY92" s="78"/>
      <c r="WKE92" s="79"/>
      <c r="WKF92" s="77"/>
      <c r="WKG92" s="78"/>
      <c r="WKM92" s="79"/>
      <c r="WKN92" s="77"/>
      <c r="WKO92" s="78"/>
      <c r="WKU92" s="79"/>
      <c r="WKV92" s="77"/>
      <c r="WKW92" s="78"/>
      <c r="WLC92" s="79"/>
      <c r="WLD92" s="77"/>
      <c r="WLE92" s="78"/>
      <c r="WLK92" s="79"/>
      <c r="WLL92" s="77"/>
      <c r="WLM92" s="78"/>
      <c r="WLS92" s="79"/>
      <c r="WLT92" s="77"/>
      <c r="WLU92" s="78"/>
      <c r="WMA92" s="79"/>
      <c r="WMB92" s="77"/>
      <c r="WMC92" s="78"/>
      <c r="WMI92" s="79"/>
      <c r="WMJ92" s="77"/>
      <c r="WMK92" s="78"/>
      <c r="WMQ92" s="79"/>
      <c r="WMR92" s="77"/>
      <c r="WMS92" s="78"/>
      <c r="WMY92" s="79"/>
      <c r="WMZ92" s="77"/>
      <c r="WNA92" s="78"/>
      <c r="WNG92" s="79"/>
      <c r="WNH92" s="77"/>
      <c r="WNI92" s="78"/>
      <c r="WNO92" s="79"/>
      <c r="WNP92" s="77"/>
      <c r="WNQ92" s="78"/>
      <c r="WNW92" s="79"/>
      <c r="WNX92" s="77"/>
      <c r="WNY92" s="78"/>
      <c r="WOE92" s="79"/>
      <c r="WOF92" s="77"/>
      <c r="WOG92" s="78"/>
      <c r="WOM92" s="79"/>
      <c r="WON92" s="77"/>
      <c r="WOO92" s="78"/>
      <c r="WOU92" s="79"/>
      <c r="WOV92" s="77"/>
      <c r="WOW92" s="78"/>
      <c r="WPC92" s="79"/>
      <c r="WPD92" s="77"/>
      <c r="WPE92" s="78"/>
      <c r="WPK92" s="79"/>
      <c r="WPL92" s="77"/>
      <c r="WPM92" s="78"/>
      <c r="WPS92" s="79"/>
      <c r="WPT92" s="77"/>
      <c r="WPU92" s="78"/>
      <c r="WQA92" s="79"/>
      <c r="WQB92" s="77"/>
      <c r="WQC92" s="78"/>
      <c r="WQI92" s="79"/>
      <c r="WQJ92" s="77"/>
      <c r="WQK92" s="78"/>
      <c r="WQQ92" s="79"/>
      <c r="WQR92" s="77"/>
      <c r="WQS92" s="78"/>
      <c r="WQY92" s="79"/>
      <c r="WQZ92" s="77"/>
      <c r="WRA92" s="78"/>
      <c r="WRG92" s="79"/>
      <c r="WRH92" s="77"/>
      <c r="WRI92" s="78"/>
      <c r="WRO92" s="79"/>
      <c r="WRP92" s="77"/>
      <c r="WRQ92" s="78"/>
      <c r="WRW92" s="79"/>
      <c r="WRX92" s="77"/>
      <c r="WRY92" s="78"/>
      <c r="WSE92" s="79"/>
      <c r="WSF92" s="77"/>
      <c r="WSG92" s="78"/>
      <c r="WSM92" s="79"/>
      <c r="WSN92" s="77"/>
      <c r="WSO92" s="78"/>
      <c r="WSU92" s="79"/>
      <c r="WSV92" s="77"/>
      <c r="WSW92" s="78"/>
      <c r="WTC92" s="79"/>
      <c r="WTD92" s="77"/>
      <c r="WTE92" s="78"/>
      <c r="WTK92" s="79"/>
      <c r="WTL92" s="77"/>
      <c r="WTM92" s="78"/>
      <c r="WTS92" s="79"/>
      <c r="WTT92" s="77"/>
      <c r="WTU92" s="78"/>
      <c r="WUA92" s="79"/>
      <c r="WUB92" s="77"/>
      <c r="WUC92" s="78"/>
      <c r="WUI92" s="79"/>
      <c r="WUJ92" s="77"/>
      <c r="WUK92" s="78"/>
      <c r="WUQ92" s="79"/>
      <c r="WUR92" s="77"/>
      <c r="WUS92" s="78"/>
      <c r="WUY92" s="79"/>
      <c r="WUZ92" s="77"/>
      <c r="WVA92" s="78"/>
      <c r="WVG92" s="79"/>
      <c r="WVH92" s="77"/>
      <c r="WVI92" s="78"/>
      <c r="WVO92" s="79"/>
      <c r="WVP92" s="77"/>
      <c r="WVQ92" s="78"/>
      <c r="WVW92" s="79"/>
      <c r="WVX92" s="77"/>
      <c r="WVY92" s="78"/>
      <c r="WWE92" s="79"/>
      <c r="WWF92" s="77"/>
      <c r="WWG92" s="78"/>
      <c r="WWM92" s="79"/>
      <c r="WWN92" s="77"/>
      <c r="WWO92" s="78"/>
      <c r="WWU92" s="79"/>
      <c r="WWV92" s="77"/>
      <c r="WWW92" s="78"/>
      <c r="WXC92" s="79"/>
      <c r="WXD92" s="77"/>
      <c r="WXE92" s="78"/>
      <c r="WXK92" s="79"/>
      <c r="WXL92" s="77"/>
      <c r="WXM92" s="78"/>
      <c r="WXS92" s="79"/>
      <c r="WXT92" s="77"/>
      <c r="WXU92" s="78"/>
      <c r="WYA92" s="79"/>
      <c r="WYB92" s="77"/>
      <c r="WYC92" s="78"/>
      <c r="WYI92" s="79"/>
      <c r="WYJ92" s="77"/>
      <c r="WYK92" s="78"/>
      <c r="WYQ92" s="79"/>
      <c r="WYR92" s="77"/>
      <c r="WYS92" s="78"/>
      <c r="WYY92" s="79"/>
      <c r="WYZ92" s="77"/>
      <c r="WZA92" s="78"/>
      <c r="WZG92" s="79"/>
      <c r="WZH92" s="77"/>
      <c r="WZI92" s="78"/>
      <c r="WZO92" s="79"/>
      <c r="WZP92" s="77"/>
      <c r="WZQ92" s="78"/>
      <c r="WZW92" s="79"/>
      <c r="WZX92" s="77"/>
      <c r="WZY92" s="78"/>
      <c r="XAE92" s="79"/>
      <c r="XAF92" s="77"/>
      <c r="XAG92" s="78"/>
      <c r="XAM92" s="79"/>
      <c r="XAN92" s="77"/>
      <c r="XAO92" s="78"/>
      <c r="XAU92" s="79"/>
      <c r="XAV92" s="77"/>
      <c r="XAW92" s="78"/>
      <c r="XBC92" s="79"/>
      <c r="XBD92" s="77"/>
      <c r="XBE92" s="78"/>
      <c r="XBK92" s="79"/>
      <c r="XBL92" s="77"/>
      <c r="XBM92" s="78"/>
      <c r="XBS92" s="79"/>
      <c r="XBT92" s="77"/>
      <c r="XBU92" s="78"/>
      <c r="XCA92" s="79"/>
      <c r="XCB92" s="77"/>
      <c r="XCC92" s="78"/>
      <c r="XCI92" s="79"/>
      <c r="XCJ92" s="77"/>
      <c r="XCK92" s="78"/>
      <c r="XCQ92" s="79"/>
      <c r="XCR92" s="77"/>
      <c r="XCS92" s="78"/>
      <c r="XCY92" s="79"/>
      <c r="XCZ92" s="77"/>
      <c r="XDA92" s="78"/>
      <c r="XDG92" s="79"/>
      <c r="XDH92" s="77"/>
      <c r="XDI92" s="78"/>
      <c r="XDO92" s="79"/>
      <c r="XDP92" s="77"/>
      <c r="XDQ92" s="78"/>
      <c r="XDW92" s="79"/>
      <c r="XDX92" s="77"/>
      <c r="XDY92" s="78"/>
      <c r="XEE92" s="79"/>
      <c r="XEF92" s="77"/>
      <c r="XEG92" s="78"/>
      <c r="XEM92" s="79"/>
      <c r="XEN92" s="77"/>
      <c r="XEO92" s="78"/>
      <c r="XEU92" s="79"/>
      <c r="XEV92" s="77"/>
      <c r="XEW92" s="78"/>
    </row>
    <row r="93" spans="1:16377" ht="40.5" customHeight="1" x14ac:dyDescent="0.2">
      <c r="A93" s="116" t="s">
        <v>49</v>
      </c>
      <c r="B93" s="117"/>
      <c r="C93" s="117"/>
      <c r="D93" s="117"/>
      <c r="E93" s="117"/>
      <c r="F93" s="117"/>
      <c r="G93" s="118"/>
    </row>
    <row r="94" spans="1:16377" ht="12.75" customHeight="1" x14ac:dyDescent="0.2">
      <c r="A94" s="119" t="s">
        <v>1</v>
      </c>
      <c r="B94" s="112"/>
      <c r="C94" s="112"/>
      <c r="D94" s="112"/>
      <c r="E94" s="112"/>
      <c r="F94" s="112"/>
      <c r="G94" s="120"/>
    </row>
    <row r="95" spans="1:16377" ht="12.75" customHeight="1" x14ac:dyDescent="0.2">
      <c r="A95" s="80"/>
      <c r="B95" s="2"/>
      <c r="C95" s="2"/>
      <c r="D95" s="2"/>
      <c r="E95" s="2"/>
      <c r="F95" s="2"/>
      <c r="G95" s="81"/>
    </row>
    <row r="96" spans="1:16377" s="3" customFormat="1" ht="15" customHeight="1" x14ac:dyDescent="0.2">
      <c r="A96" s="113" t="s">
        <v>2</v>
      </c>
      <c r="B96" s="113" t="s">
        <v>3</v>
      </c>
      <c r="C96" s="115" t="s">
        <v>50</v>
      </c>
      <c r="D96" s="115" t="s">
        <v>5</v>
      </c>
      <c r="E96" s="115" t="s">
        <v>6</v>
      </c>
      <c r="F96" s="115" t="s">
        <v>7</v>
      </c>
      <c r="G96" s="115"/>
      <c r="H96" s="1"/>
    </row>
    <row r="97" spans="1:8" ht="50.1" customHeight="1" x14ac:dyDescent="0.2">
      <c r="A97" s="114"/>
      <c r="B97" s="114"/>
      <c r="C97" s="115"/>
      <c r="D97" s="115"/>
      <c r="E97" s="115"/>
      <c r="F97" s="4" t="s">
        <v>8</v>
      </c>
      <c r="G97" s="4" t="s">
        <v>9</v>
      </c>
    </row>
    <row r="98" spans="1:8" x14ac:dyDescent="0.2">
      <c r="A98" s="5"/>
      <c r="B98" s="6"/>
      <c r="C98" s="7"/>
      <c r="D98" s="7"/>
      <c r="E98" s="7"/>
      <c r="F98" s="7"/>
      <c r="G98" s="8"/>
    </row>
    <row r="99" spans="1:8" s="28" customFormat="1" ht="15" x14ac:dyDescent="0.25">
      <c r="A99" s="34" t="s">
        <v>128</v>
      </c>
      <c r="B99" s="23" t="s">
        <v>129</v>
      </c>
      <c r="C99" s="60">
        <v>1412.221</v>
      </c>
      <c r="D99" s="60">
        <v>133.45650000000001</v>
      </c>
      <c r="E99" s="61">
        <f>IF(C99&lt;&gt;"",D99/C99*100,"")</f>
        <v>9.4501143942768167</v>
      </c>
      <c r="F99" s="60">
        <v>1192.6880000000001</v>
      </c>
      <c r="G99" s="62">
        <v>1631.7550000000001</v>
      </c>
      <c r="H99" s="15"/>
    </row>
    <row r="100" spans="1:8" ht="29.45" customHeight="1" x14ac:dyDescent="0.2">
      <c r="A100" s="29" t="s">
        <v>130</v>
      </c>
      <c r="B100" s="30" t="s">
        <v>131</v>
      </c>
      <c r="C100" s="35">
        <v>1356.175</v>
      </c>
      <c r="D100" s="35">
        <v>144.1045</v>
      </c>
      <c r="E100" s="58">
        <f>IF(C100&lt;&gt;"",D100/C100*100,"")</f>
        <v>10.625804191936881</v>
      </c>
      <c r="F100" s="35">
        <v>1119.125</v>
      </c>
      <c r="G100" s="59">
        <v>1593.2239999999999</v>
      </c>
      <c r="H100" s="15"/>
    </row>
    <row r="101" spans="1:8" ht="28.5" x14ac:dyDescent="0.2">
      <c r="A101" s="29" t="s">
        <v>132</v>
      </c>
      <c r="B101" s="30" t="s">
        <v>133</v>
      </c>
      <c r="C101" s="35">
        <v>1954.6510000000001</v>
      </c>
      <c r="D101" s="35">
        <v>432.4871</v>
      </c>
      <c r="E101" s="58">
        <f>IF(C101&lt;&gt;"",D101/C101*100,"")</f>
        <v>22.126052169927011</v>
      </c>
      <c r="F101" s="35">
        <v>1243.2170000000001</v>
      </c>
      <c r="G101" s="59">
        <v>2666.085</v>
      </c>
      <c r="H101" s="15"/>
    </row>
    <row r="102" spans="1:8" ht="28.5" x14ac:dyDescent="0.2">
      <c r="A102" s="29" t="s">
        <v>134</v>
      </c>
      <c r="B102" s="30" t="s">
        <v>135</v>
      </c>
      <c r="C102" s="35">
        <v>1168.146</v>
      </c>
      <c r="D102" s="35">
        <v>278.1773</v>
      </c>
      <c r="E102" s="58">
        <f>IF(C102&lt;&gt;"",D102/C102*100,"")</f>
        <v>23.813572960914133</v>
      </c>
      <c r="F102" s="35">
        <v>710.54949999999997</v>
      </c>
      <c r="G102" s="59">
        <v>1625.7429999999999</v>
      </c>
      <c r="H102" s="15"/>
    </row>
    <row r="103" spans="1:8" x14ac:dyDescent="0.2">
      <c r="A103" s="32"/>
      <c r="B103" s="30"/>
      <c r="C103" s="82"/>
      <c r="D103" s="19"/>
      <c r="E103" s="20"/>
      <c r="F103" s="19"/>
      <c r="G103" s="21"/>
    </row>
    <row r="104" spans="1:8" s="28" customFormat="1" ht="15" x14ac:dyDescent="0.25">
      <c r="A104" s="34" t="s">
        <v>136</v>
      </c>
      <c r="B104" s="23" t="s">
        <v>137</v>
      </c>
      <c r="C104" s="60">
        <v>1033.713</v>
      </c>
      <c r="D104" s="60">
        <v>433.7124</v>
      </c>
      <c r="E104" s="61">
        <f>IF(C104&lt;&gt;"",D104/C104*100,"")</f>
        <v>41.956752019177472</v>
      </c>
      <c r="F104" s="60">
        <v>320.2636</v>
      </c>
      <c r="G104" s="62">
        <v>1747.163</v>
      </c>
      <c r="H104" s="15"/>
    </row>
    <row r="105" spans="1:8" ht="15" x14ac:dyDescent="0.2">
      <c r="A105" s="63"/>
      <c r="B105" s="83"/>
      <c r="C105" s="84"/>
      <c r="D105" s="19"/>
      <c r="E105" s="20"/>
      <c r="F105" s="19"/>
      <c r="G105" s="27"/>
    </row>
    <row r="106" spans="1:8" ht="25.5" customHeight="1" x14ac:dyDescent="0.2">
      <c r="A106" s="34" t="s">
        <v>138</v>
      </c>
      <c r="B106" s="23" t="s">
        <v>139</v>
      </c>
      <c r="C106" s="60">
        <v>3542.8969999999999</v>
      </c>
      <c r="D106" s="60">
        <v>1213.479</v>
      </c>
      <c r="E106" s="61">
        <f t="shared" ref="E106:E113" si="4">IF(C106&lt;&gt;"",D106/C106*100,"")</f>
        <v>34.251038062918568</v>
      </c>
      <c r="F106" s="60">
        <v>1546.7449999999999</v>
      </c>
      <c r="G106" s="62">
        <v>5539.049</v>
      </c>
      <c r="H106" s="15"/>
    </row>
    <row r="107" spans="1:8" ht="40.5" customHeight="1" x14ac:dyDescent="0.2">
      <c r="A107" s="29" t="s">
        <v>140</v>
      </c>
      <c r="B107" s="43" t="s">
        <v>141</v>
      </c>
      <c r="C107" s="35">
        <v>2354.6</v>
      </c>
      <c r="D107" s="35">
        <v>374.18529999999998</v>
      </c>
      <c r="E107" s="58">
        <f t="shared" si="4"/>
        <v>15.891671621506836</v>
      </c>
      <c r="F107" s="35">
        <v>1739.0719999999999</v>
      </c>
      <c r="G107" s="59">
        <v>2970.1280000000002</v>
      </c>
      <c r="H107" s="44"/>
    </row>
    <row r="108" spans="1:8" ht="28.5" x14ac:dyDescent="0.2">
      <c r="A108" s="29" t="s">
        <v>142</v>
      </c>
      <c r="B108" s="43" t="s">
        <v>143</v>
      </c>
      <c r="C108" s="35">
        <v>2630.1610000000001</v>
      </c>
      <c r="D108" s="35">
        <v>572.0249</v>
      </c>
      <c r="E108" s="58">
        <f t="shared" si="4"/>
        <v>21.748664815575928</v>
      </c>
      <c r="F108" s="35">
        <v>1689.19</v>
      </c>
      <c r="G108" s="59">
        <v>3571.1320000000001</v>
      </c>
      <c r="H108" s="44"/>
    </row>
    <row r="109" spans="1:8" ht="28.5" x14ac:dyDescent="0.2">
      <c r="A109" s="29" t="s">
        <v>144</v>
      </c>
      <c r="B109" s="43" t="s">
        <v>145</v>
      </c>
      <c r="C109" s="35">
        <v>5021.5870000000004</v>
      </c>
      <c r="D109" s="35">
        <v>3129.5880000000002</v>
      </c>
      <c r="E109" s="58">
        <f t="shared" si="4"/>
        <v>62.322688026713472</v>
      </c>
      <c r="F109" s="35">
        <v>-126.5322</v>
      </c>
      <c r="G109" s="59">
        <v>10169.709999999999</v>
      </c>
      <c r="H109" s="44"/>
    </row>
    <row r="110" spans="1:8" x14ac:dyDescent="0.2">
      <c r="A110" s="29" t="s">
        <v>146</v>
      </c>
      <c r="B110" s="43" t="s">
        <v>147</v>
      </c>
      <c r="C110" s="35">
        <v>7582.5529999999999</v>
      </c>
      <c r="D110" s="35">
        <v>2208.2649999999999</v>
      </c>
      <c r="E110" s="58">
        <f t="shared" si="4"/>
        <v>29.12297480808904</v>
      </c>
      <c r="F110" s="35">
        <v>3949.9960000000001</v>
      </c>
      <c r="G110" s="59">
        <v>11215.11</v>
      </c>
      <c r="H110" s="44"/>
    </row>
    <row r="111" spans="1:8" s="28" customFormat="1" ht="15" x14ac:dyDescent="0.25">
      <c r="A111" s="29" t="s">
        <v>148</v>
      </c>
      <c r="B111" s="43" t="s">
        <v>149</v>
      </c>
      <c r="C111" s="35">
        <v>979.4271</v>
      </c>
      <c r="D111" s="35">
        <v>233.2441</v>
      </c>
      <c r="E111" s="58">
        <f t="shared" si="4"/>
        <v>23.814340036129284</v>
      </c>
      <c r="F111" s="35">
        <v>595.74450000000002</v>
      </c>
      <c r="G111" s="59">
        <v>1363.11</v>
      </c>
      <c r="H111" s="44"/>
    </row>
    <row r="112" spans="1:8" ht="30.6" customHeight="1" x14ac:dyDescent="0.2">
      <c r="A112" s="29" t="s">
        <v>150</v>
      </c>
      <c r="B112" s="43" t="s">
        <v>151</v>
      </c>
      <c r="C112" s="35">
        <v>2361.94</v>
      </c>
      <c r="D112" s="35">
        <v>365.48349999999999</v>
      </c>
      <c r="E112" s="58">
        <f t="shared" si="4"/>
        <v>15.473868938245678</v>
      </c>
      <c r="F112" s="35">
        <v>1760.7249999999999</v>
      </c>
      <c r="G112" s="59">
        <v>2963.154</v>
      </c>
      <c r="H112" s="44"/>
    </row>
    <row r="113" spans="1:8" x14ac:dyDescent="0.2">
      <c r="A113" s="29" t="s">
        <v>152</v>
      </c>
      <c r="B113" s="43" t="s">
        <v>153</v>
      </c>
      <c r="C113" s="35">
        <v>997.31420000000003</v>
      </c>
      <c r="D113" s="35">
        <v>134.29730000000001</v>
      </c>
      <c r="E113" s="58">
        <f t="shared" si="4"/>
        <v>13.465896705371286</v>
      </c>
      <c r="F113" s="35">
        <v>776.39750000000004</v>
      </c>
      <c r="G113" s="59">
        <v>1218.231</v>
      </c>
      <c r="H113" s="44"/>
    </row>
    <row r="114" spans="1:8" ht="27.75" customHeight="1" x14ac:dyDescent="0.2">
      <c r="A114" s="29"/>
      <c r="B114" s="30"/>
      <c r="C114" s="31"/>
      <c r="D114" s="19"/>
      <c r="E114" s="20"/>
      <c r="F114" s="19"/>
      <c r="G114" s="27"/>
      <c r="H114" s="85"/>
    </row>
    <row r="115" spans="1:8" ht="40.5" customHeight="1" x14ac:dyDescent="0.2">
      <c r="A115" s="34" t="s">
        <v>154</v>
      </c>
      <c r="B115" s="23" t="s">
        <v>155</v>
      </c>
      <c r="C115" s="60">
        <v>2100.123</v>
      </c>
      <c r="D115" s="60">
        <v>336.24369999999999</v>
      </c>
      <c r="E115" s="61">
        <f t="shared" ref="E115:E123" si="5">IF(C115&lt;&gt;"",D115/C115*100,"")</f>
        <v>16.010666994266526</v>
      </c>
      <c r="F115" s="60">
        <v>1547.008</v>
      </c>
      <c r="G115" s="62">
        <v>2653.2379999999998</v>
      </c>
      <c r="H115" s="85"/>
    </row>
    <row r="116" spans="1:8" ht="12.75" customHeight="1" x14ac:dyDescent="0.2">
      <c r="A116" s="29" t="s">
        <v>156</v>
      </c>
      <c r="B116" s="43" t="s">
        <v>157</v>
      </c>
      <c r="C116" s="35">
        <v>585.53049999999996</v>
      </c>
      <c r="D116" s="35">
        <v>108.6061</v>
      </c>
      <c r="E116" s="58">
        <f t="shared" si="5"/>
        <v>18.548324980509129</v>
      </c>
      <c r="F116" s="35">
        <v>406.87529999999998</v>
      </c>
      <c r="G116" s="59">
        <v>764.18560000000002</v>
      </c>
      <c r="H116" s="44"/>
    </row>
    <row r="117" spans="1:8" x14ac:dyDescent="0.2">
      <c r="A117" s="29" t="s">
        <v>158</v>
      </c>
      <c r="B117" s="43" t="s">
        <v>159</v>
      </c>
      <c r="C117" s="35">
        <v>378.26510000000002</v>
      </c>
      <c r="D117" s="35">
        <v>83.280140000000003</v>
      </c>
      <c r="E117" s="58">
        <f t="shared" si="5"/>
        <v>22.016342506882079</v>
      </c>
      <c r="F117" s="35">
        <v>241.27070000000001</v>
      </c>
      <c r="G117" s="59">
        <v>515.2595</v>
      </c>
      <c r="H117" s="44"/>
    </row>
    <row r="118" spans="1:8" ht="28.5" x14ac:dyDescent="0.2">
      <c r="A118" s="29" t="s">
        <v>160</v>
      </c>
      <c r="B118" s="43" t="s">
        <v>161</v>
      </c>
      <c r="C118" s="35">
        <v>1305.9559999999999</v>
      </c>
      <c r="D118" s="35">
        <v>333.83170000000001</v>
      </c>
      <c r="E118" s="58">
        <f t="shared" si="5"/>
        <v>25.56224712011737</v>
      </c>
      <c r="F118" s="35">
        <v>756.80889999999999</v>
      </c>
      <c r="G118" s="59">
        <v>1855.104</v>
      </c>
      <c r="H118" s="44"/>
    </row>
    <row r="119" spans="1:8" x14ac:dyDescent="0.2">
      <c r="A119" s="29" t="s">
        <v>162</v>
      </c>
      <c r="B119" s="43" t="s">
        <v>163</v>
      </c>
      <c r="C119" s="35">
        <v>145.28120000000001</v>
      </c>
      <c r="D119" s="35">
        <v>18.339500000000001</v>
      </c>
      <c r="E119" s="58">
        <f t="shared" si="5"/>
        <v>12.623450246831661</v>
      </c>
      <c r="F119" s="35">
        <v>115.113</v>
      </c>
      <c r="G119" s="59">
        <v>175.4494</v>
      </c>
      <c r="H119" s="44"/>
    </row>
    <row r="120" spans="1:8" x14ac:dyDescent="0.2">
      <c r="A120" s="29" t="s">
        <v>164</v>
      </c>
      <c r="B120" s="43" t="s">
        <v>165</v>
      </c>
      <c r="C120" s="35">
        <v>216.7371</v>
      </c>
      <c r="D120" s="35">
        <v>98.611260000000001</v>
      </c>
      <c r="E120" s="58">
        <f t="shared" si="5"/>
        <v>45.498098848789617</v>
      </c>
      <c r="F120" s="35">
        <v>54.523269999999997</v>
      </c>
      <c r="G120" s="59">
        <v>378.95089999999999</v>
      </c>
      <c r="H120" s="44"/>
    </row>
    <row r="121" spans="1:8" ht="45.95" customHeight="1" x14ac:dyDescent="0.2">
      <c r="A121" s="29" t="s">
        <v>166</v>
      </c>
      <c r="B121" s="43" t="s">
        <v>167</v>
      </c>
      <c r="C121" s="35">
        <v>1965.634</v>
      </c>
      <c r="D121" s="35">
        <v>838.31179999999995</v>
      </c>
      <c r="E121" s="58">
        <f t="shared" si="5"/>
        <v>42.648417762411519</v>
      </c>
      <c r="F121" s="35">
        <v>586.62509999999997</v>
      </c>
      <c r="G121" s="59">
        <v>3344.6419999999998</v>
      </c>
      <c r="H121" s="44"/>
    </row>
    <row r="122" spans="1:8" ht="14.1" customHeight="1" x14ac:dyDescent="0.2">
      <c r="A122" s="29" t="s">
        <v>168</v>
      </c>
      <c r="B122" s="43" t="s">
        <v>169</v>
      </c>
      <c r="C122" s="35">
        <v>3744.4409999999998</v>
      </c>
      <c r="D122" s="35">
        <v>676.48620000000005</v>
      </c>
      <c r="E122" s="58">
        <f t="shared" si="5"/>
        <v>18.066413651597131</v>
      </c>
      <c r="F122" s="35">
        <v>2631.6320000000001</v>
      </c>
      <c r="G122" s="59">
        <v>4857.2489999999998</v>
      </c>
      <c r="H122" s="44"/>
    </row>
    <row r="123" spans="1:8" ht="18.600000000000001" customHeight="1" x14ac:dyDescent="0.2">
      <c r="A123" s="29" t="s">
        <v>170</v>
      </c>
      <c r="B123" s="43" t="s">
        <v>171</v>
      </c>
      <c r="C123" s="35">
        <v>3841.663</v>
      </c>
      <c r="D123" s="35">
        <v>1000.816</v>
      </c>
      <c r="E123" s="58">
        <f t="shared" si="5"/>
        <v>26.051634409369068</v>
      </c>
      <c r="F123" s="35">
        <v>2195.3380000000002</v>
      </c>
      <c r="G123" s="59">
        <v>5487.9889999999996</v>
      </c>
      <c r="H123" s="44"/>
    </row>
    <row r="124" spans="1:8" s="3" customFormat="1" ht="15" customHeight="1" x14ac:dyDescent="0.2">
      <c r="A124" s="86"/>
      <c r="B124" s="87"/>
      <c r="C124" s="88"/>
      <c r="D124" s="88"/>
      <c r="E124" s="88"/>
      <c r="F124" s="88"/>
      <c r="G124" s="89"/>
      <c r="H124" s="1"/>
    </row>
    <row r="125" spans="1:8" ht="50.1" customHeight="1" x14ac:dyDescent="0.2">
      <c r="A125" s="111" t="s">
        <v>49</v>
      </c>
      <c r="B125" s="111"/>
      <c r="C125" s="111"/>
      <c r="D125" s="111"/>
      <c r="E125" s="111"/>
      <c r="F125" s="111"/>
      <c r="G125" s="111"/>
    </row>
    <row r="126" spans="1:8" ht="12.75" customHeight="1" x14ac:dyDescent="0.2">
      <c r="A126" s="112" t="s">
        <v>1</v>
      </c>
      <c r="B126" s="112"/>
      <c r="C126" s="112"/>
      <c r="D126" s="112"/>
      <c r="E126" s="112"/>
      <c r="F126" s="112"/>
      <c r="G126" s="112"/>
    </row>
    <row r="127" spans="1:8" x14ac:dyDescent="0.2">
      <c r="A127" s="2"/>
      <c r="B127" s="2"/>
      <c r="C127" s="2"/>
      <c r="D127" s="2"/>
      <c r="E127" s="2"/>
      <c r="F127" s="2"/>
      <c r="G127" s="2"/>
      <c r="H127" s="15"/>
    </row>
    <row r="128" spans="1:8" ht="20.100000000000001" customHeight="1" x14ac:dyDescent="0.2">
      <c r="A128" s="113" t="s">
        <v>2</v>
      </c>
      <c r="B128" s="113" t="s">
        <v>3</v>
      </c>
      <c r="C128" s="115" t="s">
        <v>50</v>
      </c>
      <c r="D128" s="115" t="s">
        <v>5</v>
      </c>
      <c r="E128" s="115" t="s">
        <v>6</v>
      </c>
      <c r="F128" s="115" t="s">
        <v>7</v>
      </c>
      <c r="G128" s="115"/>
    </row>
    <row r="129" spans="1:8" ht="39.6" customHeight="1" x14ac:dyDescent="0.2">
      <c r="A129" s="114"/>
      <c r="B129" s="114"/>
      <c r="C129" s="115"/>
      <c r="D129" s="115"/>
      <c r="E129" s="115"/>
      <c r="F129" s="4" t="s">
        <v>8</v>
      </c>
      <c r="G129" s="4" t="s">
        <v>9</v>
      </c>
      <c r="H129" s="15"/>
    </row>
    <row r="130" spans="1:8" ht="8.4499999999999993" customHeight="1" x14ac:dyDescent="0.2">
      <c r="A130" s="90"/>
      <c r="B130" s="91"/>
      <c r="C130" s="92"/>
      <c r="D130" s="93"/>
      <c r="E130" s="93"/>
      <c r="F130" s="93"/>
      <c r="G130" s="94"/>
      <c r="H130" s="15"/>
    </row>
    <row r="131" spans="1:8" ht="20.45" customHeight="1" x14ac:dyDescent="0.2">
      <c r="A131" s="34" t="s">
        <v>172</v>
      </c>
      <c r="B131" s="23" t="s">
        <v>173</v>
      </c>
      <c r="C131" s="60">
        <v>789.74220000000003</v>
      </c>
      <c r="D131" s="60">
        <v>50.020719999999997</v>
      </c>
      <c r="E131" s="61">
        <f>IF(C131&lt;&gt;"",D131/C131*100,"")</f>
        <v>6.3338036133816829</v>
      </c>
      <c r="F131" s="60">
        <v>707.45889999999997</v>
      </c>
      <c r="G131" s="62">
        <v>872.02539999999999</v>
      </c>
      <c r="H131" s="15"/>
    </row>
    <row r="132" spans="1:8" ht="15" x14ac:dyDescent="0.2">
      <c r="A132" s="29"/>
      <c r="B132" s="17"/>
      <c r="C132" s="95"/>
      <c r="D132" s="25"/>
      <c r="E132" s="26"/>
      <c r="F132" s="25"/>
      <c r="G132" s="27"/>
    </row>
    <row r="133" spans="1:8" s="28" customFormat="1" ht="30" x14ac:dyDescent="0.25">
      <c r="A133" s="34" t="s">
        <v>174</v>
      </c>
      <c r="B133" s="23" t="s">
        <v>175</v>
      </c>
      <c r="C133" s="60">
        <v>1536.96</v>
      </c>
      <c r="D133" s="60">
        <v>137.25229999999999</v>
      </c>
      <c r="E133" s="61">
        <f>IF(C133&lt;&gt;"",D133/C133*100,"")</f>
        <v>8.930115292525505</v>
      </c>
      <c r="F133" s="60">
        <v>1311.182</v>
      </c>
      <c r="G133" s="62">
        <v>1762.7380000000001</v>
      </c>
      <c r="H133" s="15"/>
    </row>
    <row r="134" spans="1:8" ht="28.5" x14ac:dyDescent="0.2">
      <c r="A134" s="29" t="s">
        <v>176</v>
      </c>
      <c r="B134" s="30" t="s">
        <v>177</v>
      </c>
      <c r="C134" s="19">
        <v>1610.3109999999999</v>
      </c>
      <c r="D134" s="96">
        <v>144.0669</v>
      </c>
      <c r="E134" s="58">
        <f>IF(C134&lt;&gt;"",D134/C134*100,"")</f>
        <v>8.9465264784255965</v>
      </c>
      <c r="F134" s="97">
        <v>1373.3240000000001</v>
      </c>
      <c r="G134" s="98">
        <v>1847.299</v>
      </c>
    </row>
    <row r="135" spans="1:8" s="28" customFormat="1" ht="27.95" customHeight="1" x14ac:dyDescent="0.25">
      <c r="A135" s="29" t="s">
        <v>178</v>
      </c>
      <c r="B135" s="30" t="s">
        <v>179</v>
      </c>
      <c r="C135" s="19">
        <v>1044.547</v>
      </c>
      <c r="D135" s="96">
        <v>106.1534</v>
      </c>
      <c r="E135" s="58">
        <f>IF(C135&lt;&gt;"",D135/C135*100,"")</f>
        <v>10.162625520919596</v>
      </c>
      <c r="F135" s="97">
        <v>869.92639999999994</v>
      </c>
      <c r="G135" s="98">
        <v>1219.1679999999999</v>
      </c>
      <c r="H135" s="15"/>
    </row>
    <row r="136" spans="1:8" x14ac:dyDescent="0.2">
      <c r="A136" s="99"/>
      <c r="B136" s="100"/>
      <c r="C136" s="101"/>
      <c r="D136" s="19"/>
      <c r="E136" s="20"/>
      <c r="F136" s="19"/>
      <c r="G136" s="21"/>
      <c r="H136" s="15"/>
    </row>
    <row r="137" spans="1:8" ht="30" x14ac:dyDescent="0.2">
      <c r="A137" s="34" t="s">
        <v>180</v>
      </c>
      <c r="B137" s="23" t="s">
        <v>181</v>
      </c>
      <c r="C137" s="60">
        <v>1851.1010000000001</v>
      </c>
      <c r="D137" s="60">
        <v>1094.0329999999999</v>
      </c>
      <c r="E137" s="61">
        <f>IF(C137&lt;&gt;"",D137/C137*100,"")</f>
        <v>59.10174539368731</v>
      </c>
      <c r="F137" s="60">
        <v>51.435740000000003</v>
      </c>
      <c r="G137" s="62">
        <v>3650.7660000000001</v>
      </c>
      <c r="H137" s="15"/>
    </row>
    <row r="138" spans="1:8" x14ac:dyDescent="0.2">
      <c r="A138" s="29" t="s">
        <v>182</v>
      </c>
      <c r="B138" s="43" t="s">
        <v>183</v>
      </c>
      <c r="C138" s="35">
        <v>174.559</v>
      </c>
      <c r="D138" s="35">
        <v>89.031959999999998</v>
      </c>
      <c r="E138" s="58">
        <f>IF(C138&lt;&gt;"",D138/C138*100,"")</f>
        <v>51.003935632078559</v>
      </c>
      <c r="F138" s="35">
        <v>28.102920000000001</v>
      </c>
      <c r="G138" s="59">
        <v>321.01499999999999</v>
      </c>
      <c r="H138" s="15"/>
    </row>
    <row r="139" spans="1:8" ht="28.5" x14ac:dyDescent="0.2">
      <c r="A139" s="29" t="s">
        <v>184</v>
      </c>
      <c r="B139" s="43" t="s">
        <v>185</v>
      </c>
      <c r="C139" s="35">
        <v>496.63369999999998</v>
      </c>
      <c r="D139" s="35">
        <v>31.348649999999999</v>
      </c>
      <c r="E139" s="58">
        <f>IF(C139&lt;&gt;"",D139/C139*100,"")</f>
        <v>6.3122277042415771</v>
      </c>
      <c r="F139" s="35">
        <v>445.06569999999999</v>
      </c>
      <c r="G139" s="59">
        <v>548.20169999999996</v>
      </c>
      <c r="H139" s="15"/>
    </row>
    <row r="140" spans="1:8" x14ac:dyDescent="0.2">
      <c r="A140" s="29" t="s">
        <v>186</v>
      </c>
      <c r="B140" s="43" t="s">
        <v>187</v>
      </c>
      <c r="C140" s="35">
        <v>3554.2420000000002</v>
      </c>
      <c r="D140" s="35">
        <v>2212.7269999999999</v>
      </c>
      <c r="E140" s="58">
        <f>IF(C140&lt;&gt;"",D140/C140*100,"")</f>
        <v>62.255946556255871</v>
      </c>
      <c r="F140" s="35">
        <v>-85.655540000000002</v>
      </c>
      <c r="G140" s="59">
        <v>7194.14</v>
      </c>
      <c r="H140" s="15"/>
    </row>
    <row r="141" spans="1:8" ht="28.5" x14ac:dyDescent="0.2">
      <c r="A141" s="29" t="s">
        <v>188</v>
      </c>
      <c r="B141" s="43" t="s">
        <v>189</v>
      </c>
      <c r="C141" s="35">
        <v>405.85359999999997</v>
      </c>
      <c r="D141" s="35">
        <v>91.628720000000001</v>
      </c>
      <c r="E141" s="58">
        <f>IF(C141&lt;&gt;"",D141/C141*100,"")</f>
        <v>22.576791237037199</v>
      </c>
      <c r="F141" s="35">
        <v>255.1259</v>
      </c>
      <c r="G141" s="59">
        <v>556.58119999999997</v>
      </c>
      <c r="H141" s="15"/>
    </row>
    <row r="142" spans="1:8" x14ac:dyDescent="0.2">
      <c r="A142" s="29"/>
      <c r="B142" s="30"/>
      <c r="C142" s="101"/>
      <c r="D142" s="19"/>
      <c r="E142" s="20"/>
      <c r="F142" s="19"/>
      <c r="G142" s="21"/>
    </row>
    <row r="143" spans="1:8" s="28" customFormat="1" ht="45" x14ac:dyDescent="0.25">
      <c r="A143" s="34" t="s">
        <v>190</v>
      </c>
      <c r="B143" s="72" t="s">
        <v>191</v>
      </c>
      <c r="C143" s="60">
        <v>501.2824</v>
      </c>
      <c r="D143" s="60">
        <v>24.15222</v>
      </c>
      <c r="E143" s="61">
        <f>IF(C143&lt;&gt;"",D143/C143*100,"")</f>
        <v>4.8180865715612597</v>
      </c>
      <c r="F143" s="60">
        <v>461.55239999999998</v>
      </c>
      <c r="G143" s="62">
        <v>541.01239999999996</v>
      </c>
    </row>
    <row r="144" spans="1:8" s="103" customFormat="1" ht="29.45" customHeight="1" x14ac:dyDescent="0.2">
      <c r="A144" s="29" t="s">
        <v>192</v>
      </c>
      <c r="B144" s="102" t="s">
        <v>193</v>
      </c>
      <c r="C144" s="35">
        <v>348.36439999999999</v>
      </c>
      <c r="D144" s="35">
        <v>25.03228</v>
      </c>
      <c r="E144" s="58">
        <f>IF(C144&lt;&gt;"",D144/C144*100,"")</f>
        <v>7.18565961389855</v>
      </c>
      <c r="F144" s="35">
        <v>307.18680000000001</v>
      </c>
      <c r="G144" s="59">
        <v>389.5421</v>
      </c>
    </row>
    <row r="145" spans="1:7" s="103" customFormat="1" x14ac:dyDescent="0.2">
      <c r="A145" s="29" t="s">
        <v>194</v>
      </c>
      <c r="B145" s="102" t="s">
        <v>195</v>
      </c>
      <c r="C145" s="35">
        <v>539.66869999999994</v>
      </c>
      <c r="D145" s="35">
        <v>29.418780000000002</v>
      </c>
      <c r="E145" s="58">
        <f>IF(C145&lt;&gt;"",D145/C145*100,"")</f>
        <v>5.4512666752768881</v>
      </c>
      <c r="F145" s="35">
        <v>491.27530000000002</v>
      </c>
      <c r="G145" s="59">
        <v>588.06209999999999</v>
      </c>
    </row>
    <row r="146" spans="1:7" s="103" customFormat="1" x14ac:dyDescent="0.2">
      <c r="A146" s="45"/>
      <c r="B146" s="46"/>
      <c r="C146" s="47"/>
      <c r="D146" s="48"/>
      <c r="E146" s="48"/>
      <c r="F146" s="48"/>
      <c r="G146" s="49"/>
    </row>
    <row r="147" spans="1:7" s="103" customFormat="1" ht="8.4499999999999993" customHeight="1" x14ac:dyDescent="0.25">
      <c r="A147" s="104"/>
      <c r="B147" s="104"/>
      <c r="C147" s="105"/>
      <c r="D147" s="106"/>
      <c r="E147" s="106"/>
      <c r="F147" s="106"/>
      <c r="G147" s="106"/>
    </row>
    <row r="148" spans="1:7" s="103" customFormat="1" x14ac:dyDescent="0.2">
      <c r="A148" s="107" t="s">
        <v>196</v>
      </c>
      <c r="B148" s="108"/>
    </row>
    <row r="149" spans="1:7" x14ac:dyDescent="0.2">
      <c r="A149" s="107" t="s">
        <v>197</v>
      </c>
      <c r="B149" s="108"/>
      <c r="C149" s="103"/>
      <c r="D149" s="103"/>
      <c r="E149" s="103"/>
      <c r="F149" s="103"/>
      <c r="G149" s="103"/>
    </row>
    <row r="150" spans="1:7" x14ac:dyDescent="0.2">
      <c r="A150" s="109" t="s">
        <v>198</v>
      </c>
      <c r="B150" s="108"/>
      <c r="C150" s="103"/>
      <c r="D150" s="103"/>
      <c r="E150" s="103"/>
      <c r="F150" s="103"/>
      <c r="G150" s="103"/>
    </row>
    <row r="151" spans="1:7" x14ac:dyDescent="0.2">
      <c r="A151" s="110" t="s">
        <v>199</v>
      </c>
      <c r="B151" s="108"/>
      <c r="C151" s="103"/>
      <c r="D151" s="103"/>
      <c r="E151" s="103"/>
      <c r="F151" s="103"/>
      <c r="G151" s="103"/>
    </row>
  </sheetData>
  <mergeCells count="40">
    <mergeCell ref="A1:G1"/>
    <mergeCell ref="A2:G2"/>
    <mergeCell ref="A4:A5"/>
    <mergeCell ref="B4:B5"/>
    <mergeCell ref="C4:C5"/>
    <mergeCell ref="D4:D5"/>
    <mergeCell ref="E4:E5"/>
    <mergeCell ref="F4:G4"/>
    <mergeCell ref="A32:G32"/>
    <mergeCell ref="A33:G33"/>
    <mergeCell ref="A35:A36"/>
    <mergeCell ref="B35:B36"/>
    <mergeCell ref="C35:C36"/>
    <mergeCell ref="D35:D36"/>
    <mergeCell ref="E35:E36"/>
    <mergeCell ref="F35:G35"/>
    <mergeCell ref="A60:G60"/>
    <mergeCell ref="A61:G61"/>
    <mergeCell ref="A63:A64"/>
    <mergeCell ref="B63:B64"/>
    <mergeCell ref="C63:C64"/>
    <mergeCell ref="D63:D64"/>
    <mergeCell ref="E63:E64"/>
    <mergeCell ref="F63:G63"/>
    <mergeCell ref="A93:G93"/>
    <mergeCell ref="A94:G94"/>
    <mergeCell ref="A96:A97"/>
    <mergeCell ref="B96:B97"/>
    <mergeCell ref="C96:C97"/>
    <mergeCell ref="D96:D97"/>
    <mergeCell ref="E96:E97"/>
    <mergeCell ref="F96:G96"/>
    <mergeCell ref="A125:G125"/>
    <mergeCell ref="A126:G126"/>
    <mergeCell ref="A128:A129"/>
    <mergeCell ref="B128:B129"/>
    <mergeCell ref="C128:C129"/>
    <mergeCell ref="D128:D129"/>
    <mergeCell ref="E128:E129"/>
    <mergeCell ref="F128:G128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72" orientation="landscape" useFirstPageNumber="1" r:id="rId1"/>
  <headerFooter>
    <oddFooter>&amp;C&amp;"Arial,Regular"&amp;10&amp;P</oddFooter>
  </headerFooter>
  <rowBreaks count="4" manualBreakCount="4">
    <brk id="31" max="16383" man="1"/>
    <brk id="59" max="16383" man="1"/>
    <brk id="92" max="16383" man="1"/>
    <brk id="12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</vt:lpstr>
      <vt:lpstr>'Table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cp:lastPrinted>2025-11-24T10:27:04Z</cp:lastPrinted>
  <dcterms:created xsi:type="dcterms:W3CDTF">2025-11-24T10:13:05Z</dcterms:created>
  <dcterms:modified xsi:type="dcterms:W3CDTF">2025-11-24T10:27:18Z</dcterms:modified>
</cp:coreProperties>
</file>