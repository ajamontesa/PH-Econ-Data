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8_{EEFFBD62-D835-4EFD-B6C2-2E1B7A79D579}" xr6:coauthVersionLast="47" xr6:coauthVersionMax="47" xr10:uidLastSave="{00000000-0000-0000-0000-000000000000}"/>
  <bookViews>
    <workbookView xWindow="-28920" yWindow="-120" windowWidth="29040" windowHeight="15720" xr2:uid="{45469F52-6500-40FD-A792-989D7531CAEF}"/>
  </bookViews>
  <sheets>
    <sheet name="Table 2" sheetId="1" r:id="rId1"/>
  </sheets>
  <definedNames>
    <definedName name="_xlnm._FilterDatabase" localSheetId="0" hidden="1">'Table 2'!$J$1:$J$118</definedName>
    <definedName name="_xlnm.Print_Area" localSheetId="0">'Table 2'!$A$1:$G$108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5" i="1" l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7" i="1"/>
</calcChain>
</file>

<file path=xl/sharedStrings.xml><?xml version="1.0" encoding="utf-8"?>
<sst xmlns="http://schemas.openxmlformats.org/spreadsheetml/2006/main" count="291" uniqueCount="215">
  <si>
    <t>TABLE 2 - Standard Errors and Coefficient of Variations of Average Monthly Wage Rates 
of General Office Clerks by Industry, Philippines:  August 2024</t>
  </si>
  <si>
    <t>(In Establishments Employing 10 and More Workers)</t>
  </si>
  <si>
    <t>2009 PSIC</t>
  </si>
  <si>
    <t>Industry</t>
  </si>
  <si>
    <t>Wage Rate Estimate</t>
  </si>
  <si>
    <t>Standard Error</t>
  </si>
  <si>
    <t>Coefficient of Variation (%)</t>
  </si>
  <si>
    <t>90% Confidence Interval</t>
  </si>
  <si>
    <t>Lower</t>
  </si>
  <si>
    <t>Upper</t>
  </si>
  <si>
    <t>ALL INDUSTRIES</t>
  </si>
  <si>
    <t>_ratio_1</t>
  </si>
  <si>
    <t>A</t>
  </si>
  <si>
    <t>AGRICULTURE, FORESTRY AND FISHING</t>
  </si>
  <si>
    <t>A01/A02</t>
  </si>
  <si>
    <t>Crop and Animal Production, Hunting and Related Service
   Activities; Forestry and Logging</t>
  </si>
  <si>
    <t>A01</t>
  </si>
  <si>
    <t>A03</t>
  </si>
  <si>
    <t>Fishing and Aquaculture</t>
  </si>
  <si>
    <t>B</t>
  </si>
  <si>
    <t>MINING AND QUARRYING</t>
  </si>
  <si>
    <t>B05/B06/B08</t>
  </si>
  <si>
    <t>Mining of Coal and Lignite; Extraction of Crude Petroleum
   and Natural Gas; and Other Mining and Quarrying</t>
  </si>
  <si>
    <t>B05</t>
  </si>
  <si>
    <t>B07</t>
  </si>
  <si>
    <t>Mining of Metal Ores</t>
  </si>
  <si>
    <t>B09</t>
  </si>
  <si>
    <t>Mining Support Service</t>
  </si>
  <si>
    <t>C</t>
  </si>
  <si>
    <t>MANUFACTURING</t>
  </si>
  <si>
    <t>C10</t>
  </si>
  <si>
    <t>Manufacture of Food Products</t>
  </si>
  <si>
    <t>C11</t>
  </si>
  <si>
    <t>Manufacture of Beverages</t>
  </si>
  <si>
    <t>C12</t>
  </si>
  <si>
    <t>Manufacture of Tobacco Products</t>
  </si>
  <si>
    <t>C13</t>
  </si>
  <si>
    <t>Manufacture of Textiles</t>
  </si>
  <si>
    <t>C14</t>
  </si>
  <si>
    <t>Manufacture of Wearing Apparel</t>
  </si>
  <si>
    <t>C15</t>
  </si>
  <si>
    <t xml:space="preserve">Manufacture of Leather and Related Products </t>
  </si>
  <si>
    <t>C16</t>
  </si>
  <si>
    <t>Manufacture of wood and of products of wood and cork, except furniture; manufacture of articles of bamboo, cane, rattan and the like; manufacture of articles of straw and plaiting materials</t>
  </si>
  <si>
    <t>C161</t>
  </si>
  <si>
    <t>C17</t>
  </si>
  <si>
    <t>Manufacture of Paper and Paper Products</t>
  </si>
  <si>
    <t>C18</t>
  </si>
  <si>
    <t>Printing and Reproduction of Recorded Media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</si>
  <si>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</si>
  <si>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</si>
  <si>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</si>
  <si>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</si>
  <si>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</si>
  <si>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</t>
  </si>
  <si>
    <t>C22</t>
  </si>
  <si>
    <t>Manufacture of Rubber Products and Plastic Products</t>
  </si>
  <si>
    <t>C222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</si>
  <si>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</si>
  <si>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</si>
  <si>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</si>
  <si>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</si>
  <si>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</si>
  <si>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</si>
  <si>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</si>
  <si>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</si>
  <si>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</si>
  <si>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</si>
  <si>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</si>
  <si>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Equipment, n.e.c.</t>
  </si>
  <si>
    <t>C29</t>
  </si>
  <si>
    <t>Manufacture of Motor Vehicles, Trailers and Semi-Trailers</t>
  </si>
  <si>
    <t>C30</t>
  </si>
  <si>
    <t>Manufacture of Other Transport Equipment except Building of Ships and Boats</t>
  </si>
  <si>
    <t>C301</t>
  </si>
  <si>
    <t>Building of Ships and Boats</t>
  </si>
  <si>
    <t>C31</t>
  </si>
  <si>
    <t>Manufacture of Furniture</t>
  </si>
  <si>
    <t>C32</t>
  </si>
  <si>
    <t>Other Manufacturing</t>
  </si>
  <si>
    <t>C33</t>
  </si>
  <si>
    <t>Repair and Installation of Machinery and Equipment</t>
  </si>
  <si>
    <t>D35</t>
  </si>
  <si>
    <t>ELECTRICITY, GAS, STEAM 
   AND AIRCONDITIONING SUPPLY</t>
  </si>
  <si>
    <t>E</t>
  </si>
  <si>
    <t>WATER SUPPLY; SEWERAGE, WASTE MANAGEMENT 
   AND REMEDIATION ACTIVITIES</t>
  </si>
  <si>
    <t>E36</t>
  </si>
  <si>
    <t>Water Collection, Treatment and Supply</t>
  </si>
  <si>
    <t>E37/E38/
E39</t>
  </si>
  <si>
    <t>Sewerage; Waste Collection, Treatment and Disposal
   Activities; Materials Recovery; Remediation Activities 
   and Other Waste Management Services</t>
  </si>
  <si>
    <t>E37</t>
  </si>
  <si>
    <t>F41/F42/F43</t>
  </si>
  <si>
    <t>CONSTRUCTION</t>
  </si>
  <si>
    <t>F</t>
  </si>
  <si>
    <t>G</t>
  </si>
  <si>
    <t xml:space="preserve">WHOLESALE AND RETAIL TRADE; REPAIR OF 
   MOTOR VEHICLES AND MOTORCYCLES </t>
  </si>
  <si>
    <t>G45</t>
  </si>
  <si>
    <t>Wholesale and Retail Trade and Repair of Motor Vehicles 
   and Motorcycles</t>
  </si>
  <si>
    <t>G46</t>
  </si>
  <si>
    <t>Wholesale Trade except of Motor Vehicles and Motorcycles</t>
  </si>
  <si>
    <t>G47</t>
  </si>
  <si>
    <t xml:space="preserve">Retail Trade except of Motor Vehicles and Motorcycles </t>
  </si>
  <si>
    <t>H</t>
  </si>
  <si>
    <t xml:space="preserve">TRANSPORTATION AND STORAGE </t>
  </si>
  <si>
    <t>H49 only</t>
  </si>
  <si>
    <t xml:space="preserve">Land Transport and Transport via Pipelines except Transport via Buses </t>
  </si>
  <si>
    <t>H49</t>
  </si>
  <si>
    <t>H492</t>
  </si>
  <si>
    <t xml:space="preserve">Transport via Buses </t>
  </si>
  <si>
    <t>H50</t>
  </si>
  <si>
    <t>Water Transport</t>
  </si>
  <si>
    <t>H51</t>
  </si>
  <si>
    <t>Air Transport</t>
  </si>
  <si>
    <t>H52</t>
  </si>
  <si>
    <t xml:space="preserve">Warehousing and Support Activities for Transportation </t>
  </si>
  <si>
    <t>H53</t>
  </si>
  <si>
    <t xml:space="preserve">Postal and Courier Activities </t>
  </si>
  <si>
    <t>TABLE 2 - Standard Errors and Coefficient of Variations of Average Monthly Wage Rates 
of General Office Clerks by Industry, Philippines:  August 2024 (Cont'd)</t>
  </si>
  <si>
    <t xml:space="preserve">(In Establishments Employing 10 and More Workers) </t>
  </si>
  <si>
    <t>I55/I56</t>
  </si>
  <si>
    <t>ACCOMMODATION AND FOOD SERVICE ACTIVITIES</t>
  </si>
  <si>
    <t>I</t>
  </si>
  <si>
    <t>J</t>
  </si>
  <si>
    <t>INFORMATION AND COMMUNICATIONS</t>
  </si>
  <si>
    <t>J58</t>
  </si>
  <si>
    <t>Publishing Activities</t>
  </si>
  <si>
    <t xml:space="preserve">J59
</t>
  </si>
  <si>
    <t>Motion Picture, Video and Television Programme Production, 
Sound Recording and Music Publishing Activties</t>
  </si>
  <si>
    <t>J59</t>
  </si>
  <si>
    <t>J60</t>
  </si>
  <si>
    <t>Programming and Broadcasting Activities</t>
  </si>
  <si>
    <t>J590</t>
  </si>
  <si>
    <t>.</t>
  </si>
  <si>
    <t>J61</t>
  </si>
  <si>
    <t>Telecommunications</t>
  </si>
  <si>
    <t>J62</t>
  </si>
  <si>
    <t>Computer Programming, Consultancy and Related Activities</t>
  </si>
  <si>
    <t>J63</t>
  </si>
  <si>
    <t>Information Service Activities</t>
  </si>
  <si>
    <t>K</t>
  </si>
  <si>
    <t xml:space="preserve">FINANCIAL AND INSURANCE ACTIVITIES </t>
  </si>
  <si>
    <t>K64 only</t>
  </si>
  <si>
    <t>Financial Service Activities 
except Insurance, Pension Funding and Central Banking</t>
  </si>
  <si>
    <t>K64</t>
  </si>
  <si>
    <t>K65</t>
  </si>
  <si>
    <t xml:space="preserve">Insurance, Reinsurance and Pension Funding except Compulsory Social Security </t>
  </si>
  <si>
    <t>K66</t>
  </si>
  <si>
    <t>Activities Auxiliary to Financial Service and Insurance Activities</t>
  </si>
  <si>
    <t>L68</t>
  </si>
  <si>
    <t>REAL ESTATE ACTIVITIES</t>
  </si>
  <si>
    <t>M</t>
  </si>
  <si>
    <t>PROFESSIONAL, SCIENTIFIC AND TECHNICAL ACTIVITIES</t>
  </si>
  <si>
    <t>M69</t>
  </si>
  <si>
    <t>Legal and Accounting Activities</t>
  </si>
  <si>
    <t>M70</t>
  </si>
  <si>
    <t>Activities of Head Offices; Management and Consultancy Activities</t>
  </si>
  <si>
    <t>M71</t>
  </si>
  <si>
    <t>Architecture and Engineering Activities; Technical Testing and Analysis</t>
  </si>
  <si>
    <t>M72</t>
  </si>
  <si>
    <t>Scientific Research and Development</t>
  </si>
  <si>
    <t>M73</t>
  </si>
  <si>
    <t>Advertising and Market Research</t>
  </si>
  <si>
    <t>M74</t>
  </si>
  <si>
    <t>Other Professional, Scientific, and Technical Activities</t>
  </si>
  <si>
    <t>M692</t>
  </si>
  <si>
    <t>M75</t>
  </si>
  <si>
    <t>Veterinary Activities</t>
  </si>
  <si>
    <t>M711</t>
  </si>
  <si>
    <t>N</t>
  </si>
  <si>
    <t xml:space="preserve">ADMINISTRATIVE AND SUPPORT SERVICE ACTIVITIES </t>
  </si>
  <si>
    <t>N77</t>
  </si>
  <si>
    <t>Rental and Leasing Activities</t>
  </si>
  <si>
    <t>N78</t>
  </si>
  <si>
    <t>Employment Activities</t>
  </si>
  <si>
    <t>N79</t>
  </si>
  <si>
    <t>Travel Agency, Tour Operator, Reservation Service and Related Activities</t>
  </si>
  <si>
    <t>N80</t>
  </si>
  <si>
    <t>Security and Investigation Activities</t>
  </si>
  <si>
    <t>N82</t>
  </si>
  <si>
    <t>N81</t>
  </si>
  <si>
    <t>Services to Buildings and Landscape Activities</t>
  </si>
  <si>
    <t>N8221</t>
  </si>
  <si>
    <t>Office Administrative, Office Support and Other Business Support Activities 
except Call Center Activities and Back-Office Operations Activities</t>
  </si>
  <si>
    <t>N8222</t>
  </si>
  <si>
    <t>Call centers activities (Voice)</t>
  </si>
  <si>
    <t>Back-office operations activities (Non-voice)</t>
  </si>
  <si>
    <t>N82226</t>
  </si>
  <si>
    <t>P85</t>
  </si>
  <si>
    <t xml:space="preserve">EDUCATION EXCEPT PUBLIC EDUCATION </t>
  </si>
  <si>
    <t>Q</t>
  </si>
  <si>
    <t xml:space="preserve">HUMAN HEALTH AND SOCIAL WORK ACTIVITIES </t>
  </si>
  <si>
    <t>Q86</t>
  </si>
  <si>
    <t>Human Health Activities except Public Health Activities</t>
  </si>
  <si>
    <t>Q87/Q88</t>
  </si>
  <si>
    <t>Residential Care Activities; Social Work Activities without 
   Accommodation</t>
  </si>
  <si>
    <t>Q87</t>
  </si>
  <si>
    <t>R</t>
  </si>
  <si>
    <t>ARTS, ENTERTAINMENT AND RECREATION</t>
  </si>
  <si>
    <t>R90</t>
  </si>
  <si>
    <t>Creative, Arts, and Entertainment Activities</t>
  </si>
  <si>
    <t>R91</t>
  </si>
  <si>
    <t>Libraries, Archives, Museums, and Other Cultural Activities</t>
  </si>
  <si>
    <t>R92</t>
  </si>
  <si>
    <t>Gambling and Betting Activities</t>
  </si>
  <si>
    <t>R93</t>
  </si>
  <si>
    <t>Sports Activities and Amusement and Recreation Activities</t>
  </si>
  <si>
    <t>S</t>
  </si>
  <si>
    <t>OTHER SERVICE ACTIVITIES</t>
  </si>
  <si>
    <t>S95</t>
  </si>
  <si>
    <t>Repair of Computers and Personal and Household Goods</t>
  </si>
  <si>
    <t>S96</t>
  </si>
  <si>
    <t>Other Personal Services Activities except Activities of Membership Organizations</t>
  </si>
  <si>
    <t xml:space="preserve">Note: An estimate with coefficient of variation greater than 10%  should be used with caution since the estimate is located in a very wide spread or wage range, </t>
  </si>
  <si>
    <t xml:space="preserve">           thus, it is less reliable or precise.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</si>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</sst>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#,##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Display"/>
      <family val="2"/>
      <scheme val="maj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i/>
      <sz val="8"/>
      <color theme="1"/>
      <name val="Verdana"/>
      <family val="2"/>
    </font>
    <font>
      <b/>
      <i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5" xfId="0" applyFont="1" applyBorder="1" applyAlignment="1">
      <alignment vertical="top"/>
    </xf>
    <xf numFmtId="0" fontId="5" fillId="0" borderId="0" xfId="0" applyFont="1" applyAlignment="1">
      <alignment horizontal="center" vertical="top"/>
    </xf>
    <xf numFmtId="3" fontId="5" fillId="0" borderId="0" xfId="0" applyNumberFormat="1" applyFont="1" applyAlignment="1">
      <alignment horizontal="right" vertical="top" wrapText="1" indent="1"/>
    </xf>
    <xf numFmtId="4" fontId="5" fillId="0" borderId="0" xfId="0" applyNumberFormat="1" applyFont="1" applyAlignment="1">
      <alignment horizontal="right" vertical="top" wrapText="1" indent="1"/>
    </xf>
    <xf numFmtId="3" fontId="5" fillId="0" borderId="6" xfId="0" applyNumberFormat="1" applyFont="1" applyBorder="1" applyAlignment="1">
      <alignment horizontal="right" vertical="top" wrapText="1" indent="1"/>
    </xf>
    <xf numFmtId="164" fontId="0" fillId="0" borderId="0" xfId="1" applyNumberFormat="1" applyFont="1"/>
    <xf numFmtId="3" fontId="0" fillId="0" borderId="0" xfId="0" applyNumberFormat="1"/>
    <xf numFmtId="0" fontId="5" fillId="0" borderId="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165" fontId="5" fillId="0" borderId="0" xfId="0" applyNumberFormat="1" applyFont="1" applyAlignment="1">
      <alignment horizontal="right" vertical="top" wrapText="1" indent="1"/>
    </xf>
    <xf numFmtId="0" fontId="5" fillId="0" borderId="5" xfId="0" applyFont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right" vertical="top" wrapText="1" indent="1"/>
    </xf>
    <xf numFmtId="4" fontId="2" fillId="0" borderId="0" xfId="0" applyNumberFormat="1" applyFont="1" applyAlignment="1">
      <alignment horizontal="right" vertical="top" wrapText="1" indent="1"/>
    </xf>
    <xf numFmtId="3" fontId="2" fillId="0" borderId="6" xfId="0" applyNumberFormat="1" applyFont="1" applyBorder="1" applyAlignment="1">
      <alignment horizontal="right" vertical="top" wrapText="1" indent="1"/>
    </xf>
    <xf numFmtId="0" fontId="6" fillId="0" borderId="5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6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3" fontId="2" fillId="0" borderId="8" xfId="0" applyNumberFormat="1" applyFont="1" applyBorder="1" applyAlignment="1">
      <alignment horizontal="right" vertical="top" wrapText="1" indent="1"/>
    </xf>
    <xf numFmtId="4" fontId="2" fillId="0" borderId="8" xfId="0" applyNumberFormat="1" applyFont="1" applyBorder="1" applyAlignment="1">
      <alignment horizontal="right" vertical="top" wrapText="1" indent="1"/>
    </xf>
    <xf numFmtId="3" fontId="2" fillId="0" borderId="9" xfId="0" applyNumberFormat="1" applyFont="1" applyBorder="1" applyAlignment="1">
      <alignment horizontal="right" vertical="top" wrapText="1" inden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3" fontId="2" fillId="0" borderId="3" xfId="0" applyNumberFormat="1" applyFont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3" fillId="0" borderId="5" xfId="0" applyFont="1" applyBorder="1"/>
    <xf numFmtId="0" fontId="7" fillId="0" borderId="3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8" fillId="0" borderId="3" xfId="0" applyFont="1" applyBorder="1" applyAlignment="1">
      <alignment horizontal="center" vertical="top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5AA4-560B-412C-AD59-18ABD7F9EEA5}">
  <dimension ref="A1:X110"/>
  <sheetViews>
    <sheetView tabSelected="1" zoomScale="130" zoomScaleNormal="130" zoomScaleSheetLayoutView="85" workbookViewId="0">
      <selection activeCell="C7" sqref="C7"/>
    </sheetView>
  </sheetViews>
  <sheetFormatPr defaultColWidth="9.140625" defaultRowHeight="15" x14ac:dyDescent="0.25"/>
  <cols>
    <col min="1" max="1" width="16.28515625" style="61" customWidth="1"/>
    <col min="2" max="2" width="53" style="61" customWidth="1"/>
    <col min="3" max="4" width="13.5703125" style="61" customWidth="1"/>
    <col min="5" max="7" width="13.5703125" style="3" customWidth="1"/>
    <col min="8" max="9" width="9.140625" style="3"/>
    <col min="10" max="15" width="9.140625" style="3" hidden="1" customWidth="1"/>
    <col min="16" max="18" width="9.140625" style="3"/>
    <col min="25" max="16384" width="9.140625" style="3"/>
  </cols>
  <sheetData>
    <row r="1" spans="1:18" ht="30" customHeight="1" x14ac:dyDescent="0.25">
      <c r="A1" s="1" t="s">
        <v>0</v>
      </c>
      <c r="B1" s="2"/>
      <c r="C1" s="2"/>
      <c r="D1" s="2"/>
      <c r="E1" s="2"/>
      <c r="F1" s="2"/>
      <c r="G1" s="2"/>
    </row>
    <row r="2" spans="1:18" x14ac:dyDescent="0.25">
      <c r="A2" s="4" t="s">
        <v>1</v>
      </c>
      <c r="B2" s="4"/>
      <c r="C2" s="4"/>
      <c r="D2" s="4"/>
      <c r="E2" s="4"/>
      <c r="F2" s="4"/>
      <c r="G2" s="4"/>
    </row>
    <row r="3" spans="1:18" ht="15" customHeight="1" x14ac:dyDescent="0.25">
      <c r="A3" s="5"/>
      <c r="B3" s="5"/>
      <c r="C3" s="5"/>
      <c r="D3" s="5"/>
    </row>
    <row r="4" spans="1:18" ht="24.95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/>
    </row>
    <row r="5" spans="1:18" ht="24.95" customHeight="1" x14ac:dyDescent="0.25">
      <c r="A5" s="6"/>
      <c r="B5" s="6"/>
      <c r="C5" s="6"/>
      <c r="D5" s="6"/>
      <c r="E5" s="6"/>
      <c r="F5" s="7" t="s">
        <v>8</v>
      </c>
      <c r="G5" s="7" t="s">
        <v>9</v>
      </c>
    </row>
    <row r="6" spans="1:18" x14ac:dyDescent="0.25">
      <c r="A6" s="8"/>
      <c r="B6" s="9"/>
      <c r="C6" s="10"/>
      <c r="D6" s="10"/>
      <c r="E6" s="11"/>
      <c r="F6" s="11"/>
      <c r="G6" s="12"/>
    </row>
    <row r="7" spans="1:18" x14ac:dyDescent="0.25">
      <c r="A7" s="13"/>
      <c r="B7" s="14" t="s">
        <v>10</v>
      </c>
      <c r="C7" s="15">
        <v>19720.59</v>
      </c>
      <c r="D7" s="15">
        <v>313.22300000000001</v>
      </c>
      <c r="E7" s="16">
        <f>D7/C7*100</f>
        <v>1.588304406713998</v>
      </c>
      <c r="F7" s="15">
        <v>19205.34</v>
      </c>
      <c r="G7" s="17">
        <v>20235.849999999999</v>
      </c>
      <c r="I7"/>
      <c r="J7" t="s">
        <v>11</v>
      </c>
      <c r="K7">
        <v>19676.46</v>
      </c>
      <c r="L7">
        <v>236.8646</v>
      </c>
      <c r="M7" s="18">
        <v>1.2037968211761669</v>
      </c>
      <c r="N7">
        <v>19212.16</v>
      </c>
      <c r="O7">
        <v>20140.759999999998</v>
      </c>
      <c r="P7" s="19"/>
      <c r="Q7"/>
      <c r="R7"/>
    </row>
    <row r="8" spans="1:18" x14ac:dyDescent="0.25">
      <c r="A8" s="20"/>
      <c r="B8" s="21"/>
      <c r="C8" s="15"/>
      <c r="D8" s="15"/>
      <c r="E8" s="22"/>
      <c r="F8" s="15"/>
      <c r="G8" s="17"/>
      <c r="I8"/>
      <c r="J8"/>
      <c r="K8"/>
      <c r="L8"/>
      <c r="M8"/>
      <c r="N8"/>
      <c r="O8"/>
      <c r="P8"/>
      <c r="Q8"/>
      <c r="R8"/>
    </row>
    <row r="9" spans="1:18" x14ac:dyDescent="0.25">
      <c r="A9" s="23" t="s">
        <v>12</v>
      </c>
      <c r="B9" s="24" t="s">
        <v>13</v>
      </c>
      <c r="C9" s="15">
        <v>16907.964613087272</v>
      </c>
      <c r="D9" s="15">
        <v>331.5351</v>
      </c>
      <c r="E9" s="16">
        <f t="shared" ref="E9:E57" si="0">D9/C9*100</f>
        <v>1.9608220598201505</v>
      </c>
      <c r="F9" s="15">
        <v>16361.96</v>
      </c>
      <c r="G9" s="17">
        <v>17452.72</v>
      </c>
      <c r="I9"/>
      <c r="J9" t="s">
        <v>12</v>
      </c>
      <c r="K9">
        <v>16801.400000000001</v>
      </c>
      <c r="L9">
        <v>899.77629999999999</v>
      </c>
      <c r="M9" s="18">
        <v>5.3553650291047168</v>
      </c>
      <c r="N9">
        <v>15037.66</v>
      </c>
      <c r="O9">
        <v>18565.150000000001</v>
      </c>
      <c r="P9" s="19"/>
      <c r="Q9"/>
      <c r="R9"/>
    </row>
    <row r="10" spans="1:18" ht="25.5" x14ac:dyDescent="0.25">
      <c r="A10" s="25" t="s">
        <v>14</v>
      </c>
      <c r="B10" s="26" t="s">
        <v>15</v>
      </c>
      <c r="C10" s="27">
        <v>17257.980831718345</v>
      </c>
      <c r="D10" s="27">
        <v>345.81990000000002</v>
      </c>
      <c r="E10" s="28">
        <f t="shared" si="0"/>
        <v>2.0038259595492169</v>
      </c>
      <c r="F10" s="27">
        <v>16689.63</v>
      </c>
      <c r="G10" s="29">
        <v>17827.39</v>
      </c>
      <c r="I10"/>
      <c r="J10" t="s">
        <v>16</v>
      </c>
      <c r="K10">
        <v>16717.8</v>
      </c>
      <c r="L10">
        <v>1105.7070000000001</v>
      </c>
      <c r="M10" s="18">
        <v>6.6139504001722722</v>
      </c>
      <c r="N10">
        <v>14550.38</v>
      </c>
      <c r="O10">
        <v>18885.21</v>
      </c>
      <c r="P10" s="19"/>
      <c r="Q10"/>
      <c r="R10"/>
    </row>
    <row r="11" spans="1:18" x14ac:dyDescent="0.25">
      <c r="A11" s="25" t="s">
        <v>17</v>
      </c>
      <c r="B11" s="26" t="s">
        <v>18</v>
      </c>
      <c r="C11" s="27">
        <v>14509.117415656008</v>
      </c>
      <c r="D11" s="27">
        <v>657.47170000000006</v>
      </c>
      <c r="E11" s="28">
        <f t="shared" si="0"/>
        <v>4.5314382754291982</v>
      </c>
      <c r="F11" s="27">
        <v>13428.28</v>
      </c>
      <c r="G11" s="29">
        <v>15591.38</v>
      </c>
      <c r="I11"/>
      <c r="J11" t="s">
        <v>17</v>
      </c>
      <c r="K11">
        <v>17134.810000000001</v>
      </c>
      <c r="L11">
        <v>743.24080000000004</v>
      </c>
      <c r="M11" s="18">
        <v>4.3376074785772349</v>
      </c>
      <c r="N11">
        <v>15677.91</v>
      </c>
      <c r="O11">
        <v>18591.72</v>
      </c>
      <c r="P11" s="19"/>
      <c r="Q11"/>
      <c r="R11"/>
    </row>
    <row r="12" spans="1:18" x14ac:dyDescent="0.25">
      <c r="A12" s="23" t="s">
        <v>19</v>
      </c>
      <c r="B12" s="24" t="s">
        <v>20</v>
      </c>
      <c r="C12" s="15">
        <v>19881.121129611653</v>
      </c>
      <c r="D12" s="15">
        <v>672.875</v>
      </c>
      <c r="E12" s="16">
        <f t="shared" si="0"/>
        <v>3.3844922306609555</v>
      </c>
      <c r="F12" s="15">
        <v>18777.77</v>
      </c>
      <c r="G12" s="17">
        <v>20991.55</v>
      </c>
      <c r="I12"/>
      <c r="J12" t="s">
        <v>19</v>
      </c>
      <c r="K12">
        <v>20879.310000000001</v>
      </c>
      <c r="L12">
        <v>1894.394</v>
      </c>
      <c r="M12" s="18">
        <v>9.0730680276311801</v>
      </c>
      <c r="N12">
        <v>17165.900000000001</v>
      </c>
      <c r="O12">
        <v>24592.720000000001</v>
      </c>
      <c r="P12" s="19"/>
      <c r="Q12"/>
      <c r="R12"/>
    </row>
    <row r="13" spans="1:18" ht="25.5" x14ac:dyDescent="0.25">
      <c r="A13" s="30" t="s">
        <v>21</v>
      </c>
      <c r="B13" s="26" t="s">
        <v>22</v>
      </c>
      <c r="C13" s="27">
        <v>19212.474100775195</v>
      </c>
      <c r="D13" s="27">
        <v>1219.992</v>
      </c>
      <c r="E13" s="28">
        <f t="shared" si="0"/>
        <v>6.3499994514021232</v>
      </c>
      <c r="F13" s="27">
        <v>17192.03</v>
      </c>
      <c r="G13" s="29">
        <v>21205.84</v>
      </c>
      <c r="I13"/>
      <c r="J13" t="s">
        <v>23</v>
      </c>
      <c r="K13">
        <v>16035.4</v>
      </c>
      <c r="L13">
        <v>804.52909999999997</v>
      </c>
      <c r="M13" s="18">
        <v>5.0172063060478687</v>
      </c>
      <c r="N13">
        <v>14458.35</v>
      </c>
      <c r="O13">
        <v>17612.439999999999</v>
      </c>
      <c r="P13" s="19"/>
      <c r="Q13"/>
      <c r="R13"/>
    </row>
    <row r="14" spans="1:18" x14ac:dyDescent="0.25">
      <c r="A14" s="25" t="s">
        <v>24</v>
      </c>
      <c r="B14" s="26" t="s">
        <v>25</v>
      </c>
      <c r="C14" s="27">
        <v>19973.45970441767</v>
      </c>
      <c r="D14" s="27">
        <v>888.10659999999996</v>
      </c>
      <c r="E14" s="28">
        <f t="shared" si="0"/>
        <v>4.4464334829462278</v>
      </c>
      <c r="F14" s="27">
        <v>18506.47</v>
      </c>
      <c r="G14" s="29">
        <v>21428.37</v>
      </c>
      <c r="I14"/>
      <c r="J14" t="s">
        <v>24</v>
      </c>
      <c r="K14">
        <v>22771.91</v>
      </c>
      <c r="L14">
        <v>3106.2809999999999</v>
      </c>
      <c r="M14" s="18">
        <v>13.640845234325974</v>
      </c>
      <c r="N14">
        <v>16682.96</v>
      </c>
      <c r="O14">
        <v>28860.87</v>
      </c>
      <c r="P14" s="19"/>
      <c r="Q14"/>
      <c r="R14"/>
    </row>
    <row r="15" spans="1:18" x14ac:dyDescent="0.25">
      <c r="A15" s="25" t="s">
        <v>26</v>
      </c>
      <c r="B15" s="26" t="s">
        <v>27</v>
      </c>
      <c r="C15" s="27">
        <v>21870.452071005915</v>
      </c>
      <c r="D15" s="27">
        <v>1626.84</v>
      </c>
      <c r="E15" s="28">
        <f t="shared" si="0"/>
        <v>7.4385293670117285</v>
      </c>
      <c r="F15" s="27">
        <v>19220.009999999998</v>
      </c>
      <c r="G15" s="29">
        <v>24572.36</v>
      </c>
      <c r="I15"/>
      <c r="J15" t="s">
        <v>26</v>
      </c>
      <c r="K15">
        <v>29184.45</v>
      </c>
      <c r="L15">
        <v>7523.8140000000003</v>
      </c>
      <c r="M15" s="18">
        <v>25.780215148820691</v>
      </c>
      <c r="N15">
        <v>14436.2</v>
      </c>
      <c r="O15">
        <v>43932.69</v>
      </c>
      <c r="P15" s="19"/>
      <c r="Q15"/>
      <c r="R15"/>
    </row>
    <row r="16" spans="1:18" x14ac:dyDescent="0.25">
      <c r="A16" s="23" t="s">
        <v>28</v>
      </c>
      <c r="B16" s="24" t="s">
        <v>29</v>
      </c>
      <c r="C16" s="15">
        <v>19269.505405386531</v>
      </c>
      <c r="D16" s="15">
        <v>306.67419999999998</v>
      </c>
      <c r="E16" s="16">
        <f t="shared" si="0"/>
        <v>1.5915001114365568</v>
      </c>
      <c r="F16" s="15">
        <v>18764.96</v>
      </c>
      <c r="G16" s="17">
        <v>19773.93</v>
      </c>
      <c r="I16"/>
      <c r="J16" t="s">
        <v>28</v>
      </c>
      <c r="K16">
        <v>19055.900000000001</v>
      </c>
      <c r="L16">
        <v>307.2543</v>
      </c>
      <c r="M16" s="18">
        <v>1.6123840910164304</v>
      </c>
      <c r="N16">
        <v>18453.61</v>
      </c>
      <c r="O16">
        <v>19658.18</v>
      </c>
      <c r="P16" s="19"/>
      <c r="Q16"/>
      <c r="R16"/>
    </row>
    <row r="17" spans="1:18" x14ac:dyDescent="0.25">
      <c r="A17" s="31" t="s">
        <v>30</v>
      </c>
      <c r="B17" s="26" t="s">
        <v>31</v>
      </c>
      <c r="C17" s="27">
        <v>17169.332398002749</v>
      </c>
      <c r="D17" s="27">
        <v>294.78399999999999</v>
      </c>
      <c r="E17" s="28">
        <f t="shared" si="0"/>
        <v>1.7169217367723117</v>
      </c>
      <c r="F17" s="27">
        <v>16684.47</v>
      </c>
      <c r="G17" s="29">
        <v>17654.32</v>
      </c>
      <c r="I17"/>
      <c r="J17" t="s">
        <v>30</v>
      </c>
      <c r="K17">
        <v>17792.38</v>
      </c>
      <c r="L17">
        <v>512.02530000000002</v>
      </c>
      <c r="M17" s="18">
        <v>2.8777785771212172</v>
      </c>
      <c r="N17">
        <v>16788.71</v>
      </c>
      <c r="O17">
        <v>18796.060000000001</v>
      </c>
      <c r="P17" s="19"/>
      <c r="Q17"/>
      <c r="R17"/>
    </row>
    <row r="18" spans="1:18" x14ac:dyDescent="0.25">
      <c r="A18" s="31" t="s">
        <v>32</v>
      </c>
      <c r="B18" s="26" t="s">
        <v>33</v>
      </c>
      <c r="C18" s="27">
        <v>21813.683213633398</v>
      </c>
      <c r="D18" s="27">
        <v>2802.8710000000001</v>
      </c>
      <c r="E18" s="28">
        <f t="shared" si="0"/>
        <v>12.84914139693853</v>
      </c>
      <c r="F18" s="27">
        <v>17202.86</v>
      </c>
      <c r="G18" s="29">
        <v>26424.39</v>
      </c>
      <c r="I18"/>
      <c r="J18" t="s">
        <v>32</v>
      </c>
      <c r="K18">
        <v>20151.189999999999</v>
      </c>
      <c r="L18">
        <v>1192.3920000000001</v>
      </c>
      <c r="M18" s="18">
        <v>5.917228709570006</v>
      </c>
      <c r="N18">
        <v>17813.849999999999</v>
      </c>
      <c r="O18">
        <v>22488.52</v>
      </c>
      <c r="P18" s="19"/>
      <c r="Q18"/>
      <c r="R18"/>
    </row>
    <row r="19" spans="1:18" x14ac:dyDescent="0.25">
      <c r="A19" s="25" t="s">
        <v>34</v>
      </c>
      <c r="B19" s="26" t="s">
        <v>35</v>
      </c>
      <c r="C19" s="27">
        <v>17640.636040235524</v>
      </c>
      <c r="D19" s="27">
        <v>476.40190000000001</v>
      </c>
      <c r="E19" s="28">
        <f t="shared" si="0"/>
        <v>2.7005936685808947</v>
      </c>
      <c r="F19" s="27">
        <v>16852.62</v>
      </c>
      <c r="G19" s="29">
        <v>18420</v>
      </c>
      <c r="I19"/>
      <c r="J19" t="s">
        <v>34</v>
      </c>
      <c r="K19">
        <v>31620.67</v>
      </c>
      <c r="L19">
        <v>3279.0729999999999</v>
      </c>
      <c r="M19" s="18">
        <v>10.370030110051431</v>
      </c>
      <c r="N19">
        <v>25193</v>
      </c>
      <c r="O19">
        <v>38048.33</v>
      </c>
      <c r="P19" s="19"/>
      <c r="Q19"/>
      <c r="R19"/>
    </row>
    <row r="20" spans="1:18" x14ac:dyDescent="0.25">
      <c r="A20" s="25" t="s">
        <v>36</v>
      </c>
      <c r="B20" s="26" t="s">
        <v>37</v>
      </c>
      <c r="C20" s="27">
        <v>24480.499947791162</v>
      </c>
      <c r="D20" s="27">
        <v>1463.182</v>
      </c>
      <c r="E20" s="28">
        <f t="shared" si="0"/>
        <v>5.9769285885520516</v>
      </c>
      <c r="F20" s="27">
        <v>22069.37</v>
      </c>
      <c r="G20" s="29">
        <v>26883.279999999999</v>
      </c>
      <c r="I20"/>
      <c r="J20" t="s">
        <v>36</v>
      </c>
      <c r="K20">
        <v>17705.310000000001</v>
      </c>
      <c r="L20">
        <v>1234.386</v>
      </c>
      <c r="M20" s="18">
        <v>6.9718406511944719</v>
      </c>
      <c r="N20">
        <v>15285.66</v>
      </c>
      <c r="O20">
        <v>20124.97</v>
      </c>
      <c r="P20" s="19"/>
      <c r="Q20"/>
      <c r="R20"/>
    </row>
    <row r="21" spans="1:18" x14ac:dyDescent="0.25">
      <c r="A21" s="25" t="s">
        <v>38</v>
      </c>
      <c r="B21" s="26" t="s">
        <v>39</v>
      </c>
      <c r="C21" s="27">
        <v>17254.398892643541</v>
      </c>
      <c r="D21" s="27">
        <v>331.50360000000001</v>
      </c>
      <c r="E21" s="28">
        <f t="shared" si="0"/>
        <v>1.9212700602472883</v>
      </c>
      <c r="F21" s="27">
        <v>16708.11</v>
      </c>
      <c r="G21" s="29">
        <v>17798.77</v>
      </c>
      <c r="I21"/>
      <c r="J21" t="s">
        <v>38</v>
      </c>
      <c r="K21">
        <v>17478.36</v>
      </c>
      <c r="L21">
        <v>844.08900000000006</v>
      </c>
      <c r="M21" s="18">
        <v>4.8293375351005476</v>
      </c>
      <c r="N21">
        <v>15823.77</v>
      </c>
      <c r="O21">
        <v>19132.95</v>
      </c>
      <c r="P21" s="19"/>
      <c r="Q21"/>
      <c r="R21"/>
    </row>
    <row r="22" spans="1:18" x14ac:dyDescent="0.25">
      <c r="A22" s="25" t="s">
        <v>40</v>
      </c>
      <c r="B22" s="26" t="s">
        <v>41</v>
      </c>
      <c r="C22" s="27">
        <v>17520.768654074072</v>
      </c>
      <c r="D22" s="27">
        <v>746.1268</v>
      </c>
      <c r="E22" s="28">
        <f t="shared" si="0"/>
        <v>4.258527777698295</v>
      </c>
      <c r="F22" s="27">
        <v>16295.97</v>
      </c>
      <c r="G22" s="29">
        <v>18750.75</v>
      </c>
      <c r="I22"/>
      <c r="J22" t="s">
        <v>40</v>
      </c>
      <c r="K22">
        <v>17602.419999999998</v>
      </c>
      <c r="L22">
        <v>1260.2370000000001</v>
      </c>
      <c r="M22" s="18">
        <v>7.1594530752021619</v>
      </c>
      <c r="N22">
        <v>15132.1</v>
      </c>
      <c r="O22">
        <v>20072.75</v>
      </c>
      <c r="P22" s="19"/>
      <c r="Q22"/>
      <c r="R22"/>
    </row>
    <row r="23" spans="1:18" ht="51" x14ac:dyDescent="0.25">
      <c r="A23" s="25" t="s">
        <v>42</v>
      </c>
      <c r="B23" s="26" t="s">
        <v>43</v>
      </c>
      <c r="C23" s="27">
        <v>18570.846114698386</v>
      </c>
      <c r="D23" s="27">
        <v>2116.9479999999999</v>
      </c>
      <c r="E23" s="28">
        <f t="shared" si="0"/>
        <v>11.399308286360121</v>
      </c>
      <c r="F23" s="27">
        <v>15081.95</v>
      </c>
      <c r="G23" s="29">
        <v>22046.77</v>
      </c>
      <c r="I23"/>
      <c r="J23" t="s">
        <v>44</v>
      </c>
      <c r="K23">
        <v>15984.36</v>
      </c>
      <c r="L23">
        <v>839.39670000000001</v>
      </c>
      <c r="M23" s="18">
        <v>5.2513625819238303</v>
      </c>
      <c r="N23">
        <v>14338.97</v>
      </c>
      <c r="O23">
        <v>17629.75</v>
      </c>
      <c r="P23" s="19"/>
      <c r="Q23"/>
      <c r="R23"/>
    </row>
    <row r="24" spans="1:18" x14ac:dyDescent="0.25">
      <c r="A24" s="25" t="s">
        <v>45</v>
      </c>
      <c r="B24" s="26" t="s">
        <v>46</v>
      </c>
      <c r="C24" s="27">
        <v>18588.219432236841</v>
      </c>
      <c r="D24" s="27">
        <v>300.63709999999998</v>
      </c>
      <c r="E24" s="28">
        <f t="shared" si="0"/>
        <v>1.6173528674759265</v>
      </c>
      <c r="F24" s="27">
        <v>18092.900000000001</v>
      </c>
      <c r="G24" s="29">
        <v>19082</v>
      </c>
      <c r="I24"/>
      <c r="J24" t="s">
        <v>45</v>
      </c>
      <c r="K24">
        <v>20304.46</v>
      </c>
      <c r="L24">
        <v>1716.135</v>
      </c>
      <c r="M24" s="18">
        <v>8.4520100509937226</v>
      </c>
      <c r="N24">
        <v>16940.48</v>
      </c>
      <c r="O24">
        <v>23668.44</v>
      </c>
      <c r="P24" s="19"/>
      <c r="Q24"/>
      <c r="R24"/>
    </row>
    <row r="25" spans="1:18" x14ac:dyDescent="0.25">
      <c r="A25" s="25" t="s">
        <v>47</v>
      </c>
      <c r="B25" s="26" t="s">
        <v>48</v>
      </c>
      <c r="C25" s="27">
        <v>18215.506429770317</v>
      </c>
      <c r="D25" s="27">
        <v>576.20219999999995</v>
      </c>
      <c r="E25" s="28">
        <f t="shared" si="0"/>
        <v>3.1632510587698519</v>
      </c>
      <c r="F25" s="27">
        <v>17268.02</v>
      </c>
      <c r="G25" s="29">
        <v>19163.740000000002</v>
      </c>
      <c r="I25"/>
      <c r="J25" t="s">
        <v>47</v>
      </c>
      <c r="K25">
        <v>15107.01</v>
      </c>
      <c r="L25">
        <v>554.8338</v>
      </c>
      <c r="M25" s="18">
        <v>3.6726910222472875</v>
      </c>
      <c r="N25">
        <v>14019.42</v>
      </c>
      <c r="O25">
        <v>16194.6</v>
      </c>
      <c r="P25" s="19"/>
      <c r="Q25"/>
      <c r="R25"/>
    </row>
    <row r="26" spans="1:18" x14ac:dyDescent="0.25">
      <c r="A26" s="25" t="s">
        <v>49</v>
      </c>
      <c r="B26" s="26" t="s">
        <v>50</v>
      </c>
      <c r="C26" s="27">
        <v>19046.874413407822</v>
      </c>
      <c r="D26" s="27">
        <v>1326.328</v>
      </c>
      <c r="E26" s="28">
        <f t="shared" si="0"/>
        <v>6.9634942259415915</v>
      </c>
      <c r="F26" s="27">
        <v>16873.91</v>
      </c>
      <c r="G26" s="29">
        <v>21237.57</v>
      </c>
      <c r="I26"/>
      <c r="J26" t="s">
        <v>49</v>
      </c>
      <c r="K26">
        <v>22765.33</v>
      </c>
      <c r="L26">
        <v>3058.7550000000001</v>
      </c>
      <c r="M26" s="18">
        <v>13.436023110580869</v>
      </c>
      <c r="N26">
        <v>16769.53</v>
      </c>
      <c r="O26">
        <v>28761.119999999999</v>
      </c>
      <c r="P26" s="19"/>
      <c r="Q26"/>
      <c r="R26"/>
    </row>
    <row r="27" spans="1:18" x14ac:dyDescent="0.25">
      <c r="A27" s="25" t="s">
        <v>51</v>
      </c>
      <c r="B27" s="26" t="s">
        <v>52</v>
      </c>
      <c r="C27" s="27">
        <v>22150.541929111841</v>
      </c>
      <c r="D27" s="27">
        <v>885.57100000000003</v>
      </c>
      <c r="E27" s="28">
        <f t="shared" si="0"/>
        <v>3.9979653898946768</v>
      </c>
      <c r="F27" s="27">
        <v>20693.18</v>
      </c>
      <c r="G27" s="29">
        <v>23606.73</v>
      </c>
      <c r="I27"/>
      <c r="J27" t="s">
        <v>51</v>
      </c>
      <c r="K27">
        <v>19694.09</v>
      </c>
      <c r="L27">
        <v>706.39890000000003</v>
      </c>
      <c r="M27" s="18">
        <v>3.5868572754567487</v>
      </c>
      <c r="N27">
        <v>18309.400000000001</v>
      </c>
      <c r="O27">
        <v>21078.78</v>
      </c>
      <c r="P27" s="19"/>
      <c r="Q27"/>
      <c r="R27"/>
    </row>
    <row r="28" spans="1:18" ht="25.5" x14ac:dyDescent="0.25">
      <c r="A28" s="25" t="s">
        <v>53</v>
      </c>
      <c r="B28" s="26" t="s">
        <v>54</v>
      </c>
      <c r="C28" s="27">
        <v>17585.682630298819</v>
      </c>
      <c r="D28" s="27">
        <v>880.76679999999999</v>
      </c>
      <c r="E28" s="28">
        <f t="shared" si="0"/>
        <v>5.0084311113547813</v>
      </c>
      <c r="F28" s="27">
        <v>16135.72</v>
      </c>
      <c r="G28" s="29">
        <v>19033.46</v>
      </c>
      <c r="I28"/>
      <c r="J28" t="s">
        <v>53</v>
      </c>
      <c r="K28">
        <v>19872.900000000001</v>
      </c>
      <c r="L28">
        <v>1473.739</v>
      </c>
      <c r="M28" s="18">
        <v>7.4158225523199937</v>
      </c>
      <c r="N28">
        <v>16984.060000000001</v>
      </c>
      <c r="O28">
        <v>22761.73</v>
      </c>
      <c r="P28" s="19"/>
      <c r="Q28"/>
      <c r="R28"/>
    </row>
    <row r="29" spans="1:18" x14ac:dyDescent="0.25">
      <c r="A29" s="25" t="s">
        <v>55</v>
      </c>
      <c r="B29" s="26" t="s">
        <v>56</v>
      </c>
      <c r="C29" s="27">
        <v>18730.451659456539</v>
      </c>
      <c r="D29" s="27">
        <v>451.0677</v>
      </c>
      <c r="E29" s="28">
        <f t="shared" si="0"/>
        <v>2.4082051420915263</v>
      </c>
      <c r="F29" s="27">
        <v>17988.919999999998</v>
      </c>
      <c r="G29" s="29">
        <v>19472.95</v>
      </c>
      <c r="I29"/>
      <c r="J29" t="s">
        <v>57</v>
      </c>
      <c r="K29">
        <v>19048.66</v>
      </c>
      <c r="L29">
        <v>850.15819999999997</v>
      </c>
      <c r="M29" s="18">
        <v>4.4630866423149973</v>
      </c>
      <c r="N29">
        <v>17382.18</v>
      </c>
      <c r="O29">
        <v>20715.150000000001</v>
      </c>
      <c r="P29" s="19"/>
      <c r="Q29"/>
      <c r="R29"/>
    </row>
    <row r="30" spans="1:18" x14ac:dyDescent="0.25">
      <c r="A30" s="25" t="s">
        <v>58</v>
      </c>
      <c r="B30" s="26" t="s">
        <v>59</v>
      </c>
      <c r="C30" s="27">
        <v>19643.396531676739</v>
      </c>
      <c r="D30" s="27">
        <v>703.08900000000006</v>
      </c>
      <c r="E30" s="28">
        <f t="shared" si="0"/>
        <v>3.5792638959673084</v>
      </c>
      <c r="F30" s="27">
        <v>18484.689999999999</v>
      </c>
      <c r="G30" s="29">
        <v>20797.87</v>
      </c>
      <c r="I30"/>
      <c r="J30" t="s">
        <v>58</v>
      </c>
      <c r="K30">
        <v>21304.51</v>
      </c>
      <c r="L30">
        <v>1677.3009999999999</v>
      </c>
      <c r="M30" s="18">
        <v>7.872985579109776</v>
      </c>
      <c r="N30">
        <v>18016.650000000001</v>
      </c>
      <c r="O30">
        <v>24592.37</v>
      </c>
      <c r="P30" s="19"/>
      <c r="Q30"/>
      <c r="R30"/>
    </row>
    <row r="31" spans="1:18" x14ac:dyDescent="0.25">
      <c r="A31" s="25" t="s">
        <v>60</v>
      </c>
      <c r="B31" s="26" t="s">
        <v>61</v>
      </c>
      <c r="C31" s="27">
        <v>18611.541449413806</v>
      </c>
      <c r="D31" s="27">
        <v>893.42259999999999</v>
      </c>
      <c r="E31" s="28">
        <f t="shared" si="0"/>
        <v>4.8003686445226679</v>
      </c>
      <c r="F31" s="27">
        <v>17145.52</v>
      </c>
      <c r="G31" s="29">
        <v>20084.91</v>
      </c>
      <c r="I31"/>
      <c r="J31" t="s">
        <v>60</v>
      </c>
      <c r="K31">
        <v>19929.759999999998</v>
      </c>
      <c r="L31">
        <v>1656.4190000000001</v>
      </c>
      <c r="M31" s="18">
        <v>8.311284230216522</v>
      </c>
      <c r="N31">
        <v>16682.84</v>
      </c>
      <c r="O31">
        <v>23176.69</v>
      </c>
      <c r="P31" s="19"/>
      <c r="Q31"/>
      <c r="R31"/>
    </row>
    <row r="32" spans="1:18" ht="25.5" x14ac:dyDescent="0.25">
      <c r="A32" s="25" t="s">
        <v>62</v>
      </c>
      <c r="B32" s="26" t="s">
        <v>63</v>
      </c>
      <c r="C32" s="27">
        <v>19309.671895068393</v>
      </c>
      <c r="D32" s="27">
        <v>369.46870000000001</v>
      </c>
      <c r="E32" s="28">
        <f t="shared" si="0"/>
        <v>1.9133867318292481</v>
      </c>
      <c r="F32" s="27">
        <v>18700.560000000001</v>
      </c>
      <c r="G32" s="29">
        <v>19916.13</v>
      </c>
      <c r="I32"/>
      <c r="J32" t="s">
        <v>62</v>
      </c>
      <c r="K32">
        <v>19172.91</v>
      </c>
      <c r="L32">
        <v>665.25379999999996</v>
      </c>
      <c r="M32" s="18">
        <v>3.4697591549743882</v>
      </c>
      <c r="N32">
        <v>17868.87</v>
      </c>
      <c r="O32">
        <v>20476.939999999999</v>
      </c>
      <c r="P32" s="19"/>
      <c r="Q32"/>
      <c r="R32"/>
    </row>
    <row r="33" spans="1:18" x14ac:dyDescent="0.25">
      <c r="A33" s="25" t="s">
        <v>64</v>
      </c>
      <c r="B33" s="26" t="s">
        <v>65</v>
      </c>
      <c r="C33" s="27">
        <v>22559.852093484089</v>
      </c>
      <c r="D33" s="27">
        <v>2006.481</v>
      </c>
      <c r="E33" s="28">
        <f t="shared" si="0"/>
        <v>8.8940343743633292</v>
      </c>
      <c r="F33" s="27">
        <v>19259.43</v>
      </c>
      <c r="G33" s="29">
        <v>25860.81</v>
      </c>
      <c r="I33"/>
      <c r="J33" t="s">
        <v>64</v>
      </c>
      <c r="K33">
        <v>21596.32</v>
      </c>
      <c r="L33">
        <v>1673.4570000000001</v>
      </c>
      <c r="M33" s="18">
        <v>7.7488062781066418</v>
      </c>
      <c r="N33">
        <v>18316</v>
      </c>
      <c r="O33">
        <v>24876.65</v>
      </c>
      <c r="P33" s="19"/>
      <c r="Q33"/>
      <c r="R33"/>
    </row>
    <row r="34" spans="1:18" x14ac:dyDescent="0.25">
      <c r="A34" s="25" t="s">
        <v>66</v>
      </c>
      <c r="B34" s="26" t="s">
        <v>67</v>
      </c>
      <c r="C34" s="27">
        <v>18225.676394559305</v>
      </c>
      <c r="D34" s="27">
        <v>589.59540000000004</v>
      </c>
      <c r="E34" s="28">
        <f t="shared" si="0"/>
        <v>3.2349712967360977</v>
      </c>
      <c r="F34" s="27">
        <v>17256.439999999999</v>
      </c>
      <c r="G34" s="29">
        <v>19196.22</v>
      </c>
      <c r="I34"/>
      <c r="J34" t="s">
        <v>66</v>
      </c>
      <c r="K34">
        <v>19735.490000000002</v>
      </c>
      <c r="L34">
        <v>888.09069999999997</v>
      </c>
      <c r="M34" s="18">
        <v>4.499967824462427</v>
      </c>
      <c r="N34">
        <v>17994.650000000001</v>
      </c>
      <c r="O34">
        <v>21476.33</v>
      </c>
      <c r="P34" s="19"/>
      <c r="Q34"/>
      <c r="R34"/>
    </row>
    <row r="35" spans="1:18" x14ac:dyDescent="0.25">
      <c r="A35" s="25" t="s">
        <v>68</v>
      </c>
      <c r="B35" s="26" t="s">
        <v>69</v>
      </c>
      <c r="C35" s="27">
        <v>17302.651316279069</v>
      </c>
      <c r="D35" s="27">
        <v>269.23860000000002</v>
      </c>
      <c r="E35" s="28">
        <f t="shared" si="0"/>
        <v>1.5560540120616595</v>
      </c>
      <c r="F35" s="27">
        <v>16861.95</v>
      </c>
      <c r="G35" s="29">
        <v>17747.759999999998</v>
      </c>
      <c r="I35"/>
      <c r="J35" t="s">
        <v>68</v>
      </c>
      <c r="K35">
        <v>19510.990000000002</v>
      </c>
      <c r="L35">
        <v>3166.3890000000001</v>
      </c>
      <c r="M35" s="18">
        <v>16.228745952921916</v>
      </c>
      <c r="N35">
        <v>13304.21</v>
      </c>
      <c r="O35">
        <v>25717.77</v>
      </c>
      <c r="P35" s="19"/>
      <c r="Q35"/>
      <c r="R35"/>
    </row>
    <row r="36" spans="1:18" x14ac:dyDescent="0.25">
      <c r="A36" s="25" t="s">
        <v>70</v>
      </c>
      <c r="B36" s="26" t="s">
        <v>71</v>
      </c>
      <c r="C36" s="27">
        <v>22879.54650877825</v>
      </c>
      <c r="D36" s="27">
        <v>3206.0729999999999</v>
      </c>
      <c r="E36" s="28">
        <f t="shared" si="0"/>
        <v>14.012834558455598</v>
      </c>
      <c r="F36" s="27">
        <v>17606.240000000002</v>
      </c>
      <c r="G36" s="29">
        <v>28154.31</v>
      </c>
      <c r="I36"/>
      <c r="J36" t="s">
        <v>70</v>
      </c>
      <c r="K36">
        <v>23258.04</v>
      </c>
      <c r="L36">
        <v>1358.26</v>
      </c>
      <c r="M36" s="18">
        <v>5.8399589991246037</v>
      </c>
      <c r="N36">
        <v>20595.560000000001</v>
      </c>
      <c r="O36">
        <v>25920.51</v>
      </c>
      <c r="P36" s="19"/>
      <c r="Q36"/>
      <c r="R36"/>
    </row>
    <row r="37" spans="1:18" ht="25.5" x14ac:dyDescent="0.25">
      <c r="A37" s="30" t="s">
        <v>72</v>
      </c>
      <c r="B37" s="26" t="s">
        <v>73</v>
      </c>
      <c r="C37" s="27">
        <v>16178.677412815627</v>
      </c>
      <c r="D37" s="27">
        <v>1323.2729999999999</v>
      </c>
      <c r="E37" s="28">
        <f t="shared" si="0"/>
        <v>8.1791172803272207</v>
      </c>
      <c r="F37" s="27">
        <v>14001.87</v>
      </c>
      <c r="G37" s="29">
        <v>18355.48</v>
      </c>
      <c r="I37"/>
      <c r="J37" t="s">
        <v>72</v>
      </c>
      <c r="K37">
        <v>20884.84</v>
      </c>
      <c r="L37">
        <v>2278.2570000000001</v>
      </c>
      <c r="M37" s="18">
        <v>10.908663892086318</v>
      </c>
      <c r="N37">
        <v>16418.98</v>
      </c>
      <c r="O37">
        <v>25350.69</v>
      </c>
      <c r="P37" s="19"/>
      <c r="Q37"/>
      <c r="R37"/>
    </row>
    <row r="38" spans="1:18" x14ac:dyDescent="0.25">
      <c r="A38" s="25" t="s">
        <v>74</v>
      </c>
      <c r="B38" s="26" t="s">
        <v>75</v>
      </c>
      <c r="C38" s="27">
        <v>25681.613974910393</v>
      </c>
      <c r="D38" s="27">
        <v>1789.999</v>
      </c>
      <c r="E38" s="28">
        <f t="shared" si="0"/>
        <v>6.9699630317188648</v>
      </c>
      <c r="F38" s="27">
        <v>22759.15</v>
      </c>
      <c r="G38" s="29">
        <v>28648.3</v>
      </c>
      <c r="I38"/>
      <c r="J38" t="s">
        <v>74</v>
      </c>
      <c r="K38">
        <v>21586.15</v>
      </c>
      <c r="L38">
        <v>1834.039</v>
      </c>
      <c r="M38" s="18">
        <v>8.4963691996951738</v>
      </c>
      <c r="N38">
        <v>17991.05</v>
      </c>
      <c r="O38">
        <v>25181.25</v>
      </c>
      <c r="P38" s="19"/>
      <c r="Q38"/>
      <c r="R38"/>
    </row>
    <row r="39" spans="1:18" x14ac:dyDescent="0.25">
      <c r="A39" s="25" t="s">
        <v>76</v>
      </c>
      <c r="B39" s="26" t="s">
        <v>77</v>
      </c>
      <c r="C39" s="27">
        <v>19386.244267183643</v>
      </c>
      <c r="D39" s="27">
        <v>621.87789999999995</v>
      </c>
      <c r="E39" s="28">
        <f t="shared" si="0"/>
        <v>3.2078307248645013</v>
      </c>
      <c r="F39" s="27">
        <v>18361.580000000002</v>
      </c>
      <c r="G39" s="29">
        <v>20407.580000000002</v>
      </c>
      <c r="I39"/>
      <c r="J39" t="s">
        <v>76</v>
      </c>
      <c r="K39">
        <v>19074.990000000002</v>
      </c>
      <c r="L39">
        <v>1885.9559999999999</v>
      </c>
      <c r="M39" s="18">
        <v>9.8870615397439252</v>
      </c>
      <c r="N39">
        <v>15378.12</v>
      </c>
      <c r="O39">
        <v>22771.86</v>
      </c>
      <c r="P39" s="19"/>
      <c r="Q39"/>
      <c r="R39"/>
    </row>
    <row r="40" spans="1:18" x14ac:dyDescent="0.25">
      <c r="A40" s="25" t="s">
        <v>78</v>
      </c>
      <c r="B40" s="26" t="s">
        <v>79</v>
      </c>
      <c r="C40" s="27">
        <v>21265.014832214765</v>
      </c>
      <c r="D40" s="27">
        <v>976.48209999999995</v>
      </c>
      <c r="E40" s="28"/>
      <c r="F40" s="27">
        <v>19655.849999999999</v>
      </c>
      <c r="G40" s="29">
        <v>22868.5</v>
      </c>
      <c r="I40"/>
      <c r="J40"/>
      <c r="K40"/>
      <c r="L40"/>
      <c r="M40" s="18"/>
      <c r="N40"/>
      <c r="O40"/>
      <c r="P40" s="19"/>
      <c r="Q40"/>
      <c r="R40"/>
    </row>
    <row r="41" spans="1:18" x14ac:dyDescent="0.25">
      <c r="A41" s="25" t="s">
        <v>80</v>
      </c>
      <c r="B41" s="26" t="s">
        <v>81</v>
      </c>
      <c r="C41" s="27">
        <v>17809.492608931803</v>
      </c>
      <c r="D41" s="27">
        <v>333.68079999999998</v>
      </c>
      <c r="E41" s="28">
        <f t="shared" si="0"/>
        <v>1.8736120524436086</v>
      </c>
      <c r="F41" s="27">
        <v>17258.89</v>
      </c>
      <c r="G41" s="29">
        <v>18356.71</v>
      </c>
      <c r="I41"/>
      <c r="J41" t="s">
        <v>78</v>
      </c>
      <c r="K41">
        <v>19456.78</v>
      </c>
      <c r="L41">
        <v>909.80399999999997</v>
      </c>
      <c r="M41" s="18">
        <v>4.6760255294041455</v>
      </c>
      <c r="N41">
        <v>17673.38</v>
      </c>
      <c r="O41">
        <v>21240.19</v>
      </c>
      <c r="P41" s="19"/>
      <c r="Q41"/>
      <c r="R41"/>
    </row>
    <row r="42" spans="1:18" ht="25.5" x14ac:dyDescent="0.25">
      <c r="A42" s="23" t="s">
        <v>82</v>
      </c>
      <c r="B42" s="24" t="s">
        <v>83</v>
      </c>
      <c r="C42" s="15">
        <v>30397.624177187423</v>
      </c>
      <c r="D42" s="15">
        <v>973.38099999999997</v>
      </c>
      <c r="E42" s="16">
        <f t="shared" si="0"/>
        <v>3.2021614397433584</v>
      </c>
      <c r="F42" s="15">
        <v>28793.88</v>
      </c>
      <c r="G42" s="17">
        <v>31996.33</v>
      </c>
      <c r="I42"/>
      <c r="J42" t="s">
        <v>82</v>
      </c>
      <c r="K42">
        <v>30675.77</v>
      </c>
      <c r="L42">
        <v>1350.8030000000001</v>
      </c>
      <c r="M42" s="18">
        <v>4.4034852262877182</v>
      </c>
      <c r="N42">
        <v>28027.91</v>
      </c>
      <c r="O42">
        <v>33323.620000000003</v>
      </c>
      <c r="P42" s="19"/>
      <c r="Q42"/>
      <c r="R42"/>
    </row>
    <row r="43" spans="1:18" ht="25.5" x14ac:dyDescent="0.25">
      <c r="A43" s="23" t="s">
        <v>84</v>
      </c>
      <c r="B43" s="24" t="s">
        <v>85</v>
      </c>
      <c r="C43" s="15">
        <v>21855.701845508196</v>
      </c>
      <c r="D43" s="15">
        <v>310.41660000000002</v>
      </c>
      <c r="E43" s="16">
        <f t="shared" si="0"/>
        <v>1.420300305129744</v>
      </c>
      <c r="F43" s="15">
        <v>21346.13</v>
      </c>
      <c r="G43" s="17">
        <v>22367.41</v>
      </c>
      <c r="I43"/>
      <c r="J43" t="s">
        <v>84</v>
      </c>
      <c r="K43">
        <v>23884.639999999999</v>
      </c>
      <c r="L43">
        <v>960.00319999999999</v>
      </c>
      <c r="M43" s="18">
        <v>4.0193329269354701</v>
      </c>
      <c r="N43">
        <v>22002.84</v>
      </c>
      <c r="O43">
        <v>25766.45</v>
      </c>
      <c r="P43" s="19"/>
      <c r="Q43"/>
      <c r="R43"/>
    </row>
    <row r="44" spans="1:18" x14ac:dyDescent="0.25">
      <c r="A44" s="25" t="s">
        <v>86</v>
      </c>
      <c r="B44" s="26" t="s">
        <v>87</v>
      </c>
      <c r="C44" s="27">
        <v>22540.399153558752</v>
      </c>
      <c r="D44" s="27">
        <v>431.30369999999999</v>
      </c>
      <c r="E44" s="28">
        <f t="shared" si="0"/>
        <v>1.9134696642313203</v>
      </c>
      <c r="F44" s="27">
        <v>21830</v>
      </c>
      <c r="G44" s="29">
        <v>23249</v>
      </c>
      <c r="I44"/>
      <c r="J44" t="s">
        <v>86</v>
      </c>
      <c r="K44">
        <v>24926.19</v>
      </c>
      <c r="L44">
        <v>1059.3779999999999</v>
      </c>
      <c r="M44" s="18">
        <v>4.250059876780206</v>
      </c>
      <c r="N44">
        <v>22849.58</v>
      </c>
      <c r="O44">
        <v>27002.79</v>
      </c>
      <c r="P44" s="19"/>
      <c r="Q44"/>
      <c r="R44"/>
    </row>
    <row r="45" spans="1:18" ht="38.25" x14ac:dyDescent="0.25">
      <c r="A45" s="31" t="s">
        <v>88</v>
      </c>
      <c r="B45" s="32" t="s">
        <v>89</v>
      </c>
      <c r="C45" s="27">
        <v>20251.417834874504</v>
      </c>
      <c r="D45" s="27">
        <v>242.73009999999999</v>
      </c>
      <c r="E45" s="28">
        <f t="shared" si="0"/>
        <v>1.1985832398460519</v>
      </c>
      <c r="F45" s="27">
        <v>19848.439999999999</v>
      </c>
      <c r="G45" s="29">
        <v>20647.03</v>
      </c>
      <c r="I45"/>
      <c r="J45" t="s">
        <v>90</v>
      </c>
      <c r="K45">
        <v>16489.75</v>
      </c>
      <c r="L45">
        <v>881.9135</v>
      </c>
      <c r="M45" s="18">
        <v>5.348252702436362</v>
      </c>
      <c r="N45">
        <v>14761.02</v>
      </c>
      <c r="O45">
        <v>18218.490000000002</v>
      </c>
      <c r="P45" s="19"/>
      <c r="Q45"/>
      <c r="R45"/>
    </row>
    <row r="46" spans="1:18" x14ac:dyDescent="0.25">
      <c r="A46" s="23" t="s">
        <v>91</v>
      </c>
      <c r="B46" s="24" t="s">
        <v>92</v>
      </c>
      <c r="C46" s="15">
        <v>18642.527737656939</v>
      </c>
      <c r="D46" s="15">
        <v>277.58679999999998</v>
      </c>
      <c r="E46" s="16">
        <f t="shared" si="0"/>
        <v>1.4889976504596478</v>
      </c>
      <c r="F46" s="15">
        <v>18186</v>
      </c>
      <c r="G46" s="17">
        <v>19099.27</v>
      </c>
      <c r="I46"/>
      <c r="J46" t="s">
        <v>93</v>
      </c>
      <c r="K46">
        <v>19998.740000000002</v>
      </c>
      <c r="L46">
        <v>477.30560000000003</v>
      </c>
      <c r="M46" s="18">
        <v>2.3866783607367261</v>
      </c>
      <c r="N46">
        <v>19063.13</v>
      </c>
      <c r="O46">
        <v>20934.36</v>
      </c>
      <c r="P46" s="19"/>
      <c r="Q46"/>
      <c r="R46"/>
    </row>
    <row r="47" spans="1:18" ht="25.5" x14ac:dyDescent="0.25">
      <c r="A47" s="23" t="s">
        <v>94</v>
      </c>
      <c r="B47" s="24" t="s">
        <v>95</v>
      </c>
      <c r="C47" s="15">
        <v>16784.236614657821</v>
      </c>
      <c r="D47" s="15">
        <v>106.081</v>
      </c>
      <c r="E47" s="16">
        <f t="shared" si="0"/>
        <v>0.63202755320643256</v>
      </c>
      <c r="F47" s="15">
        <v>16609.740000000002</v>
      </c>
      <c r="G47" s="17">
        <v>16958.75</v>
      </c>
      <c r="I47"/>
      <c r="J47" t="s">
        <v>94</v>
      </c>
      <c r="K47">
        <v>17206.29</v>
      </c>
      <c r="L47">
        <v>510.58780000000002</v>
      </c>
      <c r="M47" s="18">
        <v>2.9674485319031585</v>
      </c>
      <c r="N47">
        <v>16205.43</v>
      </c>
      <c r="O47">
        <v>18207.14</v>
      </c>
      <c r="P47" s="19"/>
      <c r="Q47"/>
      <c r="R47"/>
    </row>
    <row r="48" spans="1:18" ht="25.5" x14ac:dyDescent="0.25">
      <c r="A48" s="25" t="s">
        <v>96</v>
      </c>
      <c r="B48" s="26" t="s">
        <v>97</v>
      </c>
      <c r="C48" s="27">
        <v>14861.03017412561</v>
      </c>
      <c r="D48" s="27">
        <v>143.666</v>
      </c>
      <c r="E48" s="28">
        <f t="shared" si="0"/>
        <v>0.96672975101103986</v>
      </c>
      <c r="F48" s="27">
        <v>14624.76</v>
      </c>
      <c r="G48" s="29">
        <v>15097.43</v>
      </c>
      <c r="I48"/>
      <c r="J48" t="s">
        <v>96</v>
      </c>
      <c r="K48">
        <v>16167.55</v>
      </c>
      <c r="L48">
        <v>506.93090000000001</v>
      </c>
      <c r="M48" s="18">
        <v>3.1354837313012793</v>
      </c>
      <c r="N48">
        <v>15173.86</v>
      </c>
      <c r="O48">
        <v>17161.240000000002</v>
      </c>
      <c r="P48" s="19"/>
      <c r="Q48"/>
      <c r="R48"/>
    </row>
    <row r="49" spans="1:18" x14ac:dyDescent="0.25">
      <c r="A49" s="25" t="s">
        <v>98</v>
      </c>
      <c r="B49" s="26" t="s">
        <v>99</v>
      </c>
      <c r="C49" s="27">
        <v>19159.619803821563</v>
      </c>
      <c r="D49" s="27">
        <v>172.571</v>
      </c>
      <c r="E49" s="28">
        <f t="shared" si="0"/>
        <v>0.90070158889885232</v>
      </c>
      <c r="F49" s="27">
        <v>18875.79</v>
      </c>
      <c r="G49" s="29">
        <v>19443.560000000001</v>
      </c>
      <c r="I49"/>
      <c r="J49" t="s">
        <v>98</v>
      </c>
      <c r="K49">
        <v>19638.18</v>
      </c>
      <c r="L49">
        <v>1226.4949999999999</v>
      </c>
      <c r="M49" s="18">
        <v>6.2454616466495363</v>
      </c>
      <c r="N49">
        <v>17234</v>
      </c>
      <c r="O49">
        <v>22042.37</v>
      </c>
      <c r="P49" s="19"/>
      <c r="Q49"/>
      <c r="R49"/>
    </row>
    <row r="50" spans="1:18" x14ac:dyDescent="0.25">
      <c r="A50" s="25" t="s">
        <v>100</v>
      </c>
      <c r="B50" s="26" t="s">
        <v>101</v>
      </c>
      <c r="C50" s="27">
        <v>15702.209822992741</v>
      </c>
      <c r="D50" s="27">
        <v>150.3749</v>
      </c>
      <c r="E50" s="28">
        <f t="shared" si="0"/>
        <v>0.95766711625395606</v>
      </c>
      <c r="F50" s="27">
        <v>15454.82</v>
      </c>
      <c r="G50" s="29">
        <v>15949.55</v>
      </c>
      <c r="I50"/>
      <c r="J50" t="s">
        <v>100</v>
      </c>
      <c r="K50">
        <v>15490.57</v>
      </c>
      <c r="L50">
        <v>245.36189999999999</v>
      </c>
      <c r="M50" s="18">
        <v>1.5839436508792122</v>
      </c>
      <c r="N50">
        <v>15009.61</v>
      </c>
      <c r="O50">
        <v>15971.53</v>
      </c>
      <c r="P50" s="19"/>
      <c r="Q50"/>
      <c r="R50"/>
    </row>
    <row r="51" spans="1:18" x14ac:dyDescent="0.25">
      <c r="A51" s="23" t="s">
        <v>102</v>
      </c>
      <c r="B51" s="24" t="s">
        <v>103</v>
      </c>
      <c r="C51" s="15">
        <v>19872.400448798606</v>
      </c>
      <c r="D51" s="15">
        <v>508.8673</v>
      </c>
      <c r="E51" s="16">
        <f t="shared" si="0"/>
        <v>2.560673539722091</v>
      </c>
      <c r="F51" s="15">
        <v>19035.32</v>
      </c>
      <c r="G51" s="17">
        <v>20709.509999999998</v>
      </c>
      <c r="I51"/>
      <c r="J51" t="s">
        <v>102</v>
      </c>
      <c r="K51">
        <v>20000.599999999999</v>
      </c>
      <c r="L51">
        <v>1536.4280000000001</v>
      </c>
      <c r="M51" s="18">
        <v>7.6819095427137194</v>
      </c>
      <c r="N51">
        <v>16988.88</v>
      </c>
      <c r="O51">
        <v>23012.31</v>
      </c>
      <c r="P51" s="19"/>
      <c r="Q51"/>
      <c r="R51"/>
    </row>
    <row r="52" spans="1:18" ht="25.5" x14ac:dyDescent="0.25">
      <c r="A52" s="30" t="s">
        <v>104</v>
      </c>
      <c r="B52" s="26" t="s">
        <v>105</v>
      </c>
      <c r="C52" s="27">
        <v>17144.96816001058</v>
      </c>
      <c r="D52" s="27">
        <v>519.62080000000003</v>
      </c>
      <c r="E52" s="28">
        <f t="shared" si="0"/>
        <v>3.0307481189261036</v>
      </c>
      <c r="F52" s="27">
        <v>16289</v>
      </c>
      <c r="G52" s="29">
        <v>17998.57</v>
      </c>
      <c r="I52"/>
      <c r="J52" t="s">
        <v>106</v>
      </c>
      <c r="K52">
        <v>15997.67</v>
      </c>
      <c r="L52">
        <v>564.16030000000001</v>
      </c>
      <c r="M52" s="18">
        <v>3.5265154238085921</v>
      </c>
      <c r="N52">
        <v>14891.8</v>
      </c>
      <c r="O52">
        <v>17103.54</v>
      </c>
      <c r="P52" s="19"/>
      <c r="Q52"/>
      <c r="R52"/>
    </row>
    <row r="53" spans="1:18" x14ac:dyDescent="0.25">
      <c r="A53" s="25" t="s">
        <v>107</v>
      </c>
      <c r="B53" s="26" t="s">
        <v>108</v>
      </c>
      <c r="C53" s="27">
        <v>16243.740738884397</v>
      </c>
      <c r="D53" s="27">
        <v>788.58600000000001</v>
      </c>
      <c r="E53" s="28">
        <f t="shared" si="0"/>
        <v>4.8547068848019501</v>
      </c>
      <c r="F53" s="27">
        <v>14945.15</v>
      </c>
      <c r="G53" s="29">
        <v>17539.62</v>
      </c>
      <c r="I53"/>
      <c r="J53" t="s">
        <v>107</v>
      </c>
      <c r="K53">
        <v>16605.43</v>
      </c>
      <c r="L53">
        <v>994.70150000000001</v>
      </c>
      <c r="M53" s="18">
        <v>5.9902182599306375</v>
      </c>
      <c r="N53">
        <v>14655.61</v>
      </c>
      <c r="O53">
        <v>18555.25</v>
      </c>
      <c r="P53" s="19"/>
      <c r="Q53"/>
      <c r="R53"/>
    </row>
    <row r="54" spans="1:18" x14ac:dyDescent="0.25">
      <c r="A54" s="25" t="s">
        <v>109</v>
      </c>
      <c r="B54" s="26" t="s">
        <v>110</v>
      </c>
      <c r="C54" s="27">
        <v>18380.455640414508</v>
      </c>
      <c r="D54" s="27">
        <v>1603.895</v>
      </c>
      <c r="E54" s="28">
        <f t="shared" si="0"/>
        <v>8.726089447278957</v>
      </c>
      <c r="F54" s="27">
        <v>15740.3</v>
      </c>
      <c r="G54" s="29">
        <v>21017.16</v>
      </c>
      <c r="I54"/>
      <c r="J54" t="s">
        <v>109</v>
      </c>
      <c r="K54">
        <v>20090.13</v>
      </c>
      <c r="L54">
        <v>1476.184</v>
      </c>
      <c r="M54" s="18">
        <v>7.3478071072710831</v>
      </c>
      <c r="N54">
        <v>17196.5</v>
      </c>
      <c r="O54">
        <v>22983.75</v>
      </c>
      <c r="P54" s="19"/>
      <c r="Q54"/>
      <c r="R54"/>
    </row>
    <row r="55" spans="1:18" x14ac:dyDescent="0.25">
      <c r="A55" s="25" t="s">
        <v>111</v>
      </c>
      <c r="B55" s="26" t="s">
        <v>112</v>
      </c>
      <c r="C55" s="27">
        <v>31047.520284615384</v>
      </c>
      <c r="D55" s="27">
        <v>8718.1540000000005</v>
      </c>
      <c r="E55" s="28">
        <f t="shared" si="0"/>
        <v>28.080033188093307</v>
      </c>
      <c r="F55" s="27">
        <v>16684.400000000001</v>
      </c>
      <c r="G55" s="29">
        <v>45367.38</v>
      </c>
      <c r="I55"/>
      <c r="J55" t="s">
        <v>111</v>
      </c>
      <c r="K55">
        <v>22207.68</v>
      </c>
      <c r="L55">
        <v>931.20050000000003</v>
      </c>
      <c r="M55" s="18">
        <v>4.1931462449026649</v>
      </c>
      <c r="N55">
        <v>20382.34</v>
      </c>
      <c r="O55">
        <v>24033.03</v>
      </c>
      <c r="P55" s="19"/>
      <c r="Q55"/>
      <c r="R55"/>
    </row>
    <row r="56" spans="1:18" x14ac:dyDescent="0.25">
      <c r="A56" s="25" t="s">
        <v>113</v>
      </c>
      <c r="B56" s="26" t="s">
        <v>114</v>
      </c>
      <c r="C56" s="27">
        <v>20966.350284993481</v>
      </c>
      <c r="D56" s="27">
        <v>659.03369999999995</v>
      </c>
      <c r="E56" s="28">
        <f t="shared" si="0"/>
        <v>3.1432924235349566</v>
      </c>
      <c r="F56" s="27">
        <v>19882.41</v>
      </c>
      <c r="G56" s="29">
        <v>22050.65</v>
      </c>
      <c r="I56"/>
      <c r="J56" t="s">
        <v>113</v>
      </c>
      <c r="K56">
        <v>20725.080000000002</v>
      </c>
      <c r="L56">
        <v>2503.3130000000001</v>
      </c>
      <c r="M56" s="18">
        <v>12.078665076322986</v>
      </c>
      <c r="N56">
        <v>15818.06</v>
      </c>
      <c r="O56">
        <v>25632.1</v>
      </c>
      <c r="P56" s="19"/>
      <c r="Q56"/>
      <c r="R56"/>
    </row>
    <row r="57" spans="1:18" x14ac:dyDescent="0.25">
      <c r="A57" s="33" t="s">
        <v>115</v>
      </c>
      <c r="B57" s="34" t="s">
        <v>116</v>
      </c>
      <c r="C57" s="35">
        <v>18033.92248951468</v>
      </c>
      <c r="D57" s="35">
        <v>2317.5430000000001</v>
      </c>
      <c r="E57" s="36">
        <f t="shared" si="0"/>
        <v>12.851020078119282</v>
      </c>
      <c r="F57" s="35">
        <v>14226.95</v>
      </c>
      <c r="G57" s="37">
        <v>21851.73</v>
      </c>
      <c r="I57"/>
      <c r="J57" t="s">
        <v>115</v>
      </c>
      <c r="K57">
        <v>25884.33</v>
      </c>
      <c r="L57">
        <v>4134.7700000000004</v>
      </c>
      <c r="M57" s="18">
        <v>15.97402752939713</v>
      </c>
      <c r="N57">
        <v>17779.32</v>
      </c>
      <c r="O57">
        <v>33989.339999999997</v>
      </c>
      <c r="P57" s="19"/>
      <c r="Q57"/>
      <c r="R57"/>
    </row>
    <row r="58" spans="1:18" ht="30" customHeight="1" x14ac:dyDescent="0.25">
      <c r="A58" s="38" t="s">
        <v>117</v>
      </c>
      <c r="B58" s="39"/>
      <c r="C58" s="39"/>
      <c r="D58" s="39"/>
      <c r="E58" s="39"/>
      <c r="F58" s="39"/>
      <c r="G58" s="39"/>
      <c r="I58"/>
      <c r="J58"/>
      <c r="K58"/>
      <c r="L58"/>
      <c r="M58" s="18"/>
      <c r="N58"/>
      <c r="O58"/>
      <c r="P58" s="19"/>
      <c r="Q58"/>
      <c r="R58"/>
    </row>
    <row r="59" spans="1:18" x14ac:dyDescent="0.25">
      <c r="A59" s="40" t="s">
        <v>118</v>
      </c>
      <c r="B59" s="40"/>
      <c r="C59" s="40"/>
      <c r="D59" s="40"/>
      <c r="E59" s="40"/>
      <c r="F59" s="40"/>
      <c r="G59" s="40"/>
      <c r="I59"/>
      <c r="J59"/>
      <c r="K59"/>
      <c r="L59"/>
      <c r="M59" s="18"/>
      <c r="N59"/>
      <c r="O59"/>
      <c r="P59" s="19"/>
      <c r="Q59"/>
      <c r="R59"/>
    </row>
    <row r="60" spans="1:18" x14ac:dyDescent="0.25">
      <c r="A60" s="41"/>
      <c r="B60" s="41"/>
      <c r="C60" s="41"/>
      <c r="D60" s="41"/>
      <c r="E60" s="42"/>
      <c r="F60" s="42"/>
      <c r="G60" s="42"/>
      <c r="I60"/>
      <c r="J60"/>
      <c r="K60"/>
      <c r="L60"/>
      <c r="M60" s="18"/>
      <c r="N60"/>
      <c r="O60"/>
      <c r="P60" s="19"/>
      <c r="Q60"/>
      <c r="R60"/>
    </row>
    <row r="61" spans="1:18" ht="24.95" customHeight="1" x14ac:dyDescent="0.25">
      <c r="A61" s="43" t="s">
        <v>2</v>
      </c>
      <c r="B61" s="43" t="s">
        <v>3</v>
      </c>
      <c r="C61" s="6" t="s">
        <v>4</v>
      </c>
      <c r="D61" s="6" t="s">
        <v>5</v>
      </c>
      <c r="E61" s="6" t="s">
        <v>6</v>
      </c>
      <c r="F61" s="6" t="s">
        <v>7</v>
      </c>
      <c r="G61" s="6"/>
      <c r="I61"/>
      <c r="J61"/>
      <c r="K61"/>
      <c r="L61"/>
      <c r="M61" s="18"/>
      <c r="N61"/>
      <c r="O61"/>
      <c r="P61" s="19"/>
      <c r="Q61"/>
      <c r="R61"/>
    </row>
    <row r="62" spans="1:18" ht="24.95" customHeight="1" x14ac:dyDescent="0.25">
      <c r="A62" s="44"/>
      <c r="B62" s="44"/>
      <c r="C62" s="6"/>
      <c r="D62" s="6"/>
      <c r="E62" s="6"/>
      <c r="F62" s="7" t="s">
        <v>8</v>
      </c>
      <c r="G62" s="7" t="s">
        <v>9</v>
      </c>
      <c r="I62"/>
      <c r="J62"/>
      <c r="K62"/>
      <c r="L62"/>
      <c r="M62" s="18"/>
      <c r="N62"/>
      <c r="O62"/>
      <c r="P62" s="19"/>
      <c r="Q62"/>
      <c r="R62"/>
    </row>
    <row r="63" spans="1:18" x14ac:dyDescent="0.25">
      <c r="A63" s="45"/>
      <c r="B63" s="46"/>
      <c r="C63" s="47"/>
      <c r="D63" s="47"/>
      <c r="E63" s="47"/>
      <c r="F63" s="47"/>
      <c r="G63" s="48"/>
      <c r="I63"/>
      <c r="J63"/>
      <c r="K63"/>
      <c r="L63"/>
      <c r="M63" s="18"/>
      <c r="N63"/>
      <c r="O63"/>
      <c r="P63" s="19"/>
      <c r="Q63"/>
      <c r="R63"/>
    </row>
    <row r="64" spans="1:18" x14ac:dyDescent="0.25">
      <c r="A64" s="23" t="s">
        <v>119</v>
      </c>
      <c r="B64" s="24" t="s">
        <v>120</v>
      </c>
      <c r="C64" s="15">
        <v>17307.870691571086</v>
      </c>
      <c r="D64" s="15">
        <v>156.88640000000001</v>
      </c>
      <c r="E64" s="16">
        <f>D64/C64*100</f>
        <v>0.90644541316340832</v>
      </c>
      <c r="F64" s="15">
        <v>17049.91</v>
      </c>
      <c r="G64" s="17">
        <v>17566.07</v>
      </c>
      <c r="I64"/>
      <c r="J64" t="s">
        <v>121</v>
      </c>
      <c r="K64">
        <v>17501.09</v>
      </c>
      <c r="L64">
        <v>453.16239999999999</v>
      </c>
      <c r="M64" s="18">
        <v>2.5893381497952412</v>
      </c>
      <c r="N64">
        <v>16612.79</v>
      </c>
      <c r="O64">
        <v>18389.38</v>
      </c>
      <c r="P64" s="19"/>
      <c r="Q64"/>
      <c r="R64"/>
    </row>
    <row r="65" spans="1:18" x14ac:dyDescent="0.25">
      <c r="A65" s="23" t="s">
        <v>122</v>
      </c>
      <c r="B65" s="24" t="s">
        <v>123</v>
      </c>
      <c r="C65" s="15">
        <v>25648.995287734157</v>
      </c>
      <c r="D65" s="15">
        <v>679.02089999999998</v>
      </c>
      <c r="E65" s="16">
        <f t="shared" ref="E65:E105" si="1">D65/C65*100</f>
        <v>2.6473586679815129</v>
      </c>
      <c r="F65" s="15">
        <v>24531.15</v>
      </c>
      <c r="G65" s="17">
        <v>26765.15</v>
      </c>
      <c r="I65"/>
      <c r="J65" t="s">
        <v>122</v>
      </c>
      <c r="K65">
        <v>30731.47</v>
      </c>
      <c r="L65">
        <v>1663.165</v>
      </c>
      <c r="M65" s="18">
        <v>5.4119279032210299</v>
      </c>
      <c r="N65">
        <v>27471.32</v>
      </c>
      <c r="O65">
        <v>33991.61</v>
      </c>
      <c r="P65" s="19"/>
      <c r="Q65"/>
      <c r="R65"/>
    </row>
    <row r="66" spans="1:18" x14ac:dyDescent="0.25">
      <c r="A66" s="25" t="s">
        <v>124</v>
      </c>
      <c r="B66" s="26" t="s">
        <v>125</v>
      </c>
      <c r="C66" s="27">
        <v>24000.355177476413</v>
      </c>
      <c r="D66" s="27">
        <v>2286.6680000000001</v>
      </c>
      <c r="E66" s="28">
        <f t="shared" si="1"/>
        <v>9.5276423331683322</v>
      </c>
      <c r="F66" s="27">
        <v>20240.98</v>
      </c>
      <c r="G66" s="29">
        <v>27764.19</v>
      </c>
      <c r="I66"/>
      <c r="J66" t="s">
        <v>124</v>
      </c>
      <c r="K66">
        <v>27267.41</v>
      </c>
      <c r="L66">
        <v>3711.2359999999999</v>
      </c>
      <c r="M66" s="18">
        <v>13.610518930840881</v>
      </c>
      <c r="N66">
        <v>19992.61</v>
      </c>
      <c r="O66">
        <v>34542.199999999997</v>
      </c>
      <c r="P66" s="19"/>
      <c r="Q66"/>
      <c r="R66"/>
    </row>
    <row r="67" spans="1:18" ht="25.5" x14ac:dyDescent="0.25">
      <c r="A67" s="25" t="s">
        <v>126</v>
      </c>
      <c r="B67" s="26" t="s">
        <v>127</v>
      </c>
      <c r="C67" s="27">
        <v>20105.360290540539</v>
      </c>
      <c r="D67" s="27">
        <v>1443.7049999999999</v>
      </c>
      <c r="E67" s="28">
        <f t="shared" si="1"/>
        <v>7.1806969839742454</v>
      </c>
      <c r="F67" s="27">
        <v>17738.8</v>
      </c>
      <c r="G67" s="29">
        <v>22488.63</v>
      </c>
      <c r="I67"/>
      <c r="J67" t="s">
        <v>128</v>
      </c>
      <c r="K67">
        <v>21295.41</v>
      </c>
      <c r="L67">
        <v>1125.377</v>
      </c>
      <c r="M67" s="18">
        <v>5.2845988877415362</v>
      </c>
      <c r="N67">
        <v>19089.439999999999</v>
      </c>
      <c r="O67">
        <v>23501.39</v>
      </c>
      <c r="P67" s="19"/>
      <c r="Q67"/>
      <c r="R67"/>
    </row>
    <row r="68" spans="1:18" x14ac:dyDescent="0.25">
      <c r="A68" s="25" t="s">
        <v>129</v>
      </c>
      <c r="B68" s="26" t="s">
        <v>130</v>
      </c>
      <c r="C68" s="27">
        <v>22300.96809539121</v>
      </c>
      <c r="D68" s="27">
        <v>1260.4480000000001</v>
      </c>
      <c r="E68" s="28">
        <f t="shared" si="1"/>
        <v>5.6519878177866563</v>
      </c>
      <c r="F68" s="27">
        <v>20238.259999999998</v>
      </c>
      <c r="G68" s="29">
        <v>24385.17</v>
      </c>
      <c r="I68"/>
      <c r="J68" t="s">
        <v>131</v>
      </c>
      <c r="K68">
        <v>25527.27</v>
      </c>
      <c r="L68" t="s">
        <v>132</v>
      </c>
      <c r="M68" s="18" t="e">
        <v>#VALUE!</v>
      </c>
      <c r="N68" t="s">
        <v>132</v>
      </c>
      <c r="O68" t="s">
        <v>132</v>
      </c>
      <c r="P68" s="19"/>
      <c r="Q68"/>
      <c r="R68"/>
    </row>
    <row r="69" spans="1:18" x14ac:dyDescent="0.25">
      <c r="A69" s="25" t="s">
        <v>133</v>
      </c>
      <c r="B69" s="26" t="s">
        <v>134</v>
      </c>
      <c r="C69" s="27">
        <v>21240.030510754317</v>
      </c>
      <c r="D69" s="27">
        <v>1557.8230000000001</v>
      </c>
      <c r="E69" s="28">
        <f t="shared" si="1"/>
        <v>7.3343727035196036</v>
      </c>
      <c r="F69" s="27">
        <v>18679.740000000002</v>
      </c>
      <c r="G69" s="29">
        <v>23805.03</v>
      </c>
      <c r="I69"/>
      <c r="J69" t="s">
        <v>133</v>
      </c>
      <c r="K69">
        <v>22235.06</v>
      </c>
      <c r="L69">
        <v>4017.373</v>
      </c>
      <c r="M69" s="18">
        <v>18.067740766159389</v>
      </c>
      <c r="N69">
        <v>14360.17</v>
      </c>
      <c r="O69">
        <v>30109.94</v>
      </c>
      <c r="P69" s="19"/>
      <c r="Q69"/>
      <c r="R69"/>
    </row>
    <row r="70" spans="1:18" x14ac:dyDescent="0.25">
      <c r="A70" s="25" t="s">
        <v>135</v>
      </c>
      <c r="B70" s="26" t="s">
        <v>136</v>
      </c>
      <c r="C70" s="27">
        <v>29191.583055251009</v>
      </c>
      <c r="D70" s="27">
        <v>1007.412</v>
      </c>
      <c r="E70" s="28">
        <f t="shared" si="1"/>
        <v>3.451035862266421</v>
      </c>
      <c r="F70" s="27">
        <v>27535.56</v>
      </c>
      <c r="G70" s="29">
        <v>30849.97</v>
      </c>
      <c r="I70"/>
      <c r="J70" t="s">
        <v>135</v>
      </c>
      <c r="K70">
        <v>36887.360000000001</v>
      </c>
      <c r="L70">
        <v>3012.3519999999999</v>
      </c>
      <c r="M70" s="18">
        <v>8.1663529187233781</v>
      </c>
      <c r="N70">
        <v>30982.52</v>
      </c>
      <c r="O70">
        <v>42792.19</v>
      </c>
      <c r="P70" s="19"/>
      <c r="Q70"/>
      <c r="R70"/>
    </row>
    <row r="71" spans="1:18" x14ac:dyDescent="0.25">
      <c r="A71" s="25" t="s">
        <v>137</v>
      </c>
      <c r="B71" s="26" t="s">
        <v>138</v>
      </c>
      <c r="C71" s="27">
        <v>22439.465416988416</v>
      </c>
      <c r="D71" s="27">
        <v>1600.086</v>
      </c>
      <c r="E71" s="28">
        <f t="shared" si="1"/>
        <v>7.130677893906558</v>
      </c>
      <c r="F71" s="27">
        <v>19812.11</v>
      </c>
      <c r="G71" s="29">
        <v>25076.43</v>
      </c>
      <c r="I71"/>
      <c r="J71" t="s">
        <v>137</v>
      </c>
      <c r="K71">
        <v>32149.49</v>
      </c>
      <c r="L71">
        <v>2996.152</v>
      </c>
      <c r="M71" s="18">
        <v>9.3194386598356616</v>
      </c>
      <c r="N71">
        <v>26276.400000000001</v>
      </c>
      <c r="O71">
        <v>38022.57</v>
      </c>
      <c r="P71" s="19"/>
      <c r="Q71"/>
      <c r="R71"/>
    </row>
    <row r="72" spans="1:18" x14ac:dyDescent="0.25">
      <c r="A72" s="23" t="s">
        <v>139</v>
      </c>
      <c r="B72" s="24" t="s">
        <v>140</v>
      </c>
      <c r="C72" s="15">
        <v>19740.243488430449</v>
      </c>
      <c r="D72" s="15">
        <v>308.21679999999998</v>
      </c>
      <c r="E72" s="16">
        <f t="shared" si="1"/>
        <v>1.5613627064967188</v>
      </c>
      <c r="F72" s="15">
        <v>19233.2</v>
      </c>
      <c r="G72" s="17">
        <v>20247.240000000002</v>
      </c>
      <c r="I72"/>
      <c r="J72" t="s">
        <v>139</v>
      </c>
      <c r="K72">
        <v>20118.64</v>
      </c>
      <c r="L72">
        <v>850.62239999999997</v>
      </c>
      <c r="M72" s="18">
        <v>4.2280313182203173</v>
      </c>
      <c r="N72">
        <v>18451.25</v>
      </c>
      <c r="O72">
        <v>21786.04</v>
      </c>
      <c r="P72" s="19"/>
      <c r="Q72"/>
      <c r="R72"/>
    </row>
    <row r="73" spans="1:18" ht="25.5" x14ac:dyDescent="0.25">
      <c r="A73" s="30" t="s">
        <v>141</v>
      </c>
      <c r="B73" s="26" t="s">
        <v>142</v>
      </c>
      <c r="C73" s="27">
        <v>19173.396482058266</v>
      </c>
      <c r="D73" s="27">
        <v>337.9409</v>
      </c>
      <c r="E73" s="28">
        <f t="shared" si="1"/>
        <v>1.7625510447052624</v>
      </c>
      <c r="F73" s="27">
        <v>18617.62</v>
      </c>
      <c r="G73" s="29">
        <v>19729.45</v>
      </c>
      <c r="I73"/>
      <c r="J73" t="s">
        <v>143</v>
      </c>
      <c r="K73">
        <v>19610.349999999999</v>
      </c>
      <c r="L73">
        <v>958.24609999999996</v>
      </c>
      <c r="M73" s="18">
        <v>4.8864303798759323</v>
      </c>
      <c r="N73">
        <v>17731.990000000002</v>
      </c>
      <c r="O73">
        <v>21488.71</v>
      </c>
      <c r="P73" s="19"/>
      <c r="Q73"/>
      <c r="R73"/>
    </row>
    <row r="74" spans="1:18" ht="25.5" x14ac:dyDescent="0.25">
      <c r="A74" s="25" t="s">
        <v>144</v>
      </c>
      <c r="B74" s="26" t="s">
        <v>145</v>
      </c>
      <c r="C74" s="27">
        <v>24251.427782820458</v>
      </c>
      <c r="D74" s="27">
        <v>680.82719999999995</v>
      </c>
      <c r="E74" s="28">
        <f t="shared" si="1"/>
        <v>2.8073695540610322</v>
      </c>
      <c r="F74" s="27">
        <v>23130.15</v>
      </c>
      <c r="G74" s="29">
        <v>25370.09</v>
      </c>
      <c r="I74"/>
      <c r="J74" t="s">
        <v>144</v>
      </c>
      <c r="K74">
        <v>23015.14</v>
      </c>
      <c r="L74">
        <v>1252.316</v>
      </c>
      <c r="M74" s="18">
        <v>5.4412703985289683</v>
      </c>
      <c r="N74">
        <v>20560.34</v>
      </c>
      <c r="O74">
        <v>25469.94</v>
      </c>
      <c r="P74" s="19"/>
      <c r="Q74"/>
      <c r="R74"/>
    </row>
    <row r="75" spans="1:18" ht="15" customHeight="1" x14ac:dyDescent="0.25">
      <c r="A75" s="25" t="s">
        <v>146</v>
      </c>
      <c r="B75" s="26" t="s">
        <v>147</v>
      </c>
      <c r="C75" s="27">
        <v>19505.042328955224</v>
      </c>
      <c r="D75" s="27">
        <v>739.81650000000002</v>
      </c>
      <c r="E75" s="28">
        <f t="shared" si="1"/>
        <v>3.7929499845367824</v>
      </c>
      <c r="F75" s="27">
        <v>18287.28</v>
      </c>
      <c r="G75" s="29">
        <v>20721.3</v>
      </c>
      <c r="I75"/>
      <c r="J75" t="s">
        <v>146</v>
      </c>
      <c r="K75">
        <v>23457.46</v>
      </c>
      <c r="L75">
        <v>2224.5459999999998</v>
      </c>
      <c r="M75" s="18">
        <v>9.4833200184504189</v>
      </c>
      <c r="N75">
        <v>19096.88</v>
      </c>
      <c r="O75">
        <v>27818.03</v>
      </c>
      <c r="P75" s="19"/>
      <c r="Q75"/>
      <c r="R75"/>
    </row>
    <row r="76" spans="1:18" ht="15" customHeight="1" x14ac:dyDescent="0.25">
      <c r="A76" s="23" t="s">
        <v>148</v>
      </c>
      <c r="B76" s="24" t="s">
        <v>149</v>
      </c>
      <c r="C76" s="15">
        <v>20991.629259056466</v>
      </c>
      <c r="D76" s="15">
        <v>1055.327</v>
      </c>
      <c r="E76" s="16">
        <f t="shared" si="1"/>
        <v>5.0273706103336302</v>
      </c>
      <c r="F76" s="15">
        <v>19255.73</v>
      </c>
      <c r="G76" s="17">
        <v>22727.79</v>
      </c>
      <c r="I76"/>
      <c r="J76" t="s">
        <v>148</v>
      </c>
      <c r="K76">
        <v>21870.25</v>
      </c>
      <c r="L76">
        <v>1041.2639999999999</v>
      </c>
      <c r="M76" s="18">
        <v>4.761097838387764</v>
      </c>
      <c r="N76">
        <v>19829.16</v>
      </c>
      <c r="O76">
        <v>23911.34</v>
      </c>
      <c r="P76" s="19"/>
      <c r="Q76"/>
      <c r="R76"/>
    </row>
    <row r="77" spans="1:18" ht="15" customHeight="1" x14ac:dyDescent="0.25">
      <c r="A77" s="23" t="s">
        <v>150</v>
      </c>
      <c r="B77" s="24" t="s">
        <v>151</v>
      </c>
      <c r="C77" s="15">
        <v>22202.735359028691</v>
      </c>
      <c r="D77" s="15">
        <v>1271.0329999999999</v>
      </c>
      <c r="E77" s="16">
        <f t="shared" si="1"/>
        <v>5.7246685124458647</v>
      </c>
      <c r="F77" s="15">
        <v>20111.240000000002</v>
      </c>
      <c r="G77" s="17">
        <v>24292.98</v>
      </c>
      <c r="I77"/>
      <c r="J77" t="s">
        <v>150</v>
      </c>
      <c r="K77">
        <v>25442.78</v>
      </c>
      <c r="L77">
        <v>2095.2130000000002</v>
      </c>
      <c r="M77" s="18">
        <v>8.2350002633360049</v>
      </c>
      <c r="N77">
        <v>21335.73</v>
      </c>
      <c r="O77">
        <v>29549.83</v>
      </c>
      <c r="P77" s="19"/>
      <c r="Q77"/>
      <c r="R77"/>
    </row>
    <row r="78" spans="1:18" ht="15" customHeight="1" x14ac:dyDescent="0.25">
      <c r="A78" s="25" t="s">
        <v>152</v>
      </c>
      <c r="B78" s="26" t="s">
        <v>153</v>
      </c>
      <c r="C78" s="27">
        <v>23517.882892544378</v>
      </c>
      <c r="D78" s="27">
        <v>2528.7109999999998</v>
      </c>
      <c r="E78" s="28">
        <f t="shared" si="1"/>
        <v>10.752290125577799</v>
      </c>
      <c r="F78" s="27">
        <v>19356.46</v>
      </c>
      <c r="G78" s="29">
        <v>27676</v>
      </c>
      <c r="I78"/>
      <c r="J78"/>
      <c r="K78"/>
      <c r="L78"/>
      <c r="M78" s="18"/>
      <c r="N78"/>
      <c r="O78"/>
      <c r="P78" s="19"/>
      <c r="Q78"/>
      <c r="R78"/>
    </row>
    <row r="79" spans="1:18" ht="15" customHeight="1" x14ac:dyDescent="0.25">
      <c r="A79" s="25" t="s">
        <v>154</v>
      </c>
      <c r="B79" s="26" t="s">
        <v>155</v>
      </c>
      <c r="C79" s="27">
        <v>24740.131937070335</v>
      </c>
      <c r="D79" s="27">
        <v>633.23329999999999</v>
      </c>
      <c r="E79" s="28">
        <f t="shared" si="1"/>
        <v>2.5595388966021249</v>
      </c>
      <c r="F79" s="27">
        <v>23702.92</v>
      </c>
      <c r="G79" s="29">
        <v>25786.27</v>
      </c>
      <c r="I79"/>
      <c r="J79"/>
      <c r="K79"/>
      <c r="L79"/>
      <c r="M79" s="18"/>
      <c r="N79"/>
      <c r="O79"/>
      <c r="P79" s="19"/>
      <c r="Q79"/>
      <c r="R79"/>
    </row>
    <row r="80" spans="1:18" ht="15" customHeight="1" x14ac:dyDescent="0.25">
      <c r="A80" s="25" t="s">
        <v>156</v>
      </c>
      <c r="B80" s="26" t="s">
        <v>157</v>
      </c>
      <c r="C80" s="27">
        <v>19003.758133228595</v>
      </c>
      <c r="D80" s="27">
        <v>1526.336</v>
      </c>
      <c r="E80" s="28">
        <f t="shared" si="1"/>
        <v>8.0317587147731562</v>
      </c>
      <c r="F80" s="27">
        <v>16494.13</v>
      </c>
      <c r="G80" s="29">
        <v>21515.82</v>
      </c>
      <c r="I80"/>
      <c r="J80"/>
      <c r="K80"/>
      <c r="L80"/>
      <c r="M80" s="18"/>
      <c r="N80"/>
      <c r="O80"/>
      <c r="P80" s="19"/>
      <c r="Q80"/>
      <c r="R80"/>
    </row>
    <row r="81" spans="1:18" ht="15" customHeight="1" x14ac:dyDescent="0.25">
      <c r="A81" s="25" t="s">
        <v>158</v>
      </c>
      <c r="B81" s="26" t="s">
        <v>159</v>
      </c>
      <c r="C81" s="27">
        <v>27927.321906762965</v>
      </c>
      <c r="D81" s="27">
        <v>1113.732</v>
      </c>
      <c r="E81" s="28">
        <f t="shared" si="1"/>
        <v>3.9879656335049272</v>
      </c>
      <c r="F81" s="27">
        <v>26087.200000000001</v>
      </c>
      <c r="G81" s="29">
        <v>29751.4</v>
      </c>
      <c r="I81"/>
      <c r="J81"/>
      <c r="K81"/>
      <c r="L81"/>
      <c r="M81" s="18"/>
      <c r="N81"/>
      <c r="O81"/>
      <c r="P81" s="19"/>
      <c r="Q81"/>
      <c r="R81"/>
    </row>
    <row r="82" spans="1:18" x14ac:dyDescent="0.25">
      <c r="A82" s="25" t="s">
        <v>160</v>
      </c>
      <c r="B82" s="26" t="s">
        <v>161</v>
      </c>
      <c r="C82" s="27">
        <v>23760.62357960199</v>
      </c>
      <c r="D82" s="27">
        <v>440.9753</v>
      </c>
      <c r="E82" s="28">
        <f t="shared" si="1"/>
        <v>1.8559079416525428</v>
      </c>
      <c r="F82" s="27">
        <v>23040.68</v>
      </c>
      <c r="G82" s="29">
        <v>24491.5</v>
      </c>
      <c r="I82"/>
      <c r="J82" t="s">
        <v>152</v>
      </c>
      <c r="K82">
        <v>29622.21</v>
      </c>
      <c r="L82">
        <v>2433.0839999999998</v>
      </c>
      <c r="M82" s="18">
        <v>8.213715316986816</v>
      </c>
      <c r="N82">
        <v>24852.86</v>
      </c>
      <c r="O82">
        <v>34391.56</v>
      </c>
      <c r="P82" s="19"/>
      <c r="Q82"/>
      <c r="R82"/>
    </row>
    <row r="83" spans="1:18" x14ac:dyDescent="0.25">
      <c r="A83" s="25" t="s">
        <v>162</v>
      </c>
      <c r="B83" s="26" t="s">
        <v>163</v>
      </c>
      <c r="C83" s="27">
        <v>23348.619980837473</v>
      </c>
      <c r="D83" s="27">
        <v>1116.905</v>
      </c>
      <c r="E83" s="28">
        <f t="shared" si="1"/>
        <v>4.7836017756795002</v>
      </c>
      <c r="F83" s="27">
        <v>21506.69</v>
      </c>
      <c r="G83" s="29">
        <v>25181.34</v>
      </c>
      <c r="I83"/>
      <c r="J83" t="s">
        <v>164</v>
      </c>
      <c r="K83">
        <v>22432.83</v>
      </c>
      <c r="L83">
        <v>3944.598</v>
      </c>
      <c r="M83" s="18">
        <v>17.584040890070487</v>
      </c>
      <c r="N83">
        <v>14700.59</v>
      </c>
      <c r="O83">
        <v>30165.06</v>
      </c>
      <c r="P83" s="19"/>
      <c r="Q83"/>
      <c r="R83"/>
    </row>
    <row r="84" spans="1:18" x14ac:dyDescent="0.25">
      <c r="A84" s="25" t="s">
        <v>165</v>
      </c>
      <c r="B84" s="26" t="s">
        <v>166</v>
      </c>
      <c r="C84" s="27">
        <v>15731.966752834469</v>
      </c>
      <c r="D84" s="27">
        <v>374.21420000000001</v>
      </c>
      <c r="E84" s="28">
        <f t="shared" si="1"/>
        <v>2.3786866949269192</v>
      </c>
      <c r="F84" s="27">
        <v>15130.76</v>
      </c>
      <c r="G84" s="29">
        <v>16361.94</v>
      </c>
      <c r="I84"/>
      <c r="J84" t="s">
        <v>167</v>
      </c>
      <c r="K84">
        <v>23455.09</v>
      </c>
      <c r="L84">
        <v>1767.671</v>
      </c>
      <c r="M84" s="18">
        <v>7.5364068097798818</v>
      </c>
      <c r="N84">
        <v>19990.080000000002</v>
      </c>
      <c r="O84">
        <v>26920.09</v>
      </c>
      <c r="P84" s="19"/>
      <c r="Q84"/>
      <c r="R84"/>
    </row>
    <row r="85" spans="1:18" ht="15" customHeight="1" x14ac:dyDescent="0.25">
      <c r="A85" s="23" t="s">
        <v>168</v>
      </c>
      <c r="B85" s="24" t="s">
        <v>169</v>
      </c>
      <c r="C85" s="15">
        <v>25600.104328608519</v>
      </c>
      <c r="D85" s="15">
        <v>1552.1010000000001</v>
      </c>
      <c r="E85" s="16">
        <f t="shared" si="1"/>
        <v>6.0628698230167091</v>
      </c>
      <c r="F85" s="15">
        <v>23046.9</v>
      </c>
      <c r="G85" s="17">
        <v>28153.360000000001</v>
      </c>
      <c r="I85"/>
      <c r="J85" t="s">
        <v>168</v>
      </c>
      <c r="K85">
        <v>22363.03</v>
      </c>
      <c r="L85">
        <v>809.08720000000005</v>
      </c>
      <c r="M85" s="18">
        <v>3.6179676904247775</v>
      </c>
      <c r="N85">
        <v>20777.05</v>
      </c>
      <c r="O85">
        <v>23949.01</v>
      </c>
      <c r="P85" s="19"/>
      <c r="Q85"/>
      <c r="R85"/>
    </row>
    <row r="86" spans="1:18" ht="15" customHeight="1" x14ac:dyDescent="0.25">
      <c r="A86" s="25" t="s">
        <v>170</v>
      </c>
      <c r="B86" s="26" t="s">
        <v>171</v>
      </c>
      <c r="C86" s="27">
        <v>20139.001670776819</v>
      </c>
      <c r="D86" s="27">
        <v>1633.0360000000001</v>
      </c>
      <c r="E86" s="28">
        <f t="shared" si="1"/>
        <v>8.1088230027293573</v>
      </c>
      <c r="F86" s="27">
        <v>17457.21</v>
      </c>
      <c r="G86" s="29">
        <v>22829.94</v>
      </c>
      <c r="I86"/>
      <c r="J86" t="s">
        <v>170</v>
      </c>
      <c r="K86">
        <v>17235.03</v>
      </c>
      <c r="L86">
        <v>424.89429999999999</v>
      </c>
      <c r="M86" s="18">
        <v>2.4652948094665343</v>
      </c>
      <c r="N86">
        <v>16402.150000000001</v>
      </c>
      <c r="O86">
        <v>18067.91</v>
      </c>
      <c r="P86" s="19"/>
      <c r="Q86"/>
      <c r="R86"/>
    </row>
    <row r="87" spans="1:18" x14ac:dyDescent="0.25">
      <c r="A87" s="25" t="s">
        <v>172</v>
      </c>
      <c r="B87" s="26" t="s">
        <v>173</v>
      </c>
      <c r="C87" s="27">
        <v>19860.577596771465</v>
      </c>
      <c r="D87" s="27">
        <v>1071.9780000000001</v>
      </c>
      <c r="E87" s="28">
        <f t="shared" si="1"/>
        <v>5.3975167377521833</v>
      </c>
      <c r="F87" s="27">
        <v>18097.22</v>
      </c>
      <c r="G87" s="29">
        <v>21624.06</v>
      </c>
      <c r="I87"/>
      <c r="J87" t="s">
        <v>172</v>
      </c>
      <c r="K87">
        <v>21477.98</v>
      </c>
      <c r="L87">
        <v>1828.6669999999999</v>
      </c>
      <c r="M87" s="18">
        <v>8.5141479785342931</v>
      </c>
      <c r="N87">
        <v>17893.41</v>
      </c>
      <c r="O87">
        <v>25062.55</v>
      </c>
      <c r="P87" s="19"/>
      <c r="Q87"/>
      <c r="R87"/>
    </row>
    <row r="88" spans="1:18" ht="25.5" x14ac:dyDescent="0.25">
      <c r="A88" s="25" t="s">
        <v>174</v>
      </c>
      <c r="B88" s="26" t="s">
        <v>175</v>
      </c>
      <c r="C88" s="27">
        <v>17204.70861719457</v>
      </c>
      <c r="D88" s="27">
        <v>352.19450000000001</v>
      </c>
      <c r="E88" s="28">
        <f t="shared" si="1"/>
        <v>2.0470820392041573</v>
      </c>
      <c r="F88" s="27">
        <v>16617.71</v>
      </c>
      <c r="G88" s="29">
        <v>17776.439999999999</v>
      </c>
      <c r="I88"/>
      <c r="J88" t="s">
        <v>174</v>
      </c>
      <c r="K88">
        <v>20640.259999999998</v>
      </c>
      <c r="L88">
        <v>1514.194</v>
      </c>
      <c r="M88" s="18">
        <v>7.336118827960501</v>
      </c>
      <c r="N88">
        <v>17672.12</v>
      </c>
      <c r="O88">
        <v>23608.400000000001</v>
      </c>
      <c r="P88" s="19"/>
      <c r="Q88"/>
      <c r="R88"/>
    </row>
    <row r="89" spans="1:18" x14ac:dyDescent="0.25">
      <c r="A89" s="30" t="s">
        <v>176</v>
      </c>
      <c r="B89" s="26" t="s">
        <v>177</v>
      </c>
      <c r="C89" s="27">
        <v>18731.655960324111</v>
      </c>
      <c r="D89" s="27">
        <v>267.32960000000003</v>
      </c>
      <c r="E89" s="28">
        <f t="shared" si="1"/>
        <v>1.4271541211638528</v>
      </c>
      <c r="F89" s="27">
        <v>18291.75</v>
      </c>
      <c r="G89" s="29">
        <v>19171.27</v>
      </c>
      <c r="I89"/>
      <c r="J89" t="s">
        <v>178</v>
      </c>
      <c r="K89">
        <v>29217.93</v>
      </c>
      <c r="L89">
        <v>2980.944</v>
      </c>
      <c r="M89" s="18">
        <v>10.202447606657966</v>
      </c>
      <c r="N89">
        <v>23374.66</v>
      </c>
      <c r="O89">
        <v>35061.199999999997</v>
      </c>
      <c r="P89" s="19"/>
      <c r="Q89"/>
      <c r="R89"/>
    </row>
    <row r="90" spans="1:18" x14ac:dyDescent="0.25">
      <c r="A90" s="25" t="s">
        <v>179</v>
      </c>
      <c r="B90" s="26" t="s">
        <v>180</v>
      </c>
      <c r="C90" s="27">
        <v>17293.1216566474</v>
      </c>
      <c r="D90" s="27">
        <v>1007.676</v>
      </c>
      <c r="E90" s="28">
        <f t="shared" si="1"/>
        <v>5.8270335455175255</v>
      </c>
      <c r="F90" s="27">
        <v>15632.73</v>
      </c>
      <c r="G90" s="29">
        <v>18948.009999999998</v>
      </c>
      <c r="I90"/>
      <c r="J90" t="s">
        <v>181</v>
      </c>
      <c r="K90">
        <v>25099.09</v>
      </c>
      <c r="L90">
        <v>1215.1849999999999</v>
      </c>
      <c r="M90" s="18">
        <v>4.8415500322920071</v>
      </c>
      <c r="N90">
        <v>22717.07</v>
      </c>
      <c r="O90">
        <v>27481.11</v>
      </c>
      <c r="P90" s="19"/>
      <c r="Q90"/>
      <c r="R90"/>
    </row>
    <row r="91" spans="1:18" ht="51" x14ac:dyDescent="0.25">
      <c r="A91" s="25" t="s">
        <v>178</v>
      </c>
      <c r="B91" s="26" t="s">
        <v>182</v>
      </c>
      <c r="C91" s="27">
        <v>35512.724785005754</v>
      </c>
      <c r="D91" s="27">
        <v>6148.8710000000001</v>
      </c>
      <c r="E91" s="28">
        <f>D91/C91*100</f>
        <v>17.314557069966614</v>
      </c>
      <c r="F91" s="27">
        <v>25397.64</v>
      </c>
      <c r="G91" s="29">
        <v>45627.61</v>
      </c>
      <c r="I91"/>
      <c r="J91" t="s">
        <v>183</v>
      </c>
      <c r="K91">
        <v>24072.799999999999</v>
      </c>
      <c r="L91">
        <v>2826.692</v>
      </c>
      <c r="M91" s="18">
        <v>11.742265129108372</v>
      </c>
      <c r="N91">
        <v>18531.89</v>
      </c>
      <c r="O91">
        <v>29613.71</v>
      </c>
      <c r="P91" s="19"/>
      <c r="Q91"/>
      <c r="R91"/>
    </row>
    <row r="92" spans="1:18" x14ac:dyDescent="0.25">
      <c r="A92" s="25" t="s">
        <v>181</v>
      </c>
      <c r="B92" s="26" t="s">
        <v>184</v>
      </c>
      <c r="C92" s="27">
        <v>29553.2418858807</v>
      </c>
      <c r="D92" s="27">
        <v>1054.2339999999999</v>
      </c>
      <c r="E92" s="28">
        <f>D92/C92*100</f>
        <v>3.5672363934586433</v>
      </c>
      <c r="F92" s="27">
        <v>27819.439999999999</v>
      </c>
      <c r="G92" s="29">
        <v>31287.9</v>
      </c>
      <c r="I92"/>
      <c r="J92"/>
      <c r="K92"/>
      <c r="L92"/>
      <c r="M92" s="18"/>
      <c r="N92"/>
      <c r="O92"/>
      <c r="P92" s="19"/>
      <c r="Q92"/>
      <c r="R92"/>
    </row>
    <row r="93" spans="1:18" x14ac:dyDescent="0.25">
      <c r="A93" s="25" t="s">
        <v>183</v>
      </c>
      <c r="B93" s="26" t="s">
        <v>185</v>
      </c>
      <c r="C93" s="27">
        <v>32796.188847405327</v>
      </c>
      <c r="D93" s="27">
        <v>3781.1680000000001</v>
      </c>
      <c r="E93" s="28">
        <f t="shared" si="1"/>
        <v>11.529290850205442</v>
      </c>
      <c r="F93" s="27">
        <v>26577.71</v>
      </c>
      <c r="G93" s="29">
        <v>39017.86</v>
      </c>
      <c r="I93"/>
      <c r="J93" t="s">
        <v>186</v>
      </c>
      <c r="K93">
        <v>25631.35</v>
      </c>
      <c r="L93">
        <v>2970.8090000000002</v>
      </c>
      <c r="M93" s="18">
        <v>11.590528786037414</v>
      </c>
      <c r="N93">
        <v>19807.939999999999</v>
      </c>
      <c r="O93">
        <v>31454.75</v>
      </c>
      <c r="P93" s="19"/>
      <c r="Q93"/>
      <c r="R93"/>
    </row>
    <row r="94" spans="1:18" x14ac:dyDescent="0.25">
      <c r="A94" s="23" t="s">
        <v>187</v>
      </c>
      <c r="B94" s="24" t="s">
        <v>188</v>
      </c>
      <c r="C94" s="15">
        <v>17834.936412994663</v>
      </c>
      <c r="D94" s="15">
        <v>376.4393</v>
      </c>
      <c r="E94" s="16">
        <f t="shared" si="1"/>
        <v>2.1106848450871047</v>
      </c>
      <c r="F94" s="15">
        <v>17215.5</v>
      </c>
      <c r="G94" s="17">
        <v>18453.990000000002</v>
      </c>
      <c r="I94"/>
      <c r="J94" t="s">
        <v>187</v>
      </c>
      <c r="K94">
        <v>18188</v>
      </c>
      <c r="L94">
        <v>460.14460000000003</v>
      </c>
      <c r="M94" s="18">
        <v>2.5299351220585002</v>
      </c>
      <c r="N94">
        <v>17286.02</v>
      </c>
      <c r="O94">
        <v>19089.98</v>
      </c>
      <c r="P94" s="19"/>
      <c r="Q94"/>
      <c r="R94"/>
    </row>
    <row r="95" spans="1:18" x14ac:dyDescent="0.25">
      <c r="A95" s="23" t="s">
        <v>189</v>
      </c>
      <c r="B95" s="24" t="s">
        <v>190</v>
      </c>
      <c r="C95" s="15">
        <v>17016.760334385392</v>
      </c>
      <c r="D95" s="15">
        <v>368.74869999999999</v>
      </c>
      <c r="E95" s="16">
        <f t="shared" si="1"/>
        <v>2.1669735763679863</v>
      </c>
      <c r="F95" s="15">
        <v>16410.36</v>
      </c>
      <c r="G95" s="17">
        <v>17623.55</v>
      </c>
      <c r="I95"/>
      <c r="J95" t="s">
        <v>189</v>
      </c>
      <c r="K95">
        <v>16472.36</v>
      </c>
      <c r="L95">
        <v>409.35219999999998</v>
      </c>
      <c r="M95" s="18">
        <v>2.4850853186792903</v>
      </c>
      <c r="N95">
        <v>15669.94</v>
      </c>
      <c r="O95">
        <v>17274.78</v>
      </c>
      <c r="P95" s="19"/>
      <c r="Q95"/>
      <c r="R95"/>
    </row>
    <row r="96" spans="1:18" x14ac:dyDescent="0.25">
      <c r="A96" s="25" t="s">
        <v>191</v>
      </c>
      <c r="B96" s="26" t="s">
        <v>192</v>
      </c>
      <c r="C96" s="27">
        <v>16857.979719121791</v>
      </c>
      <c r="D96" s="27">
        <v>385.49310000000003</v>
      </c>
      <c r="E96" s="28">
        <f t="shared" si="1"/>
        <v>2.2867099523363414</v>
      </c>
      <c r="F96" s="27">
        <v>16223.91</v>
      </c>
      <c r="G96" s="29">
        <v>17492.189999999999</v>
      </c>
      <c r="I96"/>
      <c r="J96" t="s">
        <v>191</v>
      </c>
      <c r="K96">
        <v>16195.03</v>
      </c>
      <c r="L96">
        <v>379.03039999999999</v>
      </c>
      <c r="M96" s="18">
        <v>2.3404118423985629</v>
      </c>
      <c r="N96">
        <v>15452.05</v>
      </c>
      <c r="O96">
        <v>16938.009999999998</v>
      </c>
      <c r="P96" s="19"/>
      <c r="Q96"/>
      <c r="R96"/>
    </row>
    <row r="97" spans="1:18" ht="25.5" x14ac:dyDescent="0.25">
      <c r="A97" s="25" t="s">
        <v>193</v>
      </c>
      <c r="B97" s="26" t="s">
        <v>194</v>
      </c>
      <c r="C97" s="27">
        <v>20021.645588433465</v>
      </c>
      <c r="D97" s="27">
        <v>963.25829999999996</v>
      </c>
      <c r="E97" s="28">
        <f t="shared" si="1"/>
        <v>4.8110845621824199</v>
      </c>
      <c r="F97" s="27">
        <v>18440.05</v>
      </c>
      <c r="G97" s="29">
        <v>21609.19</v>
      </c>
      <c r="I97"/>
      <c r="J97" t="s">
        <v>195</v>
      </c>
      <c r="K97">
        <v>21715.39</v>
      </c>
      <c r="L97">
        <v>1954.598</v>
      </c>
      <c r="M97" s="18">
        <v>9.0009804106672746</v>
      </c>
      <c r="N97">
        <v>17883.97</v>
      </c>
      <c r="O97">
        <v>25546.81</v>
      </c>
      <c r="P97" s="19"/>
      <c r="Q97"/>
      <c r="R97"/>
    </row>
    <row r="98" spans="1:18" x14ac:dyDescent="0.25">
      <c r="A98" s="23" t="s">
        <v>196</v>
      </c>
      <c r="B98" s="24" t="s">
        <v>197</v>
      </c>
      <c r="C98" s="15">
        <v>18885.569342169001</v>
      </c>
      <c r="D98" s="15">
        <v>1466.837</v>
      </c>
      <c r="E98" s="16">
        <f t="shared" si="1"/>
        <v>7.7669726203315737</v>
      </c>
      <c r="F98" s="15">
        <v>16472.28</v>
      </c>
      <c r="G98" s="17">
        <v>21298.21</v>
      </c>
      <c r="I98"/>
      <c r="J98" t="s">
        <v>196</v>
      </c>
      <c r="K98">
        <v>18763.03</v>
      </c>
      <c r="L98">
        <v>1399.2049999999999</v>
      </c>
      <c r="M98" s="18">
        <v>7.4572443789729066</v>
      </c>
      <c r="N98">
        <v>16020.3</v>
      </c>
      <c r="O98">
        <v>21505.77</v>
      </c>
      <c r="P98" s="19"/>
      <c r="Q98"/>
      <c r="R98"/>
    </row>
    <row r="99" spans="1:18" x14ac:dyDescent="0.25">
      <c r="A99" s="25" t="s">
        <v>198</v>
      </c>
      <c r="B99" s="26" t="s">
        <v>199</v>
      </c>
      <c r="C99" s="27">
        <v>14115.78947368421</v>
      </c>
      <c r="D99" s="27">
        <v>603.62609999999995</v>
      </c>
      <c r="E99" s="28">
        <f t="shared" si="1"/>
        <v>4.276247539149888</v>
      </c>
      <c r="F99" s="27">
        <v>13122.66</v>
      </c>
      <c r="G99" s="29">
        <v>15108.6</v>
      </c>
      <c r="I99"/>
      <c r="J99"/>
      <c r="K99"/>
      <c r="L99"/>
      <c r="M99" s="18"/>
      <c r="N99"/>
      <c r="O99"/>
      <c r="P99" s="19"/>
      <c r="Q99"/>
      <c r="R99"/>
    </row>
    <row r="100" spans="1:18" x14ac:dyDescent="0.25">
      <c r="A100" s="25" t="s">
        <v>200</v>
      </c>
      <c r="B100" s="26" t="s">
        <v>201</v>
      </c>
      <c r="C100" s="27">
        <v>22654.764910052909</v>
      </c>
      <c r="D100" s="27">
        <v>544.6576</v>
      </c>
      <c r="E100" s="28">
        <f t="shared" si="1"/>
        <v>2.4041635486506929</v>
      </c>
      <c r="F100" s="27">
        <v>21785.82</v>
      </c>
      <c r="G100" s="29">
        <v>23577.759999999998</v>
      </c>
      <c r="I100"/>
      <c r="J100"/>
      <c r="K100"/>
      <c r="L100"/>
      <c r="M100" s="18"/>
      <c r="N100"/>
      <c r="O100"/>
      <c r="P100" s="19"/>
      <c r="Q100"/>
      <c r="R100"/>
    </row>
    <row r="101" spans="1:18" x14ac:dyDescent="0.25">
      <c r="A101" s="25" t="s">
        <v>202</v>
      </c>
      <c r="B101" s="26" t="s">
        <v>203</v>
      </c>
      <c r="C101" s="27">
        <v>20915.843995032479</v>
      </c>
      <c r="D101" s="27">
        <v>3742.2220000000002</v>
      </c>
      <c r="E101" s="28">
        <f t="shared" si="1"/>
        <v>17.891804896272795</v>
      </c>
      <c r="F101" s="27">
        <v>14756.96</v>
      </c>
      <c r="G101" s="29">
        <v>27068.98</v>
      </c>
      <c r="I101"/>
      <c r="J101"/>
      <c r="K101"/>
      <c r="L101"/>
      <c r="M101" s="18"/>
      <c r="N101"/>
      <c r="O101"/>
      <c r="P101" s="19"/>
      <c r="Q101"/>
      <c r="R101"/>
    </row>
    <row r="102" spans="1:18" x14ac:dyDescent="0.25">
      <c r="A102" s="25" t="s">
        <v>204</v>
      </c>
      <c r="B102" s="26" t="s">
        <v>205</v>
      </c>
      <c r="C102" s="27">
        <v>17438.112961768769</v>
      </c>
      <c r="D102" s="27">
        <v>420.59519999999998</v>
      </c>
      <c r="E102" s="28">
        <f t="shared" si="1"/>
        <v>2.4119306998533085</v>
      </c>
      <c r="F102" s="27">
        <v>16745.36</v>
      </c>
      <c r="G102" s="29">
        <v>18129.13</v>
      </c>
      <c r="I102"/>
      <c r="J102"/>
      <c r="K102"/>
      <c r="L102"/>
      <c r="M102" s="18"/>
      <c r="N102"/>
      <c r="O102"/>
      <c r="P102" s="19"/>
      <c r="Q102"/>
      <c r="R102"/>
    </row>
    <row r="103" spans="1:18" x14ac:dyDescent="0.25">
      <c r="A103" s="23" t="s">
        <v>206</v>
      </c>
      <c r="B103" s="24" t="s">
        <v>207</v>
      </c>
      <c r="C103" s="15">
        <v>15859.326221791391</v>
      </c>
      <c r="D103" s="15">
        <v>163.37559999999999</v>
      </c>
      <c r="E103" s="16">
        <f t="shared" si="1"/>
        <v>1.0301547349187821</v>
      </c>
      <c r="F103" s="15">
        <v>15589.4</v>
      </c>
      <c r="G103" s="17">
        <v>16126.91</v>
      </c>
      <c r="I103"/>
      <c r="J103" t="s">
        <v>206</v>
      </c>
      <c r="K103">
        <v>21508.85</v>
      </c>
      <c r="L103">
        <v>4199.241</v>
      </c>
      <c r="M103" s="18">
        <v>19.523317146197961</v>
      </c>
      <c r="N103">
        <v>13277.47</v>
      </c>
      <c r="O103">
        <v>29740.240000000002</v>
      </c>
      <c r="P103" s="19"/>
      <c r="Q103"/>
      <c r="R103"/>
    </row>
    <row r="104" spans="1:18" x14ac:dyDescent="0.25">
      <c r="A104" s="49" t="s">
        <v>208</v>
      </c>
      <c r="B104" s="26" t="s">
        <v>209</v>
      </c>
      <c r="C104" s="27">
        <v>15470.860471131638</v>
      </c>
      <c r="D104" s="27">
        <v>316.03640000000001</v>
      </c>
      <c r="E104" s="28">
        <f t="shared" si="1"/>
        <v>2.0427848896298855</v>
      </c>
      <c r="F104" s="27">
        <v>14950.91</v>
      </c>
      <c r="G104" s="29">
        <v>15990.68</v>
      </c>
      <c r="I104"/>
      <c r="J104" t="s">
        <v>208</v>
      </c>
      <c r="K104">
        <v>25435.99</v>
      </c>
      <c r="L104">
        <v>6024.2470000000003</v>
      </c>
      <c r="M104" s="18">
        <v>23.683949396111572</v>
      </c>
      <c r="N104">
        <v>13627.21</v>
      </c>
      <c r="O104">
        <v>37244.769999999997</v>
      </c>
      <c r="P104" s="19"/>
      <c r="Q104"/>
      <c r="R104"/>
    </row>
    <row r="105" spans="1:18" ht="25.5" x14ac:dyDescent="0.25">
      <c r="A105" s="50" t="s">
        <v>210</v>
      </c>
      <c r="B105" s="34" t="s">
        <v>211</v>
      </c>
      <c r="C105" s="35">
        <v>16055.713460595447</v>
      </c>
      <c r="D105" s="35">
        <v>178.0752</v>
      </c>
      <c r="E105" s="28">
        <f t="shared" si="1"/>
        <v>1.1091079847497218</v>
      </c>
      <c r="F105" s="35">
        <v>15761.02</v>
      </c>
      <c r="G105" s="37">
        <v>16346.9</v>
      </c>
      <c r="H105" s="51"/>
      <c r="I105"/>
      <c r="J105" t="s">
        <v>210</v>
      </c>
      <c r="K105">
        <v>15487</v>
      </c>
      <c r="L105">
        <v>644.15309999999999</v>
      </c>
      <c r="M105" s="18">
        <v>4.1593149092787494</v>
      </c>
      <c r="N105">
        <v>14224.33</v>
      </c>
      <c r="O105">
        <v>16749.68</v>
      </c>
      <c r="P105" s="19"/>
      <c r="Q105"/>
      <c r="R105"/>
    </row>
    <row r="106" spans="1:18" s="56" customFormat="1" ht="15" customHeight="1" x14ac:dyDescent="0.2">
      <c r="A106" s="52" t="s">
        <v>212</v>
      </c>
      <c r="B106" s="53"/>
      <c r="C106" s="53"/>
      <c r="D106" s="54"/>
      <c r="E106" s="53"/>
      <c r="F106" s="53"/>
      <c r="G106" s="53"/>
      <c r="H106" s="55"/>
    </row>
    <row r="107" spans="1:18" s="56" customFormat="1" ht="15" customHeight="1" x14ac:dyDescent="0.2">
      <c r="A107" s="57" t="s">
        <v>213</v>
      </c>
      <c r="B107" s="58"/>
      <c r="C107" s="58"/>
      <c r="D107" s="59"/>
      <c r="E107" s="58"/>
      <c r="F107" s="58"/>
      <c r="G107" s="58"/>
      <c r="H107" s="55"/>
    </row>
    <row r="108" spans="1:18" ht="15" customHeight="1" x14ac:dyDescent="0.25">
      <c r="A108" s="57" t="s">
        <v>214</v>
      </c>
      <c r="B108" s="60"/>
      <c r="C108" s="60"/>
      <c r="D108" s="60"/>
      <c r="E108" s="42"/>
      <c r="F108" s="42"/>
      <c r="G108" s="42"/>
    </row>
    <row r="109" spans="1:18" x14ac:dyDescent="0.25">
      <c r="A109" s="60"/>
      <c r="B109" s="60"/>
      <c r="C109" s="60"/>
      <c r="D109" s="60"/>
      <c r="E109" s="42"/>
      <c r="F109" s="42"/>
      <c r="G109" s="42"/>
    </row>
    <row r="110" spans="1:18" x14ac:dyDescent="0.25">
      <c r="A110" s="60"/>
      <c r="B110" s="60"/>
      <c r="C110" s="60"/>
      <c r="D110" s="60"/>
      <c r="E110" s="42"/>
      <c r="F110" s="42"/>
      <c r="G110" s="42"/>
    </row>
  </sheetData>
  <mergeCells count="16">
    <mergeCell ref="A58:G58"/>
    <mergeCell ref="A59:G59"/>
    <mergeCell ref="A61:A62"/>
    <mergeCell ref="B61:B62"/>
    <mergeCell ref="C61:C62"/>
    <mergeCell ref="D61:D62"/>
    <mergeCell ref="E61:E62"/>
    <mergeCell ref="F61:G61"/>
    <mergeCell ref="A1:G1"/>
    <mergeCell ref="A2:G2"/>
    <mergeCell ref="A4:A5"/>
    <mergeCell ref="B4:B5"/>
    <mergeCell ref="C4:C5"/>
    <mergeCell ref="D4:D5"/>
    <mergeCell ref="E4:E5"/>
    <mergeCell ref="F4:G4"/>
  </mergeCells>
  <pageMargins left="0.70866141732283472" right="0.70866141732283472" top="0.55118110236220474" bottom="0.23622047244094491" header="0.31496062992125984" footer="0.31496062992125984"/>
  <pageSetup paperSize="9" scale="63" firstPageNumber="11" orientation="portrait" useFirstPageNumber="1" r:id="rId1"/>
  <headerFooter>
    <oddFooter>&amp;C&amp;"Arial,Regular"&amp;12&amp;P</oddFooter>
  </headerFooter>
  <rowBreaks count="1" manualBreakCount="1">
    <brk id="57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</vt:lpstr>
      <vt:lpstr>'Table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2025-11-24T10:10:38Z</dcterms:created>
  <dcterms:modified xsi:type="dcterms:W3CDTF">2025-11-24T10:10:58Z</dcterms:modified>
</cp:coreProperties>
</file>