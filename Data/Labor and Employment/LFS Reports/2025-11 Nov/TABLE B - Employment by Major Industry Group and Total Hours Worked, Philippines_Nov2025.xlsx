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SA\Documents\web\nov 2025\"/>
    </mc:Choice>
  </mc:AlternateContent>
  <xr:revisionPtr revIDLastSave="0" documentId="8_{276F90D7-9E72-467F-A688-8B44C2FEBDD6}" xr6:coauthVersionLast="47" xr6:coauthVersionMax="47" xr10:uidLastSave="{00000000-0000-0000-0000-000000000000}"/>
  <bookViews>
    <workbookView xWindow="-108" yWindow="-108" windowWidth="23256" windowHeight="12576" tabRatio="803" xr2:uid="{00000000-000D-0000-FFFF-FFFF00000000}"/>
  </bookViews>
  <sheets>
    <sheet name="Table B  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calcChain.xml><?xml version="1.0" encoding="utf-8"?>
<calcChain xmlns="http://schemas.openxmlformats.org/spreadsheetml/2006/main">
  <c r="CC36" i="11" l="1"/>
  <c r="CB36" i="11"/>
  <c r="CC35" i="11"/>
  <c r="CB35" i="11"/>
  <c r="CC34" i="11"/>
  <c r="CB34" i="11"/>
  <c r="CC33" i="11"/>
  <c r="CB33" i="11"/>
  <c r="CC32" i="11"/>
  <c r="CB32" i="11"/>
  <c r="CC31" i="11"/>
  <c r="CB31" i="11"/>
  <c r="CC30" i="11"/>
  <c r="CB30" i="11"/>
  <c r="CC29" i="11"/>
  <c r="CB29" i="11"/>
  <c r="CC28" i="11"/>
  <c r="CB28" i="11"/>
  <c r="CC27" i="11"/>
  <c r="CB27" i="11"/>
  <c r="CC26" i="11"/>
  <c r="CB26" i="11"/>
  <c r="CC25" i="11"/>
  <c r="CB25" i="11"/>
  <c r="CC24" i="11"/>
  <c r="CB24" i="11"/>
  <c r="CC23" i="11"/>
  <c r="CB23" i="11"/>
  <c r="CC22" i="11"/>
  <c r="CB22" i="11"/>
  <c r="CC21" i="11"/>
  <c r="CB21" i="11"/>
  <c r="CC20" i="11"/>
  <c r="CB20" i="11"/>
  <c r="CC19" i="11"/>
  <c r="CB19" i="11"/>
  <c r="CC18" i="11"/>
  <c r="CB18" i="11"/>
  <c r="CC17" i="11"/>
  <c r="CB17" i="11"/>
  <c r="CC16" i="11"/>
  <c r="CB16" i="11"/>
  <c r="CC15" i="11"/>
  <c r="CB15" i="11"/>
  <c r="CC14" i="11"/>
  <c r="CB14" i="11"/>
  <c r="CC13" i="11"/>
  <c r="CB13" i="11"/>
  <c r="CC11" i="11"/>
  <c r="CB11" i="11"/>
  <c r="BO36" i="11"/>
  <c r="BN36" i="11"/>
  <c r="BO35" i="11"/>
  <c r="BN35" i="11"/>
  <c r="BO34" i="11"/>
  <c r="BN34" i="11"/>
  <c r="BO33" i="11"/>
  <c r="BN33" i="11"/>
  <c r="BO32" i="11"/>
  <c r="BN32" i="11"/>
  <c r="BO31" i="11"/>
  <c r="BN31" i="11"/>
  <c r="BO30" i="11"/>
  <c r="BN30" i="11"/>
  <c r="BO29" i="11"/>
  <c r="BN29" i="11"/>
  <c r="BO28" i="11"/>
  <c r="BN28" i="11"/>
  <c r="BO27" i="11"/>
  <c r="BN27" i="11"/>
  <c r="BO26" i="11"/>
  <c r="BN26" i="11"/>
  <c r="BO25" i="11"/>
  <c r="BN25" i="11"/>
  <c r="BO24" i="11"/>
  <c r="BN24" i="11"/>
  <c r="BO23" i="11"/>
  <c r="BN23" i="11"/>
  <c r="BO22" i="11"/>
  <c r="BN22" i="11"/>
  <c r="BO21" i="11"/>
  <c r="BN21" i="11"/>
  <c r="BO20" i="11"/>
  <c r="BN20" i="11"/>
  <c r="BO19" i="11"/>
  <c r="BN19" i="11"/>
  <c r="BO18" i="11"/>
  <c r="BN18" i="11"/>
  <c r="BO17" i="11"/>
  <c r="BN17" i="11"/>
  <c r="BO16" i="11"/>
  <c r="BN16" i="11"/>
  <c r="BO15" i="11"/>
  <c r="BN15" i="11"/>
  <c r="BO14" i="11"/>
  <c r="BN14" i="11"/>
  <c r="BO13" i="11"/>
  <c r="BN13" i="11"/>
  <c r="BO11" i="11"/>
  <c r="BN11" i="11"/>
  <c r="BA36" i="11"/>
  <c r="AZ36" i="11"/>
  <c r="BA35" i="11"/>
  <c r="AZ35" i="11"/>
  <c r="BA34" i="11"/>
  <c r="AZ34" i="11"/>
  <c r="BA33" i="11"/>
  <c r="AZ33" i="11"/>
  <c r="BA32" i="11"/>
  <c r="AZ32" i="11"/>
  <c r="BA31" i="11"/>
  <c r="AZ31" i="11"/>
  <c r="BA30" i="11"/>
  <c r="AZ30" i="11"/>
  <c r="BA29" i="11"/>
  <c r="AZ29" i="11"/>
  <c r="BA28" i="11"/>
  <c r="AZ28" i="11"/>
  <c r="BA27" i="11"/>
  <c r="AZ27" i="11"/>
  <c r="BA26" i="11"/>
  <c r="AZ26" i="11"/>
  <c r="BA25" i="11"/>
  <c r="AZ25" i="11"/>
  <c r="BA24" i="11"/>
  <c r="AZ24" i="11"/>
  <c r="BA23" i="11"/>
  <c r="AZ23" i="11"/>
  <c r="BA22" i="11"/>
  <c r="AZ22" i="11"/>
  <c r="BA21" i="11"/>
  <c r="AZ21" i="11"/>
  <c r="BA20" i="11"/>
  <c r="AZ20" i="11"/>
  <c r="BA19" i="11"/>
  <c r="AZ19" i="11"/>
  <c r="BA18" i="11"/>
  <c r="AZ18" i="11"/>
  <c r="BA17" i="11"/>
  <c r="AZ17" i="11"/>
  <c r="BA16" i="11"/>
  <c r="AZ16" i="11"/>
  <c r="BA15" i="11"/>
  <c r="AZ15" i="11"/>
  <c r="BA14" i="11"/>
  <c r="AZ14" i="11"/>
  <c r="BA13" i="11"/>
  <c r="AZ13" i="11"/>
  <c r="BA11" i="11"/>
  <c r="AZ11" i="11"/>
  <c r="AA36" i="11"/>
  <c r="Z36" i="11"/>
  <c r="AA35" i="11"/>
  <c r="Z35" i="11"/>
  <c r="AA34" i="11"/>
  <c r="Z34" i="11"/>
  <c r="AA33" i="11"/>
  <c r="Z33" i="11"/>
  <c r="AA32" i="11"/>
  <c r="Z32" i="11"/>
  <c r="AA31" i="11"/>
  <c r="Z31" i="11"/>
  <c r="AA30" i="11"/>
  <c r="Z30" i="11"/>
  <c r="AA29" i="11"/>
  <c r="Z29" i="11"/>
  <c r="AA28" i="11"/>
  <c r="Z28" i="11"/>
  <c r="AA27" i="11"/>
  <c r="Z27" i="11"/>
  <c r="AA26" i="11"/>
  <c r="Z26" i="11"/>
  <c r="AA25" i="11"/>
  <c r="Z25" i="11"/>
  <c r="AA24" i="11"/>
  <c r="Z24" i="11"/>
  <c r="AA23" i="11"/>
  <c r="Z23" i="11"/>
  <c r="AA22" i="11"/>
  <c r="Z22" i="11"/>
  <c r="AA21" i="11"/>
  <c r="Z21" i="11"/>
  <c r="AA20" i="11"/>
  <c r="Z20" i="11"/>
  <c r="AA19" i="11"/>
  <c r="Z19" i="11"/>
  <c r="AA18" i="11"/>
  <c r="Z18" i="11"/>
  <c r="AA17" i="11"/>
  <c r="Z17" i="11"/>
  <c r="AA16" i="11"/>
  <c r="Z16" i="11"/>
  <c r="AA15" i="11"/>
  <c r="Z15" i="11"/>
  <c r="AA14" i="11"/>
  <c r="Z14" i="11"/>
  <c r="AA13" i="11"/>
  <c r="Z13" i="11"/>
  <c r="AA11" i="11"/>
  <c r="Z11" i="11"/>
</calcChain>
</file>

<file path=xl/sharedStrings.xml><?xml version="1.0" encoding="utf-8"?>
<sst xmlns="http://schemas.openxmlformats.org/spreadsheetml/2006/main" count="136" uniqueCount="99">
  <si>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</si>
  <si>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</si>
  <si>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</si>
  <si>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</si>
  <si>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</si>
  <si>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</si>
  <si>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</si>
  <si>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</si>
  <si>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</si>
  <si>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</si>
  <si>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t>Estimate</t>
  </si>
  <si>
    <t>Standard Error</t>
  </si>
  <si>
    <t xml:space="preserve">           p - Preliminary.</t>
  </si>
  <si>
    <t xml:space="preserve">           "-" indicator equals to 0 or no data</t>
  </si>
  <si>
    <t>MAJOR INDUSTRY GROUP</t>
  </si>
  <si>
    <t>Total</t>
  </si>
  <si>
    <t xml:space="preserve">Part-Time Employment </t>
  </si>
  <si>
    <t xml:space="preserve"> Full-Time Employment</t>
  </si>
  <si>
    <t>With a Job, Not at Work</t>
  </si>
  <si>
    <t>(Worked Less than 40 Hours)</t>
  </si>
  <si>
    <t>(Worked 40 Hours or More)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</si>
  <si>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</si>
  <si>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</si>
  <si>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</si>
  <si>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</si>
  <si>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</si>
  <si>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</si>
  <si>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</si>
  <si>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</si>
  <si>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</si>
  <si>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</si>
  <si>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t>Difference</t>
  </si>
  <si>
    <t>Percent Distribution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</si>
  <si>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</si>
  <si>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</si>
  <si>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</si>
  <si>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</si>
  <si>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</si>
  <si>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</si>
  <si>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</si>
  <si>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</si>
  <si>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</si>
  <si>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</si>
  <si>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</si>
  <si>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</si>
  <si>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</si>
  <si>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</si>
  <si>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</si>
  <si>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</si>
  <si>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</si>
  <si>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</si>
  <si>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</si>
  <si>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</si>
  <si>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</si>
  <si>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</si>
  <si>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</si>
  <si>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</si>
  <si>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</si>
  <si>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</si>
  <si>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</si>
  <si>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</si>
  <si>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</si>
  <si>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</si>
  <si>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t>PHILIPPINES</t>
  </si>
  <si>
    <t>Agriculture ('000)</t>
  </si>
  <si>
    <t>Agriculture and Forestry (%)</t>
  </si>
  <si>
    <t>Fishing and aquaculture (%)</t>
  </si>
  <si>
    <t>Industry ('000)</t>
  </si>
  <si>
    <t>Mining and quarrying (%)</t>
  </si>
  <si>
    <t>Manufacturing (%)</t>
  </si>
  <si>
    <t>Electricity, gas, steam and air conditioning supply (%)</t>
  </si>
  <si>
    <t>Water supply; sewerage, waste management and remediation activities (%)</t>
  </si>
  <si>
    <t>Construction (%)</t>
  </si>
  <si>
    <t>Services ('000)</t>
  </si>
  <si>
    <t>Wholesale and retail trade; repair of motor vehicles and motorcycles (%)</t>
  </si>
  <si>
    <t>Transportation and storage (%)</t>
  </si>
  <si>
    <t>Accommodation and food service activities (%)</t>
  </si>
  <si>
    <t>Information and communication (%)</t>
  </si>
  <si>
    <t>Financial and insurance activities (%)</t>
  </si>
  <si>
    <t>Real estate activities (%)</t>
  </si>
  <si>
    <t>Professional, scientific and technical activities (%)</t>
  </si>
  <si>
    <t>Administrative and support service activities (%)</t>
  </si>
  <si>
    <t>Public administration and defense; compulsory social security (%)</t>
  </si>
  <si>
    <t>Education (%)</t>
  </si>
  <si>
    <t>Human health and social work activities (%)</t>
  </si>
  <si>
    <t>Arts, entertainment and recreation (%)</t>
  </si>
  <si>
    <t>Other service activities (%)</t>
  </si>
  <si>
    <t>Activities of extraterritorial organizations and  bodies (%)</t>
  </si>
  <si>
    <t xml:space="preserve">           f -Final.</t>
  </si>
  <si>
    <t xml:space="preserve">           0.0 - Less than 0.05 percent but not equal to zero</t>
  </si>
  <si>
    <t>Notes:  Details may not add up to totals due to rounding of figures.</t>
  </si>
  <si>
    <r>
      <rPr>
        <b/>
        <sz val="7"/>
        <color theme="1"/>
        <rFont val="Arial"/>
        <family val="2"/>
      </rPr>
      <t xml:space="preserve">Source: Philippine Statistics Authority, </t>
    </r>
    <r>
      <rPr>
        <b/>
        <i/>
        <sz val="7"/>
        <color theme="1"/>
        <rFont val="Arial"/>
        <family val="2"/>
      </rPr>
      <t>Labor Force Survey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</si>
  <si>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</si>
  <si>
    <r>
      <t>November 2024</t>
    </r>
    <r>
      <rPr>
        <b/>
        <vertAlign val="superscript"/>
        <sz val="11"/>
        <color theme="1"/>
        <rFont val="Arial"/>
        <family val="2"/>
      </rPr>
      <t>f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</si>
  <si>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- October 2025</t>
    </r>
    <r>
      <rPr>
        <b/>
        <vertAlign val="superscript"/>
        <sz val="11"/>
        <color theme="1"/>
        <rFont val="Arial"/>
        <family val="2"/>
      </rPr>
      <t>p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</si>
  <si>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- November 2024</t>
    </r>
    <r>
      <rPr>
        <b/>
        <vertAlign val="superscript"/>
        <sz val="11"/>
        <color theme="1"/>
        <rFont val="Arial"/>
        <family val="2"/>
      </rPr>
      <t>f</t>
    </r>
  </si>
  <si>
    <r>
      <t>November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 xml:space="preserve">                        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</si>
  <si>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</si>
  <si>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t>TABLE B - Employment by Major Industry Group and Total Hours Worked, Philippines: 
November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, 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November 2025</t>
    </r>
    <r>
      <rPr>
        <b/>
        <vertAlign val="superscript"/>
        <sz val="11"/>
        <color theme="1"/>
        <rFont val="Arial"/>
        <family val="2"/>
      </rPr>
      <t>p
(In Thousands Percent Shares)</t>
    </r>
    <r>
      <rPr>
        <b/>
        <sz val="11"/>
        <color theme="1"/>
        <rFont val="Arial"/>
        <family val="2"/>
      </rPr>
      <t xml:space="preserve">
(In Thousands Percent Shares)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</si>
</sst>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m\ yyyy"/>
    <numFmt numFmtId="165" formatCode="#,##0.000;\-#,##0.000"/>
    <numFmt numFmtId="166" formatCode="#,##0.0;\-#,##0.0"/>
    <numFmt numFmtId="167" formatCode="_(* #,##0_);_(* \(#,##0\);_(* &quot;-&quot;??_);_(@_)"/>
    <numFmt numFmtId="168" formatCode="#,##0;[Red]#,##0"/>
    <numFmt numFmtId="169" formatCode="0.0"/>
    <numFmt numFmtId="170" formatCode="#,##0.0"/>
  </numFmts>
  <fonts count="10" x14ac:knownFonts="1">
    <font>
      <sz val="10"/>
      <color rgb="FF000000"/>
      <name val="Courier"/>
      <scheme val="minor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  <font>
      <b/>
      <i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i/>
      <sz val="7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37" fontId="0" fillId="0" borderId="0"/>
  </cellStyleXfs>
  <cellXfs count="87">
    <xf numFmtId="37" fontId="0" fillId="0" borderId="0" xfId="0"/>
    <xf numFmtId="37" fontId="3" fillId="0" borderId="0" xfId="0" applyFont="1"/>
    <xf numFmtId="37" fontId="2" fillId="0" borderId="3" xfId="0" applyFont="1" applyBorder="1" applyAlignment="1">
      <alignment horizontal="right" vertical="center" wrapText="1"/>
    </xf>
    <xf numFmtId="37" fontId="3" fillId="0" borderId="3" xfId="0" applyFont="1" applyBorder="1" applyAlignment="1">
      <alignment horizontal="left" vertical="center" wrapText="1"/>
    </xf>
    <xf numFmtId="0" fontId="4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  <xf numFmtId="167" fontId="2" fillId="0" borderId="3" xfId="0" applyNumberFormat="1" applyFont="1" applyBorder="1" applyAlignment="1">
      <alignment horizontal="right" vertical="center" wrapText="1"/>
    </xf>
    <xf numFmtId="167" fontId="3" fillId="0" borderId="3" xfId="0" applyNumberFormat="1" applyFont="1" applyBorder="1" applyAlignment="1">
      <alignment horizontal="right" vertical="center"/>
    </xf>
    <xf numFmtId="37" fontId="2" fillId="0" borderId="3" xfId="0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right" vertical="center"/>
    </xf>
    <xf numFmtId="37" fontId="3" fillId="0" borderId="3" xfId="0" applyFont="1" applyBorder="1"/>
    <xf numFmtId="167" fontId="3" fillId="0" borderId="3" xfId="0" applyNumberFormat="1" applyFont="1" applyBorder="1"/>
    <xf numFmtId="167" fontId="3" fillId="0" borderId="3" xfId="0" applyNumberFormat="1" applyFont="1" applyBorder="1" applyAlignment="1">
      <alignment horizontal="right" wrapText="1"/>
    </xf>
    <xf numFmtId="167" fontId="2" fillId="0" borderId="3" xfId="0" applyNumberFormat="1" applyFont="1" applyBorder="1" applyAlignment="1">
      <alignment horizontal="left"/>
    </xf>
    <xf numFmtId="37" fontId="2" fillId="0" borderId="0" xfId="0" applyFont="1"/>
    <xf numFmtId="37" fontId="4" fillId="0" borderId="0" xfId="0" applyFont="1" applyAlignment="1">
      <alignment vertical="center"/>
    </xf>
    <xf numFmtId="168" fontId="3" fillId="0" borderId="3" xfId="0" applyNumberFormat="1" applyFont="1" applyBorder="1" applyAlignment="1">
      <alignment horizontal="right" vertical="center"/>
    </xf>
    <xf numFmtId="169" fontId="3" fillId="0" borderId="3" xfId="0" applyNumberFormat="1" applyFont="1" applyBorder="1" applyAlignment="1">
      <alignment horizontal="right" vertical="center"/>
    </xf>
    <xf numFmtId="0" fontId="3" fillId="0" borderId="0" xfId="0" applyNumberFormat="1" applyFont="1"/>
    <xf numFmtId="165" fontId="3" fillId="0" borderId="3" xfId="0" applyNumberFormat="1" applyFont="1" applyBorder="1"/>
    <xf numFmtId="0" fontId="3" fillId="0" borderId="2" xfId="0" applyNumberFormat="1" applyFont="1" applyBorder="1"/>
    <xf numFmtId="3" fontId="3" fillId="0" borderId="2" xfId="0" applyNumberFormat="1" applyFont="1" applyBorder="1"/>
    <xf numFmtId="0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horizontal="center"/>
    </xf>
    <xf numFmtId="167" fontId="3" fillId="0" borderId="3" xfId="0" applyNumberFormat="1" applyFont="1" applyBorder="1" applyAlignment="1">
      <alignment wrapText="1"/>
    </xf>
    <xf numFmtId="37" fontId="3" fillId="0" borderId="3" xfId="0" applyFont="1" applyBorder="1" applyAlignment="1">
      <alignment wrapText="1"/>
    </xf>
    <xf numFmtId="0" fontId="3" fillId="0" borderId="3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horizontal="right" vertical="center"/>
    </xf>
    <xf numFmtId="0" fontId="3" fillId="0" borderId="3" xfId="0" applyNumberFormat="1" applyFont="1" applyBorder="1"/>
    <xf numFmtId="3" fontId="2" fillId="0" borderId="3" xfId="0" applyNumberFormat="1" applyFont="1" applyBorder="1"/>
    <xf numFmtId="167" fontId="2" fillId="0" borderId="3" xfId="0" applyNumberFormat="1" applyFont="1" applyBorder="1"/>
    <xf numFmtId="167" fontId="3" fillId="0" borderId="0" xfId="0" applyNumberFormat="1" applyFont="1"/>
    <xf numFmtId="0" fontId="2" fillId="0" borderId="3" xfId="0" applyNumberFormat="1" applyFont="1" applyBorder="1" applyAlignment="1">
      <alignment horizontal="center"/>
    </xf>
    <xf numFmtId="1" fontId="3" fillId="0" borderId="3" xfId="0" applyNumberFormat="1" applyFont="1" applyBorder="1"/>
    <xf numFmtId="37" fontId="2" fillId="0" borderId="3" xfId="0" applyFont="1" applyBorder="1" applyAlignment="1">
      <alignment horizontal="left" wrapText="1"/>
    </xf>
    <xf numFmtId="168" fontId="2" fillId="0" borderId="3" xfId="0" applyNumberFormat="1" applyFont="1" applyBorder="1"/>
    <xf numFmtId="168" fontId="2" fillId="0" borderId="3" xfId="0" applyNumberFormat="1" applyFont="1" applyBorder="1" applyAlignment="1">
      <alignment horizontal="right"/>
    </xf>
    <xf numFmtId="37" fontId="3" fillId="0" borderId="3" xfId="0" applyFont="1" applyBorder="1" applyAlignment="1">
      <alignment horizontal="left" wrapText="1"/>
    </xf>
    <xf numFmtId="170" fontId="3" fillId="0" borderId="3" xfId="0" applyNumberFormat="1" applyFont="1" applyBorder="1" applyAlignment="1">
      <alignment horizontal="right"/>
    </xf>
    <xf numFmtId="170" fontId="3" fillId="0" borderId="3" xfId="0" applyNumberFormat="1" applyFont="1" applyBorder="1" applyAlignment="1">
      <alignment horizontal="right" vertical="center"/>
    </xf>
    <xf numFmtId="169" fontId="3" fillId="0" borderId="3" xfId="0" applyNumberFormat="1" applyFont="1" applyBorder="1" applyAlignment="1">
      <alignment horizontal="right"/>
    </xf>
    <xf numFmtId="37" fontId="3" fillId="0" borderId="3" xfId="0" applyFont="1" applyBorder="1" applyAlignment="1">
      <alignment horizontal="left" vertical="top" wrapText="1"/>
    </xf>
    <xf numFmtId="167" fontId="3" fillId="0" borderId="3" xfId="0" applyNumberFormat="1" applyFont="1" applyBorder="1" applyAlignment="1">
      <alignment horizontal="right"/>
    </xf>
    <xf numFmtId="170" fontId="3" fillId="0" borderId="3" xfId="0" applyNumberFormat="1" applyFont="1" applyBorder="1" applyAlignment="1">
      <alignment horizontal="right" wrapText="1"/>
    </xf>
    <xf numFmtId="170" fontId="3" fillId="0" borderId="5" xfId="0" applyNumberFormat="1" applyFont="1" applyBorder="1" applyAlignment="1">
      <alignment horizontal="right" wrapText="1"/>
    </xf>
    <xf numFmtId="170" fontId="3" fillId="0" borderId="0" xfId="0" applyNumberFormat="1" applyFont="1"/>
    <xf numFmtId="170" fontId="3" fillId="0" borderId="5" xfId="0" applyNumberFormat="1" applyFont="1" applyBorder="1" applyAlignment="1">
      <alignment horizontal="right" vertical="center"/>
    </xf>
    <xf numFmtId="170" fontId="3" fillId="0" borderId="3" xfId="0" applyNumberFormat="1" applyFont="1" applyBorder="1" applyAlignment="1">
      <alignment horizontal="right" vertical="center" wrapText="1"/>
    </xf>
    <xf numFmtId="170" fontId="3" fillId="0" borderId="0" xfId="0" applyNumberFormat="1" applyFont="1" applyAlignment="1">
      <alignment vertical="center"/>
    </xf>
    <xf numFmtId="0" fontId="3" fillId="0" borderId="2" xfId="0" applyNumberFormat="1" applyFont="1" applyBorder="1" applyAlignment="1">
      <alignment horizontal="left" wrapText="1"/>
    </xf>
    <xf numFmtId="0" fontId="3" fillId="0" borderId="6" xfId="0" applyNumberFormat="1" applyFont="1" applyBorder="1" applyAlignment="1">
      <alignment horizontal="left" wrapText="1"/>
    </xf>
    <xf numFmtId="167" fontId="3" fillId="0" borderId="2" xfId="0" applyNumberFormat="1" applyFont="1" applyBorder="1" applyAlignment="1">
      <alignment horizontal="right"/>
    </xf>
    <xf numFmtId="166" fontId="3" fillId="0" borderId="2" xfId="0" applyNumberFormat="1" applyFont="1" applyBorder="1" applyAlignment="1">
      <alignment horizontal="right"/>
    </xf>
    <xf numFmtId="168" fontId="3" fillId="0" borderId="11" xfId="0" applyNumberFormat="1" applyFont="1" applyBorder="1" applyAlignment="1">
      <alignment horizontal="right" vertical="center"/>
    </xf>
    <xf numFmtId="0" fontId="3" fillId="0" borderId="11" xfId="0" applyNumberFormat="1" applyFont="1" applyBorder="1"/>
    <xf numFmtId="37" fontId="5" fillId="0" borderId="0" xfId="0" applyFont="1" applyAlignment="1">
      <alignment horizontal="left" vertical="center"/>
    </xf>
    <xf numFmtId="170" fontId="5" fillId="0" borderId="0" xfId="0" applyNumberFormat="1" applyFont="1" applyAlignment="1">
      <alignment horizontal="left" vertical="center"/>
    </xf>
    <xf numFmtId="3" fontId="9" fillId="0" borderId="3" xfId="0" applyNumberFormat="1" applyFont="1" applyBorder="1"/>
    <xf numFmtId="3" fontId="8" fillId="0" borderId="3" xfId="0" applyNumberFormat="1" applyFont="1" applyBorder="1"/>
    <xf numFmtId="170" fontId="9" fillId="0" borderId="3" xfId="0" applyNumberFormat="1" applyFont="1" applyBorder="1"/>
    <xf numFmtId="0" fontId="2" fillId="0" borderId="6" xfId="0" applyNumberFormat="1" applyFont="1" applyBorder="1" applyAlignment="1">
      <alignment horizontal="center" vertical="center" wrapText="1"/>
    </xf>
    <xf numFmtId="0" fontId="1" fillId="0" borderId="13" xfId="0" applyNumberFormat="1" applyFont="1" applyBorder="1"/>
    <xf numFmtId="0" fontId="1" fillId="0" borderId="10" xfId="0" applyNumberFormat="1" applyFont="1" applyBorder="1"/>
    <xf numFmtId="0" fontId="2" fillId="0" borderId="13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1" fillId="0" borderId="9" xfId="0" applyNumberFormat="1" applyFont="1" applyBorder="1"/>
    <xf numFmtId="37" fontId="8" fillId="0" borderId="4" xfId="0" applyFont="1" applyBorder="1" applyAlignment="1">
      <alignment horizontal="center" vertical="center" wrapText="1"/>
    </xf>
    <xf numFmtId="0" fontId="1" fillId="0" borderId="12" xfId="0" applyNumberFormat="1" applyFont="1" applyBorder="1"/>
    <xf numFmtId="0" fontId="1" fillId="0" borderId="6" xfId="0" applyNumberFormat="1" applyFont="1" applyBorder="1"/>
    <xf numFmtId="37" fontId="2" fillId="0" borderId="4" xfId="0" applyFont="1" applyBorder="1" applyAlignment="1">
      <alignment horizontal="center" vertical="center" wrapText="1"/>
    </xf>
    <xf numFmtId="37" fontId="2" fillId="0" borderId="1" xfId="0" applyFont="1" applyBorder="1" applyAlignment="1">
      <alignment horizontal="center" vertical="center" wrapText="1"/>
    </xf>
    <xf numFmtId="0" fontId="1" fillId="0" borderId="3" xfId="0" applyNumberFormat="1" applyFont="1" applyBorder="1"/>
    <xf numFmtId="0" fontId="1" fillId="0" borderId="2" xfId="0" applyNumberFormat="1" applyFont="1" applyBorder="1"/>
    <xf numFmtId="37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37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 wrapText="1"/>
    </xf>
    <xf numFmtId="0" fontId="1" fillId="0" borderId="11" xfId="0" applyNumberFormat="1" applyFont="1" applyBorder="1"/>
    <xf numFmtId="164" fontId="2" fillId="0" borderId="8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center" vertical="center" wrapText="1"/>
    </xf>
    <xf numFmtId="0" fontId="2" fillId="0" borderId="12" xfId="0" applyNumberFormat="1" applyFont="1" applyBorder="1" applyAlignment="1">
      <alignment horizontal="center" vertical="center" wrapText="1"/>
    </xf>
    <xf numFmtId="0" fontId="2" fillId="0" borderId="1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E1000"/>
  <sheetViews>
    <sheetView tabSelected="1" zoomScale="70" zoomScaleNormal="70" workbookViewId="0">
      <selection activeCell="P30" sqref="P30"/>
    </sheetView>
  </sheetViews>
  <sheetFormatPr defaultColWidth="12.6640625" defaultRowHeight="15" customHeight="1" x14ac:dyDescent="0.2"/>
  <cols>
    <col min="1" max="1" width="60.44140625" customWidth="1"/>
    <col min="2" max="2" width="11" customWidth="1"/>
    <col min="3" max="3" width="13" customWidth="1"/>
    <col min="4" max="25" width="11" customWidth="1"/>
    <col min="26" max="26" width="12.109375" customWidth="1"/>
    <col min="27" max="27" width="13.6640625" customWidth="1"/>
    <col min="28" max="36" width="10.44140625" customWidth="1"/>
    <col min="37" max="37" width="12" customWidth="1"/>
    <col min="38" max="39" width="10.44140625" customWidth="1"/>
    <col min="40" max="40" width="11.33203125" customWidth="1"/>
    <col min="41" max="51" width="12.33203125" customWidth="1"/>
    <col min="52" max="52" width="10.44140625" customWidth="1"/>
    <col min="53" max="53" width="12" customWidth="1"/>
    <col min="54" max="62" width="11.44140625" customWidth="1"/>
    <col min="63" max="63" width="11.88671875" customWidth="1"/>
    <col min="64" max="65" width="11.44140625" customWidth="1"/>
    <col min="66" max="66" width="10.33203125" customWidth="1"/>
    <col min="67" max="67" width="12.109375" customWidth="1"/>
    <col min="68" max="68" width="11" customWidth="1"/>
    <col min="69" max="76" width="10" customWidth="1"/>
    <col min="77" max="77" width="12.109375" customWidth="1"/>
    <col min="78" max="79" width="10.6640625" customWidth="1"/>
    <col min="80" max="80" width="10.44140625" customWidth="1"/>
    <col min="81" max="81" width="13.44140625" customWidth="1"/>
    <col min="82" max="83" width="8" customWidth="1"/>
  </cols>
  <sheetData>
    <row r="1" spans="1:83" ht="29.4" customHeight="1" x14ac:dyDescent="0.25">
      <c r="A1" s="18"/>
      <c r="B1" s="76" t="s">
        <v>98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18"/>
      <c r="CE1" s="18"/>
    </row>
    <row r="2" spans="1:83" ht="36.75" customHeight="1" x14ac:dyDescent="0.25">
      <c r="A2" s="22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18"/>
      <c r="CE2" s="18"/>
    </row>
    <row r="3" spans="1:83" ht="6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18"/>
      <c r="CE3" s="18"/>
    </row>
    <row r="4" spans="1:83" ht="12.75" customHeight="1" x14ac:dyDescent="0.25">
      <c r="A4" s="79" t="s">
        <v>14</v>
      </c>
      <c r="B4" s="80" t="s">
        <v>15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5"/>
      <c r="AN4" s="80" t="s">
        <v>16</v>
      </c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68"/>
      <c r="BB4" s="80" t="s">
        <v>17</v>
      </c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68"/>
      <c r="BP4" s="80" t="s">
        <v>18</v>
      </c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68"/>
      <c r="CD4" s="18"/>
      <c r="CE4" s="18"/>
    </row>
    <row r="5" spans="1:83" ht="12.75" customHeight="1" x14ac:dyDescent="0.25">
      <c r="A5" s="72"/>
      <c r="B5" s="61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86"/>
      <c r="AN5" s="61" t="s">
        <v>19</v>
      </c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3"/>
      <c r="BB5" s="61" t="s">
        <v>20</v>
      </c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3"/>
      <c r="BP5" s="64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3"/>
      <c r="CD5" s="18"/>
      <c r="CE5" s="18"/>
    </row>
    <row r="6" spans="1:83" ht="24" customHeight="1" x14ac:dyDescent="0.25">
      <c r="A6" s="72"/>
      <c r="B6" s="67" t="s">
        <v>93</v>
      </c>
      <c r="C6" s="68"/>
      <c r="D6" s="70" t="s">
        <v>21</v>
      </c>
      <c r="E6" s="68"/>
      <c r="F6" s="70" t="s">
        <v>22</v>
      </c>
      <c r="G6" s="68"/>
      <c r="H6" s="70" t="s">
        <v>23</v>
      </c>
      <c r="I6" s="68"/>
      <c r="J6" s="70" t="s">
        <v>24</v>
      </c>
      <c r="K6" s="68"/>
      <c r="L6" s="70" t="s">
        <v>25</v>
      </c>
      <c r="M6" s="68"/>
      <c r="N6" s="70" t="s">
        <v>26</v>
      </c>
      <c r="O6" s="68"/>
      <c r="P6" s="70" t="s">
        <v>27</v>
      </c>
      <c r="Q6" s="68"/>
      <c r="R6" s="70" t="s">
        <v>28</v>
      </c>
      <c r="S6" s="68"/>
      <c r="T6" s="70" t="s">
        <v>29</v>
      </c>
      <c r="U6" s="68"/>
      <c r="V6" s="70" t="s">
        <v>30</v>
      </c>
      <c r="W6" s="68"/>
      <c r="X6" s="67" t="s">
        <v>92</v>
      </c>
      <c r="Y6" s="68"/>
      <c r="Z6" s="65" t="s">
        <v>31</v>
      </c>
      <c r="AA6" s="66"/>
      <c r="AB6" s="65" t="s">
        <v>32</v>
      </c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3"/>
      <c r="AN6" s="74" t="s">
        <v>93</v>
      </c>
      <c r="AO6" s="71" t="s">
        <v>33</v>
      </c>
      <c r="AP6" s="71" t="s">
        <v>34</v>
      </c>
      <c r="AQ6" s="71" t="s">
        <v>35</v>
      </c>
      <c r="AR6" s="71" t="s">
        <v>36</v>
      </c>
      <c r="AS6" s="71" t="s">
        <v>37</v>
      </c>
      <c r="AT6" s="71" t="s">
        <v>38</v>
      </c>
      <c r="AU6" s="71" t="s">
        <v>39</v>
      </c>
      <c r="AV6" s="71" t="s">
        <v>40</v>
      </c>
      <c r="AW6" s="71" t="s">
        <v>41</v>
      </c>
      <c r="AX6" s="71" t="s">
        <v>42</v>
      </c>
      <c r="AY6" s="74" t="s">
        <v>92</v>
      </c>
      <c r="AZ6" s="65" t="s">
        <v>31</v>
      </c>
      <c r="BA6" s="66"/>
      <c r="BB6" s="74" t="s">
        <v>93</v>
      </c>
      <c r="BC6" s="71" t="s">
        <v>0</v>
      </c>
      <c r="BD6" s="71" t="s">
        <v>1</v>
      </c>
      <c r="BE6" s="71" t="s">
        <v>2</v>
      </c>
      <c r="BF6" s="71" t="s">
        <v>3</v>
      </c>
      <c r="BG6" s="71" t="s">
        <v>4</v>
      </c>
      <c r="BH6" s="71" t="s">
        <v>5</v>
      </c>
      <c r="BI6" s="71" t="s">
        <v>6</v>
      </c>
      <c r="BJ6" s="71" t="s">
        <v>7</v>
      </c>
      <c r="BK6" s="71" t="s">
        <v>8</v>
      </c>
      <c r="BL6" s="71" t="s">
        <v>9</v>
      </c>
      <c r="BM6" s="74" t="s">
        <v>92</v>
      </c>
      <c r="BN6" s="65" t="s">
        <v>31</v>
      </c>
      <c r="BO6" s="66"/>
      <c r="BP6" s="74" t="s">
        <v>93</v>
      </c>
      <c r="BQ6" s="71" t="s">
        <v>43</v>
      </c>
      <c r="BR6" s="71" t="s">
        <v>44</v>
      </c>
      <c r="BS6" s="71" t="s">
        <v>45</v>
      </c>
      <c r="BT6" s="71" t="s">
        <v>46</v>
      </c>
      <c r="BU6" s="71" t="s">
        <v>47</v>
      </c>
      <c r="BV6" s="71" t="s">
        <v>48</v>
      </c>
      <c r="BW6" s="71" t="s">
        <v>49</v>
      </c>
      <c r="BX6" s="71" t="s">
        <v>50</v>
      </c>
      <c r="BY6" s="71" t="s">
        <v>51</v>
      </c>
      <c r="BZ6" s="71" t="s">
        <v>52</v>
      </c>
      <c r="CA6" s="74" t="s">
        <v>92</v>
      </c>
      <c r="CB6" s="65" t="s">
        <v>31</v>
      </c>
      <c r="CC6" s="66"/>
      <c r="CD6" s="18"/>
      <c r="CE6" s="18"/>
    </row>
    <row r="7" spans="1:83" ht="25.5" customHeight="1" x14ac:dyDescent="0.25">
      <c r="A7" s="72"/>
      <c r="B7" s="69"/>
      <c r="C7" s="63"/>
      <c r="D7" s="69"/>
      <c r="E7" s="63"/>
      <c r="F7" s="69"/>
      <c r="G7" s="63"/>
      <c r="H7" s="69"/>
      <c r="I7" s="63"/>
      <c r="J7" s="69"/>
      <c r="K7" s="63"/>
      <c r="L7" s="69"/>
      <c r="M7" s="63"/>
      <c r="N7" s="69"/>
      <c r="O7" s="63"/>
      <c r="P7" s="69"/>
      <c r="Q7" s="63"/>
      <c r="R7" s="69"/>
      <c r="S7" s="63"/>
      <c r="T7" s="69"/>
      <c r="U7" s="63"/>
      <c r="V7" s="69"/>
      <c r="W7" s="63"/>
      <c r="X7" s="69"/>
      <c r="Y7" s="63"/>
      <c r="Z7" s="75" t="s">
        <v>95</v>
      </c>
      <c r="AA7" s="75" t="s">
        <v>94</v>
      </c>
      <c r="AB7" s="75" t="s">
        <v>96</v>
      </c>
      <c r="AC7" s="78" t="s">
        <v>53</v>
      </c>
      <c r="AD7" s="78" t="s">
        <v>54</v>
      </c>
      <c r="AE7" s="78" t="s">
        <v>55</v>
      </c>
      <c r="AF7" s="78" t="s">
        <v>56</v>
      </c>
      <c r="AG7" s="78" t="s">
        <v>57</v>
      </c>
      <c r="AH7" s="78" t="s">
        <v>58</v>
      </c>
      <c r="AI7" s="78" t="s">
        <v>59</v>
      </c>
      <c r="AJ7" s="78" t="s">
        <v>60</v>
      </c>
      <c r="AK7" s="78" t="s">
        <v>61</v>
      </c>
      <c r="AL7" s="78" t="s">
        <v>62</v>
      </c>
      <c r="AM7" s="75" t="s">
        <v>97</v>
      </c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5" t="s">
        <v>95</v>
      </c>
      <c r="BA7" s="75" t="s">
        <v>94</v>
      </c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5" t="s">
        <v>95</v>
      </c>
      <c r="BO7" s="75" t="s">
        <v>94</v>
      </c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5" t="s">
        <v>95</v>
      </c>
      <c r="CC7" s="75" t="s">
        <v>94</v>
      </c>
      <c r="CD7" s="18"/>
      <c r="CE7" s="18"/>
    </row>
    <row r="8" spans="1:83" ht="25.5" customHeight="1" x14ac:dyDescent="0.25">
      <c r="A8" s="72"/>
      <c r="B8" s="78" t="s">
        <v>10</v>
      </c>
      <c r="C8" s="78" t="s">
        <v>11</v>
      </c>
      <c r="D8" s="78" t="s">
        <v>10</v>
      </c>
      <c r="E8" s="78" t="s">
        <v>11</v>
      </c>
      <c r="F8" s="78" t="s">
        <v>10</v>
      </c>
      <c r="G8" s="78" t="s">
        <v>11</v>
      </c>
      <c r="H8" s="78" t="s">
        <v>10</v>
      </c>
      <c r="I8" s="78" t="s">
        <v>11</v>
      </c>
      <c r="J8" s="78" t="s">
        <v>10</v>
      </c>
      <c r="K8" s="78" t="s">
        <v>11</v>
      </c>
      <c r="L8" s="78" t="s">
        <v>10</v>
      </c>
      <c r="M8" s="78" t="s">
        <v>11</v>
      </c>
      <c r="N8" s="78" t="s">
        <v>10</v>
      </c>
      <c r="O8" s="78" t="s">
        <v>11</v>
      </c>
      <c r="P8" s="78" t="s">
        <v>10</v>
      </c>
      <c r="Q8" s="78" t="s">
        <v>11</v>
      </c>
      <c r="R8" s="78" t="s">
        <v>10</v>
      </c>
      <c r="S8" s="78" t="s">
        <v>11</v>
      </c>
      <c r="T8" s="78" t="s">
        <v>10</v>
      </c>
      <c r="U8" s="78" t="s">
        <v>11</v>
      </c>
      <c r="V8" s="78" t="s">
        <v>10</v>
      </c>
      <c r="W8" s="78" t="s">
        <v>11</v>
      </c>
      <c r="X8" s="78" t="s">
        <v>10</v>
      </c>
      <c r="Y8" s="78" t="s">
        <v>11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72"/>
      <c r="CC8" s="72"/>
      <c r="CD8" s="18"/>
      <c r="CE8" s="18"/>
    </row>
    <row r="9" spans="1:83" ht="25.5" customHeigh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18"/>
      <c r="CE9" s="18"/>
    </row>
    <row r="10" spans="1:83" ht="15" customHeight="1" x14ac:dyDescent="0.25">
      <c r="A10" s="24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7"/>
      <c r="AA10" s="27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7"/>
      <c r="BA10" s="27"/>
      <c r="BB10" s="29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9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18"/>
      <c r="CE10" s="18"/>
    </row>
    <row r="11" spans="1:83" ht="14.25" customHeight="1" x14ac:dyDescent="0.25">
      <c r="A11" s="13" t="s">
        <v>63</v>
      </c>
      <c r="B11" s="2">
        <v>49541.468999999997</v>
      </c>
      <c r="C11" s="6">
        <v>1008.8049999999999</v>
      </c>
      <c r="D11" s="6">
        <v>48486.641000000003</v>
      </c>
      <c r="E11" s="6">
        <v>517.14700000000005</v>
      </c>
      <c r="F11" s="6">
        <v>49154.667000000001</v>
      </c>
      <c r="G11" s="6">
        <v>974.88099999999997</v>
      </c>
      <c r="H11" s="6">
        <v>48024.858</v>
      </c>
      <c r="I11" s="6">
        <v>975.346</v>
      </c>
      <c r="J11" s="6">
        <v>48671.648000000001</v>
      </c>
      <c r="K11" s="6">
        <v>617.26300000000003</v>
      </c>
      <c r="L11" s="6">
        <v>50289.760999999999</v>
      </c>
      <c r="M11" s="6">
        <v>1079.9349999999999</v>
      </c>
      <c r="N11" s="6">
        <v>50474.714999999997</v>
      </c>
      <c r="O11" s="6">
        <v>950.79700000000003</v>
      </c>
      <c r="P11" s="6">
        <v>46046.451000000001</v>
      </c>
      <c r="Q11" s="6">
        <v>272.52999999999997</v>
      </c>
      <c r="R11" s="6">
        <v>50096.150999999998</v>
      </c>
      <c r="S11" s="6">
        <v>1001.989</v>
      </c>
      <c r="T11" s="6">
        <v>49601.877999999997</v>
      </c>
      <c r="U11" s="6">
        <v>1009.588</v>
      </c>
      <c r="V11" s="6">
        <v>48619.468000000001</v>
      </c>
      <c r="W11" s="6">
        <v>528.95000000000005</v>
      </c>
      <c r="X11" s="6">
        <v>49264.781999999999</v>
      </c>
      <c r="Y11" s="6">
        <v>1007.725</v>
      </c>
      <c r="Z11" s="30">
        <f>X11-B11</f>
        <v>-276.68699999999808</v>
      </c>
      <c r="AA11" s="30">
        <f>X11-V11</f>
        <v>645.31399999999849</v>
      </c>
      <c r="AB11" s="31">
        <v>49541.468999999997</v>
      </c>
      <c r="AC11" s="31">
        <v>48486.641000000003</v>
      </c>
      <c r="AD11" s="31">
        <v>49154.667000000001</v>
      </c>
      <c r="AE11" s="31">
        <v>48024.858</v>
      </c>
      <c r="AF11" s="31">
        <v>48671.648000000001</v>
      </c>
      <c r="AG11" s="31">
        <v>50289.760999999999</v>
      </c>
      <c r="AH11" s="31">
        <v>50474.714999999997</v>
      </c>
      <c r="AI11" s="31">
        <v>46045.860999999997</v>
      </c>
      <c r="AJ11" s="31">
        <v>50096.150999999998</v>
      </c>
      <c r="AK11" s="31">
        <v>49601.877999999997</v>
      </c>
      <c r="AL11" s="31">
        <v>48619.468000000001</v>
      </c>
      <c r="AM11" s="31">
        <v>49264.781999999999</v>
      </c>
      <c r="AN11" s="6">
        <v>14690.04</v>
      </c>
      <c r="AO11" s="6">
        <v>15474.118</v>
      </c>
      <c r="AP11" s="6">
        <v>14544.106</v>
      </c>
      <c r="AQ11" s="6">
        <v>14273.906999999999</v>
      </c>
      <c r="AR11" s="6">
        <v>16703.460999999999</v>
      </c>
      <c r="AS11" s="6">
        <v>16641.484</v>
      </c>
      <c r="AT11" s="6">
        <v>15763.905000000001</v>
      </c>
      <c r="AU11" s="6">
        <v>12425.092000000001</v>
      </c>
      <c r="AV11" s="6">
        <v>14895.678</v>
      </c>
      <c r="AW11" s="6">
        <v>15069.833000000001</v>
      </c>
      <c r="AX11" s="6">
        <v>14341.949000000001</v>
      </c>
      <c r="AY11" s="6">
        <v>15441.249</v>
      </c>
      <c r="AZ11" s="30">
        <f>AY11-AN11</f>
        <v>751.20899999999892</v>
      </c>
      <c r="BA11" s="30">
        <f>AY11-AX11</f>
        <v>1099.2999999999993</v>
      </c>
      <c r="BB11" s="6">
        <v>34471.135000000002</v>
      </c>
      <c r="BC11" s="6">
        <v>32600.725999999999</v>
      </c>
      <c r="BD11" s="6">
        <v>34209.063000000002</v>
      </c>
      <c r="BE11" s="6">
        <v>33233.860999999997</v>
      </c>
      <c r="BF11" s="6">
        <v>31361.249</v>
      </c>
      <c r="BG11" s="6">
        <v>32445.762999999999</v>
      </c>
      <c r="BH11" s="6">
        <v>34169.902999999998</v>
      </c>
      <c r="BI11" s="6">
        <v>33297.845000000001</v>
      </c>
      <c r="BJ11" s="6">
        <v>34788.000999999997</v>
      </c>
      <c r="BK11" s="6">
        <v>34176.517</v>
      </c>
      <c r="BL11" s="6">
        <v>33808.574000000001</v>
      </c>
      <c r="BM11" s="6">
        <v>33394.481</v>
      </c>
      <c r="BN11" s="30">
        <f>BM11-BB11</f>
        <v>-1076.6540000000023</v>
      </c>
      <c r="BO11" s="30">
        <f>BM11-BL11</f>
        <v>-414.09300000000076</v>
      </c>
      <c r="BP11" s="6">
        <v>380.29500000000002</v>
      </c>
      <c r="BQ11" s="6">
        <v>411.79599999999999</v>
      </c>
      <c r="BR11" s="6">
        <v>401.49900000000002</v>
      </c>
      <c r="BS11" s="6">
        <v>517.09</v>
      </c>
      <c r="BT11" s="6">
        <v>606.93799999999999</v>
      </c>
      <c r="BU11" s="6">
        <v>1202.5139999999999</v>
      </c>
      <c r="BV11" s="6">
        <v>540.90700000000004</v>
      </c>
      <c r="BW11" s="6">
        <v>323.51400000000001</v>
      </c>
      <c r="BX11" s="6">
        <v>412.47199999999998</v>
      </c>
      <c r="BY11" s="6">
        <v>355.529</v>
      </c>
      <c r="BZ11" s="6">
        <v>468.94400000000002</v>
      </c>
      <c r="CA11" s="6">
        <v>429.05200000000002</v>
      </c>
      <c r="CB11" s="30">
        <f>CA11-BP11</f>
        <v>48.757000000000005</v>
      </c>
      <c r="CC11" s="30">
        <f>CA11-BZ11</f>
        <v>-39.891999999999996</v>
      </c>
      <c r="CD11" s="32"/>
      <c r="CE11" s="32"/>
    </row>
    <row r="12" spans="1:83" ht="14.25" customHeight="1" x14ac:dyDescent="0.25">
      <c r="A12" s="33"/>
      <c r="B12" s="1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34"/>
      <c r="AA12" s="34"/>
      <c r="AB12" s="19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34"/>
      <c r="BA12" s="34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34"/>
      <c r="BO12" s="34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34"/>
      <c r="CC12" s="34"/>
      <c r="CD12" s="18"/>
      <c r="CE12" s="18"/>
    </row>
    <row r="13" spans="1:83" ht="14.25" customHeight="1" x14ac:dyDescent="0.25">
      <c r="A13" s="35" t="s">
        <v>64</v>
      </c>
      <c r="B13" s="8">
        <v>9917.9449999999997</v>
      </c>
      <c r="C13" s="8">
        <v>437.25799999999998</v>
      </c>
      <c r="D13" s="8">
        <v>10244.370000000001</v>
      </c>
      <c r="E13" s="8">
        <v>244.55199999999999</v>
      </c>
      <c r="F13" s="8">
        <v>9871.2520000000004</v>
      </c>
      <c r="G13" s="8">
        <v>402.47199999999998</v>
      </c>
      <c r="H13" s="8">
        <v>9640.3430000000008</v>
      </c>
      <c r="I13" s="8">
        <v>474.92200000000003</v>
      </c>
      <c r="J13" s="8">
        <v>10021.429</v>
      </c>
      <c r="K13" s="8">
        <v>253.96</v>
      </c>
      <c r="L13" s="8">
        <v>10604.464</v>
      </c>
      <c r="M13" s="8">
        <v>492.64100000000002</v>
      </c>
      <c r="N13" s="8">
        <v>10553.089</v>
      </c>
      <c r="O13" s="8">
        <v>501.39499999999998</v>
      </c>
      <c r="P13" s="8">
        <v>8532.6980000000003</v>
      </c>
      <c r="Q13" s="8">
        <v>115.197</v>
      </c>
      <c r="R13" s="8">
        <v>10230.272999999999</v>
      </c>
      <c r="S13" s="8">
        <v>454.70800000000003</v>
      </c>
      <c r="T13" s="8">
        <v>10352.695</v>
      </c>
      <c r="U13" s="8">
        <v>495.78399999999999</v>
      </c>
      <c r="V13" s="8">
        <v>10442.855</v>
      </c>
      <c r="W13" s="8">
        <v>262.44400000000002</v>
      </c>
      <c r="X13" s="8">
        <v>9848.48</v>
      </c>
      <c r="Y13" s="8">
        <v>534.09400000000005</v>
      </c>
      <c r="Z13" s="59">
        <f t="shared" ref="Z13:Z36" si="0">X13-B13</f>
        <v>-69.465000000000146</v>
      </c>
      <c r="AA13" s="59">
        <f t="shared" ref="AA13:AA36" si="1">X13-V13</f>
        <v>-594.375</v>
      </c>
      <c r="AB13" s="36">
        <v>9917.9449999999997</v>
      </c>
      <c r="AC13" s="37">
        <v>10244.370000000001</v>
      </c>
      <c r="AD13" s="37">
        <v>9871.2520000000004</v>
      </c>
      <c r="AE13" s="37">
        <v>9640.3430000000008</v>
      </c>
      <c r="AF13" s="37">
        <v>10021.429</v>
      </c>
      <c r="AG13" s="37">
        <v>10604.464</v>
      </c>
      <c r="AH13" s="37">
        <v>10553.089</v>
      </c>
      <c r="AI13" s="37">
        <v>8532.6980000000003</v>
      </c>
      <c r="AJ13" s="37">
        <v>10230.272999999999</v>
      </c>
      <c r="AK13" s="37">
        <v>10352.695</v>
      </c>
      <c r="AL13" s="37">
        <v>10442.855</v>
      </c>
      <c r="AM13" s="37">
        <v>9848.48</v>
      </c>
      <c r="AN13" s="8">
        <v>6591.7960000000003</v>
      </c>
      <c r="AO13" s="9">
        <v>6835.6869999999999</v>
      </c>
      <c r="AP13" s="9">
        <v>6561.0649999999996</v>
      </c>
      <c r="AQ13" s="9">
        <v>6157.3339999999998</v>
      </c>
      <c r="AR13" s="9">
        <v>6846.9530000000004</v>
      </c>
      <c r="AS13" s="9">
        <v>7016.4250000000002</v>
      </c>
      <c r="AT13" s="9">
        <v>6920.3590000000004</v>
      </c>
      <c r="AU13" s="9">
        <v>5034.9409999999998</v>
      </c>
      <c r="AV13" s="9">
        <v>6842.6809999999996</v>
      </c>
      <c r="AW13" s="9">
        <v>7091.6559999999999</v>
      </c>
      <c r="AX13" s="9">
        <v>6669.2020000000002</v>
      </c>
      <c r="AY13" s="9">
        <v>6536.3860000000004</v>
      </c>
      <c r="AZ13" s="59">
        <f t="shared" ref="AZ13:AZ36" si="2">AY13-AN13</f>
        <v>-55.409999999999854</v>
      </c>
      <c r="BA13" s="59">
        <f t="shared" ref="BA13:BA36" si="3">AY13-AX13</f>
        <v>-132.8159999999998</v>
      </c>
      <c r="BB13" s="9">
        <v>3210.453</v>
      </c>
      <c r="BC13" s="9">
        <v>3287.306</v>
      </c>
      <c r="BD13" s="9">
        <v>3200.4090000000001</v>
      </c>
      <c r="BE13" s="9">
        <v>3318.28</v>
      </c>
      <c r="BF13" s="9">
        <v>3006.7849999999999</v>
      </c>
      <c r="BG13" s="9">
        <v>3431.1329999999998</v>
      </c>
      <c r="BH13" s="9">
        <v>3463.2469999999998</v>
      </c>
      <c r="BI13" s="9">
        <v>3424.7060000000001</v>
      </c>
      <c r="BJ13" s="9">
        <v>3242.1750000000002</v>
      </c>
      <c r="BK13" s="9">
        <v>3136.6570000000002</v>
      </c>
      <c r="BL13" s="9">
        <v>3646.6309999999999</v>
      </c>
      <c r="BM13" s="9">
        <v>3172.8249999999998</v>
      </c>
      <c r="BN13" s="59">
        <f t="shared" ref="BN13:BN36" si="4">BM13-BB13</f>
        <v>-37.628000000000156</v>
      </c>
      <c r="BO13" s="59">
        <f t="shared" ref="BO13:BO36" si="5">BM13-BL13</f>
        <v>-473.80600000000004</v>
      </c>
      <c r="BP13" s="8">
        <v>115.696</v>
      </c>
      <c r="BQ13" s="8">
        <v>121.377</v>
      </c>
      <c r="BR13" s="8">
        <v>109.777</v>
      </c>
      <c r="BS13" s="8">
        <v>164.72900000000001</v>
      </c>
      <c r="BT13" s="8">
        <v>167.69</v>
      </c>
      <c r="BU13" s="8">
        <v>156.90700000000001</v>
      </c>
      <c r="BV13" s="8">
        <v>169.483</v>
      </c>
      <c r="BW13" s="8">
        <v>73.051000000000002</v>
      </c>
      <c r="BX13" s="8">
        <v>145.416</v>
      </c>
      <c r="BY13" s="8">
        <v>124.381</v>
      </c>
      <c r="BZ13" s="8">
        <v>127.023</v>
      </c>
      <c r="CA13" s="8">
        <v>139.26900000000001</v>
      </c>
      <c r="CB13" s="59">
        <f t="shared" ref="CB13:CB36" si="6">CA13-BP13</f>
        <v>23.573000000000008</v>
      </c>
      <c r="CC13" s="59">
        <f t="shared" ref="CC13:CC36" si="7">CA13-BZ13</f>
        <v>12.246000000000009</v>
      </c>
      <c r="CD13" s="18"/>
      <c r="CE13" s="18"/>
    </row>
    <row r="14" spans="1:83" ht="14.25" customHeight="1" x14ac:dyDescent="0.25">
      <c r="A14" s="38" t="s">
        <v>65</v>
      </c>
      <c r="B14" s="7">
        <v>8714.152</v>
      </c>
      <c r="C14" s="7">
        <v>425.517</v>
      </c>
      <c r="D14" s="7">
        <v>8936.34</v>
      </c>
      <c r="E14" s="7">
        <v>237.142</v>
      </c>
      <c r="F14" s="7">
        <v>8415.9940000000006</v>
      </c>
      <c r="G14" s="7">
        <v>388.178</v>
      </c>
      <c r="H14" s="7">
        <v>8470.4310000000005</v>
      </c>
      <c r="I14" s="7">
        <v>460.173</v>
      </c>
      <c r="J14" s="7">
        <v>8612.8130000000001</v>
      </c>
      <c r="K14" s="7">
        <v>250.79</v>
      </c>
      <c r="L14" s="7">
        <v>9431.5139999999992</v>
      </c>
      <c r="M14" s="7">
        <v>485.51900000000001</v>
      </c>
      <c r="N14" s="7">
        <v>8951.8940000000002</v>
      </c>
      <c r="O14" s="7">
        <v>487.41199999999998</v>
      </c>
      <c r="P14" s="7">
        <v>7381.6890000000003</v>
      </c>
      <c r="Q14" s="7">
        <v>106.253</v>
      </c>
      <c r="R14" s="7">
        <v>8732.8700000000008</v>
      </c>
      <c r="S14" s="7">
        <v>449.57499999999999</v>
      </c>
      <c r="T14" s="7">
        <v>8861.9930000000004</v>
      </c>
      <c r="U14" s="7">
        <v>483.06</v>
      </c>
      <c r="V14" s="7">
        <v>9217.4889999999996</v>
      </c>
      <c r="W14" s="7">
        <v>255.78</v>
      </c>
      <c r="X14" s="7">
        <v>8700.8410000000003</v>
      </c>
      <c r="Y14" s="7">
        <v>512.79</v>
      </c>
      <c r="Z14" s="58">
        <f t="shared" si="0"/>
        <v>-13.310999999999694</v>
      </c>
      <c r="AA14" s="58">
        <f t="shared" si="1"/>
        <v>-516.64799999999923</v>
      </c>
      <c r="AB14" s="39">
        <v>87.862475543068655</v>
      </c>
      <c r="AC14" s="39">
        <v>87.231718495134388</v>
      </c>
      <c r="AD14" s="39">
        <v>85.257614738231794</v>
      </c>
      <c r="AE14" s="39">
        <v>87.864415197675015</v>
      </c>
      <c r="AF14" s="39">
        <v>85.943960686644587</v>
      </c>
      <c r="AG14" s="39">
        <v>88.939092065379256</v>
      </c>
      <c r="AH14" s="39">
        <v>84.827238735501993</v>
      </c>
      <c r="AI14" s="39">
        <v>86.510999999999996</v>
      </c>
      <c r="AJ14" s="39">
        <v>85.363020126637892</v>
      </c>
      <c r="AK14" s="39">
        <v>85.600831474316593</v>
      </c>
      <c r="AL14" s="39">
        <v>88.266000000000005</v>
      </c>
      <c r="AM14" s="39">
        <v>88.347044417006487</v>
      </c>
      <c r="AN14" s="40">
        <v>89.73442139289503</v>
      </c>
      <c r="AO14" s="40">
        <v>88.997243437272658</v>
      </c>
      <c r="AP14" s="40">
        <v>87.579531676640912</v>
      </c>
      <c r="AQ14" s="40">
        <v>88.390836033906879</v>
      </c>
      <c r="AR14" s="40">
        <v>88.291215085016646</v>
      </c>
      <c r="AS14" s="40">
        <v>89.998999999999995</v>
      </c>
      <c r="AT14" s="40">
        <v>86.05</v>
      </c>
      <c r="AU14" s="40">
        <v>87.442712834172241</v>
      </c>
      <c r="AV14" s="40">
        <v>87.29</v>
      </c>
      <c r="AW14" s="40">
        <v>90.626999999999995</v>
      </c>
      <c r="AX14" s="40">
        <v>89.715621149276927</v>
      </c>
      <c r="AY14" s="40">
        <v>88.028002018240656</v>
      </c>
      <c r="AZ14" s="60">
        <f t="shared" si="2"/>
        <v>-1.7064193746543737</v>
      </c>
      <c r="BA14" s="60">
        <f t="shared" si="3"/>
        <v>-1.6876191310362714</v>
      </c>
      <c r="BB14" s="40">
        <v>84.885435170675279</v>
      </c>
      <c r="BC14" s="40">
        <v>84.121405187104585</v>
      </c>
      <c r="BD14" s="40">
        <v>81.700526401469318</v>
      </c>
      <c r="BE14" s="40">
        <v>88.380787636968549</v>
      </c>
      <c r="BF14" s="40">
        <v>80.975294209595972</v>
      </c>
      <c r="BG14" s="40">
        <v>87.984999999999999</v>
      </c>
      <c r="BH14" s="40">
        <v>83.716999999999999</v>
      </c>
      <c r="BI14" s="40">
        <v>85.442954811303508</v>
      </c>
      <c r="BJ14" s="40">
        <v>81.671000000000006</v>
      </c>
      <c r="BK14" s="40">
        <v>74.182000000000002</v>
      </c>
      <c r="BL14" s="40">
        <v>86.232909224980531</v>
      </c>
      <c r="BM14" s="40">
        <v>89.675194818497715</v>
      </c>
      <c r="BN14" s="60">
        <f t="shared" si="4"/>
        <v>4.7897596478224358</v>
      </c>
      <c r="BO14" s="60">
        <f t="shared" si="5"/>
        <v>3.4422855935171839</v>
      </c>
      <c r="BP14" s="40">
        <v>63.818109528419299</v>
      </c>
      <c r="BQ14" s="40">
        <v>72.039183700371566</v>
      </c>
      <c r="BR14" s="40">
        <v>50.185375807318465</v>
      </c>
      <c r="BS14" s="40">
        <v>57.78642497678004</v>
      </c>
      <c r="BT14" s="40">
        <v>79.19494304967499</v>
      </c>
      <c r="BU14" s="40">
        <v>62.405999999999999</v>
      </c>
      <c r="BV14" s="40">
        <v>57.582999999999998</v>
      </c>
      <c r="BW14" s="40">
        <v>72.319338544304657</v>
      </c>
      <c r="BX14" s="40">
        <v>77.033000000000001</v>
      </c>
      <c r="BY14" s="40">
        <v>87.004999999999995</v>
      </c>
      <c r="BZ14" s="40">
        <v>70.521086732324065</v>
      </c>
      <c r="CA14" s="40">
        <v>73.062921396721464</v>
      </c>
      <c r="CB14" s="60">
        <f t="shared" si="6"/>
        <v>9.2448118683021647</v>
      </c>
      <c r="CC14" s="60">
        <f t="shared" si="7"/>
        <v>2.541834664397399</v>
      </c>
      <c r="CD14" s="18"/>
      <c r="CE14" s="18"/>
    </row>
    <row r="15" spans="1:83" ht="14.25" customHeight="1" x14ac:dyDescent="0.25">
      <c r="A15" s="38" t="s">
        <v>66</v>
      </c>
      <c r="B15" s="7">
        <v>1203.7929999999999</v>
      </c>
      <c r="C15" s="7">
        <v>179.803</v>
      </c>
      <c r="D15" s="7">
        <v>1308.03</v>
      </c>
      <c r="E15" s="7">
        <v>87.795000000000002</v>
      </c>
      <c r="F15" s="7">
        <v>1455.258</v>
      </c>
      <c r="G15" s="7">
        <v>171.244</v>
      </c>
      <c r="H15" s="7">
        <v>1169.912</v>
      </c>
      <c r="I15" s="7">
        <v>144.017</v>
      </c>
      <c r="J15" s="7">
        <v>1408.616</v>
      </c>
      <c r="K15" s="7">
        <v>90.834000000000003</v>
      </c>
      <c r="L15" s="7">
        <v>1172.95</v>
      </c>
      <c r="M15" s="7">
        <v>157.36500000000001</v>
      </c>
      <c r="N15" s="7">
        <v>1601.1949999999999</v>
      </c>
      <c r="O15" s="7">
        <v>197.66800000000001</v>
      </c>
      <c r="P15" s="7">
        <v>1151.009</v>
      </c>
      <c r="Q15" s="7">
        <v>52.939</v>
      </c>
      <c r="R15" s="7">
        <v>1497.403</v>
      </c>
      <c r="S15" s="7">
        <v>193.41300000000001</v>
      </c>
      <c r="T15" s="7">
        <v>1490.702</v>
      </c>
      <c r="U15" s="7">
        <v>194.22800000000001</v>
      </c>
      <c r="V15" s="7">
        <v>1225.366</v>
      </c>
      <c r="W15" s="7">
        <v>82.938000000000002</v>
      </c>
      <c r="X15" s="7">
        <v>1147.6389999999999</v>
      </c>
      <c r="Y15" s="7">
        <v>160.191</v>
      </c>
      <c r="Z15" s="58">
        <f t="shared" si="0"/>
        <v>-56.153999999999996</v>
      </c>
      <c r="AA15" s="58">
        <f t="shared" si="1"/>
        <v>-77.727000000000089</v>
      </c>
      <c r="AB15" s="39">
        <v>12.137524456931349</v>
      </c>
      <c r="AC15" s="39">
        <v>12.768281504865598</v>
      </c>
      <c r="AD15" s="39">
        <v>14.742385261768213</v>
      </c>
      <c r="AE15" s="39">
        <v>12.135584802324979</v>
      </c>
      <c r="AF15" s="39">
        <v>14.056039313355411</v>
      </c>
      <c r="AG15" s="39">
        <v>11.06090793462074</v>
      </c>
      <c r="AH15" s="39">
        <v>15.172761264498005</v>
      </c>
      <c r="AI15" s="39">
        <v>13.489391046067725</v>
      </c>
      <c r="AJ15" s="39">
        <v>14.636979873362129</v>
      </c>
      <c r="AK15" s="39">
        <v>14.399168525683409</v>
      </c>
      <c r="AL15" s="39">
        <v>11.734013351712727</v>
      </c>
      <c r="AM15" s="39">
        <v>11.652955582993517</v>
      </c>
      <c r="AN15" s="40">
        <v>10.265593777477337</v>
      </c>
      <c r="AO15" s="40">
        <v>11.002756562727347</v>
      </c>
      <c r="AP15" s="40">
        <v>12.420468323359088</v>
      </c>
      <c r="AQ15" s="40">
        <v>11.609180206888242</v>
      </c>
      <c r="AR15" s="40">
        <v>11.708784914983351</v>
      </c>
      <c r="AS15" s="40">
        <v>10.000999999999999</v>
      </c>
      <c r="AT15" s="40">
        <v>13.95</v>
      </c>
      <c r="AU15" s="40">
        <v>12.557307027033685</v>
      </c>
      <c r="AV15" s="40">
        <v>12.71</v>
      </c>
      <c r="AW15" s="40">
        <v>9.3729999999999993</v>
      </c>
      <c r="AX15" s="40">
        <v>10.284378850723069</v>
      </c>
      <c r="AY15" s="40">
        <v>11.972013280733421</v>
      </c>
      <c r="AZ15" s="60">
        <f t="shared" si="2"/>
        <v>1.7064195032560843</v>
      </c>
      <c r="BA15" s="60">
        <f t="shared" si="3"/>
        <v>1.6876344300103518</v>
      </c>
      <c r="BB15" s="40">
        <v>15.114564829324708</v>
      </c>
      <c r="BC15" s="40">
        <v>15.878594812895422</v>
      </c>
      <c r="BD15" s="40">
        <v>18.299473598530689</v>
      </c>
      <c r="BE15" s="40">
        <v>11.619242499126054</v>
      </c>
      <c r="BF15" s="40">
        <v>19.024705790404038</v>
      </c>
      <c r="BG15" s="40">
        <v>12.015000000000001</v>
      </c>
      <c r="BH15" s="40">
        <v>16.283000000000001</v>
      </c>
      <c r="BI15" s="40">
        <v>14.557045188696488</v>
      </c>
      <c r="BJ15" s="40">
        <v>18.329000000000001</v>
      </c>
      <c r="BK15" s="40">
        <v>25.818000000000001</v>
      </c>
      <c r="BL15" s="40">
        <v>13.767090775019463</v>
      </c>
      <c r="BM15" s="40">
        <v>10.324773663848463</v>
      </c>
      <c r="BN15" s="60">
        <f t="shared" si="4"/>
        <v>-4.7897911654762453</v>
      </c>
      <c r="BO15" s="60">
        <f t="shared" si="5"/>
        <v>-3.4423171111710005</v>
      </c>
      <c r="BP15" s="40">
        <v>36.181890471580694</v>
      </c>
      <c r="BQ15" s="40">
        <v>27.960816299628434</v>
      </c>
      <c r="BR15" s="40">
        <v>49.814624192681528</v>
      </c>
      <c r="BS15" s="40">
        <v>42.213575023219953</v>
      </c>
      <c r="BT15" s="40">
        <v>20.805653288806727</v>
      </c>
      <c r="BU15" s="40">
        <v>37.594000000000001</v>
      </c>
      <c r="BV15" s="40">
        <v>42.417000000000002</v>
      </c>
      <c r="BW15" s="40">
        <v>27.679292549041079</v>
      </c>
      <c r="BX15" s="40">
        <v>22.966999999999999</v>
      </c>
      <c r="BY15" s="40">
        <v>12.994999999999999</v>
      </c>
      <c r="BZ15" s="40">
        <v>29.478913267675932</v>
      </c>
      <c r="CA15" s="40">
        <v>26.937078603278547</v>
      </c>
      <c r="CB15" s="60">
        <f t="shared" si="6"/>
        <v>-9.244811868302147</v>
      </c>
      <c r="CC15" s="60">
        <f t="shared" si="7"/>
        <v>-2.5418346643973848</v>
      </c>
      <c r="CD15" s="18"/>
      <c r="CE15" s="18"/>
    </row>
    <row r="16" spans="1:83" ht="14.25" customHeight="1" x14ac:dyDescent="0.25">
      <c r="A16" s="35" t="s">
        <v>67</v>
      </c>
      <c r="B16" s="8">
        <v>8878.2510000000002</v>
      </c>
      <c r="C16" s="8">
        <v>357.97199999999998</v>
      </c>
      <c r="D16" s="8">
        <v>8358.598</v>
      </c>
      <c r="E16" s="8">
        <v>182.89099999999999</v>
      </c>
      <c r="F16" s="8">
        <v>8991.6190000000006</v>
      </c>
      <c r="G16" s="8">
        <v>292.63</v>
      </c>
      <c r="H16" s="8">
        <v>8588.2890000000007</v>
      </c>
      <c r="I16" s="8">
        <v>376.185</v>
      </c>
      <c r="J16" s="8">
        <v>8515.5360000000001</v>
      </c>
      <c r="K16" s="8">
        <v>204.71799999999999</v>
      </c>
      <c r="L16" s="8">
        <v>8620.4840000000004</v>
      </c>
      <c r="M16" s="8">
        <v>377.58600000000001</v>
      </c>
      <c r="N16" s="8">
        <v>8921.0429999999997</v>
      </c>
      <c r="O16" s="8">
        <v>328.49200000000002</v>
      </c>
      <c r="P16" s="8">
        <v>8601.7909999999993</v>
      </c>
      <c r="Q16" s="8">
        <v>101.64400000000001</v>
      </c>
      <c r="R16" s="8">
        <v>9078.43</v>
      </c>
      <c r="S16" s="8">
        <v>370.029</v>
      </c>
      <c r="T16" s="8">
        <v>8834.3760000000002</v>
      </c>
      <c r="U16" s="8">
        <v>343.065</v>
      </c>
      <c r="V16" s="8">
        <v>8726.8160000000007</v>
      </c>
      <c r="W16" s="8">
        <v>219.631</v>
      </c>
      <c r="X16" s="8">
        <v>8842.2189999999991</v>
      </c>
      <c r="Y16" s="8">
        <v>311.89999999999998</v>
      </c>
      <c r="Z16" s="59">
        <f t="shared" si="0"/>
        <v>-36.032000000001062</v>
      </c>
      <c r="AA16" s="59">
        <f t="shared" si="1"/>
        <v>115.40299999999843</v>
      </c>
      <c r="AB16" s="36">
        <v>8878.2510000000002</v>
      </c>
      <c r="AC16" s="13">
        <v>8358.598</v>
      </c>
      <c r="AD16" s="13">
        <v>8991.6190000000006</v>
      </c>
      <c r="AE16" s="13">
        <v>8588.2890000000007</v>
      </c>
      <c r="AF16" s="13">
        <v>8515.5360000000001</v>
      </c>
      <c r="AG16" s="13">
        <v>8620.4840000000004</v>
      </c>
      <c r="AH16" s="13">
        <v>8921.0429999999997</v>
      </c>
      <c r="AI16" s="13">
        <v>8601.7909999999993</v>
      </c>
      <c r="AJ16" s="13">
        <v>9078.43</v>
      </c>
      <c r="AK16" s="13">
        <v>8834.3760000000002</v>
      </c>
      <c r="AL16" s="13">
        <v>8726.8160000000007</v>
      </c>
      <c r="AM16" s="13">
        <v>8842.2189999999991</v>
      </c>
      <c r="AN16" s="9">
        <v>1486.34</v>
      </c>
      <c r="AO16" s="9">
        <v>1606.3389999999999</v>
      </c>
      <c r="AP16" s="9">
        <v>1525.164</v>
      </c>
      <c r="AQ16" s="9">
        <v>1334.2280000000001</v>
      </c>
      <c r="AR16" s="9">
        <v>2014.9860000000001</v>
      </c>
      <c r="AS16" s="9">
        <v>1711.5419999999999</v>
      </c>
      <c r="AT16" s="9">
        <v>1427.2940000000001</v>
      </c>
      <c r="AU16" s="9">
        <v>1426.431</v>
      </c>
      <c r="AV16" s="9">
        <v>1316.877</v>
      </c>
      <c r="AW16" s="9">
        <v>1495.095</v>
      </c>
      <c r="AX16" s="9">
        <v>1327.3820000000001</v>
      </c>
      <c r="AY16" s="9">
        <v>1720.5170000000001</v>
      </c>
      <c r="AZ16" s="59">
        <f t="shared" si="2"/>
        <v>234.17700000000013</v>
      </c>
      <c r="BA16" s="59">
        <f t="shared" si="3"/>
        <v>393.13499999999999</v>
      </c>
      <c r="BB16" s="9">
        <v>7312.7839999999997</v>
      </c>
      <c r="BC16" s="9">
        <v>6659.576</v>
      </c>
      <c r="BD16" s="9">
        <v>7351.8</v>
      </c>
      <c r="BE16" s="9">
        <v>7122.86</v>
      </c>
      <c r="BF16" s="9">
        <v>6405.5919999999996</v>
      </c>
      <c r="BG16" s="9">
        <v>6718.1689999999999</v>
      </c>
      <c r="BH16" s="9">
        <v>7431.5069999999996</v>
      </c>
      <c r="BI16" s="9">
        <v>7128.9960000000001</v>
      </c>
      <c r="BJ16" s="9">
        <v>7679.3630000000003</v>
      </c>
      <c r="BK16" s="9">
        <v>7244.1980000000003</v>
      </c>
      <c r="BL16" s="9">
        <v>7298.2759999999998</v>
      </c>
      <c r="BM16" s="9">
        <v>7007.4629999999997</v>
      </c>
      <c r="BN16" s="59">
        <f t="shared" si="4"/>
        <v>-305.32099999999991</v>
      </c>
      <c r="BO16" s="59">
        <f t="shared" si="5"/>
        <v>-290.8130000000001</v>
      </c>
      <c r="BP16" s="9">
        <v>79.126999999999995</v>
      </c>
      <c r="BQ16" s="9">
        <v>92.683999999999997</v>
      </c>
      <c r="BR16" s="9">
        <v>114.655</v>
      </c>
      <c r="BS16" s="9">
        <v>131.20099999999999</v>
      </c>
      <c r="BT16" s="9">
        <v>94.959000000000003</v>
      </c>
      <c r="BU16" s="9">
        <v>190.773</v>
      </c>
      <c r="BV16" s="9">
        <v>62.241</v>
      </c>
      <c r="BW16" s="9">
        <v>46.363999999999997</v>
      </c>
      <c r="BX16" s="9">
        <v>82.191000000000003</v>
      </c>
      <c r="BY16" s="9">
        <v>95.082999999999998</v>
      </c>
      <c r="BZ16" s="9">
        <v>101.158</v>
      </c>
      <c r="CA16" s="9">
        <v>114.24</v>
      </c>
      <c r="CB16" s="59">
        <f t="shared" si="6"/>
        <v>35.113</v>
      </c>
      <c r="CC16" s="59">
        <f t="shared" si="7"/>
        <v>13.081999999999994</v>
      </c>
      <c r="CD16" s="18"/>
      <c r="CE16" s="18"/>
    </row>
    <row r="17" spans="1:83" ht="14.25" customHeight="1" x14ac:dyDescent="0.25">
      <c r="A17" s="38" t="s">
        <v>68</v>
      </c>
      <c r="B17" s="7">
        <v>267.584</v>
      </c>
      <c r="C17" s="7">
        <v>77.340999999999994</v>
      </c>
      <c r="D17" s="7">
        <v>221.58500000000001</v>
      </c>
      <c r="E17" s="7">
        <v>24.31</v>
      </c>
      <c r="F17" s="7">
        <v>231.15100000000001</v>
      </c>
      <c r="G17" s="7">
        <v>63.064999999999998</v>
      </c>
      <c r="H17" s="7">
        <v>177.78700000000001</v>
      </c>
      <c r="I17" s="7">
        <v>36.478000000000002</v>
      </c>
      <c r="J17" s="7">
        <v>188.47800000000001</v>
      </c>
      <c r="K17" s="7">
        <v>20.016999999999999</v>
      </c>
      <c r="L17" s="7">
        <v>167.53</v>
      </c>
      <c r="M17" s="7">
        <v>39.835999999999999</v>
      </c>
      <c r="N17" s="7">
        <v>183.52099999999999</v>
      </c>
      <c r="O17" s="7">
        <v>41.975999999999999</v>
      </c>
      <c r="P17" s="7">
        <v>245.18700000000001</v>
      </c>
      <c r="Q17" s="7">
        <v>14.888999999999999</v>
      </c>
      <c r="R17" s="7">
        <v>142.614</v>
      </c>
      <c r="S17" s="7">
        <v>26.29</v>
      </c>
      <c r="T17" s="7">
        <v>256.08800000000002</v>
      </c>
      <c r="U17" s="7">
        <v>58.149000000000001</v>
      </c>
      <c r="V17" s="7">
        <v>228.41800000000001</v>
      </c>
      <c r="W17" s="7">
        <v>23.286999999999999</v>
      </c>
      <c r="X17" s="7">
        <v>242.04599999999999</v>
      </c>
      <c r="Y17" s="7">
        <v>47.576000000000001</v>
      </c>
      <c r="Z17" s="58">
        <f t="shared" si="0"/>
        <v>-25.538000000000011</v>
      </c>
      <c r="AA17" s="58">
        <f t="shared" si="1"/>
        <v>13.627999999999986</v>
      </c>
      <c r="AB17" s="41">
        <v>3.0139269547571925</v>
      </c>
      <c r="AC17" s="41">
        <v>2.6509828562158391</v>
      </c>
      <c r="AD17" s="41">
        <v>2.5707383731450366</v>
      </c>
      <c r="AE17" s="41">
        <v>2.07010965746495</v>
      </c>
      <c r="AF17" s="41">
        <v>2.2133427655053071</v>
      </c>
      <c r="AG17" s="41">
        <v>1.9433943616158906</v>
      </c>
      <c r="AH17" s="41">
        <v>2.0571697726375717</v>
      </c>
      <c r="AI17" s="41">
        <v>2.8504180117838254</v>
      </c>
      <c r="AJ17" s="41">
        <v>1.5709103886905555</v>
      </c>
      <c r="AK17" s="41">
        <v>2.8987672700369558</v>
      </c>
      <c r="AL17" s="41">
        <v>2.6174265619900772</v>
      </c>
      <c r="AM17" s="41">
        <v>2.7373897886944443</v>
      </c>
      <c r="AN17" s="17">
        <v>6.3154459948598571</v>
      </c>
      <c r="AO17" s="17">
        <v>3.6292463795002181</v>
      </c>
      <c r="AP17" s="17">
        <v>2.4723242877487275</v>
      </c>
      <c r="AQ17" s="17">
        <v>1.9919384093273416</v>
      </c>
      <c r="AR17" s="17">
        <v>3.0439417445083983</v>
      </c>
      <c r="AS17" s="17">
        <v>1.613</v>
      </c>
      <c r="AT17" s="17">
        <v>1.946</v>
      </c>
      <c r="AU17" s="17">
        <v>4.0316005470997194</v>
      </c>
      <c r="AV17" s="17">
        <v>1.8560000000000001</v>
      </c>
      <c r="AW17" s="17">
        <v>2.1920000000000002</v>
      </c>
      <c r="AX17" s="17">
        <v>3.5406537078248759</v>
      </c>
      <c r="AY17" s="17">
        <v>2.0687386407690247</v>
      </c>
      <c r="AZ17" s="60">
        <f t="shared" si="2"/>
        <v>-4.246707354090832</v>
      </c>
      <c r="BA17" s="60">
        <f t="shared" si="3"/>
        <v>-1.4719150670558512</v>
      </c>
      <c r="BB17" s="17">
        <v>2.3195680331868136</v>
      </c>
      <c r="BC17" s="17">
        <v>2.4195984849485912</v>
      </c>
      <c r="BD17" s="17">
        <v>2.6312467694986257</v>
      </c>
      <c r="BE17" s="17">
        <v>2.0321471992991582</v>
      </c>
      <c r="BF17" s="17">
        <v>1.9722298891343688</v>
      </c>
      <c r="BG17" s="17">
        <v>1.857</v>
      </c>
      <c r="BH17" s="17">
        <v>2.0960000000000001</v>
      </c>
      <c r="BI17" s="17">
        <v>2.6172970219088354</v>
      </c>
      <c r="BJ17" s="17">
        <v>1.5149999999999999</v>
      </c>
      <c r="BK17" s="17">
        <v>3.06</v>
      </c>
      <c r="BL17" s="17">
        <v>2.4269156167840187</v>
      </c>
      <c r="BM17" s="17">
        <v>2.94618751465402</v>
      </c>
      <c r="BN17" s="60">
        <f t="shared" si="4"/>
        <v>0.62661948146720636</v>
      </c>
      <c r="BO17" s="60">
        <f t="shared" si="5"/>
        <v>0.51927189787000128</v>
      </c>
      <c r="BP17" s="17">
        <v>5.1689056832686697</v>
      </c>
      <c r="BQ17" s="17">
        <v>2.32186785205645</v>
      </c>
      <c r="BR17" s="17">
        <v>0</v>
      </c>
      <c r="BS17" s="17">
        <v>4.9260295272139691</v>
      </c>
      <c r="BT17" s="17">
        <v>0.85299971566676136</v>
      </c>
      <c r="BU17" s="17">
        <v>7.9619999999999997</v>
      </c>
      <c r="BV17" s="17">
        <v>0</v>
      </c>
      <c r="BW17" s="17">
        <v>2.3552756448969028</v>
      </c>
      <c r="BX17" s="17">
        <v>2.262</v>
      </c>
      <c r="BY17" s="17">
        <v>1.728</v>
      </c>
      <c r="BZ17" s="17">
        <v>4.2487989086379718</v>
      </c>
      <c r="CA17" s="17">
        <v>0</v>
      </c>
      <c r="CB17" s="60">
        <f t="shared" si="6"/>
        <v>-5.1689056832686697</v>
      </c>
      <c r="CC17" s="60">
        <f t="shared" si="7"/>
        <v>-4.2487989086379718</v>
      </c>
      <c r="CD17" s="18"/>
      <c r="CE17" s="18"/>
    </row>
    <row r="18" spans="1:83" ht="14.25" customHeight="1" x14ac:dyDescent="0.25">
      <c r="A18" s="38" t="s">
        <v>69</v>
      </c>
      <c r="B18" s="7">
        <v>3721.0889999999999</v>
      </c>
      <c r="C18" s="7">
        <v>260.55399999999997</v>
      </c>
      <c r="D18" s="7">
        <v>3360.5790000000002</v>
      </c>
      <c r="E18" s="7">
        <v>120.59099999999999</v>
      </c>
      <c r="F18" s="7">
        <v>3585.5050000000001</v>
      </c>
      <c r="G18" s="7">
        <v>193.083</v>
      </c>
      <c r="H18" s="7">
        <v>3700.2350000000001</v>
      </c>
      <c r="I18" s="7">
        <v>253.19</v>
      </c>
      <c r="J18" s="7">
        <v>3328.8119999999999</v>
      </c>
      <c r="K18" s="7">
        <v>143.96299999999999</v>
      </c>
      <c r="L18" s="7">
        <v>3513.08</v>
      </c>
      <c r="M18" s="7">
        <v>267.00400000000002</v>
      </c>
      <c r="N18" s="7">
        <v>3500.835</v>
      </c>
      <c r="O18" s="7">
        <v>259.77800000000002</v>
      </c>
      <c r="P18" s="7">
        <v>3561.9090000000001</v>
      </c>
      <c r="Q18" s="7">
        <v>75.983999999999995</v>
      </c>
      <c r="R18" s="7">
        <v>3492.2559999999999</v>
      </c>
      <c r="S18" s="7">
        <v>281.83999999999997</v>
      </c>
      <c r="T18" s="7">
        <v>3451.0680000000002</v>
      </c>
      <c r="U18" s="7">
        <v>236.422</v>
      </c>
      <c r="V18" s="7">
        <v>3635.1460000000002</v>
      </c>
      <c r="W18" s="7">
        <v>171.77799999999999</v>
      </c>
      <c r="X18" s="7">
        <v>3571.4229999999998</v>
      </c>
      <c r="Y18" s="7">
        <v>239.434</v>
      </c>
      <c r="Z18" s="58">
        <f t="shared" si="0"/>
        <v>-149.66600000000017</v>
      </c>
      <c r="AA18" s="58">
        <f t="shared" si="1"/>
        <v>-63.723000000000411</v>
      </c>
      <c r="AB18" s="41">
        <v>41.9124104511125</v>
      </c>
      <c r="AC18" s="41">
        <v>40.205055919665</v>
      </c>
      <c r="AD18" s="41">
        <v>39.876077934351976</v>
      </c>
      <c r="AE18" s="41">
        <v>43.084658655524983</v>
      </c>
      <c r="AF18" s="41">
        <v>39.091044885489296</v>
      </c>
      <c r="AG18" s="41">
        <v>40.75270019641588</v>
      </c>
      <c r="AH18" s="41">
        <v>39.242440598033212</v>
      </c>
      <c r="AI18" s="41">
        <v>41.408922862692208</v>
      </c>
      <c r="AJ18" s="41">
        <v>38.467620502664005</v>
      </c>
      <c r="AK18" s="41">
        <v>39.064083303676455</v>
      </c>
      <c r="AL18" s="41">
        <v>41.654894522813358</v>
      </c>
      <c r="AM18" s="41">
        <v>40.390573904582098</v>
      </c>
      <c r="AN18" s="17">
        <v>45.359877282452196</v>
      </c>
      <c r="AO18" s="17">
        <v>42.834233620674098</v>
      </c>
      <c r="AP18" s="17">
        <v>45.593260790315007</v>
      </c>
      <c r="AQ18" s="17">
        <v>54.165554912653604</v>
      </c>
      <c r="AR18" s="17">
        <v>44.266560660967372</v>
      </c>
      <c r="AS18" s="17">
        <v>44.258000000000003</v>
      </c>
      <c r="AT18" s="17">
        <v>46.691000000000003</v>
      </c>
      <c r="AU18" s="17">
        <v>48.57760382380922</v>
      </c>
      <c r="AV18" s="17">
        <v>53.247</v>
      </c>
      <c r="AW18" s="17">
        <v>46.643000000000001</v>
      </c>
      <c r="AX18" s="17">
        <v>46.737111095374203</v>
      </c>
      <c r="AY18" s="17">
        <v>38.638560386209491</v>
      </c>
      <c r="AZ18" s="60">
        <f t="shared" si="2"/>
        <v>-6.7213168962427048</v>
      </c>
      <c r="BA18" s="60">
        <f t="shared" si="3"/>
        <v>-8.0985507091647122</v>
      </c>
      <c r="BB18" s="17">
        <v>41.188882373662345</v>
      </c>
      <c r="BC18" s="17">
        <v>39.427525115713074</v>
      </c>
      <c r="BD18" s="17">
        <v>39.006746647079623</v>
      </c>
      <c r="BE18" s="17">
        <v>40.77249868732504</v>
      </c>
      <c r="BF18" s="17">
        <v>37.393405636824824</v>
      </c>
      <c r="BG18" s="17">
        <v>39.706000000000003</v>
      </c>
      <c r="BH18" s="17">
        <v>37.813000000000002</v>
      </c>
      <c r="BI18" s="17">
        <v>40.005633331818387</v>
      </c>
      <c r="BJ18" s="17">
        <v>35.942999999999998</v>
      </c>
      <c r="BK18" s="17">
        <v>37.356999999999999</v>
      </c>
      <c r="BL18" s="17">
        <v>40.695679363181114</v>
      </c>
      <c r="BM18" s="17">
        <v>40.725495090020459</v>
      </c>
      <c r="BN18" s="60">
        <f t="shared" si="4"/>
        <v>-0.46338728364188597</v>
      </c>
      <c r="BO18" s="60">
        <f t="shared" si="5"/>
        <v>2.9815726839345302E-2</v>
      </c>
      <c r="BP18" s="17">
        <v>44.021636103984733</v>
      </c>
      <c r="BQ18" s="17">
        <v>50.504941521729748</v>
      </c>
      <c r="BR18" s="17">
        <v>19.566525663948369</v>
      </c>
      <c r="BS18" s="17">
        <v>55.926402999977142</v>
      </c>
      <c r="BT18" s="17">
        <v>43.785212565422974</v>
      </c>
      <c r="BU18" s="17">
        <v>46.173000000000002</v>
      </c>
      <c r="BV18" s="17">
        <v>39.067</v>
      </c>
      <c r="BW18" s="17">
        <v>36.629712708135628</v>
      </c>
      <c r="BX18" s="17">
        <v>37.552</v>
      </c>
      <c r="BY18" s="17">
        <v>49.906999999999996</v>
      </c>
      <c r="BZ18" s="17">
        <v>44.171494098341206</v>
      </c>
      <c r="CA18" s="17">
        <v>46.233368347338939</v>
      </c>
      <c r="CB18" s="60">
        <f t="shared" si="6"/>
        <v>2.2117322433542057</v>
      </c>
      <c r="CC18" s="60">
        <f t="shared" si="7"/>
        <v>2.0618742489977322</v>
      </c>
      <c r="CD18" s="18"/>
      <c r="CE18" s="18"/>
    </row>
    <row r="19" spans="1:83" ht="14.25" customHeight="1" x14ac:dyDescent="0.25">
      <c r="A19" s="42" t="s">
        <v>70</v>
      </c>
      <c r="B19" s="7">
        <v>73.866</v>
      </c>
      <c r="C19" s="7">
        <v>18.3</v>
      </c>
      <c r="D19" s="7">
        <v>88.766999999999996</v>
      </c>
      <c r="E19" s="7">
        <v>14.624000000000001</v>
      </c>
      <c r="F19" s="7">
        <v>94.613</v>
      </c>
      <c r="G19" s="7">
        <v>22.003</v>
      </c>
      <c r="H19" s="7">
        <v>84.483000000000004</v>
      </c>
      <c r="I19" s="7">
        <v>18.222999999999999</v>
      </c>
      <c r="J19" s="7">
        <v>112.11499999999999</v>
      </c>
      <c r="K19" s="7">
        <v>15.484</v>
      </c>
      <c r="L19" s="7">
        <v>96.335999999999999</v>
      </c>
      <c r="M19" s="7">
        <v>25.927</v>
      </c>
      <c r="N19" s="7">
        <v>103.614</v>
      </c>
      <c r="O19" s="7">
        <v>31.518999999999998</v>
      </c>
      <c r="P19" s="7">
        <v>97.754999999999995</v>
      </c>
      <c r="Q19" s="7">
        <v>6.61</v>
      </c>
      <c r="R19" s="7">
        <v>91.498000000000005</v>
      </c>
      <c r="S19" s="7">
        <v>21.289000000000001</v>
      </c>
      <c r="T19" s="7">
        <v>113.52</v>
      </c>
      <c r="U19" s="7">
        <v>31.391999999999999</v>
      </c>
      <c r="V19" s="7">
        <v>95.936999999999998</v>
      </c>
      <c r="W19" s="7">
        <v>12.97</v>
      </c>
      <c r="X19" s="7">
        <v>71.414000000000001</v>
      </c>
      <c r="Y19" s="7">
        <v>15.704000000000001</v>
      </c>
      <c r="Z19" s="58">
        <f t="shared" si="0"/>
        <v>-2.4519999999999982</v>
      </c>
      <c r="AA19" s="58">
        <f t="shared" si="1"/>
        <v>-24.522999999999996</v>
      </c>
      <c r="AB19" s="41">
        <v>0.83198819226895027</v>
      </c>
      <c r="AC19" s="41">
        <v>1.0619843184227784</v>
      </c>
      <c r="AD19" s="41">
        <v>1.0522354205621924</v>
      </c>
      <c r="AE19" s="41">
        <v>0.98370001288964548</v>
      </c>
      <c r="AF19" s="41">
        <v>1.3165935767284642</v>
      </c>
      <c r="AG19" s="41">
        <v>1.1175242596587385</v>
      </c>
      <c r="AH19" s="41">
        <v>1.1614561212181134</v>
      </c>
      <c r="AI19" s="41">
        <v>1.1364493743221615</v>
      </c>
      <c r="AJ19" s="41">
        <v>1.00786149146934</v>
      </c>
      <c r="AK19" s="41">
        <v>1.2849803992947548</v>
      </c>
      <c r="AL19" s="41">
        <v>1.0993356568993777</v>
      </c>
      <c r="AM19" s="41">
        <v>0.8076479444809046</v>
      </c>
      <c r="AN19" s="17">
        <v>4.5480845566963149E-2</v>
      </c>
      <c r="AO19" s="17">
        <v>0.17437166127448814</v>
      </c>
      <c r="AP19" s="17">
        <v>0.67927121280072167</v>
      </c>
      <c r="AQ19" s="17">
        <v>0.48769775480652477</v>
      </c>
      <c r="AR19" s="17">
        <v>0.49920942378755978</v>
      </c>
      <c r="AS19" s="17">
        <v>2.9000000000000001E-2</v>
      </c>
      <c r="AT19" s="17">
        <v>0.89700000000000002</v>
      </c>
      <c r="AU19" s="17">
        <v>0.44110090148068842</v>
      </c>
      <c r="AV19" s="17">
        <v>0.214</v>
      </c>
      <c r="AW19" s="17">
        <v>0.188</v>
      </c>
      <c r="AX19" s="17">
        <v>0.28190829768672471</v>
      </c>
      <c r="AY19" s="17">
        <v>0.53896590385331855</v>
      </c>
      <c r="AZ19" s="60">
        <f t="shared" si="2"/>
        <v>0.49348505828635542</v>
      </c>
      <c r="BA19" s="60">
        <f t="shared" si="3"/>
        <v>0.25705760616659384</v>
      </c>
      <c r="BB19" s="17">
        <v>1.000850018269376</v>
      </c>
      <c r="BC19" s="17">
        <v>1.2765977894088154</v>
      </c>
      <c r="BD19" s="17">
        <v>1.1460050599853095</v>
      </c>
      <c r="BE19" s="17">
        <v>1.0576931176521789</v>
      </c>
      <c r="BF19" s="17">
        <v>1.5839597651551958</v>
      </c>
      <c r="BG19" s="17">
        <v>1.413</v>
      </c>
      <c r="BH19" s="17">
        <v>1.222</v>
      </c>
      <c r="BI19" s="17">
        <v>1.2786793540072121</v>
      </c>
      <c r="BJ19" s="17">
        <v>1.155</v>
      </c>
      <c r="BK19" s="17">
        <v>1.528</v>
      </c>
      <c r="BL19" s="17">
        <v>1.2281256559768363</v>
      </c>
      <c r="BM19" s="17">
        <v>0.88678313392450314</v>
      </c>
      <c r="BN19" s="60">
        <f t="shared" si="4"/>
        <v>-0.11406688434487289</v>
      </c>
      <c r="BO19" s="60">
        <f t="shared" si="5"/>
        <v>-0.34134252205233317</v>
      </c>
      <c r="BP19" s="17">
        <v>0</v>
      </c>
      <c r="BQ19" s="17">
        <v>1.0249881317163696</v>
      </c>
      <c r="BR19" s="17">
        <v>0</v>
      </c>
      <c r="BS19" s="17">
        <v>2.0106554065898887</v>
      </c>
      <c r="BT19" s="17">
        <v>0.62658621089101607</v>
      </c>
      <c r="BU19" s="17">
        <v>0.48799999999999999</v>
      </c>
      <c r="BV19" s="17">
        <v>0</v>
      </c>
      <c r="BW19" s="17">
        <v>0.66215166939867143</v>
      </c>
      <c r="BX19" s="17">
        <v>0</v>
      </c>
      <c r="BY19" s="17">
        <v>0</v>
      </c>
      <c r="BZ19" s="17">
        <v>2.5336602147136165</v>
      </c>
      <c r="CA19" s="17">
        <v>0</v>
      </c>
      <c r="CB19" s="60">
        <f t="shared" si="6"/>
        <v>0</v>
      </c>
      <c r="CC19" s="60">
        <f t="shared" si="7"/>
        <v>-2.5336602147136165</v>
      </c>
      <c r="CD19" s="18"/>
      <c r="CE19" s="18"/>
    </row>
    <row r="20" spans="1:83" ht="14.25" customHeight="1" x14ac:dyDescent="0.25">
      <c r="A20" s="38" t="s">
        <v>71</v>
      </c>
      <c r="B20" s="12">
        <v>51.725000000000001</v>
      </c>
      <c r="C20" s="12">
        <v>15.276</v>
      </c>
      <c r="D20" s="43">
        <v>90.847999999999999</v>
      </c>
      <c r="E20" s="43">
        <v>17.655999999999999</v>
      </c>
      <c r="F20" s="43">
        <v>49.323</v>
      </c>
      <c r="G20" s="43">
        <v>16.306999999999999</v>
      </c>
      <c r="H20" s="43">
        <v>67.367000000000004</v>
      </c>
      <c r="I20" s="43">
        <v>21.815000000000001</v>
      </c>
      <c r="J20" s="43">
        <v>75.254000000000005</v>
      </c>
      <c r="K20" s="43">
        <v>10.407</v>
      </c>
      <c r="L20" s="43">
        <v>58.371000000000002</v>
      </c>
      <c r="M20" s="43">
        <v>18.056999999999999</v>
      </c>
      <c r="N20" s="43">
        <v>55.444000000000003</v>
      </c>
      <c r="O20" s="43">
        <v>17.855</v>
      </c>
      <c r="P20" s="43">
        <v>92.194000000000003</v>
      </c>
      <c r="Q20" s="43">
        <v>6.4279999999999999</v>
      </c>
      <c r="R20" s="43">
        <v>75.697000000000003</v>
      </c>
      <c r="S20" s="43">
        <v>17.024000000000001</v>
      </c>
      <c r="T20" s="43">
        <v>45.314999999999998</v>
      </c>
      <c r="U20" s="43">
        <v>15.893000000000001</v>
      </c>
      <c r="V20" s="43">
        <v>60.319000000000003</v>
      </c>
      <c r="W20" s="43">
        <v>7.9770000000000003</v>
      </c>
      <c r="X20" s="43">
        <v>107.30500000000001</v>
      </c>
      <c r="Y20" s="43">
        <v>40.819000000000003</v>
      </c>
      <c r="Z20" s="58">
        <f t="shared" si="0"/>
        <v>55.580000000000005</v>
      </c>
      <c r="AA20" s="58">
        <f t="shared" si="1"/>
        <v>46.986000000000004</v>
      </c>
      <c r="AB20" s="41">
        <v>0.58260348800681583</v>
      </c>
      <c r="AC20" s="41">
        <v>1.08688083815013</v>
      </c>
      <c r="AD20" s="41">
        <v>0.54854414983553013</v>
      </c>
      <c r="AE20" s="41">
        <v>0.78440536875272837</v>
      </c>
      <c r="AF20" s="41">
        <v>0.88372593339984717</v>
      </c>
      <c r="AG20" s="41">
        <v>0.67711975336883645</v>
      </c>
      <c r="AH20" s="41">
        <v>0.62149683618832463</v>
      </c>
      <c r="AI20" s="41">
        <v>1.0718000472227238</v>
      </c>
      <c r="AJ20" s="41">
        <v>0.83381157314645815</v>
      </c>
      <c r="AK20" s="41">
        <v>0.51293945378824723</v>
      </c>
      <c r="AL20" s="41">
        <v>0.69119138068225572</v>
      </c>
      <c r="AM20" s="41">
        <v>1.2135528423351651</v>
      </c>
      <c r="AN20" s="41">
        <v>7.353633758090343E-2</v>
      </c>
      <c r="AO20" s="41">
        <v>0.66088166943590365</v>
      </c>
      <c r="AP20" s="41">
        <v>0.4971268663566672</v>
      </c>
      <c r="AQ20" s="41">
        <v>0</v>
      </c>
      <c r="AR20" s="41">
        <v>0.93985764665362426</v>
      </c>
      <c r="AS20" s="41">
        <v>0.2</v>
      </c>
      <c r="AT20" s="41">
        <v>0.8</v>
      </c>
      <c r="AU20" s="41">
        <v>1.3935479528978267</v>
      </c>
      <c r="AV20" s="41">
        <v>0.79600000000000004</v>
      </c>
      <c r="AW20" s="41">
        <v>6.3E-2</v>
      </c>
      <c r="AX20" s="41">
        <v>0.60359414245484722</v>
      </c>
      <c r="AY20" s="41">
        <v>0.79330805798489623</v>
      </c>
      <c r="AZ20" s="60">
        <f t="shared" si="2"/>
        <v>0.71977172040399284</v>
      </c>
      <c r="BA20" s="60">
        <f t="shared" si="3"/>
        <v>0.18971391553004902</v>
      </c>
      <c r="BB20" s="41">
        <v>0.69237652855601917</v>
      </c>
      <c r="BC20" s="41">
        <v>1.1751949373353501</v>
      </c>
      <c r="BD20" s="41">
        <v>0.56776571723931557</v>
      </c>
      <c r="BE20" s="41">
        <v>0.9457858219872356</v>
      </c>
      <c r="BF20" s="41">
        <v>0.87916932580158103</v>
      </c>
      <c r="BG20" s="41">
        <v>0.81799999999999995</v>
      </c>
      <c r="BH20" s="41">
        <v>0.59199999999999997</v>
      </c>
      <c r="BI20" s="41">
        <v>1.0131019851883771</v>
      </c>
      <c r="BJ20" s="41">
        <v>0.84099999999999997</v>
      </c>
      <c r="BK20" s="41">
        <v>0.61199999999999999</v>
      </c>
      <c r="BL20" s="41">
        <v>0.71149679732583415</v>
      </c>
      <c r="BM20" s="41">
        <v>1.3365036675898254</v>
      </c>
      <c r="BN20" s="60">
        <f t="shared" si="4"/>
        <v>0.64412713903380625</v>
      </c>
      <c r="BO20" s="60">
        <f t="shared" si="5"/>
        <v>0.62500687026399127</v>
      </c>
      <c r="BP20" s="41">
        <v>0</v>
      </c>
      <c r="BQ20" s="41">
        <v>2.1233438349661213</v>
      </c>
      <c r="BR20" s="41">
        <v>0</v>
      </c>
      <c r="BS20" s="41">
        <v>0</v>
      </c>
      <c r="BT20" s="41">
        <v>0</v>
      </c>
      <c r="BU20" s="41">
        <v>0</v>
      </c>
      <c r="BV20" s="41">
        <v>0</v>
      </c>
      <c r="BW20" s="41">
        <v>0.19842981623673542</v>
      </c>
      <c r="BX20" s="41">
        <v>0.754</v>
      </c>
      <c r="BY20" s="41">
        <v>0</v>
      </c>
      <c r="BZ20" s="41">
        <v>0.37564997330908084</v>
      </c>
      <c r="CA20" s="41">
        <v>0</v>
      </c>
      <c r="CB20" s="60">
        <f t="shared" si="6"/>
        <v>0</v>
      </c>
      <c r="CC20" s="60">
        <f t="shared" si="7"/>
        <v>-0.37564997330908084</v>
      </c>
      <c r="CD20" s="18"/>
      <c r="CE20" s="18"/>
    </row>
    <row r="21" spans="1:83" ht="14.25" customHeight="1" x14ac:dyDescent="0.25">
      <c r="A21" s="38" t="s">
        <v>72</v>
      </c>
      <c r="B21" s="7">
        <v>4763.9870000000001</v>
      </c>
      <c r="C21" s="7">
        <v>233.55699999999999</v>
      </c>
      <c r="D21" s="7">
        <v>4596.8190000000004</v>
      </c>
      <c r="E21" s="7">
        <v>112.357</v>
      </c>
      <c r="F21" s="7">
        <v>5031.027</v>
      </c>
      <c r="G21" s="7">
        <v>205.922</v>
      </c>
      <c r="H21" s="7">
        <v>4558.4160000000002</v>
      </c>
      <c r="I21" s="7">
        <v>246.761</v>
      </c>
      <c r="J21" s="7">
        <v>4810.8779999999997</v>
      </c>
      <c r="K21" s="7">
        <v>122.60899999999999</v>
      </c>
      <c r="L21" s="7">
        <v>4785.1679999999997</v>
      </c>
      <c r="M21" s="7">
        <v>223.84899999999999</v>
      </c>
      <c r="N21" s="7">
        <v>5077.6289999999999</v>
      </c>
      <c r="O21" s="7">
        <v>200.62200000000001</v>
      </c>
      <c r="P21" s="7">
        <v>4604.7449999999999</v>
      </c>
      <c r="Q21" s="7">
        <v>55.28</v>
      </c>
      <c r="R21" s="7">
        <v>5276.3649999999998</v>
      </c>
      <c r="S21" s="7">
        <v>235.232</v>
      </c>
      <c r="T21" s="7">
        <v>4968.3869999999997</v>
      </c>
      <c r="U21" s="7">
        <v>221.41</v>
      </c>
      <c r="V21" s="7">
        <v>4706.9949999999999</v>
      </c>
      <c r="W21" s="7">
        <v>111.152</v>
      </c>
      <c r="X21" s="7">
        <v>4850.0309999999999</v>
      </c>
      <c r="Y21" s="7">
        <v>214.44</v>
      </c>
      <c r="Z21" s="58">
        <f t="shared" si="0"/>
        <v>86.043999999999869</v>
      </c>
      <c r="AA21" s="58">
        <f t="shared" si="1"/>
        <v>143.03600000000006</v>
      </c>
      <c r="AB21" s="41">
        <v>53.659070913854542</v>
      </c>
      <c r="AC21" s="41">
        <v>54.995096067546257</v>
      </c>
      <c r="AD21" s="41">
        <v>55.952404122105257</v>
      </c>
      <c r="AE21" s="41">
        <v>53.077114661604888</v>
      </c>
      <c r="AF21" s="41">
        <v>56.495304582119076</v>
      </c>
      <c r="AG21" s="41">
        <v>55.509273029217375</v>
      </c>
      <c r="AH21" s="41">
        <v>56.917436671922786</v>
      </c>
      <c r="AI21" s="41">
        <v>53.532398078493195</v>
      </c>
      <c r="AJ21" s="41">
        <v>58.119796044029634</v>
      </c>
      <c r="AK21" s="41">
        <v>56.239252212040782</v>
      </c>
      <c r="AL21" s="41">
        <v>53.937140418681906</v>
      </c>
      <c r="AM21" s="41">
        <v>54.850835519907392</v>
      </c>
      <c r="AN21" s="17">
        <v>48.205659539540079</v>
      </c>
      <c r="AO21" s="17">
        <v>52.701204415755335</v>
      </c>
      <c r="AP21" s="17">
        <v>50.757951276059501</v>
      </c>
      <c r="AQ21" s="17">
        <v>43.354808923212524</v>
      </c>
      <c r="AR21" s="17">
        <v>51.250480152219424</v>
      </c>
      <c r="AS21" s="17">
        <v>53.901000000000003</v>
      </c>
      <c r="AT21" s="17">
        <v>49.664999999999999</v>
      </c>
      <c r="AU21" s="17">
        <v>45.556216879750927</v>
      </c>
      <c r="AV21" s="17">
        <v>43.886000000000003</v>
      </c>
      <c r="AW21" s="17">
        <v>50.912999999999997</v>
      </c>
      <c r="AX21" s="17">
        <v>48.836732756659345</v>
      </c>
      <c r="AY21" s="17">
        <v>57.960368889118783</v>
      </c>
      <c r="AZ21" s="60">
        <f t="shared" si="2"/>
        <v>9.7547093495787038</v>
      </c>
      <c r="BA21" s="60">
        <f t="shared" si="3"/>
        <v>9.1236361324594384</v>
      </c>
      <c r="BB21" s="17">
        <v>54.798336721008035</v>
      </c>
      <c r="BC21" s="17">
        <v>55.701068656623185</v>
      </c>
      <c r="BD21" s="17">
        <v>56.648235806197121</v>
      </c>
      <c r="BE21" s="17">
        <v>55.19186113443196</v>
      </c>
      <c r="BF21" s="17">
        <v>58.171235383084031</v>
      </c>
      <c r="BG21" s="17">
        <v>56.207000000000001</v>
      </c>
      <c r="BH21" s="17">
        <v>58.277000000000001</v>
      </c>
      <c r="BI21" s="17">
        <v>55.085288307077171</v>
      </c>
      <c r="BJ21" s="17">
        <v>60.546999999999997</v>
      </c>
      <c r="BK21" s="17">
        <v>57.442</v>
      </c>
      <c r="BL21" s="17">
        <v>54.937782566732196</v>
      </c>
      <c r="BM21" s="17">
        <v>54.1050305938112</v>
      </c>
      <c r="BN21" s="60">
        <f t="shared" si="4"/>
        <v>-0.69330612719683415</v>
      </c>
      <c r="BO21" s="60">
        <f t="shared" si="5"/>
        <v>-0.83275197292099534</v>
      </c>
      <c r="BP21" s="17">
        <v>50.809458212746605</v>
      </c>
      <c r="BQ21" s="17">
        <v>44.024858659531311</v>
      </c>
      <c r="BR21" s="17">
        <v>80.433474336051631</v>
      </c>
      <c r="BS21" s="17">
        <v>37.137674255531593</v>
      </c>
      <c r="BT21" s="17">
        <v>54.735201508019252</v>
      </c>
      <c r="BU21" s="17">
        <v>45.377000000000002</v>
      </c>
      <c r="BV21" s="17">
        <v>60.933</v>
      </c>
      <c r="BW21" s="17">
        <v>60.154430161332073</v>
      </c>
      <c r="BX21" s="17">
        <v>59.432000000000002</v>
      </c>
      <c r="BY21" s="17">
        <v>48.365000000000002</v>
      </c>
      <c r="BZ21" s="17">
        <v>48.67039680499812</v>
      </c>
      <c r="CA21" s="17">
        <v>53.766631652661069</v>
      </c>
      <c r="CB21" s="60">
        <f t="shared" si="6"/>
        <v>2.9571734399144631</v>
      </c>
      <c r="CC21" s="60">
        <f t="shared" si="7"/>
        <v>5.0962348476629487</v>
      </c>
      <c r="CD21" s="18"/>
      <c r="CE21" s="18"/>
    </row>
    <row r="22" spans="1:83" ht="14.25" customHeight="1" x14ac:dyDescent="0.25">
      <c r="A22" s="35" t="s">
        <v>73</v>
      </c>
      <c r="B22" s="8">
        <v>30745.274000000001</v>
      </c>
      <c r="C22" s="8">
        <v>803.76199999999994</v>
      </c>
      <c r="D22" s="8">
        <v>29883.671999999999</v>
      </c>
      <c r="E22" s="8">
        <v>418.72199999999998</v>
      </c>
      <c r="F22" s="8">
        <v>30291.795999999998</v>
      </c>
      <c r="G22" s="8">
        <v>817.89599999999996</v>
      </c>
      <c r="H22" s="8">
        <v>29796.225999999999</v>
      </c>
      <c r="I22" s="8">
        <v>757.64099999999996</v>
      </c>
      <c r="J22" s="8">
        <v>30134.683000000001</v>
      </c>
      <c r="K22" s="8">
        <v>457.76600000000002</v>
      </c>
      <c r="L22" s="8">
        <v>31064.812000000002</v>
      </c>
      <c r="M22" s="8">
        <v>826.88800000000003</v>
      </c>
      <c r="N22" s="8">
        <v>31000.583999999999</v>
      </c>
      <c r="O22" s="8">
        <v>802.17899999999997</v>
      </c>
      <c r="P22" s="8">
        <v>28911.962</v>
      </c>
      <c r="Q22" s="8">
        <v>205.209</v>
      </c>
      <c r="R22" s="8">
        <v>30787.448</v>
      </c>
      <c r="S22" s="8">
        <v>770.64099999999996</v>
      </c>
      <c r="T22" s="8">
        <v>30414.807000000001</v>
      </c>
      <c r="U22" s="8">
        <v>842.13</v>
      </c>
      <c r="V22" s="8">
        <v>29449.796999999999</v>
      </c>
      <c r="W22" s="8">
        <v>403.86099999999999</v>
      </c>
      <c r="X22" s="8">
        <v>30574.082999999999</v>
      </c>
      <c r="Y22" s="8">
        <v>804.63699999999994</v>
      </c>
      <c r="Z22" s="59">
        <f t="shared" si="0"/>
        <v>-171.19100000000253</v>
      </c>
      <c r="AA22" s="59">
        <f t="shared" si="1"/>
        <v>1124.2860000000001</v>
      </c>
      <c r="AB22" s="36">
        <v>30745.274000000001</v>
      </c>
      <c r="AC22" s="13">
        <v>29883.671999999999</v>
      </c>
      <c r="AD22" s="13">
        <v>30291.795999999998</v>
      </c>
      <c r="AE22" s="13">
        <v>29796.225999999999</v>
      </c>
      <c r="AF22" s="13">
        <v>30134.683000000001</v>
      </c>
      <c r="AG22" s="13">
        <v>31064.812000000002</v>
      </c>
      <c r="AH22" s="13">
        <v>31000.583999999999</v>
      </c>
      <c r="AI22" s="13">
        <v>28911.371999999999</v>
      </c>
      <c r="AJ22" s="13">
        <v>30787.448</v>
      </c>
      <c r="AK22" s="13">
        <v>30414.807000000001</v>
      </c>
      <c r="AL22" s="13">
        <v>29449.796999999999</v>
      </c>
      <c r="AM22" s="13">
        <v>30574.082999999999</v>
      </c>
      <c r="AN22" s="9">
        <v>6611.9040000000005</v>
      </c>
      <c r="AO22" s="9">
        <v>7032.0919999999996</v>
      </c>
      <c r="AP22" s="9">
        <v>6457.8760000000002</v>
      </c>
      <c r="AQ22" s="9">
        <v>6782.3450000000003</v>
      </c>
      <c r="AR22" s="9">
        <v>7841.5230000000001</v>
      </c>
      <c r="AS22" s="9">
        <v>7913.5169999999998</v>
      </c>
      <c r="AT22" s="9">
        <v>7416.2520000000004</v>
      </c>
      <c r="AU22" s="9">
        <v>5963.7190000000001</v>
      </c>
      <c r="AV22" s="9">
        <v>6736.1210000000001</v>
      </c>
      <c r="AW22" s="9">
        <v>6483.0820000000003</v>
      </c>
      <c r="AX22" s="9">
        <v>6345.366</v>
      </c>
      <c r="AY22" s="9">
        <v>7184.3459999999995</v>
      </c>
      <c r="AZ22" s="59">
        <f t="shared" si="2"/>
        <v>572.4419999999991</v>
      </c>
      <c r="BA22" s="59">
        <f t="shared" si="3"/>
        <v>838.97999999999956</v>
      </c>
      <c r="BB22" s="9">
        <v>23947.898000000001</v>
      </c>
      <c r="BC22" s="9">
        <v>22653.845000000001</v>
      </c>
      <c r="BD22" s="9">
        <v>23656.853999999999</v>
      </c>
      <c r="BE22" s="9">
        <v>22792.721000000001</v>
      </c>
      <c r="BF22" s="9">
        <v>21948.871999999999</v>
      </c>
      <c r="BG22" s="9">
        <v>22296.460999999999</v>
      </c>
      <c r="BH22" s="9">
        <v>23275.15</v>
      </c>
      <c r="BI22" s="9">
        <v>22744.143</v>
      </c>
      <c r="BJ22" s="9">
        <v>23866.463</v>
      </c>
      <c r="BK22" s="9">
        <v>23795.661</v>
      </c>
      <c r="BL22" s="9">
        <v>22863.668000000001</v>
      </c>
      <c r="BM22" s="9">
        <v>23214.192999999999</v>
      </c>
      <c r="BN22" s="59">
        <f t="shared" si="4"/>
        <v>-733.70500000000175</v>
      </c>
      <c r="BO22" s="59">
        <f t="shared" si="5"/>
        <v>350.52499999999782</v>
      </c>
      <c r="BP22" s="9">
        <v>185.47200000000001</v>
      </c>
      <c r="BQ22" s="9">
        <v>197.73599999999999</v>
      </c>
      <c r="BR22" s="9">
        <v>177.066</v>
      </c>
      <c r="BS22" s="9">
        <v>221.16</v>
      </c>
      <c r="BT22" s="9">
        <v>344.28899999999999</v>
      </c>
      <c r="BU22" s="9">
        <v>854.83399999999995</v>
      </c>
      <c r="BV22" s="9">
        <v>309.18299999999999</v>
      </c>
      <c r="BW22" s="9">
        <v>204.1</v>
      </c>
      <c r="BX22" s="9">
        <v>184.86500000000001</v>
      </c>
      <c r="BY22" s="9">
        <v>136.06399999999999</v>
      </c>
      <c r="BZ22" s="9">
        <v>240.76300000000001</v>
      </c>
      <c r="CA22" s="9">
        <v>175.54300000000001</v>
      </c>
      <c r="CB22" s="59">
        <f t="shared" si="6"/>
        <v>-9.929000000000002</v>
      </c>
      <c r="CC22" s="59">
        <f t="shared" si="7"/>
        <v>-65.22</v>
      </c>
      <c r="CD22" s="18"/>
      <c r="CE22" s="18"/>
    </row>
    <row r="23" spans="1:83" ht="14.25" customHeight="1" x14ac:dyDescent="0.25">
      <c r="A23" s="38" t="s">
        <v>74</v>
      </c>
      <c r="B23" s="12">
        <v>10335.663</v>
      </c>
      <c r="C23" s="12">
        <v>354.07799999999997</v>
      </c>
      <c r="D23" s="12">
        <v>9991.3279999999995</v>
      </c>
      <c r="E23" s="12">
        <v>177.26400000000001</v>
      </c>
      <c r="F23" s="12">
        <v>10611.763999999999</v>
      </c>
      <c r="G23" s="12">
        <v>374.80200000000002</v>
      </c>
      <c r="H23" s="12">
        <v>10172.986000000001</v>
      </c>
      <c r="I23" s="12">
        <v>323.315</v>
      </c>
      <c r="J23" s="12">
        <v>10130.905000000001</v>
      </c>
      <c r="K23" s="12">
        <v>210.23400000000001</v>
      </c>
      <c r="L23" s="12">
        <v>9940.4140000000007</v>
      </c>
      <c r="M23" s="12">
        <v>348.827</v>
      </c>
      <c r="N23" s="12">
        <v>10848.27</v>
      </c>
      <c r="O23" s="12">
        <v>387.55399999999997</v>
      </c>
      <c r="P23" s="12">
        <v>8841.4459999999999</v>
      </c>
      <c r="Q23" s="12">
        <v>84.483000000000004</v>
      </c>
      <c r="R23" s="12">
        <v>10138.781000000001</v>
      </c>
      <c r="S23" s="12">
        <v>411.26400000000001</v>
      </c>
      <c r="T23" s="12">
        <v>10207.099</v>
      </c>
      <c r="U23" s="12">
        <v>357.08300000000003</v>
      </c>
      <c r="V23" s="12">
        <v>9721.6260000000002</v>
      </c>
      <c r="W23" s="12">
        <v>172.524</v>
      </c>
      <c r="X23" s="12">
        <v>10077.5</v>
      </c>
      <c r="Y23" s="12">
        <v>377.10599999999999</v>
      </c>
      <c r="Z23" s="58">
        <f t="shared" si="0"/>
        <v>-258.16300000000047</v>
      </c>
      <c r="AA23" s="58">
        <f t="shared" si="1"/>
        <v>355.8739999999998</v>
      </c>
      <c r="AB23" s="44">
        <v>33.617078839499037</v>
      </c>
      <c r="AC23" s="44">
        <v>33.43407061889851</v>
      </c>
      <c r="AD23" s="44">
        <v>35.031808612470513</v>
      </c>
      <c r="AE23" s="44">
        <v>34.141860784651051</v>
      </c>
      <c r="AF23" s="44">
        <v>33.618754177702812</v>
      </c>
      <c r="AG23" s="44">
        <v>31.998951096179173</v>
      </c>
      <c r="AH23" s="44">
        <v>34.993760117551339</v>
      </c>
      <c r="AI23" s="44">
        <v>30.581205208801578</v>
      </c>
      <c r="AJ23" s="44">
        <v>32.931540801952799</v>
      </c>
      <c r="AK23" s="44">
        <v>33.559637580471907</v>
      </c>
      <c r="AL23" s="44">
        <v>33.010842146042641</v>
      </c>
      <c r="AM23" s="44">
        <v>32.960923145266534</v>
      </c>
      <c r="AN23" s="44">
        <v>40.898219332888068</v>
      </c>
      <c r="AO23" s="45">
        <v>38.535332017840503</v>
      </c>
      <c r="AP23" s="45">
        <v>40.85937853250821</v>
      </c>
      <c r="AQ23" s="45">
        <v>39.007938994551289</v>
      </c>
      <c r="AR23" s="45">
        <v>37.197034300607164</v>
      </c>
      <c r="AS23" s="45">
        <v>35.408999999999999</v>
      </c>
      <c r="AT23" s="45">
        <v>39.753999999999998</v>
      </c>
      <c r="AU23" s="45">
        <v>32.706420272316656</v>
      </c>
      <c r="AV23" s="45">
        <v>35.950000000000003</v>
      </c>
      <c r="AW23" s="45">
        <v>39.311</v>
      </c>
      <c r="AX23" s="45">
        <v>37.955840529923726</v>
      </c>
      <c r="AY23" s="45">
        <v>38.400266356882035</v>
      </c>
      <c r="AZ23" s="60">
        <f t="shared" si="2"/>
        <v>-2.4979529760060331</v>
      </c>
      <c r="BA23" s="60">
        <f t="shared" si="3"/>
        <v>0.44442582695830879</v>
      </c>
      <c r="BB23" s="44">
        <v>31.696969813384037</v>
      </c>
      <c r="BC23" s="44">
        <v>31.900862745375008</v>
      </c>
      <c r="BD23" s="44">
        <v>33.458134374080338</v>
      </c>
      <c r="BE23" s="44">
        <v>32.732098988971082</v>
      </c>
      <c r="BF23" s="44">
        <v>32.4241263970194</v>
      </c>
      <c r="BG23" s="44">
        <v>31.565000000000001</v>
      </c>
      <c r="BH23" s="44">
        <v>33.667000000000002</v>
      </c>
      <c r="BI23" s="44">
        <v>29.898004950109573</v>
      </c>
      <c r="BJ23" s="44">
        <v>32.088000000000001</v>
      </c>
      <c r="BK23" s="44">
        <v>32.076000000000001</v>
      </c>
      <c r="BL23" s="44">
        <v>31.639739520360422</v>
      </c>
      <c r="BM23" s="44">
        <v>31.221994234303128</v>
      </c>
      <c r="BN23" s="60">
        <f t="shared" si="4"/>
        <v>-0.47497557908090826</v>
      </c>
      <c r="BO23" s="60">
        <f t="shared" si="5"/>
        <v>-0.41774528605729344</v>
      </c>
      <c r="BP23" s="44">
        <v>21.973128019323671</v>
      </c>
      <c r="BQ23" s="44">
        <v>27.671238418901972</v>
      </c>
      <c r="BR23" s="44">
        <v>32.741463635028744</v>
      </c>
      <c r="BS23" s="44">
        <v>30.203472599023335</v>
      </c>
      <c r="BT23" s="44">
        <v>28.278858749480818</v>
      </c>
      <c r="BU23" s="44">
        <v>11.755000000000001</v>
      </c>
      <c r="BV23" s="44">
        <v>20.728999999999999</v>
      </c>
      <c r="BW23" s="44">
        <v>44.528172464478203</v>
      </c>
      <c r="BX23" s="44">
        <v>31.876999999999999</v>
      </c>
      <c r="BY23" s="44">
        <v>18.931000000000001</v>
      </c>
      <c r="BZ23" s="44">
        <v>32.888774437932739</v>
      </c>
      <c r="CA23" s="44">
        <v>40.30864232695123</v>
      </c>
      <c r="CB23" s="60">
        <f t="shared" si="6"/>
        <v>18.335514307627559</v>
      </c>
      <c r="CC23" s="60">
        <f t="shared" si="7"/>
        <v>7.4198678890184908</v>
      </c>
      <c r="CD23" s="46"/>
      <c r="CE23" s="46"/>
    </row>
    <row r="24" spans="1:83" ht="14.25" customHeight="1" x14ac:dyDescent="0.25">
      <c r="A24" s="38" t="s">
        <v>75</v>
      </c>
      <c r="B24" s="7">
        <v>3848.279</v>
      </c>
      <c r="C24" s="7">
        <v>162.976</v>
      </c>
      <c r="D24" s="7">
        <v>3856.989</v>
      </c>
      <c r="E24" s="7">
        <v>91.864999999999995</v>
      </c>
      <c r="F24" s="7">
        <v>3680.9879999999998</v>
      </c>
      <c r="G24" s="7">
        <v>197.62799999999999</v>
      </c>
      <c r="H24" s="7">
        <v>3544.52</v>
      </c>
      <c r="I24" s="7">
        <v>150.971</v>
      </c>
      <c r="J24" s="7">
        <v>3768.9630000000002</v>
      </c>
      <c r="K24" s="7">
        <v>104.72499999999999</v>
      </c>
      <c r="L24" s="7">
        <v>3746.1660000000002</v>
      </c>
      <c r="M24" s="7">
        <v>192.8</v>
      </c>
      <c r="N24" s="7">
        <v>3789.3009999999999</v>
      </c>
      <c r="O24" s="7">
        <v>191.321</v>
      </c>
      <c r="P24" s="7">
        <v>3836.7649999999999</v>
      </c>
      <c r="Q24" s="7">
        <v>46.749000000000002</v>
      </c>
      <c r="R24" s="7">
        <v>3887.9490000000001</v>
      </c>
      <c r="S24" s="7">
        <v>182.78299999999999</v>
      </c>
      <c r="T24" s="7">
        <v>3641.4070000000002</v>
      </c>
      <c r="U24" s="7">
        <v>176.02</v>
      </c>
      <c r="V24" s="7">
        <v>3809.569</v>
      </c>
      <c r="W24" s="7">
        <v>91.114000000000004</v>
      </c>
      <c r="X24" s="7">
        <v>3866.884</v>
      </c>
      <c r="Y24" s="7">
        <v>214.75200000000001</v>
      </c>
      <c r="Z24" s="58">
        <f t="shared" si="0"/>
        <v>18.605000000000018</v>
      </c>
      <c r="AA24" s="58">
        <f t="shared" si="1"/>
        <v>57.315000000000055</v>
      </c>
      <c r="AB24" s="39">
        <v>12.516652152782894</v>
      </c>
      <c r="AC24" s="39">
        <v>12.906676930465574</v>
      </c>
      <c r="AD24" s="39">
        <v>12.151765448308183</v>
      </c>
      <c r="AE24" s="39">
        <v>11.895868960048833</v>
      </c>
      <c r="AF24" s="39">
        <v>12.50706038620018</v>
      </c>
      <c r="AG24" s="39">
        <v>12.059194177643825</v>
      </c>
      <c r="AH24" s="39">
        <v>12.223321341301183</v>
      </c>
      <c r="AI24" s="39">
        <v>13.270781476576069</v>
      </c>
      <c r="AJ24" s="39">
        <v>12.628357504655794</v>
      </c>
      <c r="AK24" s="39">
        <v>11.972481035306258</v>
      </c>
      <c r="AL24" s="39">
        <v>12.935807333408784</v>
      </c>
      <c r="AM24" s="39">
        <v>12.647587827899859</v>
      </c>
      <c r="AN24" s="40">
        <v>10.682853229568972</v>
      </c>
      <c r="AO24" s="47">
        <v>12.353649525631919</v>
      </c>
      <c r="AP24" s="47">
        <v>10.953833737284519</v>
      </c>
      <c r="AQ24" s="47">
        <v>12.338785479063658</v>
      </c>
      <c r="AR24" s="47">
        <v>11.758328069687483</v>
      </c>
      <c r="AS24" s="47">
        <v>10.94</v>
      </c>
      <c r="AT24" s="47">
        <v>12.065</v>
      </c>
      <c r="AU24" s="47">
        <v>13.803299585376172</v>
      </c>
      <c r="AV24" s="47">
        <v>12.465</v>
      </c>
      <c r="AW24" s="47">
        <v>11.566000000000001</v>
      </c>
      <c r="AX24" s="47">
        <v>13.412528134704916</v>
      </c>
      <c r="AY24" s="47">
        <v>11.382817587014879</v>
      </c>
      <c r="AZ24" s="60">
        <f t="shared" si="2"/>
        <v>0.69996435744590713</v>
      </c>
      <c r="BA24" s="60">
        <f t="shared" si="3"/>
        <v>-2.029710547690037</v>
      </c>
      <c r="BB24" s="40">
        <v>13.059070988192783</v>
      </c>
      <c r="BC24" s="40">
        <v>13.074840054745673</v>
      </c>
      <c r="BD24" s="40">
        <v>12.420607575292978</v>
      </c>
      <c r="BE24" s="40">
        <v>11.736238073549883</v>
      </c>
      <c r="BF24" s="40">
        <v>12.768291691709715</v>
      </c>
      <c r="BG24" s="40">
        <v>12.532999999999999</v>
      </c>
      <c r="BH24" s="40">
        <v>12.329000000000001</v>
      </c>
      <c r="BI24" s="40">
        <v>13.155782567846149</v>
      </c>
      <c r="BJ24" s="40">
        <v>12.651999999999999</v>
      </c>
      <c r="BK24" s="40">
        <v>12.047000000000001</v>
      </c>
      <c r="BL24" s="40">
        <v>12.784134199289458</v>
      </c>
      <c r="BM24" s="40">
        <v>13.073377136133915</v>
      </c>
      <c r="BN24" s="60">
        <f t="shared" si="4"/>
        <v>1.4306147941132608E-2</v>
      </c>
      <c r="BO24" s="60">
        <f t="shared" si="5"/>
        <v>0.28924293684445779</v>
      </c>
      <c r="BP24" s="40">
        <v>7.8540157004830915</v>
      </c>
      <c r="BQ24" s="40">
        <v>13.308148238054782</v>
      </c>
      <c r="BR24" s="40">
        <v>19.923644290829408</v>
      </c>
      <c r="BS24" s="40">
        <v>14.764423946464097</v>
      </c>
      <c r="BT24" s="40">
        <v>12.90630836303222</v>
      </c>
      <c r="BU24" s="40">
        <v>10.057</v>
      </c>
      <c r="BV24" s="40">
        <v>8.0489999999999995</v>
      </c>
      <c r="BW24" s="40">
        <v>10.487506124448801</v>
      </c>
      <c r="BX24" s="40">
        <v>15.569000000000001</v>
      </c>
      <c r="BY24" s="40">
        <v>18.239000000000001</v>
      </c>
      <c r="BZ24" s="40">
        <v>14.775526139813842</v>
      </c>
      <c r="CA24" s="40">
        <v>8.1034276502053615</v>
      </c>
      <c r="CB24" s="60">
        <f t="shared" si="6"/>
        <v>0.24941194972226999</v>
      </c>
      <c r="CC24" s="60">
        <f t="shared" si="7"/>
        <v>-6.6720984896084801</v>
      </c>
      <c r="CD24" s="46"/>
      <c r="CE24" s="46"/>
    </row>
    <row r="25" spans="1:83" ht="14.25" customHeight="1" x14ac:dyDescent="0.25">
      <c r="A25" s="38" t="s">
        <v>76</v>
      </c>
      <c r="B25" s="7">
        <v>3112.6680000000001</v>
      </c>
      <c r="C25" s="7">
        <v>196.27</v>
      </c>
      <c r="D25" s="7">
        <v>2698.9050000000002</v>
      </c>
      <c r="E25" s="7">
        <v>83.617999999999995</v>
      </c>
      <c r="F25" s="7">
        <v>2815.482</v>
      </c>
      <c r="G25" s="7">
        <v>164.09399999999999</v>
      </c>
      <c r="H25" s="7">
        <v>2913.1869999999999</v>
      </c>
      <c r="I25" s="7">
        <v>194.40899999999999</v>
      </c>
      <c r="J25" s="7">
        <v>2567.8820000000001</v>
      </c>
      <c r="K25" s="7">
        <v>83.948999999999998</v>
      </c>
      <c r="L25" s="7">
        <v>3347.152</v>
      </c>
      <c r="M25" s="7">
        <v>196.786</v>
      </c>
      <c r="N25" s="7">
        <v>2785.1219999999998</v>
      </c>
      <c r="O25" s="7">
        <v>155.77799999999999</v>
      </c>
      <c r="P25" s="7">
        <v>2519.1410000000001</v>
      </c>
      <c r="Q25" s="7">
        <v>40.585000000000001</v>
      </c>
      <c r="R25" s="7">
        <v>2635.8530000000001</v>
      </c>
      <c r="S25" s="7">
        <v>146.40100000000001</v>
      </c>
      <c r="T25" s="7">
        <v>2721.1729999999998</v>
      </c>
      <c r="U25" s="7">
        <v>164.73599999999999</v>
      </c>
      <c r="V25" s="7">
        <v>2713.84</v>
      </c>
      <c r="W25" s="7">
        <v>75.77</v>
      </c>
      <c r="X25" s="7">
        <v>2804.1410000000001</v>
      </c>
      <c r="Y25" s="7">
        <v>154.94300000000001</v>
      </c>
      <c r="Z25" s="58">
        <f t="shared" si="0"/>
        <v>-308.52700000000004</v>
      </c>
      <c r="AA25" s="58">
        <f t="shared" si="1"/>
        <v>90.300999999999931</v>
      </c>
      <c r="AB25" s="39">
        <v>10.124053537464002</v>
      </c>
      <c r="AC25" s="39">
        <v>9.0313700404689232</v>
      </c>
      <c r="AD25" s="39">
        <v>9.2945363820619953</v>
      </c>
      <c r="AE25" s="39">
        <v>9.7770335075321295</v>
      </c>
      <c r="AF25" s="39">
        <v>8.5213506310983931</v>
      </c>
      <c r="AG25" s="39">
        <v>10.774737667815277</v>
      </c>
      <c r="AH25" s="39">
        <v>8.9840952673665768</v>
      </c>
      <c r="AI25" s="39">
        <v>8.7133222179839827</v>
      </c>
      <c r="AJ25" s="39">
        <v>8.5614533559260906</v>
      </c>
      <c r="AK25" s="39">
        <v>8.9468692009125679</v>
      </c>
      <c r="AL25" s="39">
        <v>9.2151399209984373</v>
      </c>
      <c r="AM25" s="39">
        <v>9.1716274859331026</v>
      </c>
      <c r="AN25" s="40">
        <v>11.998374447057913</v>
      </c>
      <c r="AO25" s="47">
        <v>10.156636175977221</v>
      </c>
      <c r="AP25" s="47">
        <v>10.185562559578413</v>
      </c>
      <c r="AQ25" s="47">
        <v>10.506837974181495</v>
      </c>
      <c r="AR25" s="47">
        <v>8.4588159723563905</v>
      </c>
      <c r="AS25" s="47">
        <v>12.143000000000001</v>
      </c>
      <c r="AT25" s="47">
        <v>9.2859999999999996</v>
      </c>
      <c r="AU25" s="47">
        <v>9.6812743859997425</v>
      </c>
      <c r="AV25" s="47">
        <v>10.17</v>
      </c>
      <c r="AW25" s="47">
        <v>10.624000000000001</v>
      </c>
      <c r="AX25" s="47">
        <v>11.118381508647413</v>
      </c>
      <c r="AY25" s="47">
        <v>10.352521997130985</v>
      </c>
      <c r="AZ25" s="60">
        <f t="shared" si="2"/>
        <v>-1.6458524499269274</v>
      </c>
      <c r="BA25" s="60">
        <f t="shared" si="3"/>
        <v>-0.76585951151642817</v>
      </c>
      <c r="BB25" s="40">
        <v>9.5494268432244045</v>
      </c>
      <c r="BC25" s="40">
        <v>8.6232999298794528</v>
      </c>
      <c r="BD25" s="40">
        <v>9.061128753637318</v>
      </c>
      <c r="BE25" s="40">
        <v>9.5657293396431253</v>
      </c>
      <c r="BF25" s="40">
        <v>8.5002773718849873</v>
      </c>
      <c r="BG25" s="40">
        <v>10.366</v>
      </c>
      <c r="BH25" s="40">
        <v>8.8030000000000008</v>
      </c>
      <c r="BI25" s="40">
        <v>8.4499776491908261</v>
      </c>
      <c r="BJ25" s="40">
        <v>8.1319999999999997</v>
      </c>
      <c r="BK25" s="40">
        <v>8.4870000000000001</v>
      </c>
      <c r="BL25" s="40">
        <v>8.7032491899375017</v>
      </c>
      <c r="BM25" s="40">
        <v>8.8503184237332757</v>
      </c>
      <c r="BN25" s="60">
        <f t="shared" si="4"/>
        <v>-0.69910841949112879</v>
      </c>
      <c r="BO25" s="60">
        <f t="shared" si="5"/>
        <v>0.14706923379577397</v>
      </c>
      <c r="BP25" s="40">
        <v>17.501293995859214</v>
      </c>
      <c r="BQ25" s="40">
        <v>15.764453614920907</v>
      </c>
      <c r="BR25" s="40">
        <v>7.9817695096743577</v>
      </c>
      <c r="BS25" s="40">
        <v>9.1725447639717856</v>
      </c>
      <c r="BT25" s="40">
        <v>11.28906238654154</v>
      </c>
      <c r="BU25" s="40">
        <v>8.7750000000000004</v>
      </c>
      <c r="BV25" s="40">
        <v>15.36</v>
      </c>
      <c r="BW25" s="40">
        <v>9.75110240078393</v>
      </c>
      <c r="BX25" s="40">
        <v>5.3819999999999997</v>
      </c>
      <c r="BY25" s="40">
        <v>9.4870000000000001</v>
      </c>
      <c r="BZ25" s="40">
        <v>7.6656296856244515</v>
      </c>
      <c r="CA25" s="40">
        <v>3.3325168192408694</v>
      </c>
      <c r="CB25" s="60">
        <f t="shared" si="6"/>
        <v>-14.168777176618345</v>
      </c>
      <c r="CC25" s="60">
        <f t="shared" si="7"/>
        <v>-4.3331128663835816</v>
      </c>
      <c r="CD25" s="46"/>
      <c r="CE25" s="46"/>
    </row>
    <row r="26" spans="1:83" ht="14.25" customHeight="1" x14ac:dyDescent="0.25">
      <c r="A26" s="38" t="s">
        <v>77</v>
      </c>
      <c r="B26" s="7">
        <v>462.58800000000002</v>
      </c>
      <c r="C26" s="7">
        <v>70.668000000000006</v>
      </c>
      <c r="D26" s="7">
        <v>502.625</v>
      </c>
      <c r="E26" s="7">
        <v>32.683999999999997</v>
      </c>
      <c r="F26" s="7">
        <v>413.47500000000002</v>
      </c>
      <c r="G26" s="7">
        <v>53.712000000000003</v>
      </c>
      <c r="H26" s="7">
        <v>513.9</v>
      </c>
      <c r="I26" s="7">
        <v>66.385999999999996</v>
      </c>
      <c r="J26" s="7">
        <v>454.27</v>
      </c>
      <c r="K26" s="7">
        <v>28.372</v>
      </c>
      <c r="L26" s="7">
        <v>500.88</v>
      </c>
      <c r="M26" s="7">
        <v>67.134</v>
      </c>
      <c r="N26" s="7">
        <v>487.84899999999999</v>
      </c>
      <c r="O26" s="7">
        <v>58.716999999999999</v>
      </c>
      <c r="P26" s="7">
        <v>511.774</v>
      </c>
      <c r="Q26" s="7">
        <v>16.012</v>
      </c>
      <c r="R26" s="7">
        <v>485.03800000000001</v>
      </c>
      <c r="S26" s="7">
        <v>58.95</v>
      </c>
      <c r="T26" s="7">
        <v>549.59299999999996</v>
      </c>
      <c r="U26" s="7">
        <v>74.358999999999995</v>
      </c>
      <c r="V26" s="7">
        <v>523.78399999999999</v>
      </c>
      <c r="W26" s="7">
        <v>34.732999999999997</v>
      </c>
      <c r="X26" s="7">
        <v>544.56299999999999</v>
      </c>
      <c r="Y26" s="7">
        <v>58.216000000000001</v>
      </c>
      <c r="Z26" s="58">
        <f t="shared" si="0"/>
        <v>81.974999999999966</v>
      </c>
      <c r="AA26" s="58">
        <f t="shared" si="1"/>
        <v>20.778999999999996</v>
      </c>
      <c r="AB26" s="39">
        <v>1.5045824603807401</v>
      </c>
      <c r="AC26" s="39">
        <v>1.681938551594329</v>
      </c>
      <c r="AD26" s="39">
        <v>1.3649735393701978</v>
      </c>
      <c r="AE26" s="39">
        <v>1.7247150696198907</v>
      </c>
      <c r="AF26" s="39">
        <v>1.5074656667203035</v>
      </c>
      <c r="AG26" s="39">
        <v>1.6123709359644602</v>
      </c>
      <c r="AH26" s="39">
        <v>1.5736768055724371</v>
      </c>
      <c r="AI26" s="39">
        <v>1.7701477467067284</v>
      </c>
      <c r="AJ26" s="39">
        <v>1.57544074455278</v>
      </c>
      <c r="AK26" s="39">
        <v>1.8069915748602314</v>
      </c>
      <c r="AL26" s="39">
        <v>1.7785657401984809</v>
      </c>
      <c r="AM26" s="39">
        <v>1.7811261910945948</v>
      </c>
      <c r="AN26" s="40">
        <v>0.70188556881648612</v>
      </c>
      <c r="AO26" s="47">
        <v>0.76361344533035125</v>
      </c>
      <c r="AP26" s="47">
        <v>0.59654288809509504</v>
      </c>
      <c r="AQ26" s="47">
        <v>0.75578579385153655</v>
      </c>
      <c r="AR26" s="47">
        <v>0.96839606285666691</v>
      </c>
      <c r="AS26" s="47">
        <v>0.59499999999999997</v>
      </c>
      <c r="AT26" s="47">
        <v>0.36399999999999999</v>
      </c>
      <c r="AU26" s="47">
        <v>0.94848533272610602</v>
      </c>
      <c r="AV26" s="47">
        <v>0.62</v>
      </c>
      <c r="AW26" s="47">
        <v>0.75</v>
      </c>
      <c r="AX26" s="47">
        <v>0.97953372587176213</v>
      </c>
      <c r="AY26" s="47">
        <v>1.0186313409738341</v>
      </c>
      <c r="AZ26" s="60">
        <f t="shared" si="2"/>
        <v>0.316745772157348</v>
      </c>
      <c r="BA26" s="60">
        <f t="shared" si="3"/>
        <v>3.9097615102071992E-2</v>
      </c>
      <c r="BB26" s="40">
        <v>1.7351710784804579</v>
      </c>
      <c r="BC26" s="40">
        <v>1.9683590136685403</v>
      </c>
      <c r="BD26" s="40">
        <v>1.5849571544889276</v>
      </c>
      <c r="BE26" s="40">
        <v>2.0297708202544134</v>
      </c>
      <c r="BF26" s="40">
        <v>1.7171907513060352</v>
      </c>
      <c r="BG26" s="40">
        <v>2.0169999999999999</v>
      </c>
      <c r="BH26" s="40">
        <v>1.974</v>
      </c>
      <c r="BI26" s="40">
        <v>1.9909873060506171</v>
      </c>
      <c r="BJ26" s="40">
        <v>1.857</v>
      </c>
      <c r="BK26" s="40">
        <v>2.0859999999999999</v>
      </c>
      <c r="BL26" s="40">
        <v>2.0185125151397405</v>
      </c>
      <c r="BM26" s="40">
        <v>2.0216985358913835</v>
      </c>
      <c r="BN26" s="60">
        <f t="shared" si="4"/>
        <v>0.28652745741092556</v>
      </c>
      <c r="BO26" s="60">
        <f t="shared" si="5"/>
        <v>3.1860207516429817E-3</v>
      </c>
      <c r="BP26" s="40">
        <v>0.34668305728088333</v>
      </c>
      <c r="BQ26" s="40">
        <v>1.5262774608569001</v>
      </c>
      <c r="BR26" s="40">
        <v>0</v>
      </c>
      <c r="BS26" s="40">
        <v>0</v>
      </c>
      <c r="BT26" s="40">
        <v>0.414767825867222</v>
      </c>
      <c r="BU26" s="40">
        <v>0.47399999999999998</v>
      </c>
      <c r="BV26" s="40">
        <v>0.42399999999999999</v>
      </c>
      <c r="BW26" s="40">
        <v>1.1641352278294954</v>
      </c>
      <c r="BX26" s="40">
        <v>0</v>
      </c>
      <c r="BY26" s="40">
        <v>3.3319999999999999</v>
      </c>
      <c r="BZ26" s="40">
        <v>5.1087584055689618E-2</v>
      </c>
      <c r="CA26" s="40">
        <v>1.1740713101633218</v>
      </c>
      <c r="CB26" s="60">
        <f t="shared" si="6"/>
        <v>0.82738825288243845</v>
      </c>
      <c r="CC26" s="60">
        <f t="shared" si="7"/>
        <v>1.1229837261076321</v>
      </c>
      <c r="CD26" s="46"/>
      <c r="CE26" s="46"/>
    </row>
    <row r="27" spans="1:83" ht="14.25" customHeight="1" x14ac:dyDescent="0.25">
      <c r="A27" s="38" t="s">
        <v>78</v>
      </c>
      <c r="B27" s="7">
        <v>638.88800000000003</v>
      </c>
      <c r="C27" s="7">
        <v>68.652000000000001</v>
      </c>
      <c r="D27" s="7">
        <v>742.65499999999997</v>
      </c>
      <c r="E27" s="7">
        <v>36.389000000000003</v>
      </c>
      <c r="F27" s="7">
        <v>674.68499999999995</v>
      </c>
      <c r="G27" s="7">
        <v>61.215000000000003</v>
      </c>
      <c r="H27" s="7">
        <v>687.39800000000002</v>
      </c>
      <c r="I27" s="7">
        <v>64.311999999999998</v>
      </c>
      <c r="J27" s="7">
        <v>656.87800000000004</v>
      </c>
      <c r="K27" s="7">
        <v>33.795000000000002</v>
      </c>
      <c r="L27" s="7">
        <v>636.30899999999997</v>
      </c>
      <c r="M27" s="7">
        <v>70.131</v>
      </c>
      <c r="N27" s="7">
        <v>884.46400000000006</v>
      </c>
      <c r="O27" s="7">
        <v>83.858999999999995</v>
      </c>
      <c r="P27" s="7">
        <v>717.12599999999998</v>
      </c>
      <c r="Q27" s="7">
        <v>19.032</v>
      </c>
      <c r="R27" s="7">
        <v>776.69200000000001</v>
      </c>
      <c r="S27" s="7">
        <v>74.259</v>
      </c>
      <c r="T27" s="7">
        <v>671.51</v>
      </c>
      <c r="U27" s="7">
        <v>69.484999999999999</v>
      </c>
      <c r="V27" s="7">
        <v>763.92399999999998</v>
      </c>
      <c r="W27" s="7">
        <v>37.427999999999997</v>
      </c>
      <c r="X27" s="7">
        <v>691.29399999999998</v>
      </c>
      <c r="Y27" s="7">
        <v>62.719000000000001</v>
      </c>
      <c r="Z27" s="58">
        <f t="shared" si="0"/>
        <v>52.405999999999949</v>
      </c>
      <c r="AA27" s="58">
        <f t="shared" si="1"/>
        <v>-72.63</v>
      </c>
      <c r="AB27" s="39">
        <v>2.0780039234647902</v>
      </c>
      <c r="AC27" s="39">
        <v>2.48515309631293</v>
      </c>
      <c r="AD27" s="39">
        <v>2.2272862262772404</v>
      </c>
      <c r="AE27" s="39">
        <v>2.3069968659789328</v>
      </c>
      <c r="AF27" s="39">
        <v>2.1798072340764296</v>
      </c>
      <c r="AG27" s="39">
        <v>2.0483272198782339</v>
      </c>
      <c r="AH27" s="39">
        <v>2.853055929527005</v>
      </c>
      <c r="AI27" s="39">
        <v>2.4804288084287385</v>
      </c>
      <c r="AJ27" s="39">
        <v>2.5227553774512264</v>
      </c>
      <c r="AK27" s="39">
        <v>2.2078390962664991</v>
      </c>
      <c r="AL27" s="39">
        <v>2.5939873201842443</v>
      </c>
      <c r="AM27" s="39">
        <v>2.2610457360242009</v>
      </c>
      <c r="AN27" s="40">
        <v>0.90462595948156543</v>
      </c>
      <c r="AO27" s="47">
        <v>0.89088709305850966</v>
      </c>
      <c r="AP27" s="47">
        <v>0.6561754979501</v>
      </c>
      <c r="AQ27" s="47">
        <v>0.8061960870465894</v>
      </c>
      <c r="AR27" s="47">
        <v>1.3387960476555383</v>
      </c>
      <c r="AS27" s="47">
        <v>0.76200000000000001</v>
      </c>
      <c r="AT27" s="47">
        <v>1.26</v>
      </c>
      <c r="AU27" s="47">
        <v>0.70633777345981597</v>
      </c>
      <c r="AV27" s="47">
        <v>0.54800000000000004</v>
      </c>
      <c r="AW27" s="47">
        <v>0.16700000000000001</v>
      </c>
      <c r="AX27" s="47">
        <v>0.83843863379984707</v>
      </c>
      <c r="AY27" s="47">
        <v>0.67457775558137101</v>
      </c>
      <c r="AZ27" s="60">
        <f t="shared" si="2"/>
        <v>-0.23004820390019443</v>
      </c>
      <c r="BA27" s="60">
        <f t="shared" si="3"/>
        <v>-0.16386087821847606</v>
      </c>
      <c r="BB27" s="40">
        <v>2.4077562047408083</v>
      </c>
      <c r="BC27" s="40">
        <v>2.9952972663139521</v>
      </c>
      <c r="BD27" s="40">
        <v>2.660865219018556</v>
      </c>
      <c r="BE27" s="40">
        <v>2.7630400073777941</v>
      </c>
      <c r="BF27" s="40">
        <v>2.5103203481254068</v>
      </c>
      <c r="BG27" s="40">
        <v>2.5489999999999999</v>
      </c>
      <c r="BH27" s="40">
        <v>3.3860000000000001</v>
      </c>
      <c r="BI27" s="40">
        <v>2.9490581377368232</v>
      </c>
      <c r="BJ27" s="40">
        <v>3.0939999999999999</v>
      </c>
      <c r="BK27" s="40">
        <v>2.7240000000000002</v>
      </c>
      <c r="BL27" s="40">
        <v>3.0572784734277976</v>
      </c>
      <c r="BM27" s="40">
        <v>2.7085714330022155</v>
      </c>
      <c r="BN27" s="60">
        <f t="shared" si="4"/>
        <v>0.30081522826140716</v>
      </c>
      <c r="BO27" s="60">
        <f t="shared" si="5"/>
        <v>-0.34870704042558209</v>
      </c>
      <c r="BP27" s="40">
        <v>1.3301199102829537</v>
      </c>
      <c r="BQ27" s="40">
        <v>0.7368410405793584</v>
      </c>
      <c r="BR27" s="40">
        <v>1.5999683733748999</v>
      </c>
      <c r="BS27" s="40">
        <v>1.33251944293724</v>
      </c>
      <c r="BT27" s="40">
        <v>0.26402237654993338</v>
      </c>
      <c r="BU27" s="40">
        <v>0.88300000000000001</v>
      </c>
      <c r="BV27" s="40">
        <v>0.94099999999999995</v>
      </c>
      <c r="BW27" s="40">
        <v>2.089171974522293</v>
      </c>
      <c r="BX27" s="40">
        <v>0.75800000000000001</v>
      </c>
      <c r="BY27" s="40">
        <v>9.25</v>
      </c>
      <c r="BZ27" s="40">
        <v>4.8661962178573948</v>
      </c>
      <c r="CA27" s="40">
        <v>8.0077246030887022</v>
      </c>
      <c r="CB27" s="60">
        <f t="shared" si="6"/>
        <v>6.6776046928057484</v>
      </c>
      <c r="CC27" s="60">
        <f t="shared" si="7"/>
        <v>3.1415283852313074</v>
      </c>
      <c r="CD27" s="46"/>
      <c r="CE27" s="46"/>
    </row>
    <row r="28" spans="1:83" ht="14.25" customHeight="1" x14ac:dyDescent="0.25">
      <c r="A28" s="38" t="s">
        <v>79</v>
      </c>
      <c r="B28" s="7">
        <v>242.67099999999999</v>
      </c>
      <c r="C28" s="7">
        <v>41.921999999999997</v>
      </c>
      <c r="D28" s="7">
        <v>282.58199999999999</v>
      </c>
      <c r="E28" s="7">
        <v>23.547000000000001</v>
      </c>
      <c r="F28" s="7">
        <v>211.39699999999999</v>
      </c>
      <c r="G28" s="7">
        <v>30.11</v>
      </c>
      <c r="H28" s="7">
        <v>268.63499999999999</v>
      </c>
      <c r="I28" s="7">
        <v>37.031999999999996</v>
      </c>
      <c r="J28" s="7">
        <v>272.22199999999998</v>
      </c>
      <c r="K28" s="7">
        <v>21.655000000000001</v>
      </c>
      <c r="L28" s="7">
        <v>351.471</v>
      </c>
      <c r="M28" s="7">
        <v>49.389000000000003</v>
      </c>
      <c r="N28" s="7">
        <v>322.029</v>
      </c>
      <c r="O28" s="7">
        <v>46.453000000000003</v>
      </c>
      <c r="P28" s="7">
        <v>272.673</v>
      </c>
      <c r="Q28" s="7">
        <v>11.183</v>
      </c>
      <c r="R28" s="7">
        <v>253.90799999999999</v>
      </c>
      <c r="S28" s="7">
        <v>37.036000000000001</v>
      </c>
      <c r="T28" s="7">
        <v>268.21899999999999</v>
      </c>
      <c r="U28" s="7">
        <v>42.043999999999997</v>
      </c>
      <c r="V28" s="7">
        <v>324.90699999999998</v>
      </c>
      <c r="W28" s="7">
        <v>26.337</v>
      </c>
      <c r="X28" s="7">
        <v>319.92599999999999</v>
      </c>
      <c r="Y28" s="7">
        <v>51.006</v>
      </c>
      <c r="Z28" s="58">
        <f t="shared" si="0"/>
        <v>77.254999999999995</v>
      </c>
      <c r="AA28" s="58">
        <f t="shared" si="1"/>
        <v>-4.9809999999999945</v>
      </c>
      <c r="AB28" s="39">
        <v>0.78929529136738208</v>
      </c>
      <c r="AC28" s="39">
        <v>0.94560668447973872</v>
      </c>
      <c r="AD28" s="39">
        <v>0.69786882230423053</v>
      </c>
      <c r="AE28" s="39">
        <v>0.90157391073621207</v>
      </c>
      <c r="AF28" s="39">
        <v>0.90335113198303751</v>
      </c>
      <c r="AG28" s="39">
        <v>1.1314119654096086</v>
      </c>
      <c r="AH28" s="39">
        <v>1.03878365646273</v>
      </c>
      <c r="AI28" s="39">
        <v>0.94313407194926613</v>
      </c>
      <c r="AJ28" s="39">
        <v>0.82471272058664935</v>
      </c>
      <c r="AK28" s="39">
        <v>0.88186980768939283</v>
      </c>
      <c r="AL28" s="39">
        <v>1.1032571803466082</v>
      </c>
      <c r="AM28" s="39">
        <v>1.046396060349545</v>
      </c>
      <c r="AN28" s="40">
        <v>1.753246871097947</v>
      </c>
      <c r="AO28" s="47">
        <v>2.113851752792768</v>
      </c>
      <c r="AP28" s="47">
        <v>1.5766639062131265</v>
      </c>
      <c r="AQ28" s="47">
        <v>1.8329648521271034</v>
      </c>
      <c r="AR28" s="47">
        <v>1.5956466620068575</v>
      </c>
      <c r="AS28" s="47">
        <v>2.4169999999999998</v>
      </c>
      <c r="AT28" s="47">
        <v>1.95</v>
      </c>
      <c r="AU28" s="47">
        <v>1.6042003320411307</v>
      </c>
      <c r="AV28" s="47">
        <v>1.976</v>
      </c>
      <c r="AW28" s="47">
        <v>1.7929999999999999</v>
      </c>
      <c r="AX28" s="47">
        <v>1.7942700231948796</v>
      </c>
      <c r="AY28" s="47">
        <v>1.6781485746928111</v>
      </c>
      <c r="AZ28" s="60">
        <f t="shared" si="2"/>
        <v>-7.5098296405135878E-2</v>
      </c>
      <c r="BA28" s="60">
        <f t="shared" si="3"/>
        <v>-0.11612144850206851</v>
      </c>
      <c r="BB28" s="40">
        <v>0.52926983403720862</v>
      </c>
      <c r="BC28" s="40">
        <v>0.56721496946765559</v>
      </c>
      <c r="BD28" s="40">
        <v>0.46319768469636746</v>
      </c>
      <c r="BE28" s="40">
        <v>0.63317144100522271</v>
      </c>
      <c r="BF28" s="40">
        <v>0.6477098230833912</v>
      </c>
      <c r="BG28" s="40">
        <v>0.64800000000000002</v>
      </c>
      <c r="BH28" s="40">
        <v>0.755</v>
      </c>
      <c r="BI28" s="40">
        <v>0.72816988531948645</v>
      </c>
      <c r="BJ28" s="40">
        <v>0.498</v>
      </c>
      <c r="BK28" s="40">
        <v>0.626</v>
      </c>
      <c r="BL28" s="40">
        <v>0.83448989899608406</v>
      </c>
      <c r="BM28" s="40">
        <v>0.85879358373560521</v>
      </c>
      <c r="BN28" s="60">
        <f t="shared" si="4"/>
        <v>0.3295237496983966</v>
      </c>
      <c r="BO28" s="60">
        <f t="shared" si="5"/>
        <v>2.4303684739521159E-2</v>
      </c>
      <c r="BP28" s="40">
        <v>0</v>
      </c>
      <c r="BQ28" s="40">
        <v>2.750637213254036</v>
      </c>
      <c r="BR28" s="40">
        <v>0</v>
      </c>
      <c r="BS28" s="40">
        <v>0</v>
      </c>
      <c r="BT28" s="40">
        <v>1.4328079026631695</v>
      </c>
      <c r="BU28" s="40">
        <v>1.83</v>
      </c>
      <c r="BV28" s="40">
        <v>0.54600000000000004</v>
      </c>
      <c r="BW28" s="40">
        <v>5.5786379225869664</v>
      </c>
      <c r="BX28" s="40">
        <v>1.0389999999999999</v>
      </c>
      <c r="BY28" s="40">
        <v>2.117</v>
      </c>
      <c r="BZ28" s="40">
        <v>8.4144989055627306</v>
      </c>
      <c r="CA28" s="40">
        <v>0</v>
      </c>
      <c r="CB28" s="60">
        <f t="shared" si="6"/>
        <v>0</v>
      </c>
      <c r="CC28" s="60">
        <f t="shared" si="7"/>
        <v>-8.4144989055627306</v>
      </c>
      <c r="CD28" s="46"/>
      <c r="CE28" s="46"/>
    </row>
    <row r="29" spans="1:83" ht="14.25" customHeight="1" x14ac:dyDescent="0.25">
      <c r="A29" s="38" t="s">
        <v>80</v>
      </c>
      <c r="B29" s="7">
        <v>363.98200000000003</v>
      </c>
      <c r="C29" s="7">
        <v>53.682000000000002</v>
      </c>
      <c r="D29" s="7">
        <v>427.60500000000002</v>
      </c>
      <c r="E29" s="7">
        <v>28.277999999999999</v>
      </c>
      <c r="F29" s="7">
        <v>337.34399999999999</v>
      </c>
      <c r="G29" s="7">
        <v>44.320999999999998</v>
      </c>
      <c r="H29" s="7">
        <v>271.33499999999998</v>
      </c>
      <c r="I29" s="7">
        <v>38.345999999999997</v>
      </c>
      <c r="J29" s="7">
        <v>392.25</v>
      </c>
      <c r="K29" s="7">
        <v>26.036000000000001</v>
      </c>
      <c r="L29" s="7">
        <v>465.33199999999999</v>
      </c>
      <c r="M29" s="7">
        <v>60.756999999999998</v>
      </c>
      <c r="N29" s="7">
        <v>384.548</v>
      </c>
      <c r="O29" s="7">
        <v>50.866999999999997</v>
      </c>
      <c r="P29" s="7">
        <v>472.12900000000002</v>
      </c>
      <c r="Q29" s="7">
        <v>15.161</v>
      </c>
      <c r="R29" s="7">
        <v>369.64</v>
      </c>
      <c r="S29" s="7">
        <v>49.48</v>
      </c>
      <c r="T29" s="7">
        <v>400.41</v>
      </c>
      <c r="U29" s="7">
        <v>72.128</v>
      </c>
      <c r="V29" s="7">
        <v>376.24599999999998</v>
      </c>
      <c r="W29" s="7">
        <v>28.757999999999999</v>
      </c>
      <c r="X29" s="7">
        <v>356.91800000000001</v>
      </c>
      <c r="Y29" s="7">
        <v>62.597000000000001</v>
      </c>
      <c r="Z29" s="58">
        <f t="shared" si="0"/>
        <v>-7.0640000000000214</v>
      </c>
      <c r="AA29" s="58">
        <f t="shared" si="1"/>
        <v>-19.327999999999975</v>
      </c>
      <c r="AB29" s="39">
        <v>1.1838632500071393</v>
      </c>
      <c r="AC29" s="39">
        <v>1.4308984518368426</v>
      </c>
      <c r="AD29" s="39">
        <v>1.1136480649744243</v>
      </c>
      <c r="AE29" s="39">
        <v>0.91063546101442516</v>
      </c>
      <c r="AF29" s="39">
        <v>1.3016563008145796</v>
      </c>
      <c r="AG29" s="39">
        <v>1.4979392117357735</v>
      </c>
      <c r="AH29" s="39">
        <v>1.2404540508011075</v>
      </c>
      <c r="AI29" s="39">
        <v>1.6330217742693085</v>
      </c>
      <c r="AJ29" s="39">
        <v>1.20061916141929</v>
      </c>
      <c r="AK29" s="39">
        <v>1.3164969286176962</v>
      </c>
      <c r="AL29" s="39">
        <v>1.2775843582215525</v>
      </c>
      <c r="AM29" s="39">
        <v>1.167387424178838</v>
      </c>
      <c r="AN29" s="40">
        <v>0.28441126791919541</v>
      </c>
      <c r="AO29" s="47">
        <v>0.67321360414511078</v>
      </c>
      <c r="AP29" s="47">
        <v>0.62121044132776781</v>
      </c>
      <c r="AQ29" s="47">
        <v>0.35188419344636696</v>
      </c>
      <c r="AR29" s="47">
        <v>0.84143093121068435</v>
      </c>
      <c r="AS29" s="47">
        <v>1.0069999999999999</v>
      </c>
      <c r="AT29" s="47">
        <v>1.137</v>
      </c>
      <c r="AU29" s="47">
        <v>0.816587770148124</v>
      </c>
      <c r="AV29" s="47">
        <v>0.38600000000000001</v>
      </c>
      <c r="AW29" s="47">
        <v>0.30499999999999999</v>
      </c>
      <c r="AX29" s="47">
        <v>0.74709638498393949</v>
      </c>
      <c r="AY29" s="47">
        <v>0.70401676088540288</v>
      </c>
      <c r="AZ29" s="60">
        <f t="shared" si="2"/>
        <v>0.41960549296620747</v>
      </c>
      <c r="BA29" s="60">
        <f t="shared" si="3"/>
        <v>-4.3079624098536606E-2</v>
      </c>
      <c r="BB29" s="40">
        <v>1.4292903702863609</v>
      </c>
      <c r="BC29" s="40">
        <v>1.6617752968646162</v>
      </c>
      <c r="BD29" s="40">
        <v>1.2415809811397576</v>
      </c>
      <c r="BE29" s="40">
        <v>1.0857369771691585</v>
      </c>
      <c r="BF29" s="40">
        <v>1.4724173524726007</v>
      </c>
      <c r="BG29" s="40">
        <v>1.7170000000000001</v>
      </c>
      <c r="BH29" s="40">
        <v>1.29</v>
      </c>
      <c r="BI29" s="40">
        <v>1.855321609611758</v>
      </c>
      <c r="BJ29" s="40">
        <v>1.44</v>
      </c>
      <c r="BK29" s="40">
        <v>1.6</v>
      </c>
      <c r="BL29" s="40">
        <v>1.4276974280767196</v>
      </c>
      <c r="BM29" s="40">
        <v>1.3196194242031156</v>
      </c>
      <c r="BN29" s="60">
        <f t="shared" si="4"/>
        <v>-0.10967094608324524</v>
      </c>
      <c r="BO29" s="60">
        <f t="shared" si="5"/>
        <v>-0.108078003873604</v>
      </c>
      <c r="BP29" s="40">
        <v>1.5592650103519667</v>
      </c>
      <c r="BQ29" s="40">
        <v>1.9258000566411784</v>
      </c>
      <c r="BR29" s="40">
        <v>1.98061739690285</v>
      </c>
      <c r="BS29" s="40">
        <v>0</v>
      </c>
      <c r="BT29" s="40">
        <v>0.89721135441445998</v>
      </c>
      <c r="BU29" s="40">
        <v>0.33100000000000002</v>
      </c>
      <c r="BV29" s="40">
        <v>0</v>
      </c>
      <c r="BW29" s="40">
        <v>0.71190592846643808</v>
      </c>
      <c r="BX29" s="40">
        <v>0</v>
      </c>
      <c r="BY29" s="40">
        <v>0</v>
      </c>
      <c r="BZ29" s="40">
        <v>1.0034764477930578</v>
      </c>
      <c r="CA29" s="40">
        <v>0</v>
      </c>
      <c r="CB29" s="60">
        <f t="shared" si="6"/>
        <v>-1.5592650103519667</v>
      </c>
      <c r="CC29" s="60">
        <f t="shared" si="7"/>
        <v>-1.0034764477930578</v>
      </c>
      <c r="CD29" s="46"/>
      <c r="CE29" s="46"/>
    </row>
    <row r="30" spans="1:83" ht="14.25" customHeight="1" x14ac:dyDescent="0.25">
      <c r="A30" s="38" t="s">
        <v>81</v>
      </c>
      <c r="B30" s="7">
        <v>2751.6550000000002</v>
      </c>
      <c r="C30" s="7">
        <v>170.75899999999999</v>
      </c>
      <c r="D30" s="7">
        <v>2686.248</v>
      </c>
      <c r="E30" s="7">
        <v>88.863</v>
      </c>
      <c r="F30" s="7">
        <v>2378.7370000000001</v>
      </c>
      <c r="G30" s="7">
        <v>144.899</v>
      </c>
      <c r="H30" s="7">
        <v>2560.5210000000002</v>
      </c>
      <c r="I30" s="7">
        <v>166.053</v>
      </c>
      <c r="J30" s="7">
        <v>3005.9679999999998</v>
      </c>
      <c r="K30" s="7">
        <v>102.32299999999999</v>
      </c>
      <c r="L30" s="7">
        <v>2791.047</v>
      </c>
      <c r="M30" s="7">
        <v>175.78899999999999</v>
      </c>
      <c r="N30" s="7">
        <v>2769.3139999999999</v>
      </c>
      <c r="O30" s="7">
        <v>175.48500000000001</v>
      </c>
      <c r="P30" s="7">
        <v>2900.7130000000002</v>
      </c>
      <c r="Q30" s="7">
        <v>45.197000000000003</v>
      </c>
      <c r="R30" s="7">
        <v>2939.1419999999998</v>
      </c>
      <c r="S30" s="7">
        <v>168.89599999999999</v>
      </c>
      <c r="T30" s="7">
        <v>2870.9229999999998</v>
      </c>
      <c r="U30" s="7">
        <v>232.75700000000001</v>
      </c>
      <c r="V30" s="7">
        <v>2879.4830000000002</v>
      </c>
      <c r="W30" s="7">
        <v>89.147000000000006</v>
      </c>
      <c r="X30" s="7">
        <v>2850.4360000000001</v>
      </c>
      <c r="Y30" s="7">
        <v>140.19</v>
      </c>
      <c r="Z30" s="58">
        <f t="shared" si="0"/>
        <v>98.780999999999949</v>
      </c>
      <c r="AA30" s="58">
        <f t="shared" si="1"/>
        <v>-29.047000000000025</v>
      </c>
      <c r="AB30" s="39">
        <v>8.9498470561686982</v>
      </c>
      <c r="AC30" s="39">
        <v>8.9890158076959228</v>
      </c>
      <c r="AD30" s="39">
        <v>7.8527433632525456</v>
      </c>
      <c r="AE30" s="39">
        <v>8.5934406592297972</v>
      </c>
      <c r="AF30" s="39">
        <v>9.9751107386794136</v>
      </c>
      <c r="AG30" s="39">
        <v>8.9845932433133679</v>
      </c>
      <c r="AH30" s="39">
        <v>8.933102679614036</v>
      </c>
      <c r="AI30" s="39">
        <v>10.03209394559345</v>
      </c>
      <c r="AJ30" s="39">
        <v>9.5465593640629116</v>
      </c>
      <c r="AK30" s="39">
        <v>9.4392280707222618</v>
      </c>
      <c r="AL30" s="39">
        <v>9.7775988065384638</v>
      </c>
      <c r="AM30" s="39">
        <v>9.3230465816423678</v>
      </c>
      <c r="AN30" s="40">
        <v>1.4185777651944129</v>
      </c>
      <c r="AO30" s="47">
        <v>1.8733685509233953</v>
      </c>
      <c r="AP30" s="47">
        <v>1.478040148184945</v>
      </c>
      <c r="AQ30" s="47">
        <v>1.1678704047051574</v>
      </c>
      <c r="AR30" s="47">
        <v>3.3860386560110833</v>
      </c>
      <c r="AS30" s="47">
        <v>2.1829999999999998</v>
      </c>
      <c r="AT30" s="47">
        <v>1.1499999999999999</v>
      </c>
      <c r="AU30" s="47">
        <v>2.7028604131079952</v>
      </c>
      <c r="AV30" s="47">
        <v>1.734</v>
      </c>
      <c r="AW30" s="47">
        <v>0.84499999999999997</v>
      </c>
      <c r="AX30" s="47">
        <v>2.6331026453005233</v>
      </c>
      <c r="AY30" s="47">
        <v>1.5137077195335527</v>
      </c>
      <c r="AZ30" s="60">
        <f t="shared" si="2"/>
        <v>9.5129954339139733E-2</v>
      </c>
      <c r="BA30" s="60">
        <f t="shared" si="3"/>
        <v>-1.1193949257669706</v>
      </c>
      <c r="BB30" s="40">
        <v>11.059250377632308</v>
      </c>
      <c r="BC30" s="40">
        <v>11.202389704705757</v>
      </c>
      <c r="BD30" s="40">
        <v>9.6191488521677506</v>
      </c>
      <c r="BE30" s="40">
        <v>10.833340170311391</v>
      </c>
      <c r="BF30" s="40">
        <v>12.35548687877901</v>
      </c>
      <c r="BG30" s="40">
        <v>11.683999999999999</v>
      </c>
      <c r="BH30" s="40">
        <v>11.45</v>
      </c>
      <c r="BI30" s="40">
        <v>12.014082043012127</v>
      </c>
      <c r="BJ30" s="40">
        <v>11.744999999999999</v>
      </c>
      <c r="BK30" s="40">
        <v>11.787000000000001</v>
      </c>
      <c r="BL30" s="40">
        <v>11.802205140487517</v>
      </c>
      <c r="BM30" s="40">
        <v>11.729531153635193</v>
      </c>
      <c r="BN30" s="60">
        <f t="shared" si="4"/>
        <v>0.67028077600288505</v>
      </c>
      <c r="BO30" s="60">
        <f t="shared" si="5"/>
        <v>-7.267398685232429E-2</v>
      </c>
      <c r="BP30" s="40">
        <v>5.0692287784679078</v>
      </c>
      <c r="BQ30" s="40">
        <v>8.4653275073835825</v>
      </c>
      <c r="BR30" s="40">
        <v>4.3480961901211979</v>
      </c>
      <c r="BS30" s="40">
        <v>5.4706999457406402</v>
      </c>
      <c r="BT30" s="40">
        <v>8.295646971004011</v>
      </c>
      <c r="BU30" s="40">
        <v>1.5269999999999999</v>
      </c>
      <c r="BV30" s="40">
        <v>6.1180000000000003</v>
      </c>
      <c r="BW30" s="40">
        <v>3.4399804017638411</v>
      </c>
      <c r="BX30" s="40">
        <v>10.385999999999999</v>
      </c>
      <c r="BY30" s="40">
        <v>8.3079999999999998</v>
      </c>
      <c r="BZ30" s="40">
        <v>5.8090321187225609</v>
      </c>
      <c r="CA30" s="40">
        <v>10.692536871307883</v>
      </c>
      <c r="CB30" s="60">
        <f t="shared" si="6"/>
        <v>5.6233080928399755</v>
      </c>
      <c r="CC30" s="60">
        <f t="shared" si="7"/>
        <v>4.8835047525853224</v>
      </c>
      <c r="CD30" s="46"/>
      <c r="CE30" s="46"/>
    </row>
    <row r="31" spans="1:83" ht="14.25" customHeight="1" x14ac:dyDescent="0.25">
      <c r="A31" s="38" t="s">
        <v>82</v>
      </c>
      <c r="B31" s="7">
        <v>2819.174</v>
      </c>
      <c r="C31" s="7">
        <v>125.31699999999999</v>
      </c>
      <c r="D31" s="7">
        <v>2820.9369999999999</v>
      </c>
      <c r="E31" s="7">
        <v>70.052999999999997</v>
      </c>
      <c r="F31" s="7">
        <v>3011.819</v>
      </c>
      <c r="G31" s="7">
        <v>159.71700000000001</v>
      </c>
      <c r="H31" s="7">
        <v>2853.5650000000001</v>
      </c>
      <c r="I31" s="7">
        <v>147.369</v>
      </c>
      <c r="J31" s="7">
        <v>3063.433</v>
      </c>
      <c r="K31" s="7">
        <v>86.820999999999998</v>
      </c>
      <c r="L31" s="7">
        <v>3049.3209999999999</v>
      </c>
      <c r="M31" s="7">
        <v>168.52699999999999</v>
      </c>
      <c r="N31" s="7">
        <v>2788.491</v>
      </c>
      <c r="O31" s="7">
        <v>128.667</v>
      </c>
      <c r="P31" s="7">
        <v>2991.5349999999999</v>
      </c>
      <c r="Q31" s="7">
        <v>38.738</v>
      </c>
      <c r="R31" s="7">
        <v>3062.3690000000001</v>
      </c>
      <c r="S31" s="7">
        <v>156.67699999999999</v>
      </c>
      <c r="T31" s="7">
        <v>3031.9850000000001</v>
      </c>
      <c r="U31" s="7">
        <v>162.386</v>
      </c>
      <c r="V31" s="7">
        <v>3125.3090000000002</v>
      </c>
      <c r="W31" s="7">
        <v>128.578</v>
      </c>
      <c r="X31" s="7">
        <v>3004.3249999999998</v>
      </c>
      <c r="Y31" s="7">
        <v>135.96899999999999</v>
      </c>
      <c r="Z31" s="58">
        <f t="shared" si="0"/>
        <v>185.15099999999984</v>
      </c>
      <c r="AA31" s="58">
        <f t="shared" si="1"/>
        <v>-120.98400000000038</v>
      </c>
      <c r="AB31" s="39">
        <v>9.1694547916535072</v>
      </c>
      <c r="AC31" s="39">
        <v>9.4397268180429776</v>
      </c>
      <c r="AD31" s="39">
        <v>9.9426887728941526</v>
      </c>
      <c r="AE31" s="39">
        <v>9.5769343406107872</v>
      </c>
      <c r="AF31" s="39">
        <v>10.16580463116204</v>
      </c>
      <c r="AG31" s="39">
        <v>9.8159969550113484</v>
      </c>
      <c r="AH31" s="39">
        <v>8.9949628045716814</v>
      </c>
      <c r="AI31" s="39">
        <v>10.346243685702637</v>
      </c>
      <c r="AJ31" s="39">
        <v>9.9468101415875729</v>
      </c>
      <c r="AK31" s="39">
        <v>9.9687793514520742</v>
      </c>
      <c r="AL31" s="39">
        <v>10.612327820120459</v>
      </c>
      <c r="AM31" s="39">
        <v>9.8263781124686549</v>
      </c>
      <c r="AN31" s="40">
        <v>11.035036201372554</v>
      </c>
      <c r="AO31" s="47">
        <v>10.927928701729158</v>
      </c>
      <c r="AP31" s="47">
        <v>10.500449373756943</v>
      </c>
      <c r="AQ31" s="47">
        <v>9.6616583202417452</v>
      </c>
      <c r="AR31" s="47">
        <v>11.645327062102604</v>
      </c>
      <c r="AS31" s="47">
        <v>10.976000000000001</v>
      </c>
      <c r="AT31" s="47">
        <v>10.054</v>
      </c>
      <c r="AU31" s="47">
        <v>12.455935633452883</v>
      </c>
      <c r="AV31" s="47">
        <v>12.444000000000001</v>
      </c>
      <c r="AW31" s="47">
        <v>13.02</v>
      </c>
      <c r="AX31" s="47">
        <v>12.224023011438584</v>
      </c>
      <c r="AY31" s="47">
        <v>11.553549898626821</v>
      </c>
      <c r="AZ31" s="60">
        <f t="shared" si="2"/>
        <v>0.51851369725426721</v>
      </c>
      <c r="BA31" s="60">
        <f t="shared" si="3"/>
        <v>-0.67047311281176292</v>
      </c>
      <c r="BB31" s="40">
        <v>8.6217212049257927</v>
      </c>
      <c r="BC31" s="40">
        <v>9.0019332259049172</v>
      </c>
      <c r="BD31" s="40">
        <v>9.8221766934859556</v>
      </c>
      <c r="BE31" s="40">
        <v>9.6012933251804373</v>
      </c>
      <c r="BF31" s="40">
        <v>9.7220166940697457</v>
      </c>
      <c r="BG31" s="40">
        <v>9.6449999999999996</v>
      </c>
      <c r="BH31" s="40">
        <v>8.6050000000000004</v>
      </c>
      <c r="BI31" s="40">
        <v>9.8351166715756229</v>
      </c>
      <c r="BJ31" s="40">
        <v>9.2620000000000005</v>
      </c>
      <c r="BK31" s="40">
        <v>9.1489999999999991</v>
      </c>
      <c r="BL31" s="40">
        <v>10.211703563925088</v>
      </c>
      <c r="BM31" s="40">
        <v>9.2951540464921614</v>
      </c>
      <c r="BN31" s="60">
        <f t="shared" si="4"/>
        <v>0.67343284156636862</v>
      </c>
      <c r="BO31" s="60">
        <f t="shared" si="5"/>
        <v>-0.91654951743292656</v>
      </c>
      <c r="BP31" s="40">
        <v>13.385308833678399</v>
      </c>
      <c r="BQ31" s="40">
        <v>6.6710158999878626</v>
      </c>
      <c r="BR31" s="40">
        <v>5.701263935481685</v>
      </c>
      <c r="BS31" s="40">
        <v>4.46825827455236</v>
      </c>
      <c r="BT31" s="40">
        <v>4.7602450267072136</v>
      </c>
      <c r="BU31" s="40">
        <v>3.536</v>
      </c>
      <c r="BV31" s="40">
        <v>12.976000000000001</v>
      </c>
      <c r="BW31" s="40">
        <v>5.7741303282704566</v>
      </c>
      <c r="BX31" s="40">
        <v>7.359</v>
      </c>
      <c r="BY31" s="40">
        <v>8.048</v>
      </c>
      <c r="BZ31" s="40">
        <v>6.1803516321029397</v>
      </c>
      <c r="CA31" s="40">
        <v>9.3897221763328638</v>
      </c>
      <c r="CB31" s="60">
        <f t="shared" si="6"/>
        <v>-3.9955866573455356</v>
      </c>
      <c r="CC31" s="60">
        <f t="shared" si="7"/>
        <v>3.2093705442299241</v>
      </c>
      <c r="CD31" s="46"/>
      <c r="CE31" s="46"/>
    </row>
    <row r="32" spans="1:83" ht="14.25" customHeight="1" x14ac:dyDescent="0.25">
      <c r="A32" s="38" t="s">
        <v>83</v>
      </c>
      <c r="B32" s="7">
        <v>1631.047</v>
      </c>
      <c r="C32" s="7">
        <v>117.258</v>
      </c>
      <c r="D32" s="7">
        <v>1585.1379999999999</v>
      </c>
      <c r="E32" s="7">
        <v>54.220999999999997</v>
      </c>
      <c r="F32" s="7">
        <v>1668.931</v>
      </c>
      <c r="G32" s="7">
        <v>106.711</v>
      </c>
      <c r="H32" s="7">
        <v>1825.681</v>
      </c>
      <c r="I32" s="7">
        <v>115.804</v>
      </c>
      <c r="J32" s="7">
        <v>1632.9159999999999</v>
      </c>
      <c r="K32" s="7">
        <v>55.350999999999999</v>
      </c>
      <c r="L32" s="7">
        <v>1783.15</v>
      </c>
      <c r="M32" s="7">
        <v>113.75</v>
      </c>
      <c r="N32" s="7">
        <v>1528.117</v>
      </c>
      <c r="O32" s="7">
        <v>95.31</v>
      </c>
      <c r="P32" s="7">
        <v>1610.2719999999999</v>
      </c>
      <c r="Q32" s="7">
        <v>27.207000000000001</v>
      </c>
      <c r="R32" s="7">
        <v>1556.1289999999999</v>
      </c>
      <c r="S32" s="7">
        <v>99.739000000000004</v>
      </c>
      <c r="T32" s="7">
        <v>1779.248</v>
      </c>
      <c r="U32" s="7">
        <v>112.71599999999999</v>
      </c>
      <c r="V32" s="7">
        <v>1634.0840000000001</v>
      </c>
      <c r="W32" s="7">
        <v>53.619</v>
      </c>
      <c r="X32" s="7">
        <v>1807.133</v>
      </c>
      <c r="Y32" s="7">
        <v>119.009</v>
      </c>
      <c r="Z32" s="58">
        <f t="shared" si="0"/>
        <v>176.08600000000001</v>
      </c>
      <c r="AA32" s="58">
        <f t="shared" si="1"/>
        <v>173.04899999999998</v>
      </c>
      <c r="AB32" s="39">
        <v>5.3050332223417493</v>
      </c>
      <c r="AC32" s="39">
        <v>5.304361525584941</v>
      </c>
      <c r="AD32" s="39">
        <v>5.5095148534606535</v>
      </c>
      <c r="AE32" s="39">
        <v>6.1272222864734616</v>
      </c>
      <c r="AF32" s="39">
        <v>5.4187263227557425</v>
      </c>
      <c r="AG32" s="39">
        <v>5.7400959001457981</v>
      </c>
      <c r="AH32" s="39">
        <v>4.9293168154509601</v>
      </c>
      <c r="AI32" s="39">
        <v>5.5696837908626406</v>
      </c>
      <c r="AJ32" s="39">
        <v>5.0544267261125375</v>
      </c>
      <c r="AK32" s="39">
        <v>5.8499401294902187</v>
      </c>
      <c r="AL32" s="39">
        <v>5.5487105734548869</v>
      </c>
      <c r="AM32" s="39">
        <v>5.9106695039717136</v>
      </c>
      <c r="AN32" s="40">
        <v>2.3583070776587194</v>
      </c>
      <c r="AO32" s="40">
        <v>2.4334152624851892</v>
      </c>
      <c r="AP32" s="40">
        <v>2.0837346520744591</v>
      </c>
      <c r="AQ32" s="40">
        <v>2.9730572537964375</v>
      </c>
      <c r="AR32" s="40">
        <v>4.5501875082174719</v>
      </c>
      <c r="AS32" s="40">
        <v>4.3860000000000001</v>
      </c>
      <c r="AT32" s="40">
        <v>4.2489999999999997</v>
      </c>
      <c r="AU32" s="40">
        <v>2.5179087076369631</v>
      </c>
      <c r="AV32" s="40">
        <v>2.2610000000000001</v>
      </c>
      <c r="AW32" s="40">
        <v>2.5659999999999998</v>
      </c>
      <c r="AX32" s="40">
        <v>2.273123410060192</v>
      </c>
      <c r="AY32" s="40">
        <v>3.6862506343653276</v>
      </c>
      <c r="AZ32" s="60">
        <f t="shared" si="2"/>
        <v>1.3279435567066082</v>
      </c>
      <c r="BA32" s="60">
        <f t="shared" si="3"/>
        <v>1.4131272243051356</v>
      </c>
      <c r="BB32" s="40">
        <v>6.1257526652234784</v>
      </c>
      <c r="BC32" s="40">
        <v>6.2162515899618809</v>
      </c>
      <c r="BD32" s="40">
        <v>6.4495219863131421</v>
      </c>
      <c r="BE32" s="40">
        <v>7.0551558982361069</v>
      </c>
      <c r="BF32" s="40">
        <v>5.4798123566441141</v>
      </c>
      <c r="BG32" s="40">
        <v>4.335</v>
      </c>
      <c r="BH32" s="40">
        <v>4.931</v>
      </c>
      <c r="BI32" s="40">
        <v>6.3871828452714174</v>
      </c>
      <c r="BJ32" s="40">
        <v>5.8760000000000003</v>
      </c>
      <c r="BK32" s="40">
        <v>6.7640000000000002</v>
      </c>
      <c r="BL32" s="40">
        <v>6.4524511115189389</v>
      </c>
      <c r="BM32" s="40">
        <v>6.565616991294938</v>
      </c>
      <c r="BN32" s="60">
        <f t="shared" si="4"/>
        <v>0.43986432607145964</v>
      </c>
      <c r="BO32" s="60">
        <f t="shared" si="5"/>
        <v>0.11316587977599912</v>
      </c>
      <c r="BP32" s="40">
        <v>4.3828718081435465</v>
      </c>
      <c r="BQ32" s="40">
        <v>2.9321924181737269</v>
      </c>
      <c r="BR32" s="40">
        <v>4.8642878926501982</v>
      </c>
      <c r="BS32" s="40">
        <v>7.2237294266594327</v>
      </c>
      <c r="BT32" s="40">
        <v>21.305937744162609</v>
      </c>
      <c r="BU32" s="40">
        <v>54.912999999999997</v>
      </c>
      <c r="BV32" s="40">
        <v>21.109000000000002</v>
      </c>
      <c r="BW32" s="40">
        <v>3.6261636452719257</v>
      </c>
      <c r="BX32" s="40">
        <v>0.77900000000000003</v>
      </c>
      <c r="BY32" s="40">
        <v>2.407</v>
      </c>
      <c r="BZ32" s="40">
        <v>6.0549170761288069</v>
      </c>
      <c r="CA32" s="40">
        <v>10.335929088599373</v>
      </c>
      <c r="CB32" s="60">
        <f t="shared" si="6"/>
        <v>5.9530572804558268</v>
      </c>
      <c r="CC32" s="60">
        <f t="shared" si="7"/>
        <v>4.2810120124705664</v>
      </c>
      <c r="CD32" s="46"/>
      <c r="CE32" s="46"/>
    </row>
    <row r="33" spans="1:83" ht="14.25" customHeight="1" x14ac:dyDescent="0.25">
      <c r="A33" s="38" t="s">
        <v>84</v>
      </c>
      <c r="B33" s="7">
        <v>835.95600000000002</v>
      </c>
      <c r="C33" s="7">
        <v>106.74299999999999</v>
      </c>
      <c r="D33" s="7">
        <v>744.32100000000003</v>
      </c>
      <c r="E33" s="7">
        <v>38.884999999999998</v>
      </c>
      <c r="F33" s="7">
        <v>739.54399999999998</v>
      </c>
      <c r="G33" s="7">
        <v>73.867000000000004</v>
      </c>
      <c r="H33" s="7">
        <v>729.77099999999996</v>
      </c>
      <c r="I33" s="7">
        <v>65.179000000000002</v>
      </c>
      <c r="J33" s="7">
        <v>779.73900000000003</v>
      </c>
      <c r="K33" s="7">
        <v>41.722999999999999</v>
      </c>
      <c r="L33" s="7">
        <v>723.24400000000003</v>
      </c>
      <c r="M33" s="7">
        <v>71.935000000000002</v>
      </c>
      <c r="N33" s="7">
        <v>887.57600000000002</v>
      </c>
      <c r="O33" s="7">
        <v>75.698999999999998</v>
      </c>
      <c r="P33" s="7">
        <v>806.16800000000001</v>
      </c>
      <c r="Q33" s="7">
        <v>19.114000000000001</v>
      </c>
      <c r="R33" s="7">
        <v>701.37099999999998</v>
      </c>
      <c r="S33" s="7">
        <v>71.84</v>
      </c>
      <c r="T33" s="7">
        <v>818.20699999999999</v>
      </c>
      <c r="U33" s="7">
        <v>84.307000000000002</v>
      </c>
      <c r="V33" s="7">
        <v>793.55200000000002</v>
      </c>
      <c r="W33" s="7">
        <v>39.969000000000001</v>
      </c>
      <c r="X33" s="7">
        <v>829.31600000000003</v>
      </c>
      <c r="Y33" s="7">
        <v>90.393000000000001</v>
      </c>
      <c r="Z33" s="58">
        <f t="shared" si="0"/>
        <v>-6.6399999999999864</v>
      </c>
      <c r="AA33" s="58">
        <f t="shared" si="1"/>
        <v>35.76400000000001</v>
      </c>
      <c r="AB33" s="39">
        <v>2.7189739795456043</v>
      </c>
      <c r="AC33" s="39">
        <v>2.4907280470753395</v>
      </c>
      <c r="AD33" s="39">
        <v>2.4414003052179543</v>
      </c>
      <c r="AE33" s="39">
        <v>2.4492061511414231</v>
      </c>
      <c r="AF33" s="39">
        <v>2.5875135305056967</v>
      </c>
      <c r="AG33" s="39">
        <v>2.3281776178140077</v>
      </c>
      <c r="AH33" s="39">
        <v>2.86309445009165</v>
      </c>
      <c r="AI33" s="39">
        <v>2.7884114250959797</v>
      </c>
      <c r="AJ33" s="39">
        <v>2.2781069739849826</v>
      </c>
      <c r="AK33" s="39">
        <v>2.6901600920893562</v>
      </c>
      <c r="AL33" s="39">
        <v>2.6945924279206408</v>
      </c>
      <c r="AM33" s="39">
        <v>2.7124803710384384</v>
      </c>
      <c r="AN33" s="40">
        <v>0.85881464703661747</v>
      </c>
      <c r="AO33" s="40">
        <v>0.97481659796259768</v>
      </c>
      <c r="AP33" s="40">
        <v>0.75054088991488843</v>
      </c>
      <c r="AQ33" s="40">
        <v>0.64899382145850737</v>
      </c>
      <c r="AR33" s="40">
        <v>1.1751798725834255</v>
      </c>
      <c r="AS33" s="40">
        <v>1.0840000000000001</v>
      </c>
      <c r="AT33" s="40">
        <v>1.413</v>
      </c>
      <c r="AU33" s="40">
        <v>1.5110369888319688</v>
      </c>
      <c r="AV33" s="40">
        <v>0.41599999999999998</v>
      </c>
      <c r="AW33" s="40">
        <v>0.73299999999999998</v>
      </c>
      <c r="AX33" s="40">
        <v>1.0235658589276018</v>
      </c>
      <c r="AY33" s="40">
        <v>0.90402104798404748</v>
      </c>
      <c r="AZ33" s="60">
        <f t="shared" si="2"/>
        <v>4.5206400947430003E-2</v>
      </c>
      <c r="BA33" s="60">
        <f t="shared" si="3"/>
        <v>-0.11954481094355429</v>
      </c>
      <c r="BB33" s="40">
        <v>3.2536133233906375</v>
      </c>
      <c r="BC33" s="40">
        <v>2.9510487071841442</v>
      </c>
      <c r="BD33" s="40">
        <v>2.9137010356491189</v>
      </c>
      <c r="BE33" s="40">
        <v>2.9706282106467237</v>
      </c>
      <c r="BF33" s="40">
        <v>3.1123467301645387</v>
      </c>
      <c r="BG33" s="40">
        <v>2.8290000000000002</v>
      </c>
      <c r="BH33" s="40">
        <v>3.3149999999999999</v>
      </c>
      <c r="BI33" s="40">
        <v>3.130814821204738</v>
      </c>
      <c r="BJ33" s="40">
        <v>2.7370000000000001</v>
      </c>
      <c r="BK33" s="40">
        <v>3.1890000000000001</v>
      </c>
      <c r="BL33" s="40">
        <v>3.169710127001494</v>
      </c>
      <c r="BM33" s="40">
        <v>3.2926753042847543</v>
      </c>
      <c r="BN33" s="60">
        <f t="shared" si="4"/>
        <v>3.9061980894116832E-2</v>
      </c>
      <c r="BO33" s="60">
        <f t="shared" si="5"/>
        <v>0.12296517728326029</v>
      </c>
      <c r="BP33" s="40">
        <v>0</v>
      </c>
      <c r="BQ33" s="40">
        <v>3.663976210705183</v>
      </c>
      <c r="BR33" s="40">
        <v>1.0080986750703127</v>
      </c>
      <c r="BS33" s="40">
        <v>3.9188822571893649</v>
      </c>
      <c r="BT33" s="40">
        <v>1.2960042290052833</v>
      </c>
      <c r="BU33" s="40">
        <v>0.77300000000000002</v>
      </c>
      <c r="BV33" s="40">
        <v>3.609</v>
      </c>
      <c r="BW33" s="40">
        <v>1.9485546300832923</v>
      </c>
      <c r="BX33" s="40">
        <v>10.864000000000001</v>
      </c>
      <c r="BY33" s="40">
        <v>8.8040000000000003</v>
      </c>
      <c r="BZ33" s="40">
        <v>1.6161121102494986</v>
      </c>
      <c r="CA33" s="40">
        <v>0</v>
      </c>
      <c r="CB33" s="60">
        <f t="shared" si="6"/>
        <v>0</v>
      </c>
      <c r="CC33" s="60">
        <f t="shared" si="7"/>
        <v>-1.6161121102494986</v>
      </c>
      <c r="CD33" s="46"/>
      <c r="CE33" s="46"/>
    </row>
    <row r="34" spans="1:83" ht="14.25" customHeight="1" x14ac:dyDescent="0.25">
      <c r="A34" s="38" t="s">
        <v>85</v>
      </c>
      <c r="B34" s="7">
        <v>450.27</v>
      </c>
      <c r="C34" s="7">
        <v>59.779000000000003</v>
      </c>
      <c r="D34" s="7">
        <v>442.35599999999999</v>
      </c>
      <c r="E34" s="7">
        <v>29.273</v>
      </c>
      <c r="F34" s="7">
        <v>517.08199999999999</v>
      </c>
      <c r="G34" s="7">
        <v>54.46</v>
      </c>
      <c r="H34" s="7">
        <v>514.57500000000005</v>
      </c>
      <c r="I34" s="7">
        <v>64.61</v>
      </c>
      <c r="J34" s="7">
        <v>446.09800000000001</v>
      </c>
      <c r="K34" s="7">
        <v>26.748000000000001</v>
      </c>
      <c r="L34" s="7">
        <v>504.75099999999998</v>
      </c>
      <c r="M34" s="7">
        <v>50.258000000000003</v>
      </c>
      <c r="N34" s="7">
        <v>291.23099999999999</v>
      </c>
      <c r="O34" s="7">
        <v>36.173999999999999</v>
      </c>
      <c r="P34" s="7">
        <v>415.23500000000001</v>
      </c>
      <c r="Q34" s="7">
        <v>15.198</v>
      </c>
      <c r="R34" s="7">
        <v>565.21500000000003</v>
      </c>
      <c r="S34" s="7">
        <v>68.2</v>
      </c>
      <c r="T34" s="7">
        <v>538.09500000000003</v>
      </c>
      <c r="U34" s="7">
        <v>60.853999999999999</v>
      </c>
      <c r="V34" s="7">
        <v>403.42700000000002</v>
      </c>
      <c r="W34" s="7">
        <v>28.791</v>
      </c>
      <c r="X34" s="7">
        <v>421.74799999999999</v>
      </c>
      <c r="Y34" s="7">
        <v>65.043000000000006</v>
      </c>
      <c r="Z34" s="58">
        <f t="shared" si="0"/>
        <v>-28.521999999999991</v>
      </c>
      <c r="AA34" s="58">
        <f t="shared" si="1"/>
        <v>18.32099999999997</v>
      </c>
      <c r="AB34" s="39">
        <v>1.4645177662101823</v>
      </c>
      <c r="AC34" s="39">
        <v>1.4802598556161373</v>
      </c>
      <c r="AD34" s="39">
        <v>1.7070034407996144</v>
      </c>
      <c r="AE34" s="39">
        <v>1.726980457189444</v>
      </c>
      <c r="AF34" s="39">
        <v>1.4803474123155702</v>
      </c>
      <c r="AG34" s="39">
        <v>1.6248319803126441</v>
      </c>
      <c r="AH34" s="39">
        <v>0.9394371409261193</v>
      </c>
      <c r="AI34" s="39">
        <v>1.4362341572720936</v>
      </c>
      <c r="AJ34" s="39">
        <v>1.8358618096569745</v>
      </c>
      <c r="AK34" s="39">
        <v>1.769187619701154</v>
      </c>
      <c r="AL34" s="39">
        <v>1.3698804103810973</v>
      </c>
      <c r="AM34" s="39">
        <v>1.379429760820627</v>
      </c>
      <c r="AN34" s="40">
        <v>2.0570474102467302</v>
      </c>
      <c r="AO34" s="40">
        <v>2.1787115413165812</v>
      </c>
      <c r="AP34" s="40">
        <v>2.8377286897425718</v>
      </c>
      <c r="AQ34" s="40">
        <v>3.3140602549708098</v>
      </c>
      <c r="AR34" s="40">
        <v>2.4245035052501915</v>
      </c>
      <c r="AS34" s="40">
        <v>2.1640000000000001</v>
      </c>
      <c r="AT34" s="40">
        <v>1.4339999999999999</v>
      </c>
      <c r="AU34" s="40">
        <v>2.4811531193874159</v>
      </c>
      <c r="AV34" s="40">
        <v>2.282</v>
      </c>
      <c r="AW34" s="40">
        <v>2.7989999999999999</v>
      </c>
      <c r="AX34" s="40">
        <v>2.0386373299822269</v>
      </c>
      <c r="AY34" s="40">
        <v>1.9320617353340168</v>
      </c>
      <c r="AZ34" s="60">
        <f t="shared" si="2"/>
        <v>-0.1249856749127134</v>
      </c>
      <c r="BA34" s="60">
        <f t="shared" si="3"/>
        <v>-0.10657559464821009</v>
      </c>
      <c r="BB34" s="40">
        <v>1.2930738221784641</v>
      </c>
      <c r="BC34" s="40">
        <v>1.2380635605125752</v>
      </c>
      <c r="BD34" s="40">
        <v>1.4111132443899768</v>
      </c>
      <c r="BE34" s="40">
        <v>1.2714760997600942</v>
      </c>
      <c r="BF34" s="40">
        <v>1.1471705698588974</v>
      </c>
      <c r="BG34" s="40">
        <v>1.4750000000000001</v>
      </c>
      <c r="BH34" s="40">
        <v>0.747</v>
      </c>
      <c r="BI34" s="40">
        <v>1.161745245798006</v>
      </c>
      <c r="BJ34" s="40">
        <v>1.6930000000000001</v>
      </c>
      <c r="BK34" s="40">
        <v>1.4890000000000001</v>
      </c>
      <c r="BL34" s="40">
        <v>1.1762592074027665</v>
      </c>
      <c r="BM34" s="40">
        <v>1.2188319447503517</v>
      </c>
      <c r="BN34" s="60">
        <f t="shared" si="4"/>
        <v>-7.4241877428112391E-2</v>
      </c>
      <c r="BO34" s="60">
        <f t="shared" si="5"/>
        <v>4.2572737347585266E-2</v>
      </c>
      <c r="BP34" s="40">
        <v>2.4780020703933747</v>
      </c>
      <c r="BQ34" s="40">
        <v>4.3886798559695759</v>
      </c>
      <c r="BR34" s="40">
        <v>0</v>
      </c>
      <c r="BS34" s="40">
        <v>0</v>
      </c>
      <c r="BT34" s="40">
        <v>1.2170008336020031</v>
      </c>
      <c r="BU34" s="40">
        <v>0.55100000000000005</v>
      </c>
      <c r="BV34" s="40">
        <v>3.5739999999999998</v>
      </c>
      <c r="BW34" s="40">
        <v>1.4879960803527683</v>
      </c>
      <c r="BX34" s="40">
        <v>4.0469999999999997</v>
      </c>
      <c r="BY34" s="40">
        <v>1.762</v>
      </c>
      <c r="BZ34" s="40">
        <v>2.1315567591365778</v>
      </c>
      <c r="CA34" s="40">
        <v>0</v>
      </c>
      <c r="CB34" s="60">
        <f t="shared" si="6"/>
        <v>-2.4780020703933747</v>
      </c>
      <c r="CC34" s="60">
        <f t="shared" si="7"/>
        <v>-2.1315567591365778</v>
      </c>
      <c r="CD34" s="46"/>
      <c r="CE34" s="46"/>
    </row>
    <row r="35" spans="1:83" ht="14.25" customHeight="1" x14ac:dyDescent="0.25">
      <c r="A35" s="38" t="s">
        <v>86</v>
      </c>
      <c r="B35" s="16">
        <v>3249.125</v>
      </c>
      <c r="C35" s="16">
        <v>168.857</v>
      </c>
      <c r="D35" s="16">
        <v>3099.953</v>
      </c>
      <c r="E35" s="16">
        <v>82.528999999999996</v>
      </c>
      <c r="F35" s="16">
        <v>3230.55</v>
      </c>
      <c r="G35" s="16">
        <v>173.44499999999999</v>
      </c>
      <c r="H35" s="16">
        <v>2940.152</v>
      </c>
      <c r="I35" s="16">
        <v>140.124</v>
      </c>
      <c r="J35" s="16">
        <v>2962.739</v>
      </c>
      <c r="K35" s="16">
        <v>78.619</v>
      </c>
      <c r="L35" s="16">
        <v>3225.5749999999998</v>
      </c>
      <c r="M35" s="16">
        <v>169.85</v>
      </c>
      <c r="N35" s="16">
        <v>3234.2719999999999</v>
      </c>
      <c r="O35" s="16">
        <v>164.43700000000001</v>
      </c>
      <c r="P35" s="16">
        <v>3016.4630000000002</v>
      </c>
      <c r="Q35" s="16">
        <v>40.545000000000002</v>
      </c>
      <c r="R35" s="16">
        <v>3415.3620000000001</v>
      </c>
      <c r="S35" s="16">
        <v>168.858</v>
      </c>
      <c r="T35" s="16">
        <v>2916.9380000000001</v>
      </c>
      <c r="U35" s="16">
        <v>153.14699999999999</v>
      </c>
      <c r="V35" s="16">
        <v>2378.4479999999999</v>
      </c>
      <c r="W35" s="16">
        <v>70.548000000000002</v>
      </c>
      <c r="X35" s="16">
        <v>2999.1289999999999</v>
      </c>
      <c r="Y35" s="16">
        <v>148.51499999999999</v>
      </c>
      <c r="Z35" s="58">
        <f t="shared" si="0"/>
        <v>-249.99600000000009</v>
      </c>
      <c r="AA35" s="58">
        <f t="shared" si="1"/>
        <v>620.68100000000004</v>
      </c>
      <c r="AB35" s="39">
        <v>10.56788435191698</v>
      </c>
      <c r="AC35" s="39">
        <v>10.373400564696333</v>
      </c>
      <c r="AD35" s="39">
        <v>10.664768771056032</v>
      </c>
      <c r="AE35" s="39">
        <v>9.8675315457736161</v>
      </c>
      <c r="AF35" s="39">
        <v>9.8316580931015594</v>
      </c>
      <c r="AG35" s="39">
        <v>10.383372028776479</v>
      </c>
      <c r="AH35" s="39">
        <v>10.432938940763181</v>
      </c>
      <c r="AI35" s="39">
        <v>10.433482713999185</v>
      </c>
      <c r="AJ35" s="39">
        <v>11.093358566127339</v>
      </c>
      <c r="AK35" s="39">
        <v>9.5905195124203821</v>
      </c>
      <c r="AL35" s="39">
        <v>8.0762797787706315</v>
      </c>
      <c r="AM35" s="39">
        <v>9.8093833263944497</v>
      </c>
      <c r="AN35" s="48">
        <v>14.998599495697457</v>
      </c>
      <c r="AO35" s="48">
        <v>16.124575730806708</v>
      </c>
      <c r="AP35" s="48">
        <v>16.900154168336464</v>
      </c>
      <c r="AQ35" s="48">
        <v>16.633966570559299</v>
      </c>
      <c r="AR35" s="48">
        <v>14.660302596829721</v>
      </c>
      <c r="AS35" s="48">
        <v>15.933</v>
      </c>
      <c r="AT35" s="48">
        <v>15.885</v>
      </c>
      <c r="AU35" s="48">
        <v>18.06401341176538</v>
      </c>
      <c r="AV35" s="48">
        <v>18.748000000000001</v>
      </c>
      <c r="AW35" s="48">
        <v>15.523</v>
      </c>
      <c r="AX35" s="48">
        <v>12.961458803164389</v>
      </c>
      <c r="AY35" s="48">
        <v>16.188738682685941</v>
      </c>
      <c r="AZ35" s="60">
        <f t="shared" si="2"/>
        <v>1.1901391869884836</v>
      </c>
      <c r="BA35" s="60">
        <f t="shared" si="3"/>
        <v>3.2272798795215518</v>
      </c>
      <c r="BB35" s="44">
        <v>9.2396292985714243</v>
      </c>
      <c r="BC35" s="44">
        <v>8.589702984195398</v>
      </c>
      <c r="BD35" s="44">
        <v>8.893866445639814</v>
      </c>
      <c r="BE35" s="44">
        <v>7.7223250352601598</v>
      </c>
      <c r="BF35" s="44">
        <v>8.1409194969108203</v>
      </c>
      <c r="BG35" s="44">
        <v>8.6359999999999992</v>
      </c>
      <c r="BH35" s="44">
        <v>8.7469999999999999</v>
      </c>
      <c r="BI35" s="44">
        <v>8.4415754860493095</v>
      </c>
      <c r="BJ35" s="44">
        <v>8.9260000000000002</v>
      </c>
      <c r="BK35" s="44">
        <v>7.976</v>
      </c>
      <c r="BL35" s="44">
        <v>6.7155759959425581</v>
      </c>
      <c r="BM35" s="44">
        <v>7.843817788539968</v>
      </c>
      <c r="BN35" s="60">
        <f t="shared" si="4"/>
        <v>-1.3958115100314563</v>
      </c>
      <c r="BO35" s="60">
        <f t="shared" si="5"/>
        <v>1.12824179259741</v>
      </c>
      <c r="BP35" s="44">
        <v>24.119543650793648</v>
      </c>
      <c r="BQ35" s="48">
        <v>10.195412064570943</v>
      </c>
      <c r="BR35" s="48">
        <v>19.851354862028849</v>
      </c>
      <c r="BS35" s="48">
        <v>23.445017182130584</v>
      </c>
      <c r="BT35" s="48">
        <v>7.6415453296503815</v>
      </c>
      <c r="BU35" s="48">
        <v>4.5970000000000004</v>
      </c>
      <c r="BV35" s="48">
        <v>6.5670000000000002</v>
      </c>
      <c r="BW35" s="48">
        <v>9.4130328270455657</v>
      </c>
      <c r="BX35" s="48">
        <v>11.938000000000001</v>
      </c>
      <c r="BY35" s="48">
        <v>9.3149999999999995</v>
      </c>
      <c r="BZ35" s="48">
        <v>8.5432562312315419</v>
      </c>
      <c r="CA35" s="48">
        <v>8.6559988151051321</v>
      </c>
      <c r="CB35" s="60">
        <f t="shared" si="6"/>
        <v>-15.463544835688516</v>
      </c>
      <c r="CC35" s="60">
        <f t="shared" si="7"/>
        <v>0.11274258387359026</v>
      </c>
      <c r="CD35" s="46"/>
      <c r="CE35" s="46"/>
    </row>
    <row r="36" spans="1:83" ht="14.25" customHeight="1" x14ac:dyDescent="0.25">
      <c r="A36" s="3" t="s">
        <v>87</v>
      </c>
      <c r="B36" s="11">
        <v>3.3079999999999998</v>
      </c>
      <c r="C36" s="11">
        <v>3.3079999999999998</v>
      </c>
      <c r="D36" s="11">
        <v>2.0299999999999998</v>
      </c>
      <c r="E36" s="11">
        <v>2.0299999999999998</v>
      </c>
      <c r="F36" s="11">
        <v>0</v>
      </c>
      <c r="G36" s="11">
        <v>0</v>
      </c>
      <c r="H36" s="11">
        <v>0</v>
      </c>
      <c r="I36" s="11">
        <v>0</v>
      </c>
      <c r="J36" s="11">
        <v>0.42</v>
      </c>
      <c r="K36" s="11">
        <v>0.29799999999999999</v>
      </c>
      <c r="L36" s="11">
        <v>0</v>
      </c>
      <c r="M36" s="11">
        <v>0</v>
      </c>
      <c r="N36" s="11">
        <v>0</v>
      </c>
      <c r="O36" s="11">
        <v>0</v>
      </c>
      <c r="P36" s="11">
        <v>0.52400000000000002</v>
      </c>
      <c r="Q36" s="11">
        <v>0.222</v>
      </c>
      <c r="R36" s="11">
        <v>0</v>
      </c>
      <c r="S36" s="11">
        <v>0</v>
      </c>
      <c r="T36" s="11">
        <v>0</v>
      </c>
      <c r="U36" s="11">
        <v>0</v>
      </c>
      <c r="V36" s="11">
        <v>1.599</v>
      </c>
      <c r="W36" s="11">
        <v>1.4339999999999999</v>
      </c>
      <c r="X36" s="11">
        <v>0.77</v>
      </c>
      <c r="Y36" s="11">
        <v>0.77</v>
      </c>
      <c r="Z36" s="58">
        <f t="shared" si="0"/>
        <v>-2.5379999999999998</v>
      </c>
      <c r="AA36" s="58">
        <f t="shared" si="1"/>
        <v>-0.82899999999999996</v>
      </c>
      <c r="AB36" s="39">
        <v>1.0759377197288922E-2</v>
      </c>
      <c r="AC36" s="39">
        <v>6.7930072315075599E-3</v>
      </c>
      <c r="AD36" s="39">
        <v>0</v>
      </c>
      <c r="AE36" s="39">
        <v>0</v>
      </c>
      <c r="AF36" s="39">
        <v>1.3937428842374082E-3</v>
      </c>
      <c r="AG36" s="39">
        <v>0</v>
      </c>
      <c r="AH36" s="39">
        <v>0</v>
      </c>
      <c r="AI36" s="39">
        <v>1.8124356049239033E-3</v>
      </c>
      <c r="AJ36" s="39">
        <v>0</v>
      </c>
      <c r="AK36" s="39">
        <v>0</v>
      </c>
      <c r="AL36" s="39">
        <v>5.4295790222255187E-3</v>
      </c>
      <c r="AM36" s="39">
        <v>2.5184729170781672E-3</v>
      </c>
      <c r="AN36" s="39">
        <v>5.0030974436410441E-2</v>
      </c>
      <c r="AO36" s="39">
        <v>0</v>
      </c>
      <c r="AP36" s="39">
        <v>0</v>
      </c>
      <c r="AQ36" s="39">
        <v>0</v>
      </c>
      <c r="AR36" s="39">
        <v>0</v>
      </c>
      <c r="AS36" s="39">
        <v>0</v>
      </c>
      <c r="AT36" s="39">
        <v>0</v>
      </c>
      <c r="AU36" s="39">
        <v>4.8627374965185319E-4</v>
      </c>
      <c r="AV36" s="39">
        <v>0</v>
      </c>
      <c r="AW36" s="39">
        <v>0</v>
      </c>
      <c r="AX36" s="39">
        <v>0</v>
      </c>
      <c r="AY36" s="39">
        <v>1.0717746611869751E-2</v>
      </c>
      <c r="AZ36" s="60">
        <f t="shared" si="2"/>
        <v>-3.9313227824540692E-2</v>
      </c>
      <c r="BA36" s="60">
        <f t="shared" si="3"/>
        <v>1.0717746611869751E-2</v>
      </c>
      <c r="BB36" s="39">
        <v>0</v>
      </c>
      <c r="BC36" s="39">
        <v>8.9609512204219619E-3</v>
      </c>
      <c r="BD36" s="39">
        <v>0</v>
      </c>
      <c r="BE36" s="39">
        <v>0</v>
      </c>
      <c r="BF36" s="39">
        <v>1.9135379713362947E-3</v>
      </c>
      <c r="BG36" s="39">
        <v>0</v>
      </c>
      <c r="BH36" s="39">
        <v>0</v>
      </c>
      <c r="BI36" s="39">
        <v>2.1763844872062224E-3</v>
      </c>
      <c r="BJ36" s="39">
        <v>0</v>
      </c>
      <c r="BK36" s="39">
        <v>0</v>
      </c>
      <c r="BL36" s="39">
        <v>6.9936284939057011E-3</v>
      </c>
      <c r="BM36" s="39">
        <v>0</v>
      </c>
      <c r="BN36" s="60">
        <f t="shared" si="4"/>
        <v>0</v>
      </c>
      <c r="BO36" s="60">
        <f t="shared" si="5"/>
        <v>-6.9936284939057011E-3</v>
      </c>
      <c r="BP36" s="39">
        <v>0</v>
      </c>
      <c r="BQ36" s="39">
        <v>0</v>
      </c>
      <c r="BR36" s="39">
        <v>0</v>
      </c>
      <c r="BS36" s="39">
        <v>0</v>
      </c>
      <c r="BT36" s="39">
        <v>0</v>
      </c>
      <c r="BU36" s="39">
        <v>0</v>
      </c>
      <c r="BV36" s="39">
        <v>0</v>
      </c>
      <c r="BW36" s="39">
        <v>0</v>
      </c>
      <c r="BX36" s="39">
        <v>0</v>
      </c>
      <c r="BY36" s="39">
        <v>0</v>
      </c>
      <c r="BZ36" s="39">
        <v>0</v>
      </c>
      <c r="CA36" s="39">
        <v>0</v>
      </c>
      <c r="CB36" s="60">
        <f t="shared" si="6"/>
        <v>0</v>
      </c>
      <c r="CC36" s="60">
        <f t="shared" si="7"/>
        <v>0</v>
      </c>
      <c r="CD36" s="49"/>
      <c r="CE36" s="49"/>
    </row>
    <row r="37" spans="1:83" ht="6" customHeight="1" x14ac:dyDescent="0.25">
      <c r="A37" s="50"/>
      <c r="B37" s="50"/>
      <c r="C37" s="50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21"/>
      <c r="AA37" s="21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0"/>
      <c r="BA37" s="50"/>
      <c r="BB37" s="53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0"/>
      <c r="BO37" s="50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18"/>
      <c r="CE37" s="18"/>
    </row>
    <row r="38" spans="1:83" ht="6" customHeight="1" x14ac:dyDescent="0.25">
      <c r="A38" s="18"/>
      <c r="B38" s="18"/>
      <c r="C38" s="54"/>
      <c r="D38" s="55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</row>
    <row r="39" spans="1:83" ht="17.25" customHeight="1" x14ac:dyDescent="0.25">
      <c r="A39" s="4" t="s">
        <v>12</v>
      </c>
      <c r="B39" s="56"/>
      <c r="C39" s="1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7"/>
      <c r="CC39" s="57"/>
      <c r="CD39" s="56"/>
      <c r="CE39" s="56"/>
    </row>
    <row r="40" spans="1:83" ht="17.25" customHeight="1" x14ac:dyDescent="0.25">
      <c r="A40" s="4" t="s">
        <v>88</v>
      </c>
      <c r="B40" s="56"/>
      <c r="C40" s="1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7"/>
      <c r="CC40" s="57"/>
      <c r="CD40" s="56"/>
      <c r="CE40" s="56"/>
    </row>
    <row r="41" spans="1:83" ht="17.25" customHeight="1" x14ac:dyDescent="0.25">
      <c r="A41" s="4" t="s">
        <v>13</v>
      </c>
      <c r="B41" s="1"/>
      <c r="C41" s="1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1"/>
      <c r="AA41" s="1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"/>
      <c r="CC41" s="1"/>
      <c r="CD41" s="1"/>
      <c r="CE41" s="1"/>
    </row>
    <row r="42" spans="1:83" ht="15" customHeight="1" x14ac:dyDescent="0.25">
      <c r="A42" s="15" t="s">
        <v>89</v>
      </c>
      <c r="B42" s="1"/>
      <c r="C42" s="1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83" ht="17.25" customHeight="1" x14ac:dyDescent="0.25">
      <c r="A43" s="4" t="s">
        <v>90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46"/>
      <c r="CC43" s="46"/>
      <c r="CD43" s="1"/>
      <c r="CE43" s="1"/>
    </row>
    <row r="44" spans="1:83" ht="14.25" customHeight="1" x14ac:dyDescent="0.25">
      <c r="A44" s="4" t="s">
        <v>91</v>
      </c>
      <c r="B44" s="18"/>
      <c r="C44" s="1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</row>
    <row r="45" spans="1:83" ht="14.25" customHeight="1" x14ac:dyDescent="0.25">
      <c r="A45" s="18"/>
      <c r="B45" s="18"/>
      <c r="C45" s="1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</row>
    <row r="46" spans="1:83" ht="14.25" customHeight="1" x14ac:dyDescent="0.25">
      <c r="A46" s="18"/>
      <c r="B46" s="18"/>
      <c r="C46" s="1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</row>
    <row r="47" spans="1:83" ht="14.25" customHeight="1" x14ac:dyDescent="0.25">
      <c r="A47" s="18"/>
      <c r="B47" s="18"/>
      <c r="C47" s="1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</row>
    <row r="48" spans="1:83" ht="14.25" customHeight="1" x14ac:dyDescent="0.25">
      <c r="A48" s="18"/>
      <c r="B48" s="18"/>
      <c r="C48" s="1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</row>
    <row r="49" spans="1:83" ht="14.25" customHeight="1" x14ac:dyDescent="0.25">
      <c r="A49" s="18"/>
      <c r="B49" s="18"/>
      <c r="C49" s="1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</row>
    <row r="50" spans="1:83" ht="14.25" customHeight="1" x14ac:dyDescent="0.25">
      <c r="A50" s="18"/>
      <c r="B50" s="18"/>
      <c r="C50" s="1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</row>
    <row r="51" spans="1:83" ht="14.25" customHeight="1" x14ac:dyDescent="0.25">
      <c r="A51" s="18"/>
      <c r="B51" s="18"/>
      <c r="C51" s="1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</row>
    <row r="52" spans="1:83" ht="14.25" customHeight="1" x14ac:dyDescent="0.25">
      <c r="A52" s="18"/>
      <c r="B52" s="18"/>
      <c r="C52" s="1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</row>
    <row r="53" spans="1:83" ht="14.25" customHeight="1" x14ac:dyDescent="0.25">
      <c r="A53" s="18"/>
      <c r="B53" s="18"/>
      <c r="C53" s="1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</row>
    <row r="54" spans="1:83" ht="14.25" customHeight="1" x14ac:dyDescent="0.25">
      <c r="A54" s="18"/>
      <c r="B54" s="18"/>
      <c r="C54" s="1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</row>
    <row r="55" spans="1:83" ht="14.25" customHeight="1" x14ac:dyDescent="0.25">
      <c r="A55" s="18"/>
      <c r="B55" s="18"/>
      <c r="C55" s="1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</row>
    <row r="56" spans="1:83" ht="14.25" customHeight="1" x14ac:dyDescent="0.25">
      <c r="A56" s="18"/>
      <c r="B56" s="18"/>
      <c r="C56" s="1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</row>
    <row r="57" spans="1:83" ht="14.25" customHeight="1" x14ac:dyDescent="0.25">
      <c r="A57" s="18"/>
      <c r="B57" s="18"/>
      <c r="C57" s="1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</row>
    <row r="58" spans="1:83" ht="14.25" customHeight="1" x14ac:dyDescent="0.25">
      <c r="A58" s="18"/>
      <c r="B58" s="18"/>
      <c r="C58" s="1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</row>
    <row r="59" spans="1:83" ht="14.25" customHeight="1" x14ac:dyDescent="0.25">
      <c r="A59" s="18"/>
      <c r="B59" s="18"/>
      <c r="C59" s="1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</row>
    <row r="60" spans="1:83" ht="14.25" customHeight="1" x14ac:dyDescent="0.25">
      <c r="A60" s="18"/>
      <c r="B60" s="18"/>
      <c r="C60" s="1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</row>
    <row r="61" spans="1:83" ht="14.25" customHeight="1" x14ac:dyDescent="0.25">
      <c r="A61" s="18"/>
      <c r="B61" s="18"/>
      <c r="C61" s="1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</row>
    <row r="62" spans="1:83" ht="14.25" customHeight="1" x14ac:dyDescent="0.25">
      <c r="A62" s="18"/>
      <c r="B62" s="18"/>
      <c r="C62" s="1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</row>
    <row r="63" spans="1:83" ht="14.25" customHeight="1" x14ac:dyDescent="0.25">
      <c r="A63" s="18"/>
      <c r="B63" s="18"/>
      <c r="C63" s="1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</row>
    <row r="64" spans="1:83" ht="14.25" customHeight="1" x14ac:dyDescent="0.25">
      <c r="A64" s="18"/>
      <c r="B64" s="18"/>
      <c r="C64" s="18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</row>
    <row r="65" spans="1:83" ht="14.2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</row>
    <row r="66" spans="1:83" ht="14.2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</row>
    <row r="67" spans="1:83" ht="14.2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</row>
    <row r="68" spans="1:83" ht="14.2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</row>
    <row r="69" spans="1:83" ht="14.2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</row>
    <row r="70" spans="1:83" ht="14.2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</row>
    <row r="71" spans="1:83" ht="14.2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</row>
    <row r="72" spans="1:83" ht="14.2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</row>
    <row r="73" spans="1:83" ht="14.2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</row>
    <row r="74" spans="1:83" ht="14.2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</row>
    <row r="75" spans="1:83" ht="14.2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</row>
    <row r="76" spans="1:83" ht="14.2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</row>
    <row r="77" spans="1:83" ht="14.2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</row>
    <row r="78" spans="1:83" ht="14.2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</row>
    <row r="79" spans="1:83" ht="14.2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</row>
    <row r="80" spans="1:83" ht="14.2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</row>
    <row r="81" spans="1:83" ht="14.2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</row>
    <row r="82" spans="1:83" ht="14.2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</row>
    <row r="83" spans="1:83" ht="14.2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</row>
    <row r="84" spans="1:83" ht="14.2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</row>
    <row r="85" spans="1:83" ht="14.2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</row>
    <row r="86" spans="1:83" ht="14.2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</row>
    <row r="87" spans="1:83" ht="14.2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</row>
    <row r="88" spans="1:83" ht="14.2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</row>
    <row r="89" spans="1:83" ht="14.2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</row>
    <row r="90" spans="1:83" ht="14.2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</row>
    <row r="91" spans="1:83" ht="14.2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</row>
    <row r="92" spans="1:83" ht="14.2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</row>
    <row r="93" spans="1:83" ht="14.2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</row>
    <row r="94" spans="1:83" ht="14.2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</row>
    <row r="95" spans="1:83" ht="14.2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</row>
    <row r="96" spans="1:83" ht="14.2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</row>
    <row r="97" spans="1:83" ht="14.2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</row>
    <row r="98" spans="1:83" ht="14.2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</row>
    <row r="99" spans="1:83" ht="14.2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</row>
    <row r="100" spans="1:83" ht="14.2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</row>
    <row r="101" spans="1:83" ht="14.2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</row>
    <row r="102" spans="1:83" ht="14.2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</row>
    <row r="103" spans="1:83" ht="14.2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</row>
    <row r="104" spans="1:83" ht="14.2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</row>
    <row r="105" spans="1:83" ht="14.2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</row>
    <row r="106" spans="1:83" ht="14.2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</row>
    <row r="107" spans="1:83" ht="14.2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</row>
    <row r="108" spans="1:83" ht="14.2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</row>
    <row r="109" spans="1:83" ht="14.2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</row>
    <row r="110" spans="1:83" ht="14.2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</row>
    <row r="111" spans="1:83" ht="14.2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</row>
    <row r="112" spans="1:83" ht="14.2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</row>
    <row r="113" spans="1:83" ht="14.2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</row>
    <row r="114" spans="1:83" ht="14.2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</row>
    <row r="115" spans="1:83" ht="14.2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</row>
    <row r="116" spans="1:83" ht="14.2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</row>
    <row r="117" spans="1:83" ht="14.2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</row>
    <row r="118" spans="1:83" ht="14.2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</row>
    <row r="119" spans="1:83" ht="14.2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</row>
    <row r="120" spans="1:83" ht="14.2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</row>
    <row r="121" spans="1:83" ht="14.2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</row>
    <row r="122" spans="1:83" ht="14.2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</row>
    <row r="123" spans="1:83" ht="14.2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</row>
    <row r="124" spans="1:83" ht="14.2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</row>
    <row r="125" spans="1:83" ht="14.2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</row>
    <row r="126" spans="1:83" ht="14.2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</row>
    <row r="127" spans="1:83" ht="14.2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</row>
    <row r="128" spans="1:83" ht="14.2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</row>
    <row r="129" spans="1:83" ht="14.2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</row>
    <row r="130" spans="1:83" ht="14.2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</row>
    <row r="131" spans="1:83" ht="14.2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</row>
    <row r="132" spans="1:83" ht="14.2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</row>
    <row r="133" spans="1:83" ht="14.2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</row>
    <row r="134" spans="1:83" ht="14.2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</row>
    <row r="135" spans="1:83" ht="14.2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</row>
    <row r="136" spans="1:83" ht="14.2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</row>
    <row r="137" spans="1:83" ht="14.2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</row>
    <row r="138" spans="1:83" ht="14.2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</row>
    <row r="139" spans="1:83" ht="14.2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</row>
    <row r="140" spans="1:83" ht="14.2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</row>
    <row r="141" spans="1:83" ht="14.2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</row>
    <row r="142" spans="1:83" ht="14.2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</row>
    <row r="143" spans="1:83" ht="14.2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</row>
    <row r="144" spans="1:83" ht="14.2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</row>
    <row r="145" spans="1:83" ht="14.2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</row>
    <row r="146" spans="1:83" ht="14.2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</row>
    <row r="147" spans="1:83" ht="14.2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</row>
    <row r="148" spans="1:83" ht="14.2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</row>
    <row r="149" spans="1:83" ht="14.2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</row>
    <row r="150" spans="1:83" ht="14.2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</row>
    <row r="151" spans="1:83" ht="14.2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</row>
    <row r="152" spans="1:83" ht="14.2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</row>
    <row r="153" spans="1:83" ht="14.2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</row>
    <row r="154" spans="1:83" ht="14.2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</row>
    <row r="155" spans="1:83" ht="14.2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</row>
    <row r="156" spans="1:83" ht="14.2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</row>
    <row r="157" spans="1:83" ht="14.2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</row>
    <row r="158" spans="1:83" ht="14.2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</row>
    <row r="159" spans="1:83" ht="14.2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</row>
    <row r="160" spans="1:83" ht="14.2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</row>
    <row r="161" spans="1:83" ht="14.2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</row>
    <row r="162" spans="1:83" ht="14.2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</row>
    <row r="163" spans="1:83" ht="14.2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</row>
    <row r="164" spans="1:83" ht="14.2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</row>
    <row r="165" spans="1:83" ht="14.2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</row>
    <row r="166" spans="1:83" ht="14.2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</row>
    <row r="167" spans="1:83" ht="14.2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</row>
    <row r="168" spans="1:83" ht="14.2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</row>
    <row r="169" spans="1:83" ht="14.2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</row>
    <row r="170" spans="1:83" ht="14.2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</row>
    <row r="171" spans="1:83" ht="14.2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</row>
    <row r="172" spans="1:83" ht="14.2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</row>
    <row r="173" spans="1:83" ht="14.2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</row>
    <row r="174" spans="1:83" ht="14.2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</row>
    <row r="175" spans="1:83" ht="14.2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</row>
    <row r="176" spans="1:83" ht="14.2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</row>
    <row r="177" spans="1:83" ht="14.2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</row>
    <row r="178" spans="1:83" ht="14.2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</row>
    <row r="179" spans="1:83" ht="14.2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</row>
    <row r="180" spans="1:83" ht="14.2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</row>
    <row r="181" spans="1:83" ht="14.2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</row>
    <row r="182" spans="1:83" ht="14.2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</row>
    <row r="183" spans="1:83" ht="14.2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</row>
    <row r="184" spans="1:83" ht="14.2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</row>
    <row r="185" spans="1:83" ht="14.2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</row>
    <row r="186" spans="1:83" ht="14.2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</row>
    <row r="187" spans="1:83" ht="14.2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</row>
    <row r="188" spans="1:83" ht="14.2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</row>
    <row r="189" spans="1:83" ht="14.2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</row>
    <row r="190" spans="1:83" ht="14.2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</row>
    <row r="191" spans="1:83" ht="14.2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</row>
    <row r="192" spans="1:83" ht="14.2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</row>
    <row r="193" spans="1:83" ht="14.2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</row>
    <row r="194" spans="1:83" ht="14.2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</row>
    <row r="195" spans="1:83" ht="14.2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</row>
    <row r="196" spans="1:83" ht="14.2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</row>
    <row r="197" spans="1:83" ht="14.2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</row>
    <row r="198" spans="1:83" ht="14.2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</row>
    <row r="199" spans="1:83" ht="14.2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</row>
    <row r="200" spans="1:83" ht="14.2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</row>
    <row r="201" spans="1:83" ht="14.2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</row>
    <row r="202" spans="1:83" ht="14.2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</row>
    <row r="203" spans="1:83" ht="14.2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</row>
    <row r="204" spans="1:83" ht="14.2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</row>
    <row r="205" spans="1:83" ht="14.2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</row>
    <row r="206" spans="1:83" ht="14.2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</row>
    <row r="207" spans="1:83" ht="14.2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</row>
    <row r="208" spans="1:83" ht="14.2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</row>
    <row r="209" spans="1:83" ht="14.2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</row>
    <row r="210" spans="1:83" ht="14.2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</row>
    <row r="211" spans="1:83" ht="14.2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</row>
    <row r="212" spans="1:83" ht="14.2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</row>
    <row r="213" spans="1:83" ht="14.2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</row>
    <row r="214" spans="1:83" ht="14.2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</row>
    <row r="215" spans="1:83" ht="14.2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</row>
    <row r="216" spans="1:83" ht="14.2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</row>
    <row r="217" spans="1:83" ht="14.2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</row>
    <row r="218" spans="1:83" ht="14.2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</row>
    <row r="219" spans="1:83" ht="14.2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</row>
    <row r="220" spans="1:83" ht="14.2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</row>
    <row r="221" spans="1:83" ht="14.2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</row>
    <row r="222" spans="1:83" ht="14.2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</row>
    <row r="223" spans="1:83" ht="14.2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</row>
    <row r="224" spans="1:83" ht="14.2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</row>
    <row r="225" spans="1:83" ht="14.2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</row>
    <row r="226" spans="1:83" ht="14.2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</row>
    <row r="227" spans="1:83" ht="14.2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</row>
    <row r="228" spans="1:83" ht="14.2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</row>
    <row r="229" spans="1:83" ht="14.2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</row>
    <row r="230" spans="1:83" ht="14.2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</row>
    <row r="231" spans="1:83" ht="14.2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</row>
    <row r="232" spans="1:83" ht="14.2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</row>
    <row r="233" spans="1:83" ht="14.2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</row>
    <row r="234" spans="1:83" ht="14.2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</row>
    <row r="235" spans="1:83" ht="14.2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</row>
    <row r="236" spans="1:83" ht="14.2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</row>
    <row r="237" spans="1:83" ht="14.2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</row>
    <row r="238" spans="1:83" ht="14.2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</row>
    <row r="239" spans="1:83" ht="14.2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</row>
    <row r="240" spans="1:83" ht="14.2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</row>
    <row r="241" spans="1:83" ht="14.2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</row>
    <row r="242" spans="1:83" ht="14.2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</row>
    <row r="243" spans="1:83" ht="14.2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</row>
    <row r="244" spans="1:83" ht="14.2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</row>
    <row r="245" spans="1:83" ht="14.2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</row>
    <row r="246" spans="1:83" ht="14.2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</row>
    <row r="247" spans="1:83" ht="14.2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</row>
    <row r="248" spans="1:83" ht="14.2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</row>
    <row r="249" spans="1:83" ht="14.2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</row>
    <row r="250" spans="1:83" ht="14.2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</row>
    <row r="251" spans="1:83" ht="14.2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</row>
    <row r="252" spans="1:83" ht="14.2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</row>
    <row r="253" spans="1:83" ht="14.2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</row>
    <row r="254" spans="1:83" ht="14.2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</row>
    <row r="255" spans="1:83" ht="14.2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</row>
    <row r="256" spans="1:83" ht="14.2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</row>
    <row r="257" spans="1:83" ht="14.2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</row>
    <row r="258" spans="1:83" ht="14.2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</row>
    <row r="259" spans="1:83" ht="14.2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</row>
    <row r="260" spans="1:83" ht="14.2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</row>
    <row r="261" spans="1:83" ht="14.2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</row>
    <row r="262" spans="1:83" ht="14.2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</row>
    <row r="263" spans="1:83" ht="14.2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</row>
    <row r="264" spans="1:83" ht="14.2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</row>
    <row r="265" spans="1:83" ht="14.2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</row>
    <row r="266" spans="1:83" ht="14.2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</row>
    <row r="267" spans="1:83" ht="14.2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</row>
    <row r="268" spans="1:83" ht="14.2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</row>
    <row r="269" spans="1:83" ht="14.2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</row>
    <row r="270" spans="1:83" ht="14.2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</row>
    <row r="271" spans="1:83" ht="14.2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</row>
    <row r="272" spans="1:83" ht="14.2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</row>
    <row r="273" spans="1:83" ht="14.2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</row>
    <row r="274" spans="1:83" ht="14.2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</row>
    <row r="275" spans="1:83" ht="14.2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</row>
    <row r="276" spans="1:83" ht="14.2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</row>
    <row r="277" spans="1:83" ht="14.2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</row>
    <row r="278" spans="1:83" ht="14.2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</row>
    <row r="279" spans="1:83" ht="14.2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</row>
    <row r="280" spans="1:83" ht="14.2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</row>
    <row r="281" spans="1:83" ht="14.2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</row>
    <row r="282" spans="1:83" ht="14.2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</row>
    <row r="283" spans="1:83" ht="14.2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</row>
    <row r="284" spans="1:83" ht="14.2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</row>
    <row r="285" spans="1:83" ht="14.2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</row>
    <row r="286" spans="1:83" ht="14.2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</row>
    <row r="287" spans="1:83" ht="14.2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</row>
    <row r="288" spans="1:83" ht="14.2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</row>
    <row r="289" spans="1:83" ht="14.2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</row>
    <row r="290" spans="1:83" ht="14.2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</row>
    <row r="291" spans="1:83" ht="14.2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</row>
    <row r="292" spans="1:83" ht="14.2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</row>
    <row r="293" spans="1:83" ht="14.2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</row>
    <row r="294" spans="1:83" ht="14.2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</row>
    <row r="295" spans="1:83" ht="14.2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</row>
    <row r="296" spans="1:83" ht="14.2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</row>
    <row r="297" spans="1:83" ht="14.2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</row>
    <row r="298" spans="1:83" ht="14.2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</row>
    <row r="299" spans="1:83" ht="14.2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</row>
    <row r="300" spans="1:83" ht="14.2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</row>
    <row r="301" spans="1:83" ht="14.2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</row>
    <row r="302" spans="1:83" ht="14.2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</row>
    <row r="303" spans="1:83" ht="14.2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</row>
    <row r="304" spans="1:83" ht="14.2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</row>
    <row r="305" spans="1:83" ht="14.2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</row>
    <row r="306" spans="1:83" ht="14.2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</row>
    <row r="307" spans="1:83" ht="14.2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</row>
    <row r="308" spans="1:83" ht="14.2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</row>
    <row r="309" spans="1:83" ht="14.2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</row>
    <row r="310" spans="1:83" ht="14.2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</row>
    <row r="311" spans="1:83" ht="14.2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</row>
    <row r="312" spans="1:83" ht="14.2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</row>
    <row r="313" spans="1:83" ht="14.2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</row>
    <row r="314" spans="1:83" ht="14.2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</row>
    <row r="315" spans="1:83" ht="14.2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</row>
    <row r="316" spans="1:83" ht="14.2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</row>
    <row r="317" spans="1:83" ht="14.2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</row>
    <row r="318" spans="1:83" ht="14.2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</row>
    <row r="319" spans="1:83" ht="14.2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</row>
    <row r="320" spans="1:83" ht="14.2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</row>
    <row r="321" spans="1:83" ht="14.2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</row>
    <row r="322" spans="1:83" ht="14.2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</row>
    <row r="323" spans="1:83" ht="14.2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</row>
    <row r="324" spans="1:83" ht="14.2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</row>
    <row r="325" spans="1:83" ht="14.2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</row>
    <row r="326" spans="1:83" ht="14.2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</row>
    <row r="327" spans="1:83" ht="14.2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</row>
    <row r="328" spans="1:83" ht="14.2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</row>
    <row r="329" spans="1:83" ht="14.2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</row>
    <row r="330" spans="1:83" ht="14.2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</row>
    <row r="331" spans="1:83" ht="14.2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</row>
    <row r="332" spans="1:83" ht="14.2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</row>
    <row r="333" spans="1:83" ht="14.2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</row>
    <row r="334" spans="1:83" ht="14.2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</row>
    <row r="335" spans="1:83" ht="14.2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</row>
    <row r="336" spans="1:83" ht="14.2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</row>
    <row r="337" spans="1:83" ht="14.2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</row>
    <row r="338" spans="1:83" ht="14.2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</row>
    <row r="339" spans="1:83" ht="14.2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</row>
    <row r="340" spans="1:83" ht="14.2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</row>
    <row r="341" spans="1:83" ht="14.2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</row>
    <row r="342" spans="1:83" ht="14.2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</row>
    <row r="343" spans="1:83" ht="14.2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</row>
    <row r="344" spans="1:83" ht="14.2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</row>
    <row r="345" spans="1:83" ht="14.2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</row>
    <row r="346" spans="1:83" ht="14.2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</row>
    <row r="347" spans="1:83" ht="14.2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</row>
    <row r="348" spans="1:83" ht="14.2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</row>
    <row r="349" spans="1:83" ht="14.2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</row>
    <row r="350" spans="1:83" ht="14.2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</row>
    <row r="351" spans="1:83" ht="14.2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</row>
    <row r="352" spans="1:83" ht="14.2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</row>
    <row r="353" spans="1:83" ht="14.2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</row>
    <row r="354" spans="1:83" ht="14.2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</row>
    <row r="355" spans="1:83" ht="14.2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</row>
    <row r="356" spans="1:83" ht="14.2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</row>
    <row r="357" spans="1:83" ht="14.2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</row>
    <row r="358" spans="1:83" ht="14.2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</row>
    <row r="359" spans="1:83" ht="14.2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</row>
    <row r="360" spans="1:83" ht="14.2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</row>
    <row r="361" spans="1:83" ht="14.2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</row>
    <row r="362" spans="1:83" ht="14.2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</row>
    <row r="363" spans="1:83" ht="14.2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</row>
    <row r="364" spans="1:83" ht="14.2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</row>
    <row r="365" spans="1:83" ht="14.2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</row>
    <row r="366" spans="1:83" ht="14.2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</row>
    <row r="367" spans="1:83" ht="14.2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</row>
    <row r="368" spans="1:83" ht="14.2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</row>
    <row r="369" spans="1:83" ht="14.2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</row>
    <row r="370" spans="1:83" ht="14.2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</row>
    <row r="371" spans="1:83" ht="14.2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</row>
    <row r="372" spans="1:83" ht="14.2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</row>
    <row r="373" spans="1:83" ht="14.2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</row>
    <row r="374" spans="1:83" ht="14.2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</row>
    <row r="375" spans="1:83" ht="14.2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</row>
    <row r="376" spans="1:83" ht="14.2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</row>
    <row r="377" spans="1:83" ht="14.2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</row>
    <row r="378" spans="1:83" ht="14.2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</row>
    <row r="379" spans="1:83" ht="14.2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</row>
    <row r="380" spans="1:83" ht="14.2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</row>
    <row r="381" spans="1:83" ht="14.2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</row>
    <row r="382" spans="1:83" ht="14.2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</row>
    <row r="383" spans="1:83" ht="14.2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</row>
    <row r="384" spans="1:83" ht="14.2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</row>
    <row r="385" spans="1:83" ht="14.2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</row>
    <row r="386" spans="1:83" ht="14.2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</row>
    <row r="387" spans="1:83" ht="14.2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</row>
    <row r="388" spans="1:83" ht="14.2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</row>
    <row r="389" spans="1:83" ht="14.2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</row>
    <row r="390" spans="1:83" ht="14.2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</row>
    <row r="391" spans="1:83" ht="14.2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</row>
    <row r="392" spans="1:83" ht="14.2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</row>
    <row r="393" spans="1:83" ht="14.2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</row>
    <row r="394" spans="1:83" ht="14.2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</row>
    <row r="395" spans="1:83" ht="14.2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</row>
    <row r="396" spans="1:83" ht="14.2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</row>
    <row r="397" spans="1:83" ht="14.2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</row>
    <row r="398" spans="1:83" ht="14.2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</row>
    <row r="399" spans="1:83" ht="14.2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</row>
    <row r="400" spans="1:83" ht="14.2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</row>
    <row r="401" spans="1:83" ht="14.2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</row>
    <row r="402" spans="1:83" ht="14.2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</row>
    <row r="403" spans="1:83" ht="14.2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</row>
    <row r="404" spans="1:83" ht="14.2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</row>
    <row r="405" spans="1:83" ht="14.2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</row>
    <row r="406" spans="1:83" ht="14.2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</row>
    <row r="407" spans="1:83" ht="14.2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</row>
    <row r="408" spans="1:83" ht="14.2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</row>
    <row r="409" spans="1:83" ht="14.2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</row>
    <row r="410" spans="1:83" ht="14.2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</row>
    <row r="411" spans="1:83" ht="14.2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</row>
    <row r="412" spans="1:83" ht="14.2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</row>
    <row r="413" spans="1:83" ht="14.2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</row>
    <row r="414" spans="1:83" ht="14.2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</row>
    <row r="415" spans="1:83" ht="14.2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</row>
    <row r="416" spans="1:83" ht="14.2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</row>
    <row r="417" spans="1:83" ht="14.2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</row>
    <row r="418" spans="1:83" ht="14.2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</row>
    <row r="419" spans="1:83" ht="14.2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</row>
    <row r="420" spans="1:83" ht="14.2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</row>
    <row r="421" spans="1:83" ht="14.2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</row>
    <row r="422" spans="1:83" ht="14.2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</row>
    <row r="423" spans="1:83" ht="14.2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</row>
    <row r="424" spans="1:83" ht="14.2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</row>
    <row r="425" spans="1:83" ht="14.2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</row>
    <row r="426" spans="1:83" ht="14.2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</row>
    <row r="427" spans="1:83" ht="14.2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</row>
    <row r="428" spans="1:83" ht="14.2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</row>
    <row r="429" spans="1:83" ht="14.2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</row>
    <row r="430" spans="1:83" ht="14.2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</row>
    <row r="431" spans="1:83" ht="14.2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</row>
    <row r="432" spans="1:83" ht="14.2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</row>
    <row r="433" spans="1:83" ht="14.2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</row>
    <row r="434" spans="1:83" ht="14.2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</row>
    <row r="435" spans="1:83" ht="14.2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</row>
    <row r="436" spans="1:83" ht="14.2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</row>
    <row r="437" spans="1:83" ht="14.2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</row>
    <row r="438" spans="1:83" ht="14.2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</row>
    <row r="439" spans="1:83" ht="14.2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</row>
    <row r="440" spans="1:83" ht="14.2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</row>
    <row r="441" spans="1:83" ht="14.2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</row>
    <row r="442" spans="1:83" ht="14.2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</row>
    <row r="443" spans="1:83" ht="14.2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</row>
    <row r="444" spans="1:83" ht="14.2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</row>
    <row r="445" spans="1:83" ht="14.2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</row>
    <row r="446" spans="1:83" ht="14.2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</row>
    <row r="447" spans="1:83" ht="14.2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</row>
    <row r="448" spans="1:83" ht="14.2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</row>
    <row r="449" spans="1:83" ht="14.2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</row>
    <row r="450" spans="1:83" ht="14.2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</row>
    <row r="451" spans="1:83" ht="14.2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</row>
    <row r="452" spans="1:83" ht="14.2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</row>
    <row r="453" spans="1:83" ht="14.2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</row>
    <row r="454" spans="1:83" ht="14.2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</row>
    <row r="455" spans="1:83" ht="14.2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</row>
    <row r="456" spans="1:83" ht="14.2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</row>
    <row r="457" spans="1:83" ht="14.2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</row>
    <row r="458" spans="1:83" ht="14.2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</row>
    <row r="459" spans="1:83" ht="14.2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</row>
    <row r="460" spans="1:83" ht="14.2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</row>
    <row r="461" spans="1:83" ht="14.2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</row>
    <row r="462" spans="1:83" ht="14.2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</row>
    <row r="463" spans="1:83" ht="14.2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</row>
    <row r="464" spans="1:83" ht="14.2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</row>
    <row r="465" spans="1:83" ht="14.2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</row>
    <row r="466" spans="1:83" ht="14.2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</row>
    <row r="467" spans="1:83" ht="14.2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</row>
    <row r="468" spans="1:83" ht="14.2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</row>
    <row r="469" spans="1:83" ht="14.2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</row>
    <row r="470" spans="1:83" ht="14.2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</row>
    <row r="471" spans="1:83" ht="14.2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</row>
    <row r="472" spans="1:83" ht="14.2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</row>
    <row r="473" spans="1:83" ht="14.2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</row>
    <row r="474" spans="1:83" ht="14.2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</row>
    <row r="475" spans="1:83" ht="14.2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</row>
    <row r="476" spans="1:83" ht="14.2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</row>
    <row r="477" spans="1:83" ht="14.2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</row>
    <row r="478" spans="1:83" ht="14.2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</row>
    <row r="479" spans="1:83" ht="14.2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</row>
    <row r="480" spans="1:83" ht="14.2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</row>
    <row r="481" spans="1:83" ht="14.2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</row>
    <row r="482" spans="1:83" ht="14.2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</row>
    <row r="483" spans="1:83" ht="14.2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</row>
    <row r="484" spans="1:83" ht="14.2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</row>
    <row r="485" spans="1:83" ht="14.2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</row>
    <row r="486" spans="1:83" ht="14.2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</row>
    <row r="487" spans="1:83" ht="14.2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</row>
    <row r="488" spans="1:83" ht="14.2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</row>
    <row r="489" spans="1:83" ht="14.2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</row>
    <row r="490" spans="1:83" ht="14.2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</row>
    <row r="491" spans="1:83" ht="14.2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</row>
    <row r="492" spans="1:83" ht="14.2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</row>
    <row r="493" spans="1:83" ht="14.2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</row>
    <row r="494" spans="1:83" ht="14.2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</row>
    <row r="495" spans="1:83" ht="14.2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</row>
    <row r="496" spans="1:83" ht="14.2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</row>
    <row r="497" spans="1:83" ht="14.2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</row>
    <row r="498" spans="1:83" ht="14.2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</row>
    <row r="499" spans="1:83" ht="14.2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</row>
    <row r="500" spans="1:83" ht="14.2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</row>
    <row r="501" spans="1:83" ht="14.2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</row>
    <row r="502" spans="1:83" ht="14.2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</row>
    <row r="503" spans="1:83" ht="14.2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</row>
    <row r="504" spans="1:83" ht="14.2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</row>
    <row r="505" spans="1:83" ht="14.2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</row>
    <row r="506" spans="1:83" ht="14.2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</row>
    <row r="507" spans="1:83" ht="14.2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</row>
    <row r="508" spans="1:83" ht="14.2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</row>
    <row r="509" spans="1:83" ht="14.2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</row>
    <row r="510" spans="1:83" ht="14.2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</row>
    <row r="511" spans="1:83" ht="14.2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</row>
    <row r="512" spans="1:83" ht="14.2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</row>
    <row r="513" spans="1:83" ht="14.2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</row>
    <row r="514" spans="1:83" ht="14.2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</row>
    <row r="515" spans="1:83" ht="14.2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</row>
    <row r="516" spans="1:83" ht="14.2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</row>
    <row r="517" spans="1:83" ht="14.2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</row>
    <row r="518" spans="1:83" ht="14.2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</row>
    <row r="519" spans="1:83" ht="14.2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</row>
    <row r="520" spans="1:83" ht="14.2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</row>
    <row r="521" spans="1:83" ht="14.2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</row>
    <row r="522" spans="1:83" ht="14.2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</row>
    <row r="523" spans="1:83" ht="14.2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</row>
    <row r="524" spans="1:83" ht="14.2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</row>
    <row r="525" spans="1:83" ht="14.2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</row>
    <row r="526" spans="1:83" ht="14.2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</row>
    <row r="527" spans="1:83" ht="14.2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</row>
    <row r="528" spans="1:83" ht="14.2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</row>
    <row r="529" spans="1:83" ht="14.2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</row>
    <row r="530" spans="1:83" ht="14.2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</row>
    <row r="531" spans="1:83" ht="14.2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</row>
    <row r="532" spans="1:83" ht="14.2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</row>
    <row r="533" spans="1:83" ht="14.2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</row>
    <row r="534" spans="1:83" ht="14.2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</row>
    <row r="535" spans="1:83" ht="14.2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</row>
    <row r="536" spans="1:83" ht="14.2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</row>
    <row r="537" spans="1:83" ht="14.2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</row>
    <row r="538" spans="1:83" ht="14.2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</row>
    <row r="539" spans="1:83" ht="14.2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</row>
    <row r="540" spans="1:83" ht="14.2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</row>
    <row r="541" spans="1:83" ht="14.2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</row>
    <row r="542" spans="1:83" ht="14.2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</row>
    <row r="543" spans="1:83" ht="14.2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</row>
    <row r="544" spans="1:83" ht="14.2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</row>
    <row r="545" spans="1:83" ht="14.2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</row>
    <row r="546" spans="1:83" ht="14.2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</row>
    <row r="547" spans="1:83" ht="14.2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</row>
    <row r="548" spans="1:83" ht="14.2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</row>
    <row r="549" spans="1:83" ht="14.2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</row>
    <row r="550" spans="1:83" ht="14.2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</row>
    <row r="551" spans="1:83" ht="14.2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</row>
    <row r="552" spans="1:83" ht="14.2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</row>
    <row r="553" spans="1:83" ht="14.2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</row>
    <row r="554" spans="1:83" ht="14.2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</row>
    <row r="555" spans="1:83" ht="14.2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</row>
    <row r="556" spans="1:83" ht="14.2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</row>
    <row r="557" spans="1:83" ht="14.2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</row>
    <row r="558" spans="1:83" ht="14.2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</row>
    <row r="559" spans="1:83" ht="14.2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</row>
    <row r="560" spans="1:83" ht="14.2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</row>
    <row r="561" spans="1:83" ht="14.2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</row>
    <row r="562" spans="1:83" ht="14.2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</row>
    <row r="563" spans="1:83" ht="14.2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</row>
    <row r="564" spans="1:83" ht="14.2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</row>
    <row r="565" spans="1:83" ht="14.2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</row>
    <row r="566" spans="1:83" ht="14.2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</row>
    <row r="567" spans="1:83" ht="14.2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</row>
    <row r="568" spans="1:83" ht="14.2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</row>
    <row r="569" spans="1:83" ht="14.2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</row>
    <row r="570" spans="1:83" ht="14.2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</row>
    <row r="571" spans="1:83" ht="14.2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</row>
    <row r="572" spans="1:83" ht="14.2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</row>
    <row r="573" spans="1:83" ht="14.2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</row>
    <row r="574" spans="1:83" ht="14.2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</row>
    <row r="575" spans="1:83" ht="14.2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</row>
    <row r="576" spans="1:83" ht="14.2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</row>
    <row r="577" spans="1:83" ht="14.2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</row>
    <row r="578" spans="1:83" ht="14.2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</row>
    <row r="579" spans="1:83" ht="14.2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</row>
    <row r="580" spans="1:83" ht="14.2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</row>
    <row r="581" spans="1:83" ht="14.2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</row>
    <row r="582" spans="1:83" ht="14.2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</row>
    <row r="583" spans="1:83" ht="14.2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</row>
    <row r="584" spans="1:83" ht="14.2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</row>
    <row r="585" spans="1:83" ht="14.2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</row>
    <row r="586" spans="1:83" ht="14.2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</row>
    <row r="587" spans="1:83" ht="14.2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</row>
    <row r="588" spans="1:83" ht="14.2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</row>
    <row r="589" spans="1:83" ht="14.2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</row>
    <row r="590" spans="1:83" ht="14.2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</row>
    <row r="591" spans="1:83" ht="14.2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</row>
    <row r="592" spans="1:83" ht="14.2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</row>
    <row r="593" spans="1:83" ht="14.2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</row>
    <row r="594" spans="1:83" ht="14.2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</row>
    <row r="595" spans="1:83" ht="14.2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</row>
    <row r="596" spans="1:83" ht="14.2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</row>
    <row r="597" spans="1:83" ht="14.2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</row>
    <row r="598" spans="1:83" ht="14.2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</row>
    <row r="599" spans="1:83" ht="14.2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</row>
    <row r="600" spans="1:83" ht="14.2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</row>
    <row r="601" spans="1:83" ht="14.2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</row>
    <row r="602" spans="1:83" ht="14.2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</row>
    <row r="603" spans="1:83" ht="14.2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</row>
    <row r="604" spans="1:83" ht="14.2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</row>
    <row r="605" spans="1:83" ht="14.2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</row>
    <row r="606" spans="1:83" ht="14.2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</row>
    <row r="607" spans="1:83" ht="14.2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</row>
    <row r="608" spans="1:83" ht="14.2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</row>
    <row r="609" spans="1:83" ht="14.2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</row>
    <row r="610" spans="1:83" ht="14.2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</row>
    <row r="611" spans="1:83" ht="14.2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</row>
    <row r="612" spans="1:83" ht="14.2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</row>
    <row r="613" spans="1:83" ht="14.2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</row>
    <row r="614" spans="1:83" ht="14.2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</row>
    <row r="615" spans="1:83" ht="14.2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</row>
    <row r="616" spans="1:83" ht="14.2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</row>
    <row r="617" spans="1:83" ht="14.2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</row>
    <row r="618" spans="1:83" ht="14.2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</row>
    <row r="619" spans="1:83" ht="14.2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</row>
    <row r="620" spans="1:83" ht="14.2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</row>
    <row r="621" spans="1:83" ht="14.2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</row>
    <row r="622" spans="1:83" ht="14.2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</row>
    <row r="623" spans="1:83" ht="14.2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</row>
    <row r="624" spans="1:83" ht="14.2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</row>
    <row r="625" spans="1:83" ht="14.2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</row>
    <row r="626" spans="1:83" ht="14.2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</row>
    <row r="627" spans="1:83" ht="14.2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</row>
    <row r="628" spans="1:83" ht="14.2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</row>
    <row r="629" spans="1:83" ht="14.2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</row>
    <row r="630" spans="1:83" ht="14.2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</row>
    <row r="631" spans="1:83" ht="14.2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</row>
    <row r="632" spans="1:83" ht="14.2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</row>
    <row r="633" spans="1:83" ht="14.2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</row>
    <row r="634" spans="1:83" ht="14.2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</row>
    <row r="635" spans="1:83" ht="14.2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</row>
    <row r="636" spans="1:83" ht="14.2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</row>
    <row r="637" spans="1:83" ht="14.2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</row>
    <row r="638" spans="1:83" ht="14.2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</row>
    <row r="639" spans="1:83" ht="14.2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</row>
    <row r="640" spans="1:83" ht="14.2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</row>
    <row r="641" spans="1:83" ht="14.2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</row>
    <row r="642" spans="1:83" ht="14.2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</row>
    <row r="643" spans="1:83" ht="14.2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</row>
    <row r="644" spans="1:83" ht="14.2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</row>
    <row r="645" spans="1:83" ht="14.2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</row>
    <row r="646" spans="1:83" ht="14.2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</row>
    <row r="647" spans="1:83" ht="14.2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</row>
    <row r="648" spans="1:83" ht="14.2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</row>
    <row r="649" spans="1:83" ht="14.2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</row>
    <row r="650" spans="1:83" ht="14.2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</row>
    <row r="651" spans="1:83" ht="14.2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</row>
    <row r="652" spans="1:83" ht="14.2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</row>
    <row r="653" spans="1:83" ht="14.2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</row>
    <row r="654" spans="1:83" ht="14.2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</row>
    <row r="655" spans="1:83" ht="14.2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</row>
    <row r="656" spans="1:83" ht="14.2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</row>
    <row r="657" spans="1:83" ht="14.2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</row>
    <row r="658" spans="1:83" ht="14.2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</row>
    <row r="659" spans="1:83" ht="14.2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</row>
    <row r="660" spans="1:83" ht="14.2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</row>
    <row r="661" spans="1:83" ht="14.2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</row>
    <row r="662" spans="1:83" ht="14.2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</row>
    <row r="663" spans="1:83" ht="14.2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</row>
    <row r="664" spans="1:83" ht="14.2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</row>
    <row r="665" spans="1:83" ht="14.2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</row>
    <row r="666" spans="1:83" ht="14.2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</row>
    <row r="667" spans="1:83" ht="14.2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</row>
    <row r="668" spans="1:83" ht="14.2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</row>
    <row r="669" spans="1:83" ht="14.2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</row>
    <row r="670" spans="1:83" ht="14.2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</row>
    <row r="671" spans="1:83" ht="14.2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</row>
    <row r="672" spans="1:83" ht="14.2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</row>
    <row r="673" spans="1:83" ht="14.2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</row>
    <row r="674" spans="1:83" ht="14.2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</row>
    <row r="675" spans="1:83" ht="14.2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</row>
    <row r="676" spans="1:83" ht="14.2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</row>
    <row r="677" spans="1:83" ht="14.2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</row>
    <row r="678" spans="1:83" ht="14.2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</row>
    <row r="679" spans="1:83" ht="14.2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</row>
    <row r="680" spans="1:83" ht="14.2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</row>
    <row r="681" spans="1:83" ht="14.2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</row>
    <row r="682" spans="1:83" ht="14.2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</row>
    <row r="683" spans="1:83" ht="14.2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</row>
    <row r="684" spans="1:83" ht="14.2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</row>
    <row r="685" spans="1:83" ht="14.2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</row>
    <row r="686" spans="1:83" ht="14.2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</row>
    <row r="687" spans="1:83" ht="14.2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</row>
    <row r="688" spans="1:83" ht="14.2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</row>
    <row r="689" spans="1:83" ht="14.2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</row>
    <row r="690" spans="1:83" ht="14.2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</row>
    <row r="691" spans="1:83" ht="14.2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</row>
    <row r="692" spans="1:83" ht="14.2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</row>
    <row r="693" spans="1:83" ht="14.2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</row>
    <row r="694" spans="1:83" ht="14.2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</row>
    <row r="695" spans="1:83" ht="14.2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</row>
    <row r="696" spans="1:83" ht="14.2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</row>
    <row r="697" spans="1:83" ht="14.2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</row>
    <row r="698" spans="1:83" ht="14.2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</row>
    <row r="699" spans="1:83" ht="14.2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</row>
    <row r="700" spans="1:83" ht="14.2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</row>
    <row r="701" spans="1:83" ht="14.2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</row>
    <row r="702" spans="1:83" ht="14.2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</row>
    <row r="703" spans="1:83" ht="14.2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</row>
    <row r="704" spans="1:83" ht="14.2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</row>
    <row r="705" spans="1:83" ht="14.2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</row>
    <row r="706" spans="1:83" ht="14.2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</row>
    <row r="707" spans="1:83" ht="14.2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</row>
    <row r="708" spans="1:83" ht="14.2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</row>
    <row r="709" spans="1:83" ht="14.2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</row>
    <row r="710" spans="1:83" ht="14.2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</row>
    <row r="711" spans="1:83" ht="14.2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</row>
    <row r="712" spans="1:83" ht="14.2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</row>
    <row r="713" spans="1:83" ht="14.2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</row>
    <row r="714" spans="1:83" ht="14.2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</row>
    <row r="715" spans="1:83" ht="14.2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</row>
    <row r="716" spans="1:83" ht="14.2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</row>
    <row r="717" spans="1:83" ht="14.2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</row>
    <row r="718" spans="1:83" ht="14.2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</row>
    <row r="719" spans="1:83" ht="14.2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</row>
    <row r="720" spans="1:83" ht="14.2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</row>
    <row r="721" spans="1:83" ht="14.2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</row>
    <row r="722" spans="1:83" ht="14.2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</row>
    <row r="723" spans="1:83" ht="14.2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</row>
    <row r="724" spans="1:83" ht="14.2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</row>
    <row r="725" spans="1:83" ht="14.2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</row>
    <row r="726" spans="1:83" ht="14.2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</row>
    <row r="727" spans="1:83" ht="14.2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</row>
    <row r="728" spans="1:83" ht="14.2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</row>
    <row r="729" spans="1:83" ht="14.2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</row>
    <row r="730" spans="1:83" ht="14.2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</row>
    <row r="731" spans="1:83" ht="14.2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</row>
    <row r="732" spans="1:83" ht="14.2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</row>
    <row r="733" spans="1:83" ht="14.2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</row>
    <row r="734" spans="1:83" ht="14.2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</row>
    <row r="735" spans="1:83" ht="14.2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</row>
    <row r="736" spans="1:83" ht="14.2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</row>
    <row r="737" spans="1:83" ht="14.2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</row>
    <row r="738" spans="1:83" ht="14.2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</row>
    <row r="739" spans="1:83" ht="14.2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</row>
    <row r="740" spans="1:83" ht="14.2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</row>
    <row r="741" spans="1:83" ht="14.2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</row>
    <row r="742" spans="1:83" ht="14.2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</row>
    <row r="743" spans="1:83" ht="14.2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</row>
    <row r="744" spans="1:83" ht="14.2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</row>
    <row r="745" spans="1:83" ht="14.2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</row>
    <row r="746" spans="1:83" ht="14.2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</row>
    <row r="747" spans="1:83" ht="14.2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</row>
    <row r="748" spans="1:83" ht="14.2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</row>
    <row r="749" spans="1:83" ht="14.2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</row>
    <row r="750" spans="1:83" ht="14.2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</row>
    <row r="751" spans="1:83" ht="14.2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</row>
    <row r="752" spans="1:83" ht="14.2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</row>
    <row r="753" spans="1:83" ht="14.2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</row>
    <row r="754" spans="1:83" ht="14.2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</row>
    <row r="755" spans="1:83" ht="14.2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</row>
    <row r="756" spans="1:83" ht="14.2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</row>
    <row r="757" spans="1:83" ht="14.2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</row>
    <row r="758" spans="1:83" ht="14.2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</row>
    <row r="759" spans="1:83" ht="14.2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</row>
    <row r="760" spans="1:83" ht="14.2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</row>
    <row r="761" spans="1:83" ht="14.2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</row>
    <row r="762" spans="1:83" ht="14.2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</row>
    <row r="763" spans="1:83" ht="14.2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</row>
    <row r="764" spans="1:83" ht="14.2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</row>
    <row r="765" spans="1:83" ht="14.2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</row>
    <row r="766" spans="1:83" ht="14.2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</row>
    <row r="767" spans="1:83" ht="14.2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</row>
    <row r="768" spans="1:83" ht="14.2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</row>
    <row r="769" spans="1:83" ht="14.2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</row>
    <row r="770" spans="1:83" ht="14.2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</row>
    <row r="771" spans="1:83" ht="14.2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</row>
    <row r="772" spans="1:83" ht="14.2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</row>
    <row r="773" spans="1:83" ht="14.2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</row>
    <row r="774" spans="1:83" ht="14.2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</row>
    <row r="775" spans="1:83" ht="14.2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</row>
    <row r="776" spans="1:83" ht="14.2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</row>
    <row r="777" spans="1:83" ht="14.2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</row>
    <row r="778" spans="1:83" ht="14.2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</row>
    <row r="779" spans="1:83" ht="14.2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</row>
    <row r="780" spans="1:83" ht="14.2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</row>
    <row r="781" spans="1:83" ht="14.2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</row>
    <row r="782" spans="1:83" ht="14.2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</row>
    <row r="783" spans="1:83" ht="14.2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</row>
    <row r="784" spans="1:83" ht="14.2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</row>
    <row r="785" spans="1:83" ht="14.2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</row>
    <row r="786" spans="1:83" ht="14.2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</row>
    <row r="787" spans="1:83" ht="14.2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</row>
    <row r="788" spans="1:83" ht="14.2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</row>
    <row r="789" spans="1:83" ht="14.2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</row>
    <row r="790" spans="1:83" ht="14.2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</row>
    <row r="791" spans="1:83" ht="14.2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</row>
    <row r="792" spans="1:83" ht="14.2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</row>
    <row r="793" spans="1:83" ht="14.2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</row>
    <row r="794" spans="1:83" ht="14.2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</row>
    <row r="795" spans="1:83" ht="14.2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</row>
    <row r="796" spans="1:83" ht="14.2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</row>
    <row r="797" spans="1:83" ht="14.2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</row>
    <row r="798" spans="1:83" ht="14.2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</row>
    <row r="799" spans="1:83" ht="14.2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</row>
    <row r="800" spans="1:83" ht="14.2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</row>
    <row r="801" spans="1:83" ht="14.2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</row>
    <row r="802" spans="1:83" ht="14.2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</row>
    <row r="803" spans="1:83" ht="14.2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</row>
    <row r="804" spans="1:83" ht="14.2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</row>
    <row r="805" spans="1:83" ht="14.2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</row>
    <row r="806" spans="1:83" ht="14.2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</row>
    <row r="807" spans="1:83" ht="14.2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</row>
    <row r="808" spans="1:83" ht="14.2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</row>
    <row r="809" spans="1:83" ht="14.2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  <c r="BY809" s="18"/>
      <c r="BZ809" s="18"/>
      <c r="CA809" s="18"/>
      <c r="CB809" s="18"/>
      <c r="CC809" s="18"/>
      <c r="CD809" s="18"/>
      <c r="CE809" s="18"/>
    </row>
    <row r="810" spans="1:83" ht="14.2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</row>
    <row r="811" spans="1:83" ht="14.2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</row>
    <row r="812" spans="1:83" ht="14.2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</row>
    <row r="813" spans="1:83" ht="14.2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</row>
    <row r="814" spans="1:83" ht="14.2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8"/>
      <c r="CC814" s="18"/>
      <c r="CD814" s="18"/>
      <c r="CE814" s="18"/>
    </row>
    <row r="815" spans="1:83" ht="14.2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</row>
    <row r="816" spans="1:83" ht="14.2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  <c r="BY816" s="18"/>
      <c r="BZ816" s="18"/>
      <c r="CA816" s="18"/>
      <c r="CB816" s="18"/>
      <c r="CC816" s="18"/>
      <c r="CD816" s="18"/>
      <c r="CE816" s="18"/>
    </row>
    <row r="817" spans="1:83" ht="14.2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</row>
    <row r="818" spans="1:83" ht="14.2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</row>
    <row r="819" spans="1:83" ht="14.2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</row>
    <row r="820" spans="1:83" ht="14.2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</row>
    <row r="821" spans="1:83" ht="14.2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</row>
    <row r="822" spans="1:83" ht="14.2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</row>
    <row r="823" spans="1:83" ht="14.2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</row>
    <row r="824" spans="1:83" ht="14.2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</row>
    <row r="825" spans="1:83" ht="14.2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</row>
    <row r="826" spans="1:83" ht="14.2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</row>
    <row r="827" spans="1:83" ht="14.2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</row>
    <row r="828" spans="1:83" ht="14.2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</row>
    <row r="829" spans="1:83" ht="14.2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</row>
    <row r="830" spans="1:83" ht="14.2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</row>
    <row r="831" spans="1:83" ht="14.2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</row>
    <row r="832" spans="1:83" ht="14.2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</row>
    <row r="833" spans="1:83" ht="14.2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</row>
    <row r="834" spans="1:83" ht="14.2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</row>
    <row r="835" spans="1:83" ht="14.2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</row>
    <row r="836" spans="1:83" ht="14.2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</row>
    <row r="837" spans="1:83" ht="14.2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</row>
    <row r="838" spans="1:83" ht="14.2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  <c r="BY838" s="18"/>
      <c r="BZ838" s="18"/>
      <c r="CA838" s="18"/>
      <c r="CB838" s="18"/>
      <c r="CC838" s="18"/>
      <c r="CD838" s="18"/>
      <c r="CE838" s="18"/>
    </row>
    <row r="839" spans="1:83" ht="14.2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  <c r="BY839" s="18"/>
      <c r="BZ839" s="18"/>
      <c r="CA839" s="18"/>
      <c r="CB839" s="18"/>
      <c r="CC839" s="18"/>
      <c r="CD839" s="18"/>
      <c r="CE839" s="18"/>
    </row>
    <row r="840" spans="1:83" ht="14.2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  <c r="BY840" s="18"/>
      <c r="BZ840" s="18"/>
      <c r="CA840" s="18"/>
      <c r="CB840" s="18"/>
      <c r="CC840" s="18"/>
      <c r="CD840" s="18"/>
      <c r="CE840" s="18"/>
    </row>
    <row r="841" spans="1:83" ht="14.2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  <c r="BY841" s="18"/>
      <c r="BZ841" s="18"/>
      <c r="CA841" s="18"/>
      <c r="CB841" s="18"/>
      <c r="CC841" s="18"/>
      <c r="CD841" s="18"/>
      <c r="CE841" s="18"/>
    </row>
    <row r="842" spans="1:83" ht="14.2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</row>
    <row r="843" spans="1:83" ht="14.2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</row>
    <row r="844" spans="1:83" ht="14.2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</row>
    <row r="845" spans="1:83" ht="14.2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8"/>
      <c r="CC845" s="18"/>
      <c r="CD845" s="18"/>
      <c r="CE845" s="18"/>
    </row>
    <row r="846" spans="1:83" ht="14.2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</row>
    <row r="847" spans="1:83" ht="14.2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</row>
    <row r="848" spans="1:83" ht="14.2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</row>
    <row r="849" spans="1:83" ht="14.2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</row>
    <row r="850" spans="1:83" ht="14.2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</row>
    <row r="851" spans="1:83" ht="14.2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</row>
    <row r="852" spans="1:83" ht="14.2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</row>
    <row r="853" spans="1:83" ht="14.2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</row>
    <row r="854" spans="1:83" ht="14.2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</row>
    <row r="855" spans="1:83" ht="14.2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</row>
    <row r="856" spans="1:83" ht="14.2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  <c r="BY856" s="18"/>
      <c r="BZ856" s="18"/>
      <c r="CA856" s="18"/>
      <c r="CB856" s="18"/>
      <c r="CC856" s="18"/>
      <c r="CD856" s="18"/>
      <c r="CE856" s="18"/>
    </row>
    <row r="857" spans="1:83" ht="14.2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</row>
    <row r="858" spans="1:83" ht="14.2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  <c r="BY858" s="18"/>
      <c r="BZ858" s="18"/>
      <c r="CA858" s="18"/>
      <c r="CB858" s="18"/>
      <c r="CC858" s="18"/>
      <c r="CD858" s="18"/>
      <c r="CE858" s="18"/>
    </row>
    <row r="859" spans="1:83" ht="14.2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  <c r="BY859" s="18"/>
      <c r="BZ859" s="18"/>
      <c r="CA859" s="18"/>
      <c r="CB859" s="18"/>
      <c r="CC859" s="18"/>
      <c r="CD859" s="18"/>
      <c r="CE859" s="18"/>
    </row>
    <row r="860" spans="1:83" ht="14.2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</row>
    <row r="861" spans="1:83" ht="14.2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</row>
    <row r="862" spans="1:83" ht="14.2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</row>
    <row r="863" spans="1:83" ht="14.2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</row>
    <row r="864" spans="1:83" ht="14.2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</row>
    <row r="865" spans="1:83" ht="14.2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</row>
    <row r="866" spans="1:83" ht="14.2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</row>
    <row r="867" spans="1:83" ht="14.2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</row>
    <row r="868" spans="1:83" ht="14.2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</row>
    <row r="869" spans="1:83" ht="14.2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</row>
    <row r="870" spans="1:83" ht="14.2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</row>
    <row r="871" spans="1:83" ht="14.2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</row>
    <row r="872" spans="1:83" ht="14.2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</row>
    <row r="873" spans="1:83" ht="14.2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</row>
    <row r="874" spans="1:83" ht="14.2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</row>
    <row r="875" spans="1:83" ht="14.2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</row>
    <row r="876" spans="1:83" ht="14.2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</row>
    <row r="877" spans="1:83" ht="14.2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</row>
    <row r="878" spans="1:83" ht="14.2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</row>
    <row r="879" spans="1:83" ht="14.2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</row>
    <row r="880" spans="1:83" ht="14.2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</row>
    <row r="881" spans="1:83" ht="14.2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</row>
    <row r="882" spans="1:83" ht="14.2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</row>
    <row r="883" spans="1:83" ht="14.2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</row>
    <row r="884" spans="1:83" ht="14.2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</row>
    <row r="885" spans="1:83" ht="14.2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</row>
    <row r="886" spans="1:83" ht="14.2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</row>
    <row r="887" spans="1:83" ht="14.2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</row>
    <row r="888" spans="1:83" ht="14.2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</row>
    <row r="889" spans="1:83" ht="14.2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  <c r="BY889" s="18"/>
      <c r="BZ889" s="18"/>
      <c r="CA889" s="18"/>
      <c r="CB889" s="18"/>
      <c r="CC889" s="18"/>
      <c r="CD889" s="18"/>
      <c r="CE889" s="18"/>
    </row>
    <row r="890" spans="1:83" ht="14.2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  <c r="BY890" s="18"/>
      <c r="BZ890" s="18"/>
      <c r="CA890" s="18"/>
      <c r="CB890" s="18"/>
      <c r="CC890" s="18"/>
      <c r="CD890" s="18"/>
      <c r="CE890" s="18"/>
    </row>
    <row r="891" spans="1:83" ht="14.2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</row>
    <row r="892" spans="1:83" ht="14.2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  <c r="BY892" s="18"/>
      <c r="BZ892" s="18"/>
      <c r="CA892" s="18"/>
      <c r="CB892" s="18"/>
      <c r="CC892" s="18"/>
      <c r="CD892" s="18"/>
      <c r="CE892" s="18"/>
    </row>
    <row r="893" spans="1:83" ht="14.2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</row>
    <row r="894" spans="1:83" ht="14.2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  <c r="BY894" s="18"/>
      <c r="BZ894" s="18"/>
      <c r="CA894" s="18"/>
      <c r="CB894" s="18"/>
      <c r="CC894" s="18"/>
      <c r="CD894" s="18"/>
      <c r="CE894" s="18"/>
    </row>
    <row r="895" spans="1:83" ht="14.2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  <c r="BY895" s="18"/>
      <c r="BZ895" s="18"/>
      <c r="CA895" s="18"/>
      <c r="CB895" s="18"/>
      <c r="CC895" s="18"/>
      <c r="CD895" s="18"/>
      <c r="CE895" s="18"/>
    </row>
    <row r="896" spans="1:83" ht="14.2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</row>
    <row r="897" spans="1:83" ht="14.2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  <c r="BY897" s="18"/>
      <c r="BZ897" s="18"/>
      <c r="CA897" s="18"/>
      <c r="CB897" s="18"/>
      <c r="CC897" s="18"/>
      <c r="CD897" s="18"/>
      <c r="CE897" s="18"/>
    </row>
    <row r="898" spans="1:83" ht="14.2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  <c r="BY898" s="18"/>
      <c r="BZ898" s="18"/>
      <c r="CA898" s="18"/>
      <c r="CB898" s="18"/>
      <c r="CC898" s="18"/>
      <c r="CD898" s="18"/>
      <c r="CE898" s="18"/>
    </row>
    <row r="899" spans="1:83" ht="14.2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</row>
    <row r="900" spans="1:83" ht="14.2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  <c r="BY900" s="18"/>
      <c r="BZ900" s="18"/>
      <c r="CA900" s="18"/>
      <c r="CB900" s="18"/>
      <c r="CC900" s="18"/>
      <c r="CD900" s="18"/>
      <c r="CE900" s="18"/>
    </row>
    <row r="901" spans="1:83" ht="14.2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  <c r="BY901" s="18"/>
      <c r="BZ901" s="18"/>
      <c r="CA901" s="18"/>
      <c r="CB901" s="18"/>
      <c r="CC901" s="18"/>
      <c r="CD901" s="18"/>
      <c r="CE901" s="18"/>
    </row>
    <row r="902" spans="1:83" ht="14.2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</row>
    <row r="903" spans="1:83" ht="14.2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  <c r="BY903" s="18"/>
      <c r="BZ903" s="18"/>
      <c r="CA903" s="18"/>
      <c r="CB903" s="18"/>
      <c r="CC903" s="18"/>
      <c r="CD903" s="18"/>
      <c r="CE903" s="18"/>
    </row>
    <row r="904" spans="1:83" ht="14.2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  <c r="BY904" s="18"/>
      <c r="BZ904" s="18"/>
      <c r="CA904" s="18"/>
      <c r="CB904" s="18"/>
      <c r="CC904" s="18"/>
      <c r="CD904" s="18"/>
      <c r="CE904" s="18"/>
    </row>
    <row r="905" spans="1:83" ht="14.2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  <c r="BY905" s="18"/>
      <c r="BZ905" s="18"/>
      <c r="CA905" s="18"/>
      <c r="CB905" s="18"/>
      <c r="CC905" s="18"/>
      <c r="CD905" s="18"/>
      <c r="CE905" s="18"/>
    </row>
    <row r="906" spans="1:83" ht="14.2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</row>
    <row r="907" spans="1:83" ht="14.2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</row>
    <row r="908" spans="1:83" ht="14.2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</row>
    <row r="909" spans="1:83" ht="14.2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  <c r="BY909" s="18"/>
      <c r="BZ909" s="18"/>
      <c r="CA909" s="18"/>
      <c r="CB909" s="18"/>
      <c r="CC909" s="18"/>
      <c r="CD909" s="18"/>
      <c r="CE909" s="18"/>
    </row>
    <row r="910" spans="1:83" ht="14.2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</row>
    <row r="911" spans="1:83" ht="14.2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</row>
    <row r="912" spans="1:83" ht="14.2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</row>
    <row r="913" spans="1:83" ht="14.2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</row>
    <row r="914" spans="1:83" ht="14.2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</row>
    <row r="915" spans="1:83" ht="14.2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</row>
    <row r="916" spans="1:83" ht="14.2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</row>
    <row r="917" spans="1:83" ht="14.2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</row>
    <row r="918" spans="1:83" ht="14.2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</row>
    <row r="919" spans="1:83" ht="14.2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</row>
    <row r="920" spans="1:83" ht="14.2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</row>
    <row r="921" spans="1:83" ht="14.2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</row>
    <row r="922" spans="1:83" ht="14.2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  <c r="BY922" s="18"/>
      <c r="BZ922" s="18"/>
      <c r="CA922" s="18"/>
      <c r="CB922" s="18"/>
      <c r="CC922" s="18"/>
      <c r="CD922" s="18"/>
      <c r="CE922" s="18"/>
    </row>
    <row r="923" spans="1:83" ht="14.2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</row>
    <row r="924" spans="1:83" ht="14.2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</row>
    <row r="925" spans="1:83" ht="14.2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  <c r="BY925" s="18"/>
      <c r="BZ925" s="18"/>
      <c r="CA925" s="18"/>
      <c r="CB925" s="18"/>
      <c r="CC925" s="18"/>
      <c r="CD925" s="18"/>
      <c r="CE925" s="18"/>
    </row>
    <row r="926" spans="1:83" ht="14.2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</row>
    <row r="927" spans="1:83" ht="14.2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  <c r="BY927" s="18"/>
      <c r="BZ927" s="18"/>
      <c r="CA927" s="18"/>
      <c r="CB927" s="18"/>
      <c r="CC927" s="18"/>
      <c r="CD927" s="18"/>
      <c r="CE927" s="18"/>
    </row>
    <row r="928" spans="1:83" ht="14.2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</row>
    <row r="929" spans="1:83" ht="14.2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</row>
    <row r="930" spans="1:83" ht="14.2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</row>
    <row r="931" spans="1:83" ht="14.2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</row>
    <row r="932" spans="1:83" ht="14.2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</row>
    <row r="933" spans="1:83" ht="14.2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</row>
    <row r="934" spans="1:83" ht="14.2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</row>
    <row r="935" spans="1:83" ht="14.2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</row>
    <row r="936" spans="1:83" ht="14.2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</row>
    <row r="937" spans="1:83" ht="14.2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</row>
    <row r="938" spans="1:83" ht="14.2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  <c r="BY938" s="18"/>
      <c r="BZ938" s="18"/>
      <c r="CA938" s="18"/>
      <c r="CB938" s="18"/>
      <c r="CC938" s="18"/>
      <c r="CD938" s="18"/>
      <c r="CE938" s="18"/>
    </row>
    <row r="939" spans="1:83" ht="14.2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  <c r="BY939" s="18"/>
      <c r="BZ939" s="18"/>
      <c r="CA939" s="18"/>
      <c r="CB939" s="18"/>
      <c r="CC939" s="18"/>
      <c r="CD939" s="18"/>
      <c r="CE939" s="18"/>
    </row>
    <row r="940" spans="1:83" ht="14.2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</row>
    <row r="941" spans="1:83" ht="14.2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  <c r="BY941" s="18"/>
      <c r="BZ941" s="18"/>
      <c r="CA941" s="18"/>
      <c r="CB941" s="18"/>
      <c r="CC941" s="18"/>
      <c r="CD941" s="18"/>
      <c r="CE941" s="18"/>
    </row>
    <row r="942" spans="1:83" ht="14.2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</row>
    <row r="943" spans="1:83" ht="14.2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</row>
    <row r="944" spans="1:83" ht="14.2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</row>
    <row r="945" spans="1:83" ht="14.2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</row>
    <row r="946" spans="1:83" ht="14.2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8"/>
      <c r="CE946" s="18"/>
    </row>
    <row r="947" spans="1:83" ht="14.2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</row>
    <row r="948" spans="1:83" ht="14.2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</row>
    <row r="949" spans="1:83" ht="14.2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</row>
    <row r="950" spans="1:83" ht="14.2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</row>
    <row r="951" spans="1:83" ht="14.2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</row>
    <row r="952" spans="1:83" ht="14.2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  <c r="BX952" s="18"/>
      <c r="BY952" s="18"/>
      <c r="BZ952" s="18"/>
      <c r="CA952" s="18"/>
      <c r="CB952" s="18"/>
      <c r="CC952" s="18"/>
      <c r="CD952" s="18"/>
      <c r="CE952" s="18"/>
    </row>
    <row r="953" spans="1:83" ht="14.2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</row>
    <row r="954" spans="1:83" ht="14.2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  <c r="BX954" s="18"/>
      <c r="BY954" s="18"/>
      <c r="BZ954" s="18"/>
      <c r="CA954" s="18"/>
      <c r="CB954" s="18"/>
      <c r="CC954" s="18"/>
      <c r="CD954" s="18"/>
      <c r="CE954" s="18"/>
    </row>
    <row r="955" spans="1:83" ht="14.2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  <c r="BX955" s="18"/>
      <c r="BY955" s="18"/>
      <c r="BZ955" s="18"/>
      <c r="CA955" s="18"/>
      <c r="CB955" s="18"/>
      <c r="CC955" s="18"/>
      <c r="CD955" s="18"/>
      <c r="CE955" s="18"/>
    </row>
    <row r="956" spans="1:83" ht="14.2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</row>
    <row r="957" spans="1:83" ht="14.2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  <c r="BX957" s="18"/>
      <c r="BY957" s="18"/>
      <c r="BZ957" s="18"/>
      <c r="CA957" s="18"/>
      <c r="CB957" s="18"/>
      <c r="CC957" s="18"/>
      <c r="CD957" s="18"/>
      <c r="CE957" s="18"/>
    </row>
    <row r="958" spans="1:83" ht="14.2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  <c r="BX958" s="18"/>
      <c r="BY958" s="18"/>
      <c r="BZ958" s="18"/>
      <c r="CA958" s="18"/>
      <c r="CB958" s="18"/>
      <c r="CC958" s="18"/>
      <c r="CD958" s="18"/>
      <c r="CE958" s="18"/>
    </row>
    <row r="959" spans="1:83" ht="14.2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</row>
    <row r="960" spans="1:83" ht="14.2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</row>
    <row r="961" spans="1:83" ht="14.2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</row>
    <row r="962" spans="1:83" ht="14.2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</row>
    <row r="963" spans="1:83" ht="14.2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  <c r="BX963" s="18"/>
      <c r="BY963" s="18"/>
      <c r="BZ963" s="18"/>
      <c r="CA963" s="18"/>
      <c r="CB963" s="18"/>
      <c r="CC963" s="18"/>
      <c r="CD963" s="18"/>
      <c r="CE963" s="18"/>
    </row>
    <row r="964" spans="1:83" ht="14.2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  <c r="BX964" s="18"/>
      <c r="BY964" s="18"/>
      <c r="BZ964" s="18"/>
      <c r="CA964" s="18"/>
      <c r="CB964" s="18"/>
      <c r="CC964" s="18"/>
      <c r="CD964" s="18"/>
      <c r="CE964" s="18"/>
    </row>
    <row r="965" spans="1:83" ht="14.2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</row>
    <row r="966" spans="1:83" ht="14.2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  <c r="BX966" s="18"/>
      <c r="BY966" s="18"/>
      <c r="BZ966" s="18"/>
      <c r="CA966" s="18"/>
      <c r="CB966" s="18"/>
      <c r="CC966" s="18"/>
      <c r="CD966" s="18"/>
      <c r="CE966" s="18"/>
    </row>
    <row r="967" spans="1:83" ht="14.2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  <c r="BX967" s="18"/>
      <c r="BY967" s="18"/>
      <c r="BZ967" s="18"/>
      <c r="CA967" s="18"/>
      <c r="CB967" s="18"/>
      <c r="CC967" s="18"/>
      <c r="CD967" s="18"/>
      <c r="CE967" s="18"/>
    </row>
    <row r="968" spans="1:83" ht="14.2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  <c r="BX968" s="18"/>
      <c r="BY968" s="18"/>
      <c r="BZ968" s="18"/>
      <c r="CA968" s="18"/>
      <c r="CB968" s="18"/>
      <c r="CC968" s="18"/>
      <c r="CD968" s="18"/>
      <c r="CE968" s="18"/>
    </row>
    <row r="969" spans="1:83" ht="14.2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  <c r="BX969" s="18"/>
      <c r="BY969" s="18"/>
      <c r="BZ969" s="18"/>
      <c r="CA969" s="18"/>
      <c r="CB969" s="18"/>
      <c r="CC969" s="18"/>
      <c r="CD969" s="18"/>
      <c r="CE969" s="18"/>
    </row>
    <row r="970" spans="1:83" ht="14.2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  <c r="BX970" s="18"/>
      <c r="BY970" s="18"/>
      <c r="BZ970" s="18"/>
      <c r="CA970" s="18"/>
      <c r="CB970" s="18"/>
      <c r="CC970" s="18"/>
      <c r="CD970" s="18"/>
      <c r="CE970" s="18"/>
    </row>
    <row r="971" spans="1:83" ht="14.2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  <c r="BX971" s="18"/>
      <c r="BY971" s="18"/>
      <c r="BZ971" s="18"/>
      <c r="CA971" s="18"/>
      <c r="CB971" s="18"/>
      <c r="CC971" s="18"/>
      <c r="CD971" s="18"/>
      <c r="CE971" s="18"/>
    </row>
    <row r="972" spans="1:83" ht="14.2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  <c r="BX972" s="18"/>
      <c r="BY972" s="18"/>
      <c r="BZ972" s="18"/>
      <c r="CA972" s="18"/>
      <c r="CB972" s="18"/>
      <c r="CC972" s="18"/>
      <c r="CD972" s="18"/>
      <c r="CE972" s="18"/>
    </row>
    <row r="973" spans="1:83" ht="14.2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  <c r="BX973" s="18"/>
      <c r="BY973" s="18"/>
      <c r="BZ973" s="18"/>
      <c r="CA973" s="18"/>
      <c r="CB973" s="18"/>
      <c r="CC973" s="18"/>
      <c r="CD973" s="18"/>
      <c r="CE973" s="18"/>
    </row>
    <row r="974" spans="1:83" ht="14.2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  <c r="BX974" s="18"/>
      <c r="BY974" s="18"/>
      <c r="BZ974" s="18"/>
      <c r="CA974" s="18"/>
      <c r="CB974" s="18"/>
      <c r="CC974" s="18"/>
      <c r="CD974" s="18"/>
      <c r="CE974" s="18"/>
    </row>
    <row r="975" spans="1:83" ht="14.2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  <c r="BX975" s="18"/>
      <c r="BY975" s="18"/>
      <c r="BZ975" s="18"/>
      <c r="CA975" s="18"/>
      <c r="CB975" s="18"/>
      <c r="CC975" s="18"/>
      <c r="CD975" s="18"/>
      <c r="CE975" s="18"/>
    </row>
    <row r="976" spans="1:83" ht="14.2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  <c r="BX976" s="18"/>
      <c r="BY976" s="18"/>
      <c r="BZ976" s="18"/>
      <c r="CA976" s="18"/>
      <c r="CB976" s="18"/>
      <c r="CC976" s="18"/>
      <c r="CD976" s="18"/>
      <c r="CE976" s="18"/>
    </row>
    <row r="977" spans="1:83" ht="14.2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  <c r="BX977" s="18"/>
      <c r="BY977" s="18"/>
      <c r="BZ977" s="18"/>
      <c r="CA977" s="18"/>
      <c r="CB977" s="18"/>
      <c r="CC977" s="18"/>
      <c r="CD977" s="18"/>
      <c r="CE977" s="18"/>
    </row>
    <row r="978" spans="1:83" ht="14.2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  <c r="BX978" s="18"/>
      <c r="BY978" s="18"/>
      <c r="BZ978" s="18"/>
      <c r="CA978" s="18"/>
      <c r="CB978" s="18"/>
      <c r="CC978" s="18"/>
      <c r="CD978" s="18"/>
      <c r="CE978" s="18"/>
    </row>
    <row r="979" spans="1:83" ht="14.2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  <c r="BX979" s="18"/>
      <c r="BY979" s="18"/>
      <c r="BZ979" s="18"/>
      <c r="CA979" s="18"/>
      <c r="CB979" s="18"/>
      <c r="CC979" s="18"/>
      <c r="CD979" s="18"/>
      <c r="CE979" s="18"/>
    </row>
    <row r="980" spans="1:83" ht="14.2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  <c r="BX980" s="18"/>
      <c r="BY980" s="18"/>
      <c r="BZ980" s="18"/>
      <c r="CA980" s="18"/>
      <c r="CB980" s="18"/>
      <c r="CC980" s="18"/>
      <c r="CD980" s="18"/>
      <c r="CE980" s="18"/>
    </row>
    <row r="981" spans="1:83" ht="14.2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  <c r="BX981" s="18"/>
      <c r="BY981" s="18"/>
      <c r="BZ981" s="18"/>
      <c r="CA981" s="18"/>
      <c r="CB981" s="18"/>
      <c r="CC981" s="18"/>
      <c r="CD981" s="18"/>
      <c r="CE981" s="18"/>
    </row>
    <row r="982" spans="1:83" ht="14.2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  <c r="BX982" s="18"/>
      <c r="BY982" s="18"/>
      <c r="BZ982" s="18"/>
      <c r="CA982" s="18"/>
      <c r="CB982" s="18"/>
      <c r="CC982" s="18"/>
      <c r="CD982" s="18"/>
      <c r="CE982" s="18"/>
    </row>
    <row r="983" spans="1:83" ht="14.2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  <c r="BX983" s="18"/>
      <c r="BY983" s="18"/>
      <c r="BZ983" s="18"/>
      <c r="CA983" s="18"/>
      <c r="CB983" s="18"/>
      <c r="CC983" s="18"/>
      <c r="CD983" s="18"/>
      <c r="CE983" s="18"/>
    </row>
    <row r="984" spans="1:83" ht="14.2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  <c r="BX984" s="18"/>
      <c r="BY984" s="18"/>
      <c r="BZ984" s="18"/>
      <c r="CA984" s="18"/>
      <c r="CB984" s="18"/>
      <c r="CC984" s="18"/>
      <c r="CD984" s="18"/>
      <c r="CE984" s="18"/>
    </row>
    <row r="985" spans="1:83" ht="14.2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  <c r="BX985" s="18"/>
      <c r="BY985" s="18"/>
      <c r="BZ985" s="18"/>
      <c r="CA985" s="18"/>
      <c r="CB985" s="18"/>
      <c r="CC985" s="18"/>
      <c r="CD985" s="18"/>
      <c r="CE985" s="18"/>
    </row>
    <row r="986" spans="1:83" ht="14.2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  <c r="BX986" s="18"/>
      <c r="BY986" s="18"/>
      <c r="BZ986" s="18"/>
      <c r="CA986" s="18"/>
      <c r="CB986" s="18"/>
      <c r="CC986" s="18"/>
      <c r="CD986" s="18"/>
      <c r="CE986" s="18"/>
    </row>
    <row r="987" spans="1:83" ht="14.2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  <c r="BX987" s="18"/>
      <c r="BY987" s="18"/>
      <c r="BZ987" s="18"/>
      <c r="CA987" s="18"/>
      <c r="CB987" s="18"/>
      <c r="CC987" s="18"/>
      <c r="CD987" s="18"/>
      <c r="CE987" s="18"/>
    </row>
    <row r="988" spans="1:83" ht="14.2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</row>
    <row r="989" spans="1:83" ht="14.2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  <c r="BX989" s="18"/>
      <c r="BY989" s="18"/>
      <c r="BZ989" s="18"/>
      <c r="CA989" s="18"/>
      <c r="CB989" s="18"/>
      <c r="CC989" s="18"/>
      <c r="CD989" s="18"/>
      <c r="CE989" s="18"/>
    </row>
    <row r="990" spans="1:83" ht="14.2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  <c r="BX990" s="18"/>
      <c r="BY990" s="18"/>
      <c r="BZ990" s="18"/>
      <c r="CA990" s="18"/>
      <c r="CB990" s="18"/>
      <c r="CC990" s="18"/>
      <c r="CD990" s="18"/>
      <c r="CE990" s="18"/>
    </row>
    <row r="991" spans="1:83" ht="14.2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</row>
    <row r="992" spans="1:83" ht="14.2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</row>
    <row r="993" spans="1:83" ht="14.2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  <c r="BX993" s="18"/>
      <c r="BY993" s="18"/>
      <c r="BZ993" s="18"/>
      <c r="CA993" s="18"/>
      <c r="CB993" s="18"/>
      <c r="CC993" s="18"/>
      <c r="CD993" s="18"/>
      <c r="CE993" s="18"/>
    </row>
    <row r="994" spans="1:83" ht="14.2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  <c r="BY994" s="18"/>
      <c r="BZ994" s="18"/>
      <c r="CA994" s="18"/>
      <c r="CB994" s="18"/>
      <c r="CC994" s="18"/>
      <c r="CD994" s="18"/>
      <c r="CE994" s="18"/>
    </row>
    <row r="995" spans="1:83" ht="14.2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  <c r="BX995" s="18"/>
      <c r="BY995" s="18"/>
      <c r="BZ995" s="18"/>
      <c r="CA995" s="18"/>
      <c r="CB995" s="18"/>
      <c r="CC995" s="18"/>
      <c r="CD995" s="18"/>
      <c r="CE995" s="18"/>
    </row>
    <row r="996" spans="1:83" ht="14.2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</row>
    <row r="997" spans="1:83" ht="14.2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  <c r="BX997" s="18"/>
      <c r="BY997" s="18"/>
      <c r="BZ997" s="18"/>
      <c r="CA997" s="18"/>
      <c r="CB997" s="18"/>
      <c r="CC997" s="18"/>
      <c r="CD997" s="18"/>
      <c r="CE997" s="18"/>
    </row>
    <row r="998" spans="1:83" ht="14.2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  <c r="BX998" s="18"/>
      <c r="BY998" s="18"/>
      <c r="BZ998" s="18"/>
      <c r="CA998" s="18"/>
      <c r="CB998" s="18"/>
      <c r="CC998" s="18"/>
      <c r="CD998" s="18"/>
      <c r="CE998" s="18"/>
    </row>
    <row r="999" spans="1:83" ht="14.2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  <c r="BY999" s="18"/>
      <c r="BZ999" s="18"/>
      <c r="CA999" s="18"/>
      <c r="CB999" s="18"/>
      <c r="CC999" s="18"/>
      <c r="CD999" s="18"/>
      <c r="CE999" s="18"/>
    </row>
    <row r="1000" spans="1:83" ht="14.2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  <c r="BX1000" s="18"/>
      <c r="BY1000" s="18"/>
      <c r="BZ1000" s="18"/>
      <c r="CA1000" s="18"/>
      <c r="CB1000" s="18"/>
      <c r="CC1000" s="18"/>
      <c r="CD1000" s="18"/>
      <c r="CE1000" s="18"/>
    </row>
  </sheetData>
  <mergeCells count="106">
    <mergeCell ref="X6:Y7"/>
    <mergeCell ref="X8:X9"/>
    <mergeCell ref="Y8:Y9"/>
    <mergeCell ref="AM7:AM9"/>
    <mergeCell ref="AB6:AM6"/>
    <mergeCell ref="B4:AM5"/>
    <mergeCell ref="AY6:AY9"/>
    <mergeCell ref="BM6:BM9"/>
    <mergeCell ref="CA6:CA9"/>
    <mergeCell ref="U8:U9"/>
    <mergeCell ref="V8:V9"/>
    <mergeCell ref="W8:W9"/>
    <mergeCell ref="BV6:BV9"/>
    <mergeCell ref="BW6:BW9"/>
    <mergeCell ref="AW6:AW9"/>
    <mergeCell ref="AX6:AX9"/>
    <mergeCell ref="AZ6:BA6"/>
    <mergeCell ref="BB6:BB9"/>
    <mergeCell ref="AZ7:AZ9"/>
    <mergeCell ref="BA7:BA9"/>
    <mergeCell ref="BC6:BC9"/>
    <mergeCell ref="BD6:BD9"/>
    <mergeCell ref="BX6:BX9"/>
    <mergeCell ref="BY6:BY9"/>
    <mergeCell ref="A4:A9"/>
    <mergeCell ref="AN4:BA4"/>
    <mergeCell ref="BB4:BO4"/>
    <mergeCell ref="BP4:CC4"/>
    <mergeCell ref="BO7:BO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B1:CC2"/>
    <mergeCell ref="BZ6:BZ9"/>
    <mergeCell ref="CB7:CB9"/>
    <mergeCell ref="CC7:CC9"/>
    <mergeCell ref="AN5:BA5"/>
    <mergeCell ref="Z7:Z9"/>
    <mergeCell ref="AA7:AA9"/>
    <mergeCell ref="AI7:AI9"/>
    <mergeCell ref="AJ7:AJ9"/>
    <mergeCell ref="AK7:AK9"/>
    <mergeCell ref="AL7:AL9"/>
    <mergeCell ref="AG7:AG9"/>
    <mergeCell ref="AH7:AH9"/>
    <mergeCell ref="AN6:AN9"/>
    <mergeCell ref="AB7:AB9"/>
    <mergeCell ref="AC7:AC9"/>
    <mergeCell ref="AD7:AD9"/>
    <mergeCell ref="AE7:AE9"/>
    <mergeCell ref="AF7:AF9"/>
    <mergeCell ref="BQ6:BQ9"/>
    <mergeCell ref="BR6:BR9"/>
    <mergeCell ref="BS6:BS9"/>
    <mergeCell ref="BT6:BT9"/>
    <mergeCell ref="BU6:BU9"/>
    <mergeCell ref="BE6:BE9"/>
    <mergeCell ref="BF6:BF9"/>
    <mergeCell ref="BG6:BG9"/>
    <mergeCell ref="BH6:BH9"/>
    <mergeCell ref="BI6:BI9"/>
    <mergeCell ref="BJ6:BJ9"/>
    <mergeCell ref="BK6:BK9"/>
    <mergeCell ref="BL6:BL9"/>
    <mergeCell ref="BP6:BP9"/>
    <mergeCell ref="BN7:BN9"/>
    <mergeCell ref="BB5:BO5"/>
    <mergeCell ref="BP5:CC5"/>
    <mergeCell ref="BN6:BO6"/>
    <mergeCell ref="CB6:CC6"/>
    <mergeCell ref="B6:C7"/>
    <mergeCell ref="D6:E7"/>
    <mergeCell ref="F6:G7"/>
    <mergeCell ref="H6:I7"/>
    <mergeCell ref="J6:K7"/>
    <mergeCell ref="L6:M7"/>
    <mergeCell ref="N6:O7"/>
    <mergeCell ref="P6:Q7"/>
    <mergeCell ref="R6:S7"/>
    <mergeCell ref="T6:U7"/>
    <mergeCell ref="V6:W7"/>
    <mergeCell ref="Z6:AA6"/>
    <mergeCell ref="AO6:AO9"/>
    <mergeCell ref="AP6:AP9"/>
    <mergeCell ref="AQ6:AQ9"/>
    <mergeCell ref="AR6:AR9"/>
    <mergeCell ref="AS6:AS9"/>
    <mergeCell ref="AT6:AT9"/>
    <mergeCell ref="AU6:AU9"/>
    <mergeCell ref="AV6:AV9"/>
  </mergeCells>
  <pageMargins left="0.70866141732283472" right="0.43307086614173229" top="0.74803149606299213" bottom="0.74803149606299213" header="0" footer="0"/>
  <pageSetup orientation="landscape"/>
  <colBreaks count="1" manualBreakCount="1">
    <brk id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B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2026-01-06T02:12:19Z</dcterms:modified>
</cp:coreProperties>
</file>