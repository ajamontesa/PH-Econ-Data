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 STAT TABLES\02 - FEB 2024\"/>
    </mc:Choice>
  </mc:AlternateContent>
  <xr:revisionPtr revIDLastSave="0" documentId="13_ncr:1_{0BEEDD99-97C8-4252-8832-B2518964497D}" xr6:coauthVersionLast="47" xr6:coauthVersionMax="47" xr10:uidLastSave="{00000000-0000-0000-0000-000000000000}"/>
  <bookViews>
    <workbookView xWindow="-120" yWindow="-120" windowWidth="29040" windowHeight="15720" xr2:uid="{DD659FBE-0C5B-4EE7-85CD-CED91BB83DD1}"/>
  </bookViews>
  <sheets>
    <sheet name="Statistical_Tab 8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1" l="1"/>
  <c r="G12" i="1"/>
  <c r="F12" i="1"/>
  <c r="E12" i="1"/>
  <c r="D12" i="1"/>
  <c r="C12" i="1"/>
</calcChain>
</file>

<file path=xl/sharedStrings.xml><?xml version="1.0" encoding="utf-8"?>
<sst xmlns="http://schemas.openxmlformats.org/spreadsheetml/2006/main" count="37" uniqueCount="28">
  <si>
    <r>
      <t>TABLE 8  Percent  Distribution of Employed Persons by Total Hours Worked and Major Occupation Group: February 2024</t>
    </r>
    <r>
      <rPr>
        <b/>
        <vertAlign val="superscript"/>
        <sz val="11"/>
        <rFont val="Arial"/>
        <family val="2"/>
      </rPr>
      <t>f</t>
    </r>
  </si>
  <si>
    <t>Estimates</t>
  </si>
  <si>
    <t>Standard Error</t>
  </si>
  <si>
    <t>Total</t>
  </si>
  <si>
    <t>Did Not Work</t>
  </si>
  <si>
    <t>Total Hours Worked</t>
  </si>
  <si>
    <t>Mean Hours Worked</t>
  </si>
  <si>
    <t>Under 20</t>
  </si>
  <si>
    <t>20-29</t>
  </si>
  <si>
    <t>30-39</t>
  </si>
  <si>
    <t>40 and over</t>
  </si>
  <si>
    <t>Philippines</t>
  </si>
  <si>
    <t>Number (in thousands)</t>
  </si>
  <si>
    <t xml:space="preserve">  Managers</t>
  </si>
  <si>
    <t xml:space="preserve">  Professionals</t>
  </si>
  <si>
    <t xml:space="preserve">  Technicians and associate professionals</t>
  </si>
  <si>
    <t xml:space="preserve">  Clerical support workers</t>
  </si>
  <si>
    <t xml:space="preserve">  Service and sales workers</t>
  </si>
  <si>
    <t xml:space="preserve">  Skilled agricultural, forestry and fishery workers</t>
  </si>
  <si>
    <t xml:space="preserve">  Craft and related trades workers</t>
  </si>
  <si>
    <t xml:space="preserve">  Plant and machine operators and assemblers</t>
  </si>
  <si>
    <t xml:space="preserve">  Elementary occupations</t>
  </si>
  <si>
    <t>f - Estimates are final</t>
  </si>
  <si>
    <t xml:space="preserve"> Notes:  "-" indicator equals to 0</t>
  </si>
  <si>
    <t>Source:  Philippine Statistics Authority, February 2024 Labor Force Survey</t>
  </si>
  <si>
    <t>Details may not add up to totals due to rounding.</t>
  </si>
  <si>
    <t>Major Occupation Group</t>
  </si>
  <si>
    <t xml:space="preserve">  Armed forces occupations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</si>
</sst>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#,##0;[Red]#,##0"/>
    <numFmt numFmtId="165" formatCode="0.0"/>
    <numFmt numFmtId="166" formatCode="#,##0.0;[Red]#,##0.0"/>
    <numFmt numFmtId="167" formatCode="_-* #,##0.0_-;\-* #,##0.0_-;_-* &quot;-&quot;_-;_-@_-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color theme="1"/>
      <name val="Arial"/>
      <family val="2"/>
    </font>
    <font>
      <sz val="10"/>
      <name val="Courier"/>
      <family val="3"/>
    </font>
    <font>
      <strike/>
      <sz val="10"/>
      <color rgb="FFFF0000"/>
      <name val="Arial"/>
      <family val="2"/>
    </font>
    <font>
      <strike/>
      <sz val="11"/>
      <color rgb="FFFF0000"/>
      <name val="Arial"/>
      <family val="2"/>
    </font>
    <font>
      <b/>
      <strike/>
      <sz val="11"/>
      <color rgb="FFFF0000"/>
      <name val="Arial"/>
      <family val="2"/>
    </font>
    <font>
      <b/>
      <strike/>
      <sz val="10"/>
      <color rgb="FFFF0000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  <font>
      <b/>
      <sz val="10"/>
      <color theme="4" tint="-0.249977111117893"/>
      <name val="Arial"/>
      <family val="2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37" fontId="10" fillId="0" borderId="0"/>
  </cellStyleXfs>
  <cellXfs count="75">
    <xf numFmtId="0" fontId="0" fillId="0" borderId="0" xfId="0"/>
    <xf numFmtId="0" fontId="3" fillId="0" borderId="0" xfId="2" applyFont="1" applyAlignment="1">
      <alignment horizontal="center" vertical="center"/>
    </xf>
    <xf numFmtId="0" fontId="2" fillId="0" borderId="0" xfId="2"/>
    <xf numFmtId="0" fontId="5" fillId="0" borderId="0" xfId="0" applyFont="1"/>
    <xf numFmtId="0" fontId="3" fillId="0" borderId="0" xfId="2" applyFont="1" applyAlignment="1">
      <alignment horizontal="center" vertical="center" wrapText="1"/>
    </xf>
    <xf numFmtId="0" fontId="6" fillId="0" borderId="0" xfId="2" applyFont="1" applyAlignment="1">
      <alignment horizontal="right" vertical="center" wrapText="1"/>
    </xf>
    <xf numFmtId="0" fontId="6" fillId="0" borderId="0" xfId="2" applyFont="1" applyAlignment="1">
      <alignment horizontal="center" vertical="center"/>
    </xf>
    <xf numFmtId="0" fontId="3" fillId="0" borderId="3" xfId="2" applyFont="1" applyBorder="1" applyAlignment="1">
      <alignment horizontal="center" vertical="center" wrapText="1"/>
    </xf>
    <xf numFmtId="0" fontId="3" fillId="0" borderId="3" xfId="2" applyFont="1" applyBorder="1" applyAlignment="1">
      <alignment horizontal="right" vertical="center" wrapText="1"/>
    </xf>
    <xf numFmtId="0" fontId="3" fillId="0" borderId="0" xfId="2" applyFont="1" applyAlignment="1">
      <alignment horizontal="right" vertical="center" wrapText="1"/>
    </xf>
    <xf numFmtId="0" fontId="3" fillId="0" borderId="4" xfId="2" applyFont="1" applyBorder="1" applyAlignment="1">
      <alignment horizontal="right" vertical="center" wrapText="1"/>
    </xf>
    <xf numFmtId="0" fontId="8" fillId="0" borderId="0" xfId="2" applyFont="1"/>
    <xf numFmtId="0" fontId="2" fillId="0" borderId="4" xfId="2" applyBorder="1"/>
    <xf numFmtId="0" fontId="3" fillId="0" borderId="3" xfId="2" applyFont="1" applyBorder="1" applyAlignment="1">
      <alignment vertical="center"/>
    </xf>
    <xf numFmtId="164" fontId="2" fillId="0" borderId="0" xfId="2" applyNumberFormat="1"/>
    <xf numFmtId="37" fontId="7" fillId="0" borderId="3" xfId="4" applyFont="1" applyBorder="1" applyAlignment="1">
      <alignment horizontal="left" vertical="center"/>
    </xf>
    <xf numFmtId="37" fontId="3" fillId="0" borderId="3" xfId="4" applyFont="1" applyBorder="1" applyAlignment="1">
      <alignment vertical="center"/>
    </xf>
    <xf numFmtId="37" fontId="3" fillId="0" borderId="3" xfId="4" applyFont="1" applyBorder="1" applyAlignment="1">
      <alignment horizontal="left" vertical="center"/>
    </xf>
    <xf numFmtId="37" fontId="7" fillId="0" borderId="3" xfId="2" applyNumberFormat="1" applyFont="1" applyBorder="1" applyAlignment="1">
      <alignment vertical="center"/>
    </xf>
    <xf numFmtId="37" fontId="7" fillId="0" borderId="3" xfId="2" applyNumberFormat="1" applyFont="1" applyBorder="1" applyAlignment="1">
      <alignment horizontal="left" vertical="center"/>
    </xf>
    <xf numFmtId="0" fontId="11" fillId="0" borderId="0" xfId="2" applyFont="1"/>
    <xf numFmtId="37" fontId="12" fillId="0" borderId="5" xfId="2" applyNumberFormat="1" applyFont="1" applyBorder="1" applyAlignment="1">
      <alignment vertical="center"/>
    </xf>
    <xf numFmtId="166" fontId="12" fillId="0" borderId="5" xfId="2" applyNumberFormat="1" applyFont="1" applyBorder="1" applyAlignment="1">
      <alignment vertical="center"/>
    </xf>
    <xf numFmtId="166" fontId="13" fillId="0" borderId="6" xfId="3" quotePrefix="1" applyNumberFormat="1" applyFont="1" applyFill="1" applyBorder="1" applyAlignment="1">
      <alignment horizontal="right" vertical="center"/>
    </xf>
    <xf numFmtId="166" fontId="12" fillId="0" borderId="6" xfId="2" applyNumberFormat="1" applyFont="1" applyBorder="1" applyAlignment="1">
      <alignment vertical="center"/>
    </xf>
    <xf numFmtId="165" fontId="12" fillId="0" borderId="7" xfId="2" applyNumberFormat="1" applyFont="1" applyBorder="1"/>
    <xf numFmtId="0" fontId="14" fillId="0" borderId="6" xfId="2" applyFont="1" applyBorder="1"/>
    <xf numFmtId="0" fontId="11" fillId="0" borderId="6" xfId="2" applyFont="1" applyBorder="1" applyAlignment="1">
      <alignment horizontal="right"/>
    </xf>
    <xf numFmtId="0" fontId="11" fillId="0" borderId="6" xfId="2" applyFont="1" applyBorder="1"/>
    <xf numFmtId="0" fontId="11" fillId="0" borderId="7" xfId="2" applyFont="1" applyBorder="1"/>
    <xf numFmtId="37" fontId="7" fillId="0" borderId="0" xfId="2" applyNumberFormat="1" applyFont="1" applyAlignment="1">
      <alignment vertical="center"/>
    </xf>
    <xf numFmtId="166" fontId="7" fillId="0" borderId="0" xfId="2" applyNumberFormat="1" applyFont="1" applyAlignment="1">
      <alignment vertical="center"/>
    </xf>
    <xf numFmtId="166" fontId="3" fillId="0" borderId="0" xfId="3" quotePrefix="1" applyNumberFormat="1" applyFont="1" applyFill="1" applyBorder="1" applyAlignment="1">
      <alignment horizontal="right" vertical="center"/>
    </xf>
    <xf numFmtId="0" fontId="5" fillId="0" borderId="0" xfId="2" applyFont="1"/>
    <xf numFmtId="0" fontId="15" fillId="0" borderId="0" xfId="2" applyFont="1" applyAlignment="1">
      <alignment vertical="center"/>
    </xf>
    <xf numFmtId="0" fontId="7" fillId="0" borderId="0" xfId="2" applyFont="1" applyAlignment="1">
      <alignment vertical="center"/>
    </xf>
    <xf numFmtId="0" fontId="3" fillId="0" borderId="0" xfId="2" applyFont="1" applyAlignment="1">
      <alignment vertical="center"/>
    </xf>
    <xf numFmtId="0" fontId="16" fillId="0" borderId="0" xfId="2" applyFont="1"/>
    <xf numFmtId="37" fontId="17" fillId="0" borderId="0" xfId="2" applyNumberFormat="1" applyFont="1" applyAlignment="1">
      <alignment vertical="center"/>
    </xf>
    <xf numFmtId="166" fontId="2" fillId="0" borderId="0" xfId="2" applyNumberFormat="1" applyAlignment="1">
      <alignment vertical="center"/>
    </xf>
    <xf numFmtId="166" fontId="8" fillId="0" borderId="0" xfId="3" quotePrefix="1" applyNumberFormat="1" applyFont="1" applyFill="1" applyBorder="1" applyAlignment="1">
      <alignment horizontal="right" vertical="center"/>
    </xf>
    <xf numFmtId="0" fontId="18" fillId="0" borderId="0" xfId="2" applyFont="1"/>
    <xf numFmtId="0" fontId="19" fillId="0" borderId="0" xfId="2" applyFont="1" applyAlignment="1">
      <alignment vertical="center"/>
    </xf>
    <xf numFmtId="0" fontId="18" fillId="0" borderId="0" xfId="2" applyFont="1" applyAlignment="1">
      <alignment horizontal="left" indent="7"/>
    </xf>
    <xf numFmtId="0" fontId="2" fillId="0" borderId="0" xfId="2" applyAlignment="1">
      <alignment vertical="center"/>
    </xf>
    <xf numFmtId="37" fontId="17" fillId="0" borderId="0" xfId="2" applyNumberFormat="1" applyFont="1" applyAlignment="1" applyProtection="1">
      <alignment horizontal="left" vertical="center"/>
      <protection locked="0"/>
    </xf>
    <xf numFmtId="0" fontId="20" fillId="0" borderId="0" xfId="2" applyFont="1"/>
    <xf numFmtId="41" fontId="9" fillId="0" borderId="3" xfId="1" applyNumberFormat="1" applyFont="1" applyFill="1" applyBorder="1"/>
    <xf numFmtId="41" fontId="9" fillId="0" borderId="0" xfId="1" applyNumberFormat="1" applyFont="1" applyFill="1"/>
    <xf numFmtId="167" fontId="9" fillId="0" borderId="3" xfId="1" applyNumberFormat="1" applyFont="1" applyFill="1" applyBorder="1"/>
    <xf numFmtId="167" fontId="9" fillId="0" borderId="4" xfId="1" applyNumberFormat="1" applyFont="1" applyFill="1" applyBorder="1"/>
    <xf numFmtId="167" fontId="3" fillId="0" borderId="4" xfId="1" applyNumberFormat="1" applyFont="1" applyFill="1" applyBorder="1"/>
    <xf numFmtId="167" fontId="3" fillId="0" borderId="3" xfId="2" applyNumberFormat="1" applyFont="1" applyBorder="1" applyAlignment="1">
      <alignment vertical="center"/>
    </xf>
    <xf numFmtId="167" fontId="3" fillId="0" borderId="0" xfId="2" applyNumberFormat="1" applyFont="1" applyAlignment="1">
      <alignment vertical="center"/>
    </xf>
    <xf numFmtId="167" fontId="3" fillId="0" borderId="4" xfId="2" applyNumberFormat="1" applyFont="1" applyBorder="1" applyAlignment="1">
      <alignment vertical="center"/>
    </xf>
    <xf numFmtId="167" fontId="8" fillId="0" borderId="0" xfId="2" applyNumberFormat="1" applyFont="1"/>
    <xf numFmtId="167" fontId="2" fillId="0" borderId="0" xfId="2" applyNumberFormat="1"/>
    <xf numFmtId="167" fontId="2" fillId="0" borderId="4" xfId="2" applyNumberFormat="1" applyBorder="1"/>
    <xf numFmtId="167" fontId="9" fillId="0" borderId="0" xfId="1" applyNumberFormat="1" applyFont="1" applyFill="1" applyBorder="1"/>
    <xf numFmtId="167" fontId="8" fillId="0" borderId="4" xfId="2" applyNumberFormat="1" applyFont="1" applyBorder="1"/>
    <xf numFmtId="167" fontId="5" fillId="0" borderId="3" xfId="1" applyNumberFormat="1" applyFont="1" applyFill="1" applyBorder="1"/>
    <xf numFmtId="167" fontId="5" fillId="0" borderId="0" xfId="1" applyNumberFormat="1" applyFont="1" applyFill="1" applyBorder="1"/>
    <xf numFmtId="167" fontId="5" fillId="0" borderId="4" xfId="0" applyNumberFormat="1" applyFont="1" applyBorder="1"/>
    <xf numFmtId="167" fontId="7" fillId="0" borderId="0" xfId="3" applyNumberFormat="1" applyFont="1" applyFill="1" applyBorder="1" applyAlignment="1"/>
    <xf numFmtId="167" fontId="7" fillId="0" borderId="4" xfId="3" applyNumberFormat="1" applyFont="1" applyFill="1" applyBorder="1" applyAlignment="1"/>
    <xf numFmtId="167" fontId="7" fillId="0" borderId="0" xfId="2" applyNumberFormat="1" applyFont="1"/>
    <xf numFmtId="167" fontId="7" fillId="0" borderId="4" xfId="2" applyNumberFormat="1" applyFont="1" applyBorder="1"/>
    <xf numFmtId="0" fontId="3" fillId="0" borderId="1" xfId="2" applyFont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/>
    </xf>
    <xf numFmtId="0" fontId="3" fillId="0" borderId="8" xfId="2" applyFont="1" applyBorder="1" applyAlignment="1">
      <alignment horizontal="center" vertical="center" wrapText="1"/>
    </xf>
    <xf numFmtId="0" fontId="3" fillId="0" borderId="9" xfId="2" applyFont="1" applyBorder="1" applyAlignment="1">
      <alignment horizontal="center" vertical="center" wrapText="1"/>
    </xf>
    <xf numFmtId="0" fontId="3" fillId="0" borderId="10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</cellXfs>
  <cellStyles count="5">
    <cellStyle name="Comma" xfId="1" builtinId="3"/>
    <cellStyle name="Comma 2" xfId="3" xr:uid="{6E7FA129-DD90-4BDC-B14B-B3B4B5E9C0F4}"/>
    <cellStyle name="Normal" xfId="0" builtinId="0"/>
    <cellStyle name="Normal 3" xfId="2" xr:uid="{EC9BB937-C162-4328-A2A3-C0BF5E101A23}"/>
    <cellStyle name="Normal_Jan06_tables" xfId="4" xr:uid="{87079AE2-C7D6-4EE8-AF49-71F796CE0BD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FBA11-55CA-4B03-9C3C-A74BB799D607}">
  <dimension ref="A2:AE28"/>
  <sheetViews>
    <sheetView showGridLines="0" tabSelected="1" workbookViewId="0">
      <selection activeCell="B23" sqref="B23"/>
    </sheetView>
  </sheetViews>
  <sheetFormatPr defaultColWidth="9.140625" defaultRowHeight="14.25" x14ac:dyDescent="0.2"/>
  <cols>
    <col min="1" max="1" width="2.42578125" style="3" customWidth="1"/>
    <col min="2" max="2" width="50.42578125" style="3" customWidth="1"/>
    <col min="3" max="3" width="11.7109375" style="3" bestFit="1" customWidth="1"/>
    <col min="4" max="4" width="9.5703125" style="3" bestFit="1" customWidth="1"/>
    <col min="5" max="7" width="10.5703125" style="3" bestFit="1" customWidth="1"/>
    <col min="8" max="8" width="11.7109375" style="3" bestFit="1" customWidth="1"/>
    <col min="9" max="9" width="9.28515625" style="3" bestFit="1" customWidth="1"/>
    <col min="10" max="10" width="10.140625" style="3" bestFit="1" customWidth="1"/>
    <col min="11" max="16" width="9.28515625" style="3" bestFit="1" customWidth="1"/>
    <col min="17" max="16384" width="9.140625" style="3"/>
  </cols>
  <sheetData>
    <row r="2" spans="2:31" ht="17.25" x14ac:dyDescent="0.2">
      <c r="B2" s="70" t="s">
        <v>0</v>
      </c>
      <c r="C2" s="70"/>
      <c r="D2" s="70"/>
      <c r="E2" s="70"/>
      <c r="F2" s="70"/>
      <c r="G2" s="70"/>
      <c r="H2" s="70"/>
      <c r="I2" s="70"/>
      <c r="J2" s="70"/>
      <c r="K2" s="70"/>
      <c r="L2" s="70"/>
      <c r="M2" s="70"/>
      <c r="N2" s="70"/>
      <c r="O2" s="70"/>
      <c r="P2" s="70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2:31" ht="15" x14ac:dyDescent="0.2">
      <c r="B3" s="4"/>
      <c r="C3" s="5"/>
      <c r="D3" s="5"/>
      <c r="E3" s="6"/>
      <c r="F3" s="6"/>
      <c r="G3" s="6"/>
      <c r="H3" s="6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2:31" ht="15" x14ac:dyDescent="0.2">
      <c r="B4" s="71" t="s">
        <v>26</v>
      </c>
      <c r="C4" s="69" t="s">
        <v>1</v>
      </c>
      <c r="D4" s="69"/>
      <c r="E4" s="69"/>
      <c r="F4" s="69"/>
      <c r="G4" s="69"/>
      <c r="H4" s="69"/>
      <c r="I4" s="69"/>
      <c r="J4" s="74" t="s">
        <v>2</v>
      </c>
      <c r="K4" s="69"/>
      <c r="L4" s="69"/>
      <c r="M4" s="69"/>
      <c r="N4" s="69"/>
      <c r="O4" s="69"/>
      <c r="P4" s="69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2:31" ht="15" x14ac:dyDescent="0.2">
      <c r="B5" s="72"/>
      <c r="C5" s="69" t="s">
        <v>3</v>
      </c>
      <c r="D5" s="69" t="s">
        <v>4</v>
      </c>
      <c r="E5" s="67" t="s">
        <v>5</v>
      </c>
      <c r="F5" s="67"/>
      <c r="G5" s="67"/>
      <c r="H5" s="67"/>
      <c r="I5" s="69" t="s">
        <v>6</v>
      </c>
      <c r="J5" s="74" t="s">
        <v>3</v>
      </c>
      <c r="K5" s="69" t="s">
        <v>4</v>
      </c>
      <c r="L5" s="67" t="s">
        <v>5</v>
      </c>
      <c r="M5" s="67"/>
      <c r="N5" s="67"/>
      <c r="O5" s="67"/>
      <c r="P5" s="69" t="s">
        <v>6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2:31" x14ac:dyDescent="0.2">
      <c r="B6" s="72"/>
      <c r="C6" s="69"/>
      <c r="D6" s="69"/>
      <c r="E6" s="69" t="s">
        <v>7</v>
      </c>
      <c r="F6" s="67" t="s">
        <v>8</v>
      </c>
      <c r="G6" s="67" t="s">
        <v>9</v>
      </c>
      <c r="H6" s="69" t="s">
        <v>10</v>
      </c>
      <c r="I6" s="69"/>
      <c r="J6" s="74"/>
      <c r="K6" s="69"/>
      <c r="L6" s="69" t="s">
        <v>7</v>
      </c>
      <c r="M6" s="67" t="s">
        <v>8</v>
      </c>
      <c r="N6" s="67" t="s">
        <v>9</v>
      </c>
      <c r="O6" s="69" t="s">
        <v>10</v>
      </c>
      <c r="P6" s="69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2:31" x14ac:dyDescent="0.2">
      <c r="B7" s="73"/>
      <c r="C7" s="69"/>
      <c r="D7" s="69"/>
      <c r="E7" s="69"/>
      <c r="F7" s="68"/>
      <c r="G7" s="68"/>
      <c r="H7" s="69"/>
      <c r="I7" s="69"/>
      <c r="J7" s="74"/>
      <c r="K7" s="69"/>
      <c r="L7" s="69"/>
      <c r="M7" s="68"/>
      <c r="N7" s="68"/>
      <c r="O7" s="69"/>
      <c r="P7" s="69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2:31" ht="15" x14ac:dyDescent="0.2">
      <c r="B8" s="7"/>
      <c r="C8" s="8"/>
      <c r="D8" s="9"/>
      <c r="E8" s="1"/>
      <c r="F8" s="1"/>
      <c r="G8" s="1"/>
      <c r="H8" s="1"/>
      <c r="I8" s="10"/>
      <c r="J8" s="11"/>
      <c r="K8" s="2"/>
      <c r="L8" s="2"/>
      <c r="M8" s="2"/>
      <c r="N8" s="2"/>
      <c r="O8" s="2"/>
      <c r="P8" s="1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2:31" ht="15" x14ac:dyDescent="0.25">
      <c r="B9" s="13" t="s">
        <v>11</v>
      </c>
      <c r="C9" s="47">
        <v>48950.548000000003</v>
      </c>
      <c r="D9" s="48">
        <v>439.42899999999997</v>
      </c>
      <c r="E9" s="48">
        <v>7185.8850000000002</v>
      </c>
      <c r="F9" s="48">
        <v>4336.3599999999997</v>
      </c>
      <c r="G9" s="48">
        <v>4433.0950000000003</v>
      </c>
      <c r="H9" s="48">
        <v>32555.777999999998</v>
      </c>
      <c r="I9" s="50">
        <v>40.075000000000003</v>
      </c>
      <c r="J9" s="47">
        <v>1006.633</v>
      </c>
      <c r="K9" s="48">
        <v>75.628</v>
      </c>
      <c r="L9" s="48">
        <v>415.13</v>
      </c>
      <c r="M9" s="48">
        <v>178.65</v>
      </c>
      <c r="N9" s="48">
        <v>214.78399999999999</v>
      </c>
      <c r="O9" s="48">
        <v>795.94100000000003</v>
      </c>
      <c r="P9" s="51">
        <v>0.35899999999999999</v>
      </c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</row>
    <row r="10" spans="2:31" ht="15" x14ac:dyDescent="0.2">
      <c r="B10" s="15" t="s">
        <v>12</v>
      </c>
      <c r="C10" s="52"/>
      <c r="D10" s="53"/>
      <c r="E10" s="53"/>
      <c r="F10" s="53"/>
      <c r="G10" s="53"/>
      <c r="H10" s="53"/>
      <c r="I10" s="54"/>
      <c r="J10" s="55"/>
      <c r="K10" s="56"/>
      <c r="L10" s="56"/>
      <c r="M10" s="56"/>
      <c r="N10" s="56"/>
      <c r="O10" s="56"/>
      <c r="P10" s="57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2:31" ht="15" x14ac:dyDescent="0.2">
      <c r="B11" s="16"/>
      <c r="C11" s="52"/>
      <c r="D11" s="53"/>
      <c r="E11" s="53"/>
      <c r="F11" s="53"/>
      <c r="G11" s="53"/>
      <c r="H11" s="53"/>
      <c r="I11" s="54"/>
      <c r="J11" s="55"/>
      <c r="K11" s="56"/>
      <c r="L11" s="56"/>
      <c r="M11" s="56"/>
      <c r="N11" s="56"/>
      <c r="O11" s="56"/>
      <c r="P11" s="57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2:31" ht="15" x14ac:dyDescent="0.25">
      <c r="B12" s="17" t="s">
        <v>3</v>
      </c>
      <c r="C12" s="49">
        <f>SUM(C13:C22)</f>
        <v>100.00000000000001</v>
      </c>
      <c r="D12" s="58">
        <f t="shared" ref="D12:H12" si="0">SUM(D13:D22)</f>
        <v>99.998999999999995</v>
      </c>
      <c r="E12" s="58">
        <f t="shared" si="0"/>
        <v>100.00000000000001</v>
      </c>
      <c r="F12" s="58">
        <f t="shared" si="0"/>
        <v>100</v>
      </c>
      <c r="G12" s="58">
        <f t="shared" si="0"/>
        <v>100.00099999999999</v>
      </c>
      <c r="H12" s="58">
        <f t="shared" si="0"/>
        <v>100.00099999999999</v>
      </c>
      <c r="I12" s="50"/>
      <c r="J12" s="55"/>
      <c r="K12" s="55"/>
      <c r="L12" s="55"/>
      <c r="M12" s="55"/>
      <c r="N12" s="55"/>
      <c r="O12" s="55"/>
      <c r="P12" s="59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</row>
    <row r="13" spans="2:31" x14ac:dyDescent="0.2">
      <c r="B13" s="18" t="s">
        <v>13</v>
      </c>
      <c r="C13" s="60">
        <v>2.8650000000000002</v>
      </c>
      <c r="D13" s="61">
        <v>4.3</v>
      </c>
      <c r="E13" s="61">
        <v>4.3540000000000001</v>
      </c>
      <c r="F13" s="61">
        <v>1.266</v>
      </c>
      <c r="G13" s="61">
        <v>1.702</v>
      </c>
      <c r="H13" s="61">
        <v>2.8889999999999998</v>
      </c>
      <c r="I13" s="62">
        <v>37.725999999999999</v>
      </c>
      <c r="J13" s="63">
        <v>0.17599999999999999</v>
      </c>
      <c r="K13" s="63">
        <v>2.125</v>
      </c>
      <c r="L13" s="63">
        <v>0.52600000000000002</v>
      </c>
      <c r="M13" s="63">
        <v>0.28100000000000003</v>
      </c>
      <c r="N13" s="63">
        <v>0.39100000000000001</v>
      </c>
      <c r="O13" s="63">
        <v>0.21299999999999999</v>
      </c>
      <c r="P13" s="64">
        <v>1.056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2:31" x14ac:dyDescent="0.2">
      <c r="B14" s="19" t="s">
        <v>14</v>
      </c>
      <c r="C14" s="60">
        <v>5.5</v>
      </c>
      <c r="D14" s="61">
        <v>2.556</v>
      </c>
      <c r="E14" s="61">
        <v>2.488</v>
      </c>
      <c r="F14" s="61">
        <v>1.5109999999999999</v>
      </c>
      <c r="G14" s="61">
        <v>2.077</v>
      </c>
      <c r="H14" s="61">
        <v>7.202</v>
      </c>
      <c r="I14" s="62">
        <v>39.292000000000002</v>
      </c>
      <c r="J14" s="65">
        <v>0.311</v>
      </c>
      <c r="K14" s="65">
        <v>1.6539999999999999</v>
      </c>
      <c r="L14" s="65">
        <v>0.71799999999999997</v>
      </c>
      <c r="M14" s="65">
        <v>0.376</v>
      </c>
      <c r="N14" s="65">
        <v>0.49099999999999999</v>
      </c>
      <c r="O14" s="65">
        <v>0.42699999999999999</v>
      </c>
      <c r="P14" s="66">
        <v>0.751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2:31" x14ac:dyDescent="0.2">
      <c r="B15" s="19" t="s">
        <v>15</v>
      </c>
      <c r="C15" s="60">
        <v>3.927</v>
      </c>
      <c r="D15" s="61">
        <v>4.9269999999999996</v>
      </c>
      <c r="E15" s="61">
        <v>4.1589999999999998</v>
      </c>
      <c r="F15" s="61">
        <v>2.1560000000000001</v>
      </c>
      <c r="G15" s="61">
        <v>1.3839999999999999</v>
      </c>
      <c r="H15" s="61">
        <v>4.4450000000000003</v>
      </c>
      <c r="I15" s="62">
        <v>37.734000000000002</v>
      </c>
      <c r="J15" s="65">
        <v>0.245</v>
      </c>
      <c r="K15" s="65">
        <v>2.4500000000000002</v>
      </c>
      <c r="L15" s="65">
        <v>0.495</v>
      </c>
      <c r="M15" s="65">
        <v>0.45700000000000002</v>
      </c>
      <c r="N15" s="65">
        <v>0.33800000000000002</v>
      </c>
      <c r="O15" s="65">
        <v>0.32700000000000001</v>
      </c>
      <c r="P15" s="66">
        <v>0.82499999999999996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2:31" x14ac:dyDescent="0.2">
      <c r="B16" s="19" t="s">
        <v>16</v>
      </c>
      <c r="C16" s="60">
        <v>7.4980000000000002</v>
      </c>
      <c r="D16" s="61">
        <v>2.7749999999999999</v>
      </c>
      <c r="E16" s="61">
        <v>1.4990000000000001</v>
      </c>
      <c r="F16" s="61">
        <v>2.1949999999999998</v>
      </c>
      <c r="G16" s="61">
        <v>1.929</v>
      </c>
      <c r="H16" s="61">
        <v>10.351000000000001</v>
      </c>
      <c r="I16" s="62">
        <v>42.62</v>
      </c>
      <c r="J16" s="65">
        <v>0.33600000000000002</v>
      </c>
      <c r="K16" s="65">
        <v>1.206</v>
      </c>
      <c r="L16" s="65">
        <v>0.61699999999999999</v>
      </c>
      <c r="M16" s="65">
        <v>0.502</v>
      </c>
      <c r="N16" s="65">
        <v>0.56000000000000005</v>
      </c>
      <c r="O16" s="65">
        <v>0.45700000000000002</v>
      </c>
      <c r="P16" s="66">
        <v>0.53600000000000003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16" x14ac:dyDescent="0.2">
      <c r="A17" s="2"/>
      <c r="B17" s="19" t="s">
        <v>17</v>
      </c>
      <c r="C17" s="60">
        <v>24.472000000000001</v>
      </c>
      <c r="D17" s="61">
        <v>17.295999999999999</v>
      </c>
      <c r="E17" s="61">
        <v>19.495999999999999</v>
      </c>
      <c r="F17" s="61">
        <v>17.466000000000001</v>
      </c>
      <c r="G17" s="61">
        <v>18.713000000000001</v>
      </c>
      <c r="H17" s="61">
        <v>27.384</v>
      </c>
      <c r="I17" s="62">
        <v>45.984999999999999</v>
      </c>
      <c r="J17" s="65">
        <v>0.54600000000000004</v>
      </c>
      <c r="K17" s="65">
        <v>4.8289999999999997</v>
      </c>
      <c r="L17" s="65">
        <v>1.258</v>
      </c>
      <c r="M17" s="65">
        <v>1.3160000000000001</v>
      </c>
      <c r="N17" s="65">
        <v>1.611</v>
      </c>
      <c r="O17" s="65">
        <v>0.61099999999999999</v>
      </c>
      <c r="P17" s="66">
        <v>0.49199999999999999</v>
      </c>
    </row>
    <row r="18" spans="1:16" x14ac:dyDescent="0.2">
      <c r="A18" s="2"/>
      <c r="B18" s="18" t="s">
        <v>18</v>
      </c>
      <c r="C18" s="60">
        <v>10.736000000000001</v>
      </c>
      <c r="D18" s="61">
        <v>15.191000000000001</v>
      </c>
      <c r="E18" s="61">
        <v>19.788</v>
      </c>
      <c r="F18" s="61">
        <v>25.149000000000001</v>
      </c>
      <c r="G18" s="61">
        <v>25.206</v>
      </c>
      <c r="H18" s="61">
        <v>4.7880000000000003</v>
      </c>
      <c r="I18" s="62">
        <v>29.396000000000001</v>
      </c>
      <c r="J18" s="65">
        <v>0.49299999999999999</v>
      </c>
      <c r="K18" s="65">
        <v>3.17</v>
      </c>
      <c r="L18" s="65">
        <v>1.429</v>
      </c>
      <c r="M18" s="65">
        <v>1.5940000000000001</v>
      </c>
      <c r="N18" s="65">
        <v>2.1779999999999999</v>
      </c>
      <c r="O18" s="65">
        <v>0.35</v>
      </c>
      <c r="P18" s="66">
        <v>0.68</v>
      </c>
    </row>
    <row r="19" spans="1:16" x14ac:dyDescent="0.2">
      <c r="A19" s="2"/>
      <c r="B19" s="18" t="s">
        <v>19</v>
      </c>
      <c r="C19" s="60">
        <v>7.4980000000000002</v>
      </c>
      <c r="D19" s="61">
        <v>9.0039999999999996</v>
      </c>
      <c r="E19" s="61">
        <v>4.7450000000000001</v>
      </c>
      <c r="F19" s="61">
        <v>5.0519999999999996</v>
      </c>
      <c r="G19" s="61">
        <v>6.9139999999999997</v>
      </c>
      <c r="H19" s="61">
        <v>8.49</v>
      </c>
      <c r="I19" s="62">
        <v>42.4</v>
      </c>
      <c r="J19" s="65">
        <v>0.39700000000000002</v>
      </c>
      <c r="K19" s="65">
        <v>2.964</v>
      </c>
      <c r="L19" s="65">
        <v>0.62</v>
      </c>
      <c r="M19" s="65">
        <v>0.81</v>
      </c>
      <c r="N19" s="65">
        <v>1.079</v>
      </c>
      <c r="O19" s="65">
        <v>0.48</v>
      </c>
      <c r="P19" s="66">
        <v>0.82499999999999996</v>
      </c>
    </row>
    <row r="20" spans="1:16" x14ac:dyDescent="0.2">
      <c r="A20" s="2"/>
      <c r="B20" s="18" t="s">
        <v>20</v>
      </c>
      <c r="C20" s="60">
        <v>8.3889999999999993</v>
      </c>
      <c r="D20" s="61">
        <v>3.5390000000000001</v>
      </c>
      <c r="E20" s="61">
        <v>3.4849999999999999</v>
      </c>
      <c r="F20" s="61">
        <v>5.2080000000000002</v>
      </c>
      <c r="G20" s="61">
        <v>8.8330000000000002</v>
      </c>
      <c r="H20" s="61">
        <v>9.9009999999999998</v>
      </c>
      <c r="I20" s="62">
        <v>45.524000000000001</v>
      </c>
      <c r="J20" s="65">
        <v>0.36199999999999999</v>
      </c>
      <c r="K20" s="65">
        <v>1.601</v>
      </c>
      <c r="L20" s="65">
        <v>0.621</v>
      </c>
      <c r="M20" s="65">
        <v>0.82899999999999996</v>
      </c>
      <c r="N20" s="65">
        <v>1.1479999999999999</v>
      </c>
      <c r="O20" s="65">
        <v>0.46500000000000002</v>
      </c>
      <c r="P20" s="66">
        <v>0.67500000000000004</v>
      </c>
    </row>
    <row r="21" spans="1:16" x14ac:dyDescent="0.2">
      <c r="A21" s="2"/>
      <c r="B21" s="18" t="s">
        <v>21</v>
      </c>
      <c r="C21" s="60">
        <v>28.812999999999999</v>
      </c>
      <c r="D21" s="61">
        <v>39.832000000000001</v>
      </c>
      <c r="E21" s="61">
        <v>39.875</v>
      </c>
      <c r="F21" s="61">
        <v>39.997</v>
      </c>
      <c r="G21" s="61">
        <v>33.186999999999998</v>
      </c>
      <c r="H21" s="61">
        <v>24.137</v>
      </c>
      <c r="I21" s="62">
        <v>36.695</v>
      </c>
      <c r="J21" s="65">
        <v>0.70699999999999996</v>
      </c>
      <c r="K21" s="65">
        <v>6.0919999999999996</v>
      </c>
      <c r="L21" s="65">
        <v>1.974</v>
      </c>
      <c r="M21" s="65">
        <v>1.871</v>
      </c>
      <c r="N21" s="65">
        <v>2.262</v>
      </c>
      <c r="O21" s="65">
        <v>0.753</v>
      </c>
      <c r="P21" s="66">
        <v>0.49199999999999999</v>
      </c>
    </row>
    <row r="22" spans="1:16" x14ac:dyDescent="0.2">
      <c r="A22" s="2"/>
      <c r="B22" s="18" t="s">
        <v>27</v>
      </c>
      <c r="C22" s="60">
        <v>0.30199999999999999</v>
      </c>
      <c r="D22" s="61">
        <v>0.57899999999999996</v>
      </c>
      <c r="E22" s="61">
        <v>0.111</v>
      </c>
      <c r="F22" s="61">
        <v>0</v>
      </c>
      <c r="G22" s="61">
        <v>5.6000000000000001E-2</v>
      </c>
      <c r="H22" s="61">
        <v>0.41399999999999998</v>
      </c>
      <c r="I22" s="62">
        <v>53.064</v>
      </c>
      <c r="J22" s="65">
        <v>8.1000000000000003E-2</v>
      </c>
      <c r="K22" s="65">
        <v>0.58399999999999996</v>
      </c>
      <c r="L22" s="65">
        <v>0.11</v>
      </c>
      <c r="M22" s="65">
        <v>0</v>
      </c>
      <c r="N22" s="65">
        <v>5.6000000000000001E-2</v>
      </c>
      <c r="O22" s="65">
        <v>0.11899999999999999</v>
      </c>
      <c r="P22" s="66">
        <v>5.5579999999999998</v>
      </c>
    </row>
    <row r="23" spans="1:16" ht="15" x14ac:dyDescent="0.2">
      <c r="A23" s="20"/>
      <c r="B23" s="21"/>
      <c r="C23" s="22"/>
      <c r="D23" s="23"/>
      <c r="E23" s="23"/>
      <c r="F23" s="23"/>
      <c r="G23" s="23"/>
      <c r="H23" s="24"/>
      <c r="I23" s="25"/>
      <c r="J23" s="26"/>
      <c r="K23" s="27"/>
      <c r="L23" s="28"/>
      <c r="M23" s="28"/>
      <c r="N23" s="28"/>
      <c r="O23" s="28"/>
      <c r="P23" s="29"/>
    </row>
    <row r="24" spans="1:16" ht="15" x14ac:dyDescent="0.2">
      <c r="A24" s="30"/>
      <c r="B24" s="38" t="s">
        <v>22</v>
      </c>
      <c r="C24" s="39"/>
      <c r="D24" s="40"/>
      <c r="E24" s="31"/>
      <c r="F24" s="31"/>
      <c r="G24" s="32"/>
      <c r="H24" s="2"/>
      <c r="I24" s="2"/>
      <c r="J24" s="2"/>
      <c r="K24" s="2"/>
      <c r="L24" s="2"/>
      <c r="M24" s="2"/>
      <c r="N24" s="2"/>
      <c r="O24" s="2"/>
      <c r="P24" s="2"/>
    </row>
    <row r="25" spans="1:16" ht="15" x14ac:dyDescent="0.2">
      <c r="A25" s="33"/>
      <c r="B25" s="41"/>
      <c r="C25" s="42"/>
      <c r="D25" s="42"/>
      <c r="E25" s="34"/>
      <c r="F25" s="34"/>
      <c r="G25" s="35"/>
      <c r="H25" s="35"/>
      <c r="I25" s="35"/>
      <c r="J25" s="36"/>
      <c r="K25" s="35"/>
      <c r="L25" s="35"/>
      <c r="M25" s="35"/>
      <c r="N25" s="35"/>
      <c r="O25" s="35"/>
      <c r="P25" s="35"/>
    </row>
    <row r="26" spans="1:16" ht="15" x14ac:dyDescent="0.2">
      <c r="A26" s="33"/>
      <c r="B26" s="41" t="s">
        <v>23</v>
      </c>
      <c r="C26" s="42"/>
      <c r="D26" s="42"/>
      <c r="E26" s="34"/>
      <c r="F26" s="34"/>
      <c r="G26" s="35"/>
      <c r="H26" s="35"/>
      <c r="I26" s="35"/>
      <c r="J26" s="36"/>
      <c r="K26" s="35"/>
      <c r="L26" s="35"/>
      <c r="M26" s="35"/>
      <c r="N26" s="35"/>
      <c r="O26" s="35"/>
      <c r="P26" s="35"/>
    </row>
    <row r="27" spans="1:16" ht="15" x14ac:dyDescent="0.2">
      <c r="A27" s="33"/>
      <c r="B27" s="43" t="s">
        <v>25</v>
      </c>
      <c r="C27" s="44"/>
      <c r="D27" s="44"/>
      <c r="E27" s="35"/>
      <c r="F27" s="35"/>
      <c r="G27" s="35"/>
      <c r="H27" s="35"/>
      <c r="I27" s="35"/>
      <c r="J27" s="36"/>
      <c r="K27" s="35"/>
      <c r="L27" s="35"/>
      <c r="M27" s="35"/>
      <c r="N27" s="35"/>
      <c r="O27" s="35"/>
      <c r="P27" s="35"/>
    </row>
    <row r="28" spans="1:16" x14ac:dyDescent="0.2">
      <c r="A28" s="2"/>
      <c r="B28" s="45" t="s">
        <v>24</v>
      </c>
      <c r="C28" s="46"/>
      <c r="D28" s="46"/>
      <c r="E28" s="37"/>
      <c r="F28" s="37"/>
      <c r="G28" s="37"/>
      <c r="H28" s="37"/>
      <c r="I28" s="37"/>
      <c r="J28" s="2"/>
      <c r="K28" s="2"/>
      <c r="L28" s="2"/>
      <c r="M28" s="2"/>
      <c r="N28" s="2"/>
      <c r="O28" s="2"/>
      <c r="P28" s="2"/>
    </row>
  </sheetData>
  <mergeCells count="20">
    <mergeCell ref="N6:N7"/>
    <mergeCell ref="O6:O7"/>
    <mergeCell ref="B2:P2"/>
    <mergeCell ref="B4:B7"/>
    <mergeCell ref="C4:I4"/>
    <mergeCell ref="J4:P4"/>
    <mergeCell ref="C5:C7"/>
    <mergeCell ref="D5:D7"/>
    <mergeCell ref="E5:H5"/>
    <mergeCell ref="I5:I7"/>
    <mergeCell ref="J5:J7"/>
    <mergeCell ref="K5:K7"/>
    <mergeCell ref="L5:O5"/>
    <mergeCell ref="P5:P7"/>
    <mergeCell ref="E6:E7"/>
    <mergeCell ref="F6:F7"/>
    <mergeCell ref="G6:G7"/>
    <mergeCell ref="H6:H7"/>
    <mergeCell ref="L6:L7"/>
    <mergeCell ref="M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Statistical_Tab 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SOL LAZO</cp:lastModifiedBy>
  <dcterms:created xsi:type="dcterms:W3CDTF">2025-10-21T11:46:00Z</dcterms:created>
  <dcterms:modified xsi:type="dcterms:W3CDTF">2025-12-16T05:34:23Z</dcterms:modified>
</cp:coreProperties>
</file>