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2 - FEB 2024\"/>
    </mc:Choice>
  </mc:AlternateContent>
  <xr:revisionPtr revIDLastSave="0" documentId="13_ncr:1_{ECA50B6C-CFEB-4E78-8F88-79D315757357}" xr6:coauthVersionLast="47" xr6:coauthVersionMax="47" xr10:uidLastSave="{00000000-0000-0000-0000-000000000000}"/>
  <bookViews>
    <workbookView xWindow="-120" yWindow="-120" windowWidth="29040" windowHeight="15720" xr2:uid="{0688CD71-E7BD-4952-94C5-DD7AB7C090A6}"/>
  </bookViews>
  <sheets>
    <sheet name="Statistical_Tab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M38" i="1"/>
  <c r="L38" i="1"/>
  <c r="K38" i="1"/>
  <c r="J38" i="1"/>
  <c r="I38" i="1"/>
  <c r="H38" i="1"/>
  <c r="G38" i="1"/>
  <c r="F38" i="1"/>
  <c r="E38" i="1"/>
  <c r="D38" i="1"/>
  <c r="C38" i="1"/>
  <c r="N27" i="1"/>
  <c r="M27" i="1"/>
  <c r="L27" i="1"/>
  <c r="K27" i="1"/>
  <c r="J27" i="1"/>
  <c r="I27" i="1"/>
  <c r="H27" i="1"/>
  <c r="G27" i="1"/>
  <c r="F27" i="1"/>
  <c r="E27" i="1"/>
  <c r="D27" i="1"/>
  <c r="C27" i="1"/>
  <c r="N1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<sst xmlns="http://schemas.openxmlformats.org/spreadsheetml/2006/main" count="72" uniqueCount="29">
  <si>
    <r>
      <t>TABLE 5  Percent Distribution of Employed Persons by Highest Grade Completed, Sex, and Age Group: February 2024</t>
    </r>
    <r>
      <rPr>
        <b/>
        <vertAlign val="superscript"/>
        <sz val="11"/>
        <rFont val="Arial"/>
        <family val="2"/>
      </rPr>
      <t>f</t>
    </r>
  </si>
  <si>
    <t>Sex and Age Group</t>
  </si>
  <si>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</si>
  <si>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</si>
  <si>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</si>
  <si>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</si>
  <si>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</si>
  <si>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</si>
  <si>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</si>
  <si>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</si>
  <si>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secondary</t>
  </si>
  <si>
    <t>College</t>
  </si>
  <si>
    <t>Under-graduate</t>
  </si>
  <si>
    <t>Graduate</t>
  </si>
  <si>
    <t>Philippines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</si>
  <si>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</si>
  <si>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</si>
  <si>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</si>
  <si>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</si>
  <si>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</si>
  <si>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</si>
  <si>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</si>
  <si>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</si>
  <si>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</si>
  <si>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</si>
  <si>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</si>
  <si>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Notes: "-" indicator equals to 0</t>
  </si>
  <si>
    <t xml:space="preserve">  Details may not add up to totals due to rounding.</t>
  </si>
  <si>
    <t xml:space="preserve"> Source:  Philippine Statistics Authority, February 2024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</si>
</sst>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#,##0.0_);\(#,##0.0\)"/>
    <numFmt numFmtId="165" formatCode="_(* #,##0.0_);_(* \(#,##0.0\);_(* &quot;-&quot;_);_(@_)"/>
    <numFmt numFmtId="166" formatCode="_(* #,##0.0_);_(* \(#,##0.0\);_(* &quot;-&quot;??_);_(@_)"/>
    <numFmt numFmtId="167" formatCode="#,##0;[Red]#,##0"/>
    <numFmt numFmtId="168" formatCode="_(* #,##0_);_(* \(#,##0\);_(* &quot;-&quot;??_);_(@_)"/>
    <numFmt numFmtId="169" formatCode="#,##0.000,"/>
    <numFmt numFmtId="170" formatCode="_-* #,##0_-;\-* #,##0_-;_-* &quot;-&quot;??_-;_-@_-"/>
    <numFmt numFmtId="173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37" fontId="2" fillId="0" borderId="0"/>
    <xf numFmtId="0" fontId="7" fillId="0" borderId="0"/>
    <xf numFmtId="43" fontId="7" fillId="0" borderId="0" applyFont="0" applyFill="0" applyBorder="0" applyAlignment="0" applyProtection="0"/>
  </cellStyleXfs>
  <cellXfs count="68">
    <xf numFmtId="0" fontId="0" fillId="0" borderId="0" xfId="0"/>
    <xf numFmtId="0" fontId="5" fillId="0" borderId="0" xfId="0" applyFont="1"/>
    <xf numFmtId="37" fontId="3" fillId="0" borderId="0" xfId="2" applyFont="1" applyAlignment="1">
      <alignment horizontal="center" vertical="center"/>
    </xf>
    <xf numFmtId="37" fontId="6" fillId="0" borderId="0" xfId="2" applyFont="1" applyAlignment="1">
      <alignment vertical="center"/>
    </xf>
    <xf numFmtId="37" fontId="3" fillId="0" borderId="3" xfId="2" applyFont="1" applyBorder="1" applyAlignment="1">
      <alignment horizontal="center" vertical="center"/>
    </xf>
    <xf numFmtId="37" fontId="6" fillId="0" borderId="4" xfId="2" applyFont="1" applyBorder="1" applyAlignment="1">
      <alignment vertical="center"/>
    </xf>
    <xf numFmtId="37" fontId="3" fillId="0" borderId="3" xfId="2" applyFont="1" applyBorder="1" applyAlignment="1">
      <alignment horizontal="left" vertical="center"/>
    </xf>
    <xf numFmtId="37" fontId="3" fillId="0" borderId="0" xfId="2" applyFont="1" applyAlignment="1">
      <alignment vertical="center"/>
    </xf>
    <xf numFmtId="37" fontId="3" fillId="0" borderId="4" xfId="2" applyFont="1" applyBorder="1" applyAlignment="1">
      <alignment vertical="center"/>
    </xf>
    <xf numFmtId="37" fontId="3" fillId="0" borderId="3" xfId="2" applyFont="1" applyBorder="1" applyAlignment="1">
      <alignment vertical="center"/>
    </xf>
    <xf numFmtId="41" fontId="3" fillId="0" borderId="3" xfId="4" applyNumberFormat="1" applyFont="1" applyBorder="1"/>
    <xf numFmtId="41" fontId="3" fillId="0" borderId="0" xfId="4" applyNumberFormat="1" applyFont="1" applyBorder="1"/>
    <xf numFmtId="41" fontId="3" fillId="0" borderId="4" xfId="4" applyNumberFormat="1" applyFont="1" applyBorder="1"/>
    <xf numFmtId="37" fontId="6" fillId="0" borderId="3" xfId="2" applyFont="1" applyBorder="1" applyAlignment="1">
      <alignment vertical="center"/>
    </xf>
    <xf numFmtId="41" fontId="3" fillId="0" borderId="0" xfId="3" applyNumberFormat="1" applyFont="1" applyAlignment="1">
      <alignment vertical="center"/>
    </xf>
    <xf numFmtId="41" fontId="3" fillId="0" borderId="3" xfId="3" applyNumberFormat="1" applyFont="1" applyBorder="1" applyAlignment="1">
      <alignment vertical="center"/>
    </xf>
    <xf numFmtId="41" fontId="3" fillId="0" borderId="4" xfId="3" applyNumberFormat="1" applyFont="1" applyBorder="1" applyAlignment="1">
      <alignment vertical="center"/>
    </xf>
    <xf numFmtId="164" fontId="3" fillId="0" borderId="3" xfId="2" applyNumberFormat="1" applyFont="1" applyBorder="1" applyAlignment="1">
      <alignment horizontal="left" vertical="center"/>
    </xf>
    <xf numFmtId="37" fontId="6" fillId="0" borderId="3" xfId="2" applyFont="1" applyBorder="1" applyAlignment="1">
      <alignment horizontal="left" vertical="center" indent="1"/>
    </xf>
    <xf numFmtId="165" fontId="6" fillId="0" borderId="3" xfId="4" applyNumberFormat="1" applyFont="1" applyBorder="1" applyAlignment="1">
      <alignment vertical="center"/>
    </xf>
    <xf numFmtId="165" fontId="6" fillId="0" borderId="0" xfId="4" applyNumberFormat="1" applyFont="1" applyBorder="1" applyAlignment="1">
      <alignment vertical="center"/>
    </xf>
    <xf numFmtId="165" fontId="6" fillId="0" borderId="4" xfId="4" applyNumberFormat="1" applyFont="1" applyBorder="1" applyAlignment="1">
      <alignment vertical="center"/>
    </xf>
    <xf numFmtId="165" fontId="6" fillId="0" borderId="0" xfId="3" quotePrefix="1" applyNumberFormat="1" applyFont="1" applyAlignment="1">
      <alignment horizontal="right" vertical="center"/>
    </xf>
    <xf numFmtId="37" fontId="3" fillId="0" borderId="3" xfId="2" applyFont="1" applyBorder="1" applyAlignment="1">
      <alignment horizontal="left" vertical="center" indent="1"/>
    </xf>
    <xf numFmtId="41" fontId="3" fillId="0" borderId="0" xfId="4" applyNumberFormat="1" applyFont="1" applyBorder="1" applyAlignment="1">
      <alignment vertical="center"/>
    </xf>
    <xf numFmtId="41" fontId="3" fillId="0" borderId="3" xfId="4" applyNumberFormat="1" applyFont="1" applyBorder="1" applyAlignment="1">
      <alignment vertical="center"/>
    </xf>
    <xf numFmtId="41" fontId="3" fillId="0" borderId="4" xfId="4" applyNumberFormat="1" applyFont="1" applyBorder="1" applyAlignment="1">
      <alignment vertical="center"/>
    </xf>
    <xf numFmtId="37" fontId="6" fillId="0" borderId="5" xfId="2" applyFont="1" applyBorder="1" applyAlignment="1">
      <alignment vertical="center"/>
    </xf>
    <xf numFmtId="166" fontId="6" fillId="0" borderId="6" xfId="2" applyNumberFormat="1" applyFont="1" applyBorder="1" applyAlignment="1">
      <alignment vertical="center"/>
    </xf>
    <xf numFmtId="166" fontId="6" fillId="0" borderId="5" xfId="2" applyNumberFormat="1" applyFont="1" applyBorder="1" applyAlignment="1">
      <alignment vertical="center"/>
    </xf>
    <xf numFmtId="166" fontId="6" fillId="0" borderId="7" xfId="2" applyNumberFormat="1" applyFont="1" applyBorder="1" applyAlignment="1">
      <alignment vertical="center"/>
    </xf>
    <xf numFmtId="37" fontId="9" fillId="0" borderId="0" xfId="2" applyFont="1" applyAlignment="1">
      <alignment vertical="center"/>
    </xf>
    <xf numFmtId="166" fontId="6" fillId="0" borderId="0" xfId="2" applyNumberFormat="1" applyFont="1" applyAlignment="1">
      <alignment vertical="center"/>
    </xf>
    <xf numFmtId="37" fontId="7" fillId="0" borderId="0" xfId="2" applyFont="1" applyAlignment="1">
      <alignment vertical="center"/>
    </xf>
    <xf numFmtId="0" fontId="6" fillId="0" borderId="0" xfId="3" applyFont="1"/>
    <xf numFmtId="0" fontId="7" fillId="0" borderId="0" xfId="3"/>
    <xf numFmtId="0" fontId="6" fillId="0" borderId="0" xfId="3" applyFont="1" applyAlignment="1">
      <alignment vertical="center"/>
    </xf>
    <xf numFmtId="0" fontId="7" fillId="0" borderId="0" xfId="3" applyAlignment="1" applyProtection="1">
      <alignment vertical="center"/>
      <protection locked="0"/>
    </xf>
    <xf numFmtId="3" fontId="6" fillId="0" borderId="0" xfId="3" applyNumberFormat="1" applyFont="1" applyAlignment="1" applyProtection="1">
      <alignment vertical="center"/>
      <protection locked="0"/>
    </xf>
    <xf numFmtId="0" fontId="6" fillId="0" borderId="0" xfId="3" applyFont="1" applyAlignment="1" applyProtection="1">
      <alignment vertical="center"/>
      <protection locked="0"/>
    </xf>
    <xf numFmtId="37" fontId="10" fillId="0" borderId="0" xfId="2" applyFont="1" applyAlignment="1">
      <alignment vertical="center"/>
    </xf>
    <xf numFmtId="166" fontId="11" fillId="0" borderId="0" xfId="2" applyNumberFormat="1" applyFont="1" applyAlignment="1">
      <alignment vertical="center"/>
    </xf>
    <xf numFmtId="166" fontId="3" fillId="0" borderId="0" xfId="2" applyNumberFormat="1" applyFont="1" applyAlignment="1">
      <alignment vertical="center"/>
    </xf>
    <xf numFmtId="167" fontId="3" fillId="0" borderId="0" xfId="4" applyNumberFormat="1" applyFont="1"/>
    <xf numFmtId="168" fontId="3" fillId="0" borderId="0" xfId="3" applyNumberFormat="1" applyFont="1" applyAlignment="1">
      <alignment vertical="center"/>
    </xf>
    <xf numFmtId="169" fontId="3" fillId="0" borderId="0" xfId="3" applyNumberFormat="1" applyFont="1" applyAlignment="1">
      <alignment vertical="center"/>
    </xf>
    <xf numFmtId="169" fontId="3" fillId="0" borderId="0" xfId="4" applyNumberFormat="1" applyFont="1" applyBorder="1" applyAlignment="1">
      <alignment vertical="center"/>
    </xf>
    <xf numFmtId="169" fontId="5" fillId="0" borderId="0" xfId="0" applyNumberFormat="1" applyFont="1"/>
    <xf numFmtId="170" fontId="8" fillId="0" borderId="0" xfId="1" applyNumberFormat="1" applyFont="1"/>
    <xf numFmtId="166" fontId="7" fillId="0" borderId="0" xfId="2" applyNumberFormat="1" applyFont="1" applyAlignment="1">
      <alignment vertical="center"/>
    </xf>
    <xf numFmtId="37" fontId="10" fillId="0" borderId="0" xfId="3" applyNumberFormat="1" applyFont="1" applyAlignment="1" applyProtection="1">
      <alignment vertical="center"/>
      <protection locked="0"/>
    </xf>
    <xf numFmtId="37" fontId="10" fillId="0" borderId="0" xfId="3" applyNumberFormat="1" applyFont="1" applyAlignment="1" applyProtection="1">
      <alignment horizontal="left" vertical="center" indent="4"/>
      <protection locked="0"/>
    </xf>
    <xf numFmtId="37" fontId="10" fillId="0" borderId="0" xfId="3" applyNumberFormat="1" applyFont="1" applyAlignment="1" applyProtection="1">
      <alignment horizontal="left" vertical="center"/>
      <protection locked="0"/>
    </xf>
    <xf numFmtId="0" fontId="7" fillId="0" borderId="0" xfId="3" applyAlignment="1">
      <alignment vertical="center"/>
    </xf>
    <xf numFmtId="3" fontId="7" fillId="0" borderId="0" xfId="3" applyNumberFormat="1" applyAlignment="1" applyProtection="1">
      <alignment vertical="center"/>
      <protection locked="0"/>
    </xf>
    <xf numFmtId="170" fontId="8" fillId="0" borderId="0" xfId="1" applyNumberFormat="1" applyFont="1" applyBorder="1"/>
    <xf numFmtId="37" fontId="3" fillId="0" borderId="1" xfId="2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37" fontId="3" fillId="0" borderId="2" xfId="2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37" fontId="3" fillId="0" borderId="0" xfId="2" applyFont="1" applyAlignment="1">
      <alignment horizontal="center" vertical="center" wrapText="1"/>
    </xf>
    <xf numFmtId="37" fontId="3" fillId="0" borderId="8" xfId="2" applyFont="1" applyBorder="1" applyAlignment="1">
      <alignment horizontal="center" vertical="center" wrapText="1"/>
    </xf>
    <xf numFmtId="37" fontId="3" fillId="0" borderId="9" xfId="2" applyFont="1" applyBorder="1" applyAlignment="1">
      <alignment horizontal="center" vertical="center" wrapText="1"/>
    </xf>
    <xf numFmtId="37" fontId="3" fillId="0" borderId="10" xfId="2" applyFont="1" applyBorder="1" applyAlignment="1">
      <alignment horizontal="center" vertical="center" wrapText="1"/>
    </xf>
    <xf numFmtId="37" fontId="3" fillId="0" borderId="1" xfId="2" applyFont="1" applyBorder="1" applyAlignment="1">
      <alignment horizontal="center" vertical="center"/>
    </xf>
    <xf numFmtId="37" fontId="3" fillId="0" borderId="2" xfId="2" applyFont="1" applyBorder="1" applyAlignment="1">
      <alignment horizontal="center" vertical="center"/>
    </xf>
    <xf numFmtId="173" fontId="8" fillId="0" borderId="0" xfId="1" applyNumberFormat="1" applyFont="1" applyBorder="1"/>
    <xf numFmtId="173" fontId="8" fillId="0" borderId="0" xfId="1" applyNumberFormat="1" applyFont="1"/>
  </cellXfs>
  <cellStyles count="5">
    <cellStyle name="Comma" xfId="1" builtinId="3"/>
    <cellStyle name="Comma 2" xfId="4" xr:uid="{2168A568-7639-4184-9243-5C58E6B20CBC}"/>
    <cellStyle name="Normal" xfId="0" builtinId="0"/>
    <cellStyle name="Normal 3" xfId="3" xr:uid="{BA1769CC-43E2-4EA3-BB39-7A7ADDE59FFD}"/>
    <cellStyle name="Normal_Jan06_tables" xfId="2" xr:uid="{83DB07FB-3934-4A8E-AE9E-5BB24E4753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5991-D996-4C99-A67D-42C35F1DDD77}">
  <dimension ref="B2:AY53"/>
  <sheetViews>
    <sheetView showGridLines="0" tabSelected="1" zoomScale="90" zoomScaleNormal="90" workbookViewId="0">
      <selection activeCell="K25" sqref="K25"/>
    </sheetView>
  </sheetViews>
  <sheetFormatPr defaultColWidth="9.140625" defaultRowHeight="14.25" x14ac:dyDescent="0.2"/>
  <cols>
    <col min="1" max="1" width="3" style="1" customWidth="1"/>
    <col min="2" max="2" width="23.85546875" style="1" customWidth="1"/>
    <col min="3" max="14" width="14.28515625" style="1" customWidth="1"/>
    <col min="15" max="15" width="9.140625" style="1"/>
    <col min="16" max="26" width="13.5703125" style="1" customWidth="1"/>
    <col min="27" max="27" width="9.140625" style="1"/>
    <col min="28" max="28" width="11.28515625" style="1" bestFit="1" customWidth="1"/>
    <col min="29" max="16384" width="9.140625" style="1"/>
  </cols>
  <sheetData>
    <row r="2" spans="2:51" ht="21" customHeight="1" x14ac:dyDescent="0.2">
      <c r="B2" s="60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2:51" ht="15" x14ac:dyDescent="0.2"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3"/>
      <c r="V3" s="3"/>
      <c r="W3" s="3"/>
      <c r="X3" s="3"/>
      <c r="Y3" s="3"/>
      <c r="Z3" s="3"/>
    </row>
    <row r="4" spans="2:51" ht="15" x14ac:dyDescent="0.2"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3"/>
      <c r="V4" s="3"/>
      <c r="W4" s="3"/>
      <c r="X4" s="3"/>
      <c r="Y4" s="3"/>
      <c r="Z4" s="3"/>
    </row>
    <row r="5" spans="2:51" ht="15" x14ac:dyDescent="0.2">
      <c r="B5" s="61" t="s">
        <v>1</v>
      </c>
      <c r="C5" s="64" t="s">
        <v>2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5"/>
      <c r="O5" s="64" t="s">
        <v>3</v>
      </c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2:51" ht="15" x14ac:dyDescent="0.2">
      <c r="B6" s="62"/>
      <c r="C6" s="64" t="s">
        <v>4</v>
      </c>
      <c r="D6" s="64" t="s">
        <v>5</v>
      </c>
      <c r="E6" s="64"/>
      <c r="F6" s="64"/>
      <c r="G6" s="64"/>
      <c r="H6" s="64"/>
      <c r="I6" s="64"/>
      <c r="J6" s="64"/>
      <c r="K6" s="64"/>
      <c r="L6" s="64"/>
      <c r="M6" s="64"/>
      <c r="N6" s="65"/>
      <c r="O6" s="64" t="s">
        <v>4</v>
      </c>
      <c r="P6" s="64" t="s">
        <v>5</v>
      </c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2:51" ht="15" x14ac:dyDescent="0.2">
      <c r="B7" s="62"/>
      <c r="C7" s="64"/>
      <c r="D7" s="56" t="s">
        <v>6</v>
      </c>
      <c r="E7" s="64" t="s">
        <v>7</v>
      </c>
      <c r="F7" s="64"/>
      <c r="G7" s="64" t="s">
        <v>8</v>
      </c>
      <c r="H7" s="64"/>
      <c r="I7" s="64" t="s">
        <v>9</v>
      </c>
      <c r="J7" s="64"/>
      <c r="K7" s="64" t="s">
        <v>10</v>
      </c>
      <c r="L7" s="64"/>
      <c r="M7" s="64" t="s">
        <v>11</v>
      </c>
      <c r="N7" s="65"/>
      <c r="O7" s="64"/>
      <c r="P7" s="56" t="s">
        <v>6</v>
      </c>
      <c r="Q7" s="64" t="s">
        <v>7</v>
      </c>
      <c r="R7" s="64"/>
      <c r="S7" s="64" t="s">
        <v>8</v>
      </c>
      <c r="T7" s="64"/>
      <c r="U7" s="64" t="s">
        <v>9</v>
      </c>
      <c r="V7" s="64"/>
      <c r="W7" s="64" t="s">
        <v>10</v>
      </c>
      <c r="X7" s="64"/>
      <c r="Y7" s="64" t="s">
        <v>11</v>
      </c>
      <c r="Z7" s="64"/>
    </row>
    <row r="8" spans="2:51" x14ac:dyDescent="0.2">
      <c r="B8" s="62"/>
      <c r="C8" s="64"/>
      <c r="D8" s="56"/>
      <c r="E8" s="56" t="s">
        <v>12</v>
      </c>
      <c r="F8" s="56" t="s">
        <v>13</v>
      </c>
      <c r="G8" s="56" t="s">
        <v>12</v>
      </c>
      <c r="H8" s="56" t="s">
        <v>13</v>
      </c>
      <c r="I8" s="56" t="s">
        <v>12</v>
      </c>
      <c r="J8" s="56" t="s">
        <v>13</v>
      </c>
      <c r="K8" s="56" t="s">
        <v>12</v>
      </c>
      <c r="L8" s="56" t="s">
        <v>13</v>
      </c>
      <c r="M8" s="56" t="s">
        <v>12</v>
      </c>
      <c r="N8" s="58" t="s">
        <v>13</v>
      </c>
      <c r="O8" s="64"/>
      <c r="P8" s="56"/>
      <c r="Q8" s="56" t="s">
        <v>12</v>
      </c>
      <c r="R8" s="56" t="s">
        <v>13</v>
      </c>
      <c r="S8" s="56" t="s">
        <v>12</v>
      </c>
      <c r="T8" s="56" t="s">
        <v>13</v>
      </c>
      <c r="U8" s="56" t="s">
        <v>12</v>
      </c>
      <c r="V8" s="56" t="s">
        <v>13</v>
      </c>
      <c r="W8" s="56" t="s">
        <v>12</v>
      </c>
      <c r="X8" s="56" t="s">
        <v>13</v>
      </c>
      <c r="Y8" s="56" t="s">
        <v>12</v>
      </c>
      <c r="Z8" s="56" t="s">
        <v>13</v>
      </c>
    </row>
    <row r="9" spans="2:51" x14ac:dyDescent="0.2">
      <c r="B9" s="63"/>
      <c r="C9" s="64"/>
      <c r="D9" s="56"/>
      <c r="E9" s="56"/>
      <c r="F9" s="56"/>
      <c r="G9" s="56"/>
      <c r="H9" s="56"/>
      <c r="I9" s="57"/>
      <c r="J9" s="57"/>
      <c r="K9" s="57"/>
      <c r="L9" s="57"/>
      <c r="M9" s="57"/>
      <c r="N9" s="59"/>
      <c r="O9" s="64"/>
      <c r="P9" s="56"/>
      <c r="Q9" s="56"/>
      <c r="R9" s="56"/>
      <c r="S9" s="56"/>
      <c r="T9" s="56"/>
      <c r="U9" s="57"/>
      <c r="V9" s="57"/>
      <c r="W9" s="57"/>
      <c r="X9" s="57"/>
      <c r="Y9" s="57"/>
      <c r="Z9" s="57"/>
    </row>
    <row r="10" spans="2:51" ht="15" x14ac:dyDescent="0.2">
      <c r="B10" s="4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  <c r="O10" s="4"/>
      <c r="P10" s="2"/>
      <c r="Q10" s="2"/>
      <c r="R10" s="2"/>
      <c r="S10" s="2"/>
      <c r="T10" s="2"/>
      <c r="U10" s="3"/>
      <c r="V10" s="3"/>
      <c r="W10" s="3"/>
      <c r="X10" s="3"/>
      <c r="Y10" s="3"/>
      <c r="Z10" s="5"/>
    </row>
    <row r="11" spans="2:51" ht="15" x14ac:dyDescent="0.2">
      <c r="B11" s="6" t="s">
        <v>14</v>
      </c>
      <c r="C11" s="2"/>
      <c r="D11" s="2"/>
      <c r="E11" s="2"/>
      <c r="F11" s="2"/>
      <c r="G11" s="2"/>
      <c r="H11" s="7"/>
      <c r="I11" s="7"/>
      <c r="J11" s="7"/>
      <c r="K11" s="7"/>
      <c r="L11" s="7"/>
      <c r="M11" s="7"/>
      <c r="N11" s="7"/>
      <c r="O11" s="4"/>
      <c r="P11" s="2"/>
      <c r="Q11" s="2"/>
      <c r="R11" s="2"/>
      <c r="S11" s="2"/>
      <c r="T11" s="7"/>
      <c r="U11" s="7"/>
      <c r="V11" s="7"/>
      <c r="W11" s="7"/>
      <c r="X11" s="7"/>
      <c r="Y11" s="7"/>
      <c r="Z11" s="8"/>
    </row>
    <row r="12" spans="2:51" ht="15" x14ac:dyDescent="0.2">
      <c r="B12" s="9"/>
      <c r="C12" s="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4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2:51" ht="15" x14ac:dyDescent="0.25">
      <c r="B13" s="9" t="s">
        <v>15</v>
      </c>
      <c r="C13" s="55">
        <v>48950.548000000003</v>
      </c>
      <c r="D13" s="48">
        <v>610.22699999999998</v>
      </c>
      <c r="E13" s="48">
        <v>4958.4229999999998</v>
      </c>
      <c r="F13" s="48">
        <v>5235.0770000000002</v>
      </c>
      <c r="G13" s="48">
        <v>5154.9139999999998</v>
      </c>
      <c r="H13" s="48">
        <v>15531.084999999999</v>
      </c>
      <c r="I13" s="48">
        <v>417.20100000000002</v>
      </c>
      <c r="J13" s="48">
        <v>1259.1669999999999</v>
      </c>
      <c r="K13" s="48">
        <v>89.715999999999994</v>
      </c>
      <c r="L13" s="48">
        <v>1756.1880000000001</v>
      </c>
      <c r="M13" s="48">
        <v>4298.402</v>
      </c>
      <c r="N13" s="48">
        <v>9640.1479999999992</v>
      </c>
      <c r="O13" s="10">
        <v>1006.633</v>
      </c>
      <c r="P13" s="11">
        <v>83.578999999999994</v>
      </c>
      <c r="Q13" s="11">
        <v>226.01300000000001</v>
      </c>
      <c r="R13" s="11">
        <v>220.36799999999999</v>
      </c>
      <c r="S13" s="11">
        <v>206.303</v>
      </c>
      <c r="T13" s="11">
        <v>475.11399999999998</v>
      </c>
      <c r="U13" s="11">
        <v>40.287999999999997</v>
      </c>
      <c r="V13" s="11">
        <v>97.200999999999993</v>
      </c>
      <c r="W13" s="11">
        <v>41.4</v>
      </c>
      <c r="X13" s="11">
        <v>109.636</v>
      </c>
      <c r="Y13" s="11">
        <v>182.80799999999999</v>
      </c>
      <c r="Z13" s="12">
        <v>397.267</v>
      </c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</row>
    <row r="14" spans="2:51" ht="15" x14ac:dyDescent="0.2">
      <c r="B14" s="13" t="s">
        <v>16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15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6"/>
    </row>
    <row r="15" spans="2:51" ht="15" x14ac:dyDescent="0.2">
      <c r="B15" s="9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15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6"/>
    </row>
    <row r="16" spans="2:51" ht="15" x14ac:dyDescent="0.25">
      <c r="B16" s="17" t="s">
        <v>4</v>
      </c>
      <c r="C16" s="66">
        <f>SUM(C17:C22)</f>
        <v>100.00000000000001</v>
      </c>
      <c r="D16" s="67">
        <f t="shared" ref="D16:N16" si="0">SUM(D17:D22)</f>
        <v>100</v>
      </c>
      <c r="E16" s="67">
        <f t="shared" si="0"/>
        <v>100</v>
      </c>
      <c r="F16" s="67">
        <f t="shared" si="0"/>
        <v>100.00000000000001</v>
      </c>
      <c r="G16" s="67">
        <f t="shared" si="0"/>
        <v>99.999000000000009</v>
      </c>
      <c r="H16" s="67">
        <f t="shared" si="0"/>
        <v>100.00000000000001</v>
      </c>
      <c r="I16" s="67">
        <f t="shared" si="0"/>
        <v>100</v>
      </c>
      <c r="J16" s="67">
        <f t="shared" si="0"/>
        <v>100</v>
      </c>
      <c r="K16" s="67">
        <f t="shared" si="0"/>
        <v>100.001</v>
      </c>
      <c r="L16" s="67">
        <f t="shared" si="0"/>
        <v>100.00000000000001</v>
      </c>
      <c r="M16" s="67">
        <f t="shared" si="0"/>
        <v>100.001</v>
      </c>
      <c r="N16" s="67">
        <f t="shared" si="0"/>
        <v>99.998999999999995</v>
      </c>
      <c r="O16" s="15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6"/>
    </row>
    <row r="17" spans="2:26" x14ac:dyDescent="0.2">
      <c r="B17" s="18" t="s">
        <v>17</v>
      </c>
      <c r="C17" s="20">
        <v>12.704000000000001</v>
      </c>
      <c r="D17" s="20">
        <v>7.4569999999999999</v>
      </c>
      <c r="E17" s="20">
        <v>7.4950000000000001</v>
      </c>
      <c r="F17" s="20">
        <v>6.2850000000000001</v>
      </c>
      <c r="G17" s="20">
        <v>19.681999999999999</v>
      </c>
      <c r="H17" s="20">
        <v>7.202</v>
      </c>
      <c r="I17" s="20">
        <v>98.034999999999997</v>
      </c>
      <c r="J17" s="20">
        <v>95.218999999999994</v>
      </c>
      <c r="K17" s="20">
        <v>2.9750000000000001</v>
      </c>
      <c r="L17" s="20">
        <v>4.0990000000000002</v>
      </c>
      <c r="M17" s="20">
        <v>19.245999999999999</v>
      </c>
      <c r="N17" s="21">
        <v>8.6029999999999998</v>
      </c>
      <c r="O17" s="19">
        <v>0.39400000000000002</v>
      </c>
      <c r="P17" s="20">
        <v>2.1219999999999999</v>
      </c>
      <c r="Q17" s="20">
        <v>0.71799999999999997</v>
      </c>
      <c r="R17" s="20">
        <v>0.76800000000000002</v>
      </c>
      <c r="S17" s="20">
        <v>1.155</v>
      </c>
      <c r="T17" s="20">
        <v>0.54900000000000004</v>
      </c>
      <c r="U17" s="20">
        <v>1.2430000000000001</v>
      </c>
      <c r="V17" s="20">
        <v>1.2609999999999999</v>
      </c>
      <c r="W17" s="20">
        <v>3.1949999999999998</v>
      </c>
      <c r="X17" s="20">
        <v>1.1950000000000001</v>
      </c>
      <c r="Y17" s="20">
        <v>1.3120000000000001</v>
      </c>
      <c r="Z17" s="21">
        <v>0.79600000000000004</v>
      </c>
    </row>
    <row r="18" spans="2:26" x14ac:dyDescent="0.2">
      <c r="B18" s="18" t="s">
        <v>18</v>
      </c>
      <c r="C18" s="20">
        <v>27.933</v>
      </c>
      <c r="D18" s="20">
        <v>14.568</v>
      </c>
      <c r="E18" s="20">
        <v>19.446999999999999</v>
      </c>
      <c r="F18" s="20">
        <v>17.073</v>
      </c>
      <c r="G18" s="20">
        <v>25.975999999999999</v>
      </c>
      <c r="H18" s="20">
        <v>29.818000000000001</v>
      </c>
      <c r="I18" s="20">
        <v>1.9650000000000001</v>
      </c>
      <c r="J18" s="22">
        <v>4.7809999999999997</v>
      </c>
      <c r="K18" s="20">
        <v>25.914999999999999</v>
      </c>
      <c r="L18" s="20">
        <v>33.444000000000003</v>
      </c>
      <c r="M18" s="20">
        <v>28.516999999999999</v>
      </c>
      <c r="N18" s="21">
        <v>39.953000000000003</v>
      </c>
      <c r="O18" s="19">
        <v>0.58099999999999996</v>
      </c>
      <c r="P18" s="20">
        <v>2.5830000000000002</v>
      </c>
      <c r="Q18" s="20">
        <v>1.325</v>
      </c>
      <c r="R18" s="20">
        <v>1.1970000000000001</v>
      </c>
      <c r="S18" s="20">
        <v>1.331</v>
      </c>
      <c r="T18" s="20">
        <v>1.081</v>
      </c>
      <c r="U18" s="20">
        <v>1.2430000000000001</v>
      </c>
      <c r="V18" s="22">
        <v>1.2609999999999999</v>
      </c>
      <c r="W18" s="20">
        <v>19.484000000000002</v>
      </c>
      <c r="X18" s="20">
        <v>2.5129999999999999</v>
      </c>
      <c r="Y18" s="20">
        <v>1.609</v>
      </c>
      <c r="Z18" s="21">
        <v>1.4319999999999999</v>
      </c>
    </row>
    <row r="19" spans="2:26" x14ac:dyDescent="0.2">
      <c r="B19" s="18" t="s">
        <v>19</v>
      </c>
      <c r="C19" s="20">
        <v>23.091000000000001</v>
      </c>
      <c r="D19" s="20">
        <v>13.688000000000001</v>
      </c>
      <c r="E19" s="20">
        <v>18.802</v>
      </c>
      <c r="F19" s="20">
        <v>17.91</v>
      </c>
      <c r="G19" s="20">
        <v>21.957000000000001</v>
      </c>
      <c r="H19" s="20">
        <v>26.783000000000001</v>
      </c>
      <c r="I19" s="22">
        <v>0</v>
      </c>
      <c r="J19" s="20">
        <v>0</v>
      </c>
      <c r="K19" s="20">
        <v>17.359000000000002</v>
      </c>
      <c r="L19" s="20">
        <v>27.132000000000001</v>
      </c>
      <c r="M19" s="20">
        <v>25.206</v>
      </c>
      <c r="N19" s="21">
        <v>25.753</v>
      </c>
      <c r="O19" s="19">
        <v>0.50600000000000001</v>
      </c>
      <c r="P19" s="20">
        <v>2.1930000000000001</v>
      </c>
      <c r="Q19" s="20">
        <v>1.0569999999999999</v>
      </c>
      <c r="R19" s="20">
        <v>1.1319999999999999</v>
      </c>
      <c r="S19" s="20">
        <v>1.1919999999999999</v>
      </c>
      <c r="T19" s="20">
        <v>0.91700000000000004</v>
      </c>
      <c r="U19" s="22">
        <v>0</v>
      </c>
      <c r="V19" s="20">
        <v>0</v>
      </c>
      <c r="W19" s="20">
        <v>11.476000000000001</v>
      </c>
      <c r="X19" s="20">
        <v>2.762</v>
      </c>
      <c r="Y19" s="20">
        <v>1.891</v>
      </c>
      <c r="Z19" s="21">
        <v>1.1890000000000001</v>
      </c>
    </row>
    <row r="20" spans="2:26" x14ac:dyDescent="0.2">
      <c r="B20" s="18" t="s">
        <v>20</v>
      </c>
      <c r="C20" s="20">
        <v>18.577000000000002</v>
      </c>
      <c r="D20" s="20">
        <v>19.922999999999998</v>
      </c>
      <c r="E20" s="20">
        <v>19.791</v>
      </c>
      <c r="F20" s="20">
        <v>23.18</v>
      </c>
      <c r="G20" s="20">
        <v>17.224</v>
      </c>
      <c r="H20" s="20">
        <v>20.532</v>
      </c>
      <c r="I20" s="22">
        <v>0</v>
      </c>
      <c r="J20" s="22">
        <v>0</v>
      </c>
      <c r="K20" s="20">
        <v>44.65</v>
      </c>
      <c r="L20" s="20">
        <v>22.402999999999999</v>
      </c>
      <c r="M20" s="20">
        <v>16.931999999999999</v>
      </c>
      <c r="N20" s="21">
        <v>15.965</v>
      </c>
      <c r="O20" s="19">
        <v>0.44600000000000001</v>
      </c>
      <c r="P20" s="20">
        <v>2.2749999999999999</v>
      </c>
      <c r="Q20" s="20">
        <v>1.238</v>
      </c>
      <c r="R20" s="20">
        <v>1.2130000000000001</v>
      </c>
      <c r="S20" s="20">
        <v>1.1659999999999999</v>
      </c>
      <c r="T20" s="20">
        <v>0.86</v>
      </c>
      <c r="U20" s="22">
        <v>0</v>
      </c>
      <c r="V20" s="22">
        <v>0</v>
      </c>
      <c r="W20" s="20">
        <v>27.37</v>
      </c>
      <c r="X20" s="20">
        <v>2.7589999999999999</v>
      </c>
      <c r="Y20" s="20">
        <v>1.4259999999999999</v>
      </c>
      <c r="Z20" s="21">
        <v>1.016</v>
      </c>
    </row>
    <row r="21" spans="2:26" x14ac:dyDescent="0.2">
      <c r="B21" s="18" t="s">
        <v>21</v>
      </c>
      <c r="C21" s="20">
        <v>12.117000000000001</v>
      </c>
      <c r="D21" s="20">
        <v>26.19</v>
      </c>
      <c r="E21" s="20">
        <v>20.885999999999999</v>
      </c>
      <c r="F21" s="20">
        <v>22.053999999999998</v>
      </c>
      <c r="G21" s="20">
        <v>11.263999999999999</v>
      </c>
      <c r="H21" s="20">
        <v>11.268000000000001</v>
      </c>
      <c r="I21" s="22">
        <v>0</v>
      </c>
      <c r="J21" s="22">
        <v>0</v>
      </c>
      <c r="K21" s="20">
        <v>9.1020000000000003</v>
      </c>
      <c r="L21" s="20">
        <v>11.894</v>
      </c>
      <c r="M21" s="20">
        <v>8.0419999999999998</v>
      </c>
      <c r="N21" s="21">
        <v>7.1369999999999996</v>
      </c>
      <c r="O21" s="19">
        <v>0.33200000000000002</v>
      </c>
      <c r="P21" s="20">
        <v>3.258</v>
      </c>
      <c r="Q21" s="20">
        <v>1.462</v>
      </c>
      <c r="R21" s="20">
        <v>1.256</v>
      </c>
      <c r="S21" s="20">
        <v>0.91500000000000004</v>
      </c>
      <c r="T21" s="20">
        <v>0.61599999999999999</v>
      </c>
      <c r="U21" s="22">
        <v>0</v>
      </c>
      <c r="V21" s="22">
        <v>0</v>
      </c>
      <c r="W21" s="20">
        <v>9.1340000000000003</v>
      </c>
      <c r="X21" s="20">
        <v>1.7769999999999999</v>
      </c>
      <c r="Y21" s="20">
        <v>0.85099999999999998</v>
      </c>
      <c r="Z21" s="21">
        <v>0.57699999999999996</v>
      </c>
    </row>
    <row r="22" spans="2:26" x14ac:dyDescent="0.2">
      <c r="B22" s="18" t="s">
        <v>22</v>
      </c>
      <c r="C22" s="20">
        <v>5.5780000000000003</v>
      </c>
      <c r="D22" s="20">
        <v>18.173999999999999</v>
      </c>
      <c r="E22" s="20">
        <v>13.579000000000001</v>
      </c>
      <c r="F22" s="20">
        <v>13.497999999999999</v>
      </c>
      <c r="G22" s="20">
        <v>3.8959999999999999</v>
      </c>
      <c r="H22" s="20">
        <v>4.3970000000000002</v>
      </c>
      <c r="I22" s="22">
        <v>0</v>
      </c>
      <c r="J22" s="22">
        <v>0</v>
      </c>
      <c r="K22" s="20">
        <v>0</v>
      </c>
      <c r="L22" s="20">
        <v>1.028</v>
      </c>
      <c r="M22" s="20">
        <v>2.0579999999999998</v>
      </c>
      <c r="N22" s="21">
        <v>2.5880000000000001</v>
      </c>
      <c r="O22" s="19">
        <v>0.25700000000000001</v>
      </c>
      <c r="P22" s="20">
        <v>3.3769999999999998</v>
      </c>
      <c r="Q22" s="20">
        <v>0.97299999999999998</v>
      </c>
      <c r="R22" s="20">
        <v>1.1100000000000001</v>
      </c>
      <c r="S22" s="20">
        <v>0.54800000000000004</v>
      </c>
      <c r="T22" s="20">
        <v>0.44800000000000001</v>
      </c>
      <c r="U22" s="22">
        <v>0</v>
      </c>
      <c r="V22" s="22">
        <v>0</v>
      </c>
      <c r="W22" s="20">
        <v>0</v>
      </c>
      <c r="X22" s="20">
        <v>0.41799999999999998</v>
      </c>
      <c r="Y22" s="20">
        <v>0.45400000000000001</v>
      </c>
      <c r="Z22" s="21">
        <v>0.376</v>
      </c>
    </row>
    <row r="23" spans="2:26" ht="15" x14ac:dyDescent="0.2">
      <c r="B23" s="9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15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6"/>
    </row>
    <row r="24" spans="2:26" ht="15" x14ac:dyDescent="0.25">
      <c r="B24" s="6" t="s">
        <v>23</v>
      </c>
      <c r="C24" s="55">
        <v>28638.44</v>
      </c>
      <c r="D24" s="48">
        <v>347.31099999999998</v>
      </c>
      <c r="E24" s="48">
        <v>3471.5050000000001</v>
      </c>
      <c r="F24" s="48">
        <v>3347.1390000000001</v>
      </c>
      <c r="G24" s="48">
        <v>3338.2649999999999</v>
      </c>
      <c r="H24" s="48">
        <v>9199.1460000000006</v>
      </c>
      <c r="I24" s="48">
        <v>283.16000000000003</v>
      </c>
      <c r="J24" s="48">
        <v>808.45699999999999</v>
      </c>
      <c r="K24" s="48">
        <v>53.459000000000003</v>
      </c>
      <c r="L24" s="48">
        <v>1001.514</v>
      </c>
      <c r="M24" s="48">
        <v>2400.79</v>
      </c>
      <c r="N24" s="48">
        <v>4387.6930000000002</v>
      </c>
      <c r="O24" s="10">
        <v>631.76400000000001</v>
      </c>
      <c r="P24" s="11">
        <v>49.658999999999999</v>
      </c>
      <c r="Q24" s="11">
        <v>163.929</v>
      </c>
      <c r="R24" s="11">
        <v>148.506</v>
      </c>
      <c r="S24" s="11">
        <v>151.80500000000001</v>
      </c>
      <c r="T24" s="11">
        <v>314.87700000000001</v>
      </c>
      <c r="U24" s="11">
        <v>31.902000000000001</v>
      </c>
      <c r="V24" s="11">
        <v>70.192999999999998</v>
      </c>
      <c r="W24" s="11">
        <v>24.891999999999999</v>
      </c>
      <c r="X24" s="11">
        <v>82.629000000000005</v>
      </c>
      <c r="Y24" s="11">
        <v>122.253</v>
      </c>
      <c r="Z24" s="12">
        <v>213.62799999999999</v>
      </c>
    </row>
    <row r="25" spans="2:26" ht="15" x14ac:dyDescent="0.2">
      <c r="B25" s="13" t="s">
        <v>16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15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6"/>
    </row>
    <row r="26" spans="2:26" ht="15" x14ac:dyDescent="0.2">
      <c r="B26" s="23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15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6"/>
    </row>
    <row r="27" spans="2:26" ht="15" x14ac:dyDescent="0.25">
      <c r="B27" s="17" t="s">
        <v>4</v>
      </c>
      <c r="C27" s="66">
        <f>SUM(C28:C33)</f>
        <v>100.001</v>
      </c>
      <c r="D27" s="67">
        <f t="shared" ref="D27" si="1">SUM(D28:D33)</f>
        <v>100</v>
      </c>
      <c r="E27" s="67">
        <f t="shared" ref="E27" si="2">SUM(E28:E33)</f>
        <v>99.998999999999995</v>
      </c>
      <c r="F27" s="67">
        <f t="shared" ref="F27" si="3">SUM(F28:F33)</f>
        <v>99.999000000000009</v>
      </c>
      <c r="G27" s="67">
        <f t="shared" ref="G27" si="4">SUM(G28:G33)</f>
        <v>99.999000000000024</v>
      </c>
      <c r="H27" s="67">
        <f t="shared" ref="H27" si="5">SUM(H28:H33)</f>
        <v>100.00099999999999</v>
      </c>
      <c r="I27" s="67">
        <f t="shared" ref="I27" si="6">SUM(I28:I33)</f>
        <v>100</v>
      </c>
      <c r="J27" s="67">
        <f t="shared" ref="J27" si="7">SUM(J28:J33)</f>
        <v>100</v>
      </c>
      <c r="K27" s="67">
        <f t="shared" ref="K27" si="8">SUM(K28:K33)</f>
        <v>100</v>
      </c>
      <c r="L27" s="67">
        <f t="shared" ref="L27" si="9">SUM(L28:L33)</f>
        <v>99.998999999999981</v>
      </c>
      <c r="M27" s="67">
        <f t="shared" ref="M27" si="10">SUM(M28:M33)</f>
        <v>100</v>
      </c>
      <c r="N27" s="67">
        <f t="shared" ref="N27" si="11">SUM(N28:N33)</f>
        <v>100.00000000000001</v>
      </c>
      <c r="O27" s="15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6"/>
    </row>
    <row r="28" spans="2:26" x14ac:dyDescent="0.2">
      <c r="B28" s="18" t="s">
        <v>17</v>
      </c>
      <c r="C28" s="20">
        <v>13.352</v>
      </c>
      <c r="D28" s="20">
        <v>7.8540000000000001</v>
      </c>
      <c r="E28" s="20">
        <v>8.5730000000000004</v>
      </c>
      <c r="F28" s="20">
        <v>7.8920000000000003</v>
      </c>
      <c r="G28" s="20">
        <v>21.911000000000001</v>
      </c>
      <c r="H28" s="20">
        <v>7.75</v>
      </c>
      <c r="I28" s="20">
        <v>98.71</v>
      </c>
      <c r="J28" s="20">
        <v>95.766999999999996</v>
      </c>
      <c r="K28" s="20">
        <v>0</v>
      </c>
      <c r="L28" s="20">
        <v>4.1289999999999996</v>
      </c>
      <c r="M28" s="20">
        <v>16.577000000000002</v>
      </c>
      <c r="N28" s="21">
        <v>6.7759999999999998</v>
      </c>
      <c r="O28" s="19">
        <v>0.49399999999999999</v>
      </c>
      <c r="P28" s="20">
        <v>2.2650000000000001</v>
      </c>
      <c r="Q28" s="20">
        <v>0.91</v>
      </c>
      <c r="R28" s="20">
        <v>1.113</v>
      </c>
      <c r="S28" s="20">
        <v>1.536</v>
      </c>
      <c r="T28" s="20">
        <v>0.68700000000000006</v>
      </c>
      <c r="U28" s="20">
        <v>0.91900000000000004</v>
      </c>
      <c r="V28" s="20">
        <v>1.389</v>
      </c>
      <c r="W28" s="20">
        <v>0</v>
      </c>
      <c r="X28" s="20">
        <v>1.83</v>
      </c>
      <c r="Y28" s="20">
        <v>1.52</v>
      </c>
      <c r="Z28" s="21">
        <v>0.89100000000000001</v>
      </c>
    </row>
    <row r="29" spans="2:26" x14ac:dyDescent="0.2">
      <c r="B29" s="18" t="s">
        <v>18</v>
      </c>
      <c r="C29" s="20">
        <v>28.893999999999998</v>
      </c>
      <c r="D29" s="20">
        <v>14.125</v>
      </c>
      <c r="E29" s="20">
        <v>23.975000000000001</v>
      </c>
      <c r="F29" s="20">
        <v>20.773</v>
      </c>
      <c r="G29" s="20">
        <v>28.577999999999999</v>
      </c>
      <c r="H29" s="20">
        <v>30.849</v>
      </c>
      <c r="I29" s="20">
        <v>1.29</v>
      </c>
      <c r="J29" s="22">
        <v>4.2329999999999997</v>
      </c>
      <c r="K29" s="20">
        <v>24.954000000000001</v>
      </c>
      <c r="L29" s="20">
        <v>33.005000000000003</v>
      </c>
      <c r="M29" s="20">
        <v>29.254000000000001</v>
      </c>
      <c r="N29" s="21">
        <v>41.529000000000003</v>
      </c>
      <c r="O29" s="19">
        <v>0.69799999999999995</v>
      </c>
      <c r="P29" s="20">
        <v>2.6890000000000001</v>
      </c>
      <c r="Q29" s="20">
        <v>1.7070000000000001</v>
      </c>
      <c r="R29" s="20">
        <v>1.5249999999999999</v>
      </c>
      <c r="S29" s="20">
        <v>1.6870000000000001</v>
      </c>
      <c r="T29" s="20">
        <v>1.272</v>
      </c>
      <c r="U29" s="20">
        <v>0.91900000000000004</v>
      </c>
      <c r="V29" s="22">
        <v>1.389</v>
      </c>
      <c r="W29" s="20">
        <v>22.497</v>
      </c>
      <c r="X29" s="20">
        <v>2.6379999999999999</v>
      </c>
      <c r="Y29" s="20">
        <v>2.0179999999999998</v>
      </c>
      <c r="Z29" s="21">
        <v>1.835</v>
      </c>
    </row>
    <row r="30" spans="2:26" x14ac:dyDescent="0.2">
      <c r="B30" s="18" t="s">
        <v>19</v>
      </c>
      <c r="C30" s="20">
        <v>23.074999999999999</v>
      </c>
      <c r="D30" s="20">
        <v>13.305</v>
      </c>
      <c r="E30" s="20">
        <v>19.305</v>
      </c>
      <c r="F30" s="20">
        <v>21.151</v>
      </c>
      <c r="G30" s="20">
        <v>20.114000000000001</v>
      </c>
      <c r="H30" s="20">
        <v>27.055</v>
      </c>
      <c r="I30" s="22">
        <v>0</v>
      </c>
      <c r="J30" s="20">
        <v>0</v>
      </c>
      <c r="K30" s="20">
        <v>19.076000000000001</v>
      </c>
      <c r="L30" s="20">
        <v>29.768999999999998</v>
      </c>
      <c r="M30" s="20">
        <v>25.425000000000001</v>
      </c>
      <c r="N30" s="21">
        <v>25.18</v>
      </c>
      <c r="O30" s="19">
        <v>0.58199999999999996</v>
      </c>
      <c r="P30" s="20">
        <v>2.6909999999999998</v>
      </c>
      <c r="Q30" s="20">
        <v>1.22</v>
      </c>
      <c r="R30" s="20">
        <v>1.423</v>
      </c>
      <c r="S30" s="20">
        <v>1.4179999999999999</v>
      </c>
      <c r="T30" s="20">
        <v>1.1910000000000001</v>
      </c>
      <c r="U30" s="22">
        <v>0</v>
      </c>
      <c r="V30" s="20">
        <v>0</v>
      </c>
      <c r="W30" s="20">
        <v>15.035</v>
      </c>
      <c r="X30" s="20">
        <v>3.6909999999999998</v>
      </c>
      <c r="Y30" s="20">
        <v>2.5289999999999999</v>
      </c>
      <c r="Z30" s="21">
        <v>1.538</v>
      </c>
    </row>
    <row r="31" spans="2:26" x14ac:dyDescent="0.2">
      <c r="B31" s="18" t="s">
        <v>20</v>
      </c>
      <c r="C31" s="20">
        <v>18.029</v>
      </c>
      <c r="D31" s="20">
        <v>16.981000000000002</v>
      </c>
      <c r="E31" s="20">
        <v>18.297999999999998</v>
      </c>
      <c r="F31" s="20">
        <v>22.044</v>
      </c>
      <c r="G31" s="20">
        <v>16.992000000000001</v>
      </c>
      <c r="H31" s="20">
        <v>19.486999999999998</v>
      </c>
      <c r="I31" s="22">
        <v>0</v>
      </c>
      <c r="J31" s="22">
        <v>0</v>
      </c>
      <c r="K31" s="20">
        <v>40.695</v>
      </c>
      <c r="L31" s="20">
        <v>20.195</v>
      </c>
      <c r="M31" s="20">
        <v>18.309000000000001</v>
      </c>
      <c r="N31" s="21">
        <v>16.128</v>
      </c>
      <c r="O31" s="19">
        <v>0.53900000000000003</v>
      </c>
      <c r="P31" s="20">
        <v>2.9660000000000002</v>
      </c>
      <c r="Q31" s="20">
        <v>1.3740000000000001</v>
      </c>
      <c r="R31" s="20">
        <v>1.377</v>
      </c>
      <c r="S31" s="20">
        <v>1.5349999999999999</v>
      </c>
      <c r="T31" s="20">
        <v>1.05</v>
      </c>
      <c r="U31" s="22">
        <v>0</v>
      </c>
      <c r="V31" s="22">
        <v>0</v>
      </c>
      <c r="W31" s="20">
        <v>28.678000000000001</v>
      </c>
      <c r="X31" s="20">
        <v>3.14</v>
      </c>
      <c r="Y31" s="20">
        <v>1.9550000000000001</v>
      </c>
      <c r="Z31" s="21">
        <v>1.401</v>
      </c>
    </row>
    <row r="32" spans="2:26" x14ac:dyDescent="0.2">
      <c r="B32" s="18" t="s">
        <v>21</v>
      </c>
      <c r="C32" s="20">
        <v>11.327999999999999</v>
      </c>
      <c r="D32" s="20">
        <v>25.744</v>
      </c>
      <c r="E32" s="20">
        <v>18.882999999999999</v>
      </c>
      <c r="F32" s="20">
        <v>17.885000000000002</v>
      </c>
      <c r="G32" s="20">
        <v>8.6199999999999992</v>
      </c>
      <c r="H32" s="20">
        <v>10.653</v>
      </c>
      <c r="I32" s="22">
        <v>0</v>
      </c>
      <c r="J32" s="22">
        <v>0</v>
      </c>
      <c r="K32" s="20">
        <v>15.275</v>
      </c>
      <c r="L32" s="20">
        <v>12.249000000000001</v>
      </c>
      <c r="M32" s="20">
        <v>8.2509999999999994</v>
      </c>
      <c r="N32" s="21">
        <v>6.9279999999999999</v>
      </c>
      <c r="O32" s="19">
        <v>0.435</v>
      </c>
      <c r="P32" s="20">
        <v>4.0960000000000001</v>
      </c>
      <c r="Q32" s="20">
        <v>1.6819999999999999</v>
      </c>
      <c r="R32" s="20">
        <v>1.3640000000000001</v>
      </c>
      <c r="S32" s="20">
        <v>1.002</v>
      </c>
      <c r="T32" s="20">
        <v>0.70599999999999996</v>
      </c>
      <c r="U32" s="22">
        <v>0</v>
      </c>
      <c r="V32" s="22">
        <v>0</v>
      </c>
      <c r="W32" s="20">
        <v>14.336</v>
      </c>
      <c r="X32" s="20">
        <v>2.452</v>
      </c>
      <c r="Y32" s="20">
        <v>1.097</v>
      </c>
      <c r="Z32" s="21">
        <v>0.86299999999999999</v>
      </c>
    </row>
    <row r="33" spans="2:26" x14ac:dyDescent="0.2">
      <c r="B33" s="18" t="s">
        <v>22</v>
      </c>
      <c r="C33" s="20">
        <v>5.3230000000000004</v>
      </c>
      <c r="D33" s="20">
        <v>21.991</v>
      </c>
      <c r="E33" s="20">
        <v>10.965</v>
      </c>
      <c r="F33" s="20">
        <v>10.254</v>
      </c>
      <c r="G33" s="20">
        <v>3.7839999999999998</v>
      </c>
      <c r="H33" s="20">
        <v>4.2069999999999999</v>
      </c>
      <c r="I33" s="22">
        <v>0</v>
      </c>
      <c r="J33" s="22">
        <v>0</v>
      </c>
      <c r="K33" s="20">
        <v>0</v>
      </c>
      <c r="L33" s="20">
        <v>0.65200000000000002</v>
      </c>
      <c r="M33" s="20">
        <v>2.1840000000000002</v>
      </c>
      <c r="N33" s="21">
        <v>3.4590000000000001</v>
      </c>
      <c r="O33" s="19">
        <v>0.28899999999999998</v>
      </c>
      <c r="P33" s="20">
        <v>4.7590000000000003</v>
      </c>
      <c r="Q33" s="20">
        <v>1.0069999999999999</v>
      </c>
      <c r="R33" s="20">
        <v>1.1919999999999999</v>
      </c>
      <c r="S33" s="20">
        <v>0.70899999999999996</v>
      </c>
      <c r="T33" s="20">
        <v>0.49199999999999999</v>
      </c>
      <c r="U33" s="22">
        <v>0</v>
      </c>
      <c r="V33" s="22">
        <v>0</v>
      </c>
      <c r="W33" s="20">
        <v>0</v>
      </c>
      <c r="X33" s="20">
        <v>0.314</v>
      </c>
      <c r="Y33" s="20">
        <v>0.66</v>
      </c>
      <c r="Z33" s="21">
        <v>0.60899999999999999</v>
      </c>
    </row>
    <row r="34" spans="2:26" ht="15" x14ac:dyDescent="0.2"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25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6"/>
    </row>
    <row r="35" spans="2:26" ht="15" x14ac:dyDescent="0.25">
      <c r="B35" s="6" t="s">
        <v>24</v>
      </c>
      <c r="C35" s="55">
        <v>20312.108</v>
      </c>
      <c r="D35" s="48">
        <v>262.916</v>
      </c>
      <c r="E35" s="48">
        <v>1486.9190000000001</v>
      </c>
      <c r="F35" s="48">
        <v>1887.9369999999999</v>
      </c>
      <c r="G35" s="48">
        <v>1816.6479999999999</v>
      </c>
      <c r="H35" s="48">
        <v>6331.9390000000003</v>
      </c>
      <c r="I35" s="48">
        <v>134.041</v>
      </c>
      <c r="J35" s="48">
        <v>450.71</v>
      </c>
      <c r="K35" s="48">
        <v>36.256999999999998</v>
      </c>
      <c r="L35" s="48">
        <v>754.673</v>
      </c>
      <c r="M35" s="48">
        <v>1897.6120000000001</v>
      </c>
      <c r="N35" s="48">
        <v>5252.4549999999999</v>
      </c>
      <c r="O35" s="10">
        <v>483.76600000000002</v>
      </c>
      <c r="P35" s="11">
        <v>40.027000000000001</v>
      </c>
      <c r="Q35" s="11">
        <v>92.537999999999997</v>
      </c>
      <c r="R35" s="11">
        <v>110.027</v>
      </c>
      <c r="S35" s="11">
        <v>99.241</v>
      </c>
      <c r="T35" s="11">
        <v>240.649</v>
      </c>
      <c r="U35" s="11">
        <v>19.809999999999999</v>
      </c>
      <c r="V35" s="11">
        <v>59.527000000000001</v>
      </c>
      <c r="W35" s="11">
        <v>21.271999999999998</v>
      </c>
      <c r="X35" s="11">
        <v>65.158000000000001</v>
      </c>
      <c r="Y35" s="11">
        <v>108.285</v>
      </c>
      <c r="Z35" s="12">
        <v>234.62899999999999</v>
      </c>
    </row>
    <row r="36" spans="2:26" ht="15" x14ac:dyDescent="0.2">
      <c r="B36" s="13" t="s">
        <v>16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15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6"/>
    </row>
    <row r="37" spans="2:26" ht="15" x14ac:dyDescent="0.2">
      <c r="B37" s="23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15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6"/>
    </row>
    <row r="38" spans="2:26" ht="15" x14ac:dyDescent="0.25">
      <c r="B38" s="17" t="s">
        <v>4</v>
      </c>
      <c r="C38" s="66">
        <f>SUM(C39:C44)</f>
        <v>100</v>
      </c>
      <c r="D38" s="67">
        <f t="shared" ref="D38" si="12">SUM(D39:D44)</f>
        <v>100</v>
      </c>
      <c r="E38" s="67">
        <f t="shared" ref="E38" si="13">SUM(E39:E44)</f>
        <v>100.001</v>
      </c>
      <c r="F38" s="67">
        <f t="shared" ref="F38" si="14">SUM(F39:F44)</f>
        <v>100</v>
      </c>
      <c r="G38" s="67">
        <f t="shared" ref="G38" si="15">SUM(G39:G44)</f>
        <v>100</v>
      </c>
      <c r="H38" s="67">
        <f t="shared" ref="H38" si="16">SUM(H39:H44)</f>
        <v>100.00000000000001</v>
      </c>
      <c r="I38" s="67">
        <f t="shared" ref="I38" si="17">SUM(I39:I44)</f>
        <v>100</v>
      </c>
      <c r="J38" s="67">
        <f t="shared" ref="J38" si="18">SUM(J39:J44)</f>
        <v>100</v>
      </c>
      <c r="K38" s="67">
        <f t="shared" ref="K38" si="19">SUM(K39:K44)</f>
        <v>100.002</v>
      </c>
      <c r="L38" s="67">
        <f t="shared" ref="L38" si="20">SUM(L39:L44)</f>
        <v>99.998999999999995</v>
      </c>
      <c r="M38" s="67">
        <f t="shared" ref="M38" si="21">SUM(M39:M44)</f>
        <v>100.001</v>
      </c>
      <c r="N38" s="67">
        <f t="shared" ref="N38" si="22">SUM(N39:N44)</f>
        <v>100.00099999999999</v>
      </c>
      <c r="O38" s="15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6"/>
    </row>
    <row r="39" spans="2:26" x14ac:dyDescent="0.2">
      <c r="B39" s="18" t="s">
        <v>17</v>
      </c>
      <c r="C39" s="20">
        <v>11.79</v>
      </c>
      <c r="D39" s="20">
        <v>6.931</v>
      </c>
      <c r="E39" s="20">
        <v>4.9770000000000003</v>
      </c>
      <c r="F39" s="20">
        <v>3.4359999999999999</v>
      </c>
      <c r="G39" s="20">
        <v>15.587999999999999</v>
      </c>
      <c r="H39" s="20">
        <v>6.4059999999999997</v>
      </c>
      <c r="I39" s="20">
        <v>96.608999999999995</v>
      </c>
      <c r="J39" s="20">
        <v>94.236000000000004</v>
      </c>
      <c r="K39" s="20">
        <v>7.3609999999999998</v>
      </c>
      <c r="L39" s="20">
        <v>4.0579999999999998</v>
      </c>
      <c r="M39" s="20">
        <v>22.622</v>
      </c>
      <c r="N39" s="21">
        <v>10.130000000000001</v>
      </c>
      <c r="O39" s="19">
        <v>0.54100000000000004</v>
      </c>
      <c r="P39" s="20">
        <v>2.8140000000000001</v>
      </c>
      <c r="Q39" s="20">
        <v>1.081</v>
      </c>
      <c r="R39" s="20">
        <v>0.85</v>
      </c>
      <c r="S39" s="20">
        <v>1.804</v>
      </c>
      <c r="T39" s="20">
        <v>0.68200000000000005</v>
      </c>
      <c r="U39" s="20">
        <v>3.3119999999999998</v>
      </c>
      <c r="V39" s="20">
        <v>2.3919999999999999</v>
      </c>
      <c r="W39" s="20">
        <v>8.0530000000000008</v>
      </c>
      <c r="X39" s="20">
        <v>1.1519999999999999</v>
      </c>
      <c r="Y39" s="20">
        <v>2.109</v>
      </c>
      <c r="Z39" s="21">
        <v>1.1419999999999999</v>
      </c>
    </row>
    <row r="40" spans="2:26" x14ac:dyDescent="0.2">
      <c r="B40" s="18" t="s">
        <v>18</v>
      </c>
      <c r="C40" s="20">
        <v>26.577999999999999</v>
      </c>
      <c r="D40" s="20">
        <v>15.151999999999999</v>
      </c>
      <c r="E40" s="20">
        <v>8.8759999999999994</v>
      </c>
      <c r="F40" s="20">
        <v>10.513999999999999</v>
      </c>
      <c r="G40" s="20">
        <v>21.193999999999999</v>
      </c>
      <c r="H40" s="20">
        <v>28.321000000000002</v>
      </c>
      <c r="I40" s="20">
        <v>3.391</v>
      </c>
      <c r="J40" s="22">
        <v>5.7640000000000002</v>
      </c>
      <c r="K40" s="20">
        <v>27.332999999999998</v>
      </c>
      <c r="L40" s="20">
        <v>34.027000000000001</v>
      </c>
      <c r="M40" s="20">
        <v>27.585000000000001</v>
      </c>
      <c r="N40" s="21">
        <v>38.637</v>
      </c>
      <c r="O40" s="19">
        <v>0.755</v>
      </c>
      <c r="P40" s="20">
        <v>4.7939999999999996</v>
      </c>
      <c r="Q40" s="20">
        <v>1.353</v>
      </c>
      <c r="R40" s="20">
        <v>1.587</v>
      </c>
      <c r="S40" s="20">
        <v>1.925</v>
      </c>
      <c r="T40" s="20">
        <v>1.5389999999999999</v>
      </c>
      <c r="U40" s="20">
        <v>3.3119999999999998</v>
      </c>
      <c r="V40" s="22">
        <v>2.3919999999999999</v>
      </c>
      <c r="W40" s="20">
        <v>24.41</v>
      </c>
      <c r="X40" s="20">
        <v>4.5330000000000004</v>
      </c>
      <c r="Y40" s="20">
        <v>2.2839999999999998</v>
      </c>
      <c r="Z40" s="21">
        <v>1.6579999999999999</v>
      </c>
    </row>
    <row r="41" spans="2:26" x14ac:dyDescent="0.2">
      <c r="B41" s="18" t="s">
        <v>19</v>
      </c>
      <c r="C41" s="20">
        <v>23.114000000000001</v>
      </c>
      <c r="D41" s="20">
        <v>14.194000000000001</v>
      </c>
      <c r="E41" s="20">
        <v>17.626000000000001</v>
      </c>
      <c r="F41" s="20">
        <v>12.163</v>
      </c>
      <c r="G41" s="20">
        <v>25.344000000000001</v>
      </c>
      <c r="H41" s="20">
        <v>26.387</v>
      </c>
      <c r="I41" s="22">
        <v>0</v>
      </c>
      <c r="J41" s="20">
        <v>0</v>
      </c>
      <c r="K41" s="20">
        <v>14.827</v>
      </c>
      <c r="L41" s="20">
        <v>23.632999999999999</v>
      </c>
      <c r="M41" s="20">
        <v>24.928000000000001</v>
      </c>
      <c r="N41" s="21">
        <v>26.231999999999999</v>
      </c>
      <c r="O41" s="19">
        <v>0.67100000000000004</v>
      </c>
      <c r="P41" s="20">
        <v>2.7010000000000001</v>
      </c>
      <c r="Q41" s="20">
        <v>1.6890000000000001</v>
      </c>
      <c r="R41" s="20">
        <v>1.595</v>
      </c>
      <c r="S41" s="20">
        <v>2.0019999999999998</v>
      </c>
      <c r="T41" s="20">
        <v>1.272</v>
      </c>
      <c r="U41" s="22">
        <v>0</v>
      </c>
      <c r="V41" s="20">
        <v>0</v>
      </c>
      <c r="W41" s="20">
        <v>11.867000000000001</v>
      </c>
      <c r="X41" s="20">
        <v>3.5939999999999999</v>
      </c>
      <c r="Y41" s="20">
        <v>2.3250000000000002</v>
      </c>
      <c r="Z41" s="21">
        <v>1.369</v>
      </c>
    </row>
    <row r="42" spans="2:26" x14ac:dyDescent="0.2">
      <c r="B42" s="18" t="s">
        <v>20</v>
      </c>
      <c r="C42" s="20">
        <v>19.350000000000001</v>
      </c>
      <c r="D42" s="20">
        <v>23.811</v>
      </c>
      <c r="E42" s="20">
        <v>23.277000000000001</v>
      </c>
      <c r="F42" s="20">
        <v>25.193000000000001</v>
      </c>
      <c r="G42" s="20">
        <v>17.649999999999999</v>
      </c>
      <c r="H42" s="20">
        <v>22.050999999999998</v>
      </c>
      <c r="I42" s="22">
        <v>0</v>
      </c>
      <c r="J42" s="22">
        <v>0</v>
      </c>
      <c r="K42" s="20">
        <v>50.481000000000002</v>
      </c>
      <c r="L42" s="20">
        <v>25.332999999999998</v>
      </c>
      <c r="M42" s="20">
        <v>15.19</v>
      </c>
      <c r="N42" s="21">
        <v>15.83</v>
      </c>
      <c r="O42" s="19">
        <v>0.57899999999999996</v>
      </c>
      <c r="P42" s="20">
        <v>3.3980000000000001</v>
      </c>
      <c r="Q42" s="20">
        <v>1.79</v>
      </c>
      <c r="R42" s="20">
        <v>2.129</v>
      </c>
      <c r="S42" s="20">
        <v>1.6819999999999999</v>
      </c>
      <c r="T42" s="20">
        <v>1.1739999999999999</v>
      </c>
      <c r="U42" s="22">
        <v>0</v>
      </c>
      <c r="V42" s="22">
        <v>0</v>
      </c>
      <c r="W42" s="20">
        <v>29.201000000000001</v>
      </c>
      <c r="X42" s="20">
        <v>4.1399999999999997</v>
      </c>
      <c r="Y42" s="20">
        <v>1.778</v>
      </c>
      <c r="Z42" s="21">
        <v>1.173</v>
      </c>
    </row>
    <row r="43" spans="2:26" x14ac:dyDescent="0.2">
      <c r="B43" s="18" t="s">
        <v>21</v>
      </c>
      <c r="C43" s="20">
        <v>13.228999999999999</v>
      </c>
      <c r="D43" s="20">
        <v>26.779</v>
      </c>
      <c r="E43" s="20">
        <v>25.562000000000001</v>
      </c>
      <c r="F43" s="20">
        <v>29.445</v>
      </c>
      <c r="G43" s="20">
        <v>16.123000000000001</v>
      </c>
      <c r="H43" s="20">
        <v>12.162000000000001</v>
      </c>
      <c r="I43" s="22">
        <v>0</v>
      </c>
      <c r="J43" s="22">
        <v>0</v>
      </c>
      <c r="K43" s="20">
        <v>0</v>
      </c>
      <c r="L43" s="20">
        <v>11.422000000000001</v>
      </c>
      <c r="M43" s="20">
        <v>7.7770000000000001</v>
      </c>
      <c r="N43" s="21">
        <v>7.3109999999999999</v>
      </c>
      <c r="O43" s="19">
        <v>0.48899999999999999</v>
      </c>
      <c r="P43" s="20">
        <v>4.1159999999999997</v>
      </c>
      <c r="Q43" s="20">
        <v>2.2679999999999998</v>
      </c>
      <c r="R43" s="20">
        <v>2.2080000000000002</v>
      </c>
      <c r="S43" s="20">
        <v>1.87</v>
      </c>
      <c r="T43" s="20">
        <v>0.95599999999999996</v>
      </c>
      <c r="U43" s="22">
        <v>0</v>
      </c>
      <c r="V43" s="22">
        <v>0</v>
      </c>
      <c r="W43" s="20">
        <v>0</v>
      </c>
      <c r="X43" s="20">
        <v>2.6179999999999999</v>
      </c>
      <c r="Y43" s="20">
        <v>1.4079999999999999</v>
      </c>
      <c r="Z43" s="21">
        <v>0.83199999999999996</v>
      </c>
    </row>
    <row r="44" spans="2:26" x14ac:dyDescent="0.2">
      <c r="B44" s="18" t="s">
        <v>22</v>
      </c>
      <c r="C44" s="20">
        <v>5.9390000000000001</v>
      </c>
      <c r="D44" s="20">
        <v>13.132999999999999</v>
      </c>
      <c r="E44" s="20">
        <v>19.683</v>
      </c>
      <c r="F44" s="20">
        <v>19.248999999999999</v>
      </c>
      <c r="G44" s="20">
        <v>4.101</v>
      </c>
      <c r="H44" s="20">
        <v>4.673</v>
      </c>
      <c r="I44" s="22">
        <v>0</v>
      </c>
      <c r="J44" s="22">
        <v>0</v>
      </c>
      <c r="K44" s="20">
        <v>0</v>
      </c>
      <c r="L44" s="20">
        <v>1.526</v>
      </c>
      <c r="M44" s="20">
        <v>1.899</v>
      </c>
      <c r="N44" s="21">
        <v>1.861</v>
      </c>
      <c r="O44" s="19">
        <v>0.37</v>
      </c>
      <c r="P44" s="20">
        <v>3.7549999999999999</v>
      </c>
      <c r="Q44" s="20">
        <v>1.845</v>
      </c>
      <c r="R44" s="20">
        <v>2.0169999999999999</v>
      </c>
      <c r="S44" s="20">
        <v>0.88</v>
      </c>
      <c r="T44" s="20">
        <v>0.69899999999999995</v>
      </c>
      <c r="U44" s="22">
        <v>0</v>
      </c>
      <c r="V44" s="22">
        <v>0</v>
      </c>
      <c r="W44" s="20">
        <v>0</v>
      </c>
      <c r="X44" s="20">
        <v>0.875</v>
      </c>
      <c r="Y44" s="20">
        <v>0.502</v>
      </c>
      <c r="Z44" s="21">
        <v>0.33300000000000002</v>
      </c>
    </row>
    <row r="45" spans="2:26" x14ac:dyDescent="0.2"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9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30"/>
    </row>
    <row r="46" spans="2:26" x14ac:dyDescent="0.2">
      <c r="B46" s="40" t="s">
        <v>25</v>
      </c>
      <c r="C46" s="49"/>
      <c r="D46" s="49"/>
      <c r="E46" s="49"/>
      <c r="F46" s="49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2:26" x14ac:dyDescent="0.2">
      <c r="B47" s="40"/>
      <c r="C47" s="49"/>
      <c r="D47" s="49"/>
      <c r="E47" s="49"/>
      <c r="F47" s="49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2:26" x14ac:dyDescent="0.2">
      <c r="B48" s="50" t="s">
        <v>26</v>
      </c>
      <c r="C48" s="33"/>
      <c r="D48" s="35"/>
      <c r="E48" s="35"/>
      <c r="F48" s="35"/>
      <c r="G48" s="34"/>
      <c r="H48" s="34"/>
      <c r="I48" s="35"/>
      <c r="J48" s="35"/>
      <c r="K48" s="35"/>
      <c r="L48" s="35"/>
      <c r="M48" s="35"/>
      <c r="N48" s="35"/>
      <c r="O48" s="33"/>
      <c r="P48" s="34"/>
      <c r="Q48" s="34"/>
      <c r="R48" s="34"/>
      <c r="S48" s="34"/>
      <c r="T48" s="34"/>
      <c r="U48" s="35"/>
      <c r="V48" s="35"/>
      <c r="W48" s="35"/>
      <c r="X48" s="35"/>
      <c r="Y48" s="35"/>
      <c r="Z48" s="35"/>
    </row>
    <row r="49" spans="2:26" x14ac:dyDescent="0.2">
      <c r="B49" s="51" t="s">
        <v>27</v>
      </c>
      <c r="C49" s="33"/>
      <c r="D49" s="35"/>
      <c r="E49" s="35"/>
      <c r="F49" s="35"/>
      <c r="G49" s="34"/>
      <c r="H49" s="34"/>
      <c r="I49" s="35"/>
      <c r="J49" s="35"/>
      <c r="K49" s="35"/>
      <c r="L49" s="35"/>
      <c r="M49" s="35"/>
      <c r="N49" s="35"/>
      <c r="O49" s="33"/>
      <c r="P49" s="34"/>
      <c r="Q49" s="34"/>
      <c r="R49" s="34"/>
      <c r="S49" s="34"/>
      <c r="T49" s="34"/>
      <c r="U49" s="35"/>
      <c r="V49" s="35"/>
      <c r="W49" s="35"/>
      <c r="X49" s="35"/>
      <c r="Y49" s="35"/>
      <c r="Z49" s="35"/>
    </row>
    <row r="50" spans="2:26" x14ac:dyDescent="0.2">
      <c r="B50" s="52" t="s">
        <v>28</v>
      </c>
      <c r="C50" s="53"/>
      <c r="D50" s="37"/>
      <c r="E50" s="54"/>
      <c r="F50" s="37"/>
      <c r="G50" s="39"/>
      <c r="H50" s="39"/>
      <c r="I50" s="39"/>
      <c r="J50" s="36"/>
      <c r="K50" s="36"/>
      <c r="L50" s="36"/>
      <c r="M50" s="36"/>
      <c r="N50" s="36"/>
      <c r="O50" s="36"/>
      <c r="P50" s="37"/>
      <c r="Q50" s="38"/>
      <c r="R50" s="39"/>
      <c r="S50" s="39"/>
      <c r="T50" s="39"/>
      <c r="U50" s="39"/>
      <c r="V50" s="36"/>
      <c r="W50" s="36"/>
      <c r="X50" s="36"/>
      <c r="Y50" s="36"/>
      <c r="Z50" s="36"/>
    </row>
    <row r="51" spans="2:26" x14ac:dyDescent="0.2">
      <c r="B51" s="40"/>
      <c r="C51" s="41"/>
      <c r="D51" s="41"/>
      <c r="E51" s="41"/>
      <c r="F51" s="41"/>
      <c r="G51" s="41"/>
      <c r="H51" s="41"/>
      <c r="I51" s="31"/>
      <c r="J51" s="31"/>
      <c r="K51" s="31"/>
      <c r="L51" s="31"/>
      <c r="M51" s="31"/>
      <c r="N51" s="31"/>
      <c r="O51" s="41"/>
      <c r="P51" s="41"/>
      <c r="Q51" s="41"/>
      <c r="R51" s="41"/>
      <c r="S51" s="41"/>
      <c r="T51" s="41"/>
      <c r="U51" s="31"/>
      <c r="V51" s="31"/>
      <c r="W51" s="31"/>
      <c r="X51" s="31"/>
      <c r="Y51" s="31"/>
      <c r="Z51" s="31"/>
    </row>
    <row r="52" spans="2:26" ht="15" x14ac:dyDescent="0.25">
      <c r="B52" s="7"/>
      <c r="C52" s="42"/>
      <c r="D52" s="43"/>
      <c r="E52" s="43"/>
      <c r="F52" s="42"/>
      <c r="G52" s="42"/>
      <c r="H52" s="42"/>
      <c r="I52" s="3"/>
      <c r="J52" s="3"/>
      <c r="K52" s="3"/>
      <c r="L52" s="3"/>
      <c r="M52" s="3"/>
      <c r="N52" s="3"/>
      <c r="O52" s="42"/>
      <c r="P52" s="43"/>
      <c r="Q52" s="43"/>
      <c r="R52" s="42"/>
      <c r="S52" s="42"/>
      <c r="T52" s="42"/>
      <c r="U52" s="3"/>
      <c r="V52" s="3"/>
      <c r="W52" s="3"/>
      <c r="X52" s="3"/>
      <c r="Y52" s="3"/>
      <c r="Z52" s="3"/>
    </row>
    <row r="53" spans="2:26" ht="15" x14ac:dyDescent="0.2">
      <c r="B53" s="35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4"/>
      <c r="Q53" s="44"/>
      <c r="R53" s="42"/>
      <c r="S53" s="42"/>
      <c r="T53" s="42"/>
      <c r="U53" s="3"/>
      <c r="V53" s="3"/>
      <c r="W53" s="3"/>
      <c r="X53" s="3"/>
      <c r="Y53" s="3"/>
      <c r="Z53" s="3"/>
    </row>
  </sheetData>
  <mergeCells count="40">
    <mergeCell ref="Y8:Y9"/>
    <mergeCell ref="Z8:Z9"/>
    <mergeCell ref="Q8:Q9"/>
    <mergeCell ref="R8:R9"/>
    <mergeCell ref="S8:S9"/>
    <mergeCell ref="T8:T9"/>
    <mergeCell ref="U8:U9"/>
    <mergeCell ref="V8:V9"/>
    <mergeCell ref="W7:X7"/>
    <mergeCell ref="Y7:Z7"/>
    <mergeCell ref="E8:E9"/>
    <mergeCell ref="F8:F9"/>
    <mergeCell ref="G8:G9"/>
    <mergeCell ref="H8:H9"/>
    <mergeCell ref="I8:I9"/>
    <mergeCell ref="J8:J9"/>
    <mergeCell ref="G7:H7"/>
    <mergeCell ref="I7:J7"/>
    <mergeCell ref="K7:L7"/>
    <mergeCell ref="M7:N7"/>
    <mergeCell ref="P7:P9"/>
    <mergeCell ref="Q7:R7"/>
    <mergeCell ref="W8:W9"/>
    <mergeCell ref="X8:X9"/>
    <mergeCell ref="K8:K9"/>
    <mergeCell ref="L8:L9"/>
    <mergeCell ref="M8:M9"/>
    <mergeCell ref="N8:N9"/>
    <mergeCell ref="B2:Z2"/>
    <mergeCell ref="B5:B9"/>
    <mergeCell ref="C5:N5"/>
    <mergeCell ref="O5:Z5"/>
    <mergeCell ref="C6:C9"/>
    <mergeCell ref="D6:N6"/>
    <mergeCell ref="O6:O9"/>
    <mergeCell ref="P6:Z6"/>
    <mergeCell ref="D7:D9"/>
    <mergeCell ref="E7:F7"/>
    <mergeCell ref="S7:T7"/>
    <mergeCell ref="U7:V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2025-10-21T11:44:16Z</dcterms:created>
  <dcterms:modified xsi:type="dcterms:W3CDTF">2025-12-15T08:55:13Z</dcterms:modified>
</cp:coreProperties>
</file>