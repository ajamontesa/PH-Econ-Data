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 - LFS\Sol's works\A-SOL 2025\S - SPECIAL RELEASE\2024 FINAL RESULTS\FINAL STAT TABLES\02 - FEB 2024\"/>
    </mc:Choice>
  </mc:AlternateContent>
  <xr:revisionPtr revIDLastSave="0" documentId="13_ncr:1_{C92C3787-B689-4B43-91A9-90BF19936E79}" xr6:coauthVersionLast="47" xr6:coauthVersionMax="47" xr10:uidLastSave="{00000000-0000-0000-0000-000000000000}"/>
  <bookViews>
    <workbookView xWindow="-120" yWindow="-120" windowWidth="29040" windowHeight="15720" xr2:uid="{3165E243-7AF2-4CED-8880-B610EDB088D7}"/>
  </bookViews>
  <sheets>
    <sheet name="Statistical_Tab 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1" l="1"/>
  <c r="M15" i="1"/>
  <c r="L15" i="1"/>
  <c r="J15" i="1"/>
  <c r="I15" i="1"/>
  <c r="H15" i="1"/>
  <c r="G15" i="1"/>
  <c r="F15" i="1"/>
  <c r="E15" i="1"/>
  <c r="D15" i="1"/>
  <c r="C15" i="1"/>
</calcChain>
</file>

<file path=xl/sharedStrings.xml><?xml version="1.0" encoding="utf-8"?>
<sst xmlns="http://schemas.openxmlformats.org/spreadsheetml/2006/main" count="53" uniqueCount="26">
  <si>
    <r>
      <t>TABLE 11  Percent Distribution of Unemployed Persons by Highest Grade Completed and Age Group: February 2024</t>
    </r>
    <r>
      <rPr>
        <b/>
        <vertAlign val="superscript"/>
        <sz val="11"/>
        <rFont val="Arial"/>
        <family val="2"/>
      </rPr>
      <t>f</t>
    </r>
  </si>
  <si>
    <t>Estimates</t>
  </si>
  <si>
    <t>Standard Error</t>
  </si>
  <si>
    <t>Total</t>
  </si>
  <si>
    <t>H i g h e s t   G r a d e   C o m p l e t e d</t>
  </si>
  <si>
    <t>No Grade Completed</t>
  </si>
  <si>
    <t>Elementary</t>
  </si>
  <si>
    <t>Junior high school</t>
  </si>
  <si>
    <t>Senior high school</t>
  </si>
  <si>
    <t>Post Seconday</t>
  </si>
  <si>
    <t>College</t>
  </si>
  <si>
    <t>Under-graduate</t>
  </si>
  <si>
    <t>Graduate</t>
  </si>
  <si>
    <t>Philippines</t>
  </si>
  <si>
    <t>Number (in thousands)</t>
  </si>
  <si>
    <t>15 - 24</t>
  </si>
  <si>
    <t>25 - 34</t>
  </si>
  <si>
    <t>35 - 44</t>
  </si>
  <si>
    <t>45 - 54</t>
  </si>
  <si>
    <t>55 - 64</t>
  </si>
  <si>
    <t>65 and over</t>
  </si>
  <si>
    <t>f - Estimates are final</t>
  </si>
  <si>
    <t xml:space="preserve"> Notes:  "-" indicator equals to 0</t>
  </si>
  <si>
    <t xml:space="preserve"> Details may not add up to totals due to rounding.</t>
  </si>
  <si>
    <t>Source:  Philippine Statistics Authority, February 2024 Labor Force Survey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</si>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</sst>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#,##0.0;[Red]#,##0.0"/>
    <numFmt numFmtId="165" formatCode="_-* #,##0.0_-;\-* #,##0.0_-;_-* &quot;-&quot;_-;_-@_-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0"/>
      <name val="Courier"/>
      <family val="3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color theme="4" tint="-0.249977111117893"/>
      <name val="Arial"/>
      <family val="2"/>
    </font>
    <font>
      <sz val="11"/>
      <color rgb="FFFF000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37" fontId="4" fillId="0" borderId="0"/>
    <xf numFmtId="43" fontId="2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2"/>
    <xf numFmtId="0" fontId="3" fillId="0" borderId="0" xfId="0" applyFont="1"/>
    <xf numFmtId="37" fontId="5" fillId="0" borderId="0" xfId="3" applyFont="1" applyAlignment="1">
      <alignment horizontal="center" vertical="center"/>
    </xf>
    <xf numFmtId="0" fontId="5" fillId="0" borderId="0" xfId="2" applyFont="1" applyAlignment="1">
      <alignment vertical="center"/>
    </xf>
    <xf numFmtId="37" fontId="5" fillId="0" borderId="3" xfId="3" applyFont="1" applyBorder="1" applyAlignment="1">
      <alignment horizontal="center" vertical="center"/>
    </xf>
    <xf numFmtId="0" fontId="5" fillId="0" borderId="0" xfId="2" applyFont="1" applyAlignment="1">
      <alignment horizontal="center" vertical="center" wrapText="1"/>
    </xf>
    <xf numFmtId="0" fontId="2" fillId="0" borderId="4" xfId="2" applyBorder="1"/>
    <xf numFmtId="37" fontId="5" fillId="0" borderId="3" xfId="3" applyFont="1" applyBorder="1" applyAlignment="1">
      <alignment horizontal="left" vertical="center"/>
    </xf>
    <xf numFmtId="0" fontId="5" fillId="0" borderId="3" xfId="2" applyFont="1" applyBorder="1" applyAlignment="1">
      <alignment vertical="center"/>
    </xf>
    <xf numFmtId="37" fontId="8" fillId="0" borderId="3" xfId="3" applyFont="1" applyBorder="1" applyAlignment="1">
      <alignment horizontal="left" vertical="center"/>
    </xf>
    <xf numFmtId="0" fontId="5" fillId="0" borderId="3" xfId="2" applyFont="1" applyBorder="1" applyAlignment="1">
      <alignment horizontal="left" vertical="center"/>
    </xf>
    <xf numFmtId="0" fontId="8" fillId="0" borderId="3" xfId="2" applyFont="1" applyBorder="1" applyAlignment="1">
      <alignment horizontal="left" vertical="center" indent="1"/>
    </xf>
    <xf numFmtId="0" fontId="8" fillId="0" borderId="5" xfId="2" applyFont="1" applyBorder="1" applyAlignment="1">
      <alignment vertical="center"/>
    </xf>
    <xf numFmtId="37" fontId="8" fillId="0" borderId="0" xfId="2" applyNumberFormat="1" applyFont="1" applyAlignment="1">
      <alignment vertical="center"/>
    </xf>
    <xf numFmtId="164" fontId="8" fillId="0" borderId="0" xfId="2" applyNumberFormat="1" applyFont="1" applyAlignment="1">
      <alignment vertical="center"/>
    </xf>
    <xf numFmtId="164" fontId="5" fillId="0" borderId="0" xfId="4" quotePrefix="1" applyNumberFormat="1" applyFont="1" applyBorder="1" applyAlignment="1">
      <alignment horizontal="right" vertical="center"/>
    </xf>
    <xf numFmtId="0" fontId="3" fillId="0" borderId="0" xfId="2" applyFont="1"/>
    <xf numFmtId="0" fontId="9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0" fontId="10" fillId="0" borderId="0" xfId="2" applyFont="1"/>
    <xf numFmtId="0" fontId="11" fillId="0" borderId="0" xfId="2" applyFont="1"/>
    <xf numFmtId="37" fontId="12" fillId="0" borderId="0" xfId="2" applyNumberFormat="1" applyFont="1" applyAlignment="1">
      <alignment vertical="center"/>
    </xf>
    <xf numFmtId="0" fontId="13" fillId="0" borderId="0" xfId="2" applyFont="1"/>
    <xf numFmtId="0" fontId="13" fillId="0" borderId="0" xfId="2" applyFont="1" applyAlignment="1">
      <alignment horizontal="left" indent="4"/>
    </xf>
    <xf numFmtId="37" fontId="12" fillId="0" borderId="0" xfId="2" applyNumberFormat="1" applyFont="1" applyAlignment="1" applyProtection="1">
      <alignment horizontal="left" vertical="center"/>
      <protection locked="0"/>
    </xf>
    <xf numFmtId="41" fontId="7" fillId="0" borderId="3" xfId="1" applyNumberFormat="1" applyFont="1" applyBorder="1"/>
    <xf numFmtId="41" fontId="7" fillId="0" borderId="0" xfId="1" applyNumberFormat="1" applyFont="1" applyBorder="1"/>
    <xf numFmtId="41" fontId="7" fillId="0" borderId="4" xfId="1" applyNumberFormat="1" applyFont="1" applyBorder="1"/>
    <xf numFmtId="41" fontId="5" fillId="0" borderId="3" xfId="4" applyNumberFormat="1" applyFont="1" applyBorder="1" applyAlignment="1">
      <alignment vertical="center"/>
    </xf>
    <xf numFmtId="41" fontId="5" fillId="0" borderId="0" xfId="4" applyNumberFormat="1" applyFont="1" applyBorder="1" applyAlignment="1">
      <alignment vertical="center"/>
    </xf>
    <xf numFmtId="41" fontId="5" fillId="0" borderId="0" xfId="4" applyNumberFormat="1" applyFont="1" applyBorder="1"/>
    <xf numFmtId="41" fontId="5" fillId="0" borderId="4" xfId="4" applyNumberFormat="1" applyFont="1" applyBorder="1"/>
    <xf numFmtId="165" fontId="5" fillId="0" borderId="3" xfId="4" applyNumberFormat="1" applyFont="1" applyBorder="1" applyAlignment="1">
      <alignment vertical="center"/>
    </xf>
    <xf numFmtId="165" fontId="5" fillId="0" borderId="0" xfId="4" applyNumberFormat="1" applyFont="1" applyBorder="1" applyAlignment="1">
      <alignment vertical="center"/>
    </xf>
    <xf numFmtId="165" fontId="5" fillId="0" borderId="4" xfId="4" applyNumberFormat="1" applyFont="1" applyBorder="1" applyAlignment="1">
      <alignment vertical="center"/>
    </xf>
    <xf numFmtId="165" fontId="7" fillId="0" borderId="3" xfId="0" applyNumberFormat="1" applyFont="1" applyBorder="1"/>
    <xf numFmtId="165" fontId="7" fillId="0" borderId="0" xfId="0" applyNumberFormat="1" applyFont="1"/>
    <xf numFmtId="165" fontId="3" fillId="0" borderId="0" xfId="1" applyNumberFormat="1" applyFont="1" applyBorder="1" applyAlignment="1">
      <alignment horizontal="right"/>
    </xf>
    <xf numFmtId="165" fontId="7" fillId="0" borderId="4" xfId="0" applyNumberFormat="1" applyFont="1" applyBorder="1"/>
    <xf numFmtId="165" fontId="3" fillId="0" borderId="3" xfId="1" applyNumberFormat="1" applyFont="1" applyBorder="1" applyAlignment="1">
      <alignment horizontal="right"/>
    </xf>
    <xf numFmtId="165" fontId="3" fillId="0" borderId="4" xfId="1" applyNumberFormat="1" applyFont="1" applyBorder="1" applyAlignment="1">
      <alignment horizontal="right"/>
    </xf>
    <xf numFmtId="165" fontId="8" fillId="0" borderId="3" xfId="2" applyNumberFormat="1" applyFont="1" applyBorder="1"/>
    <xf numFmtId="165" fontId="8" fillId="0" borderId="0" xfId="2" applyNumberFormat="1" applyFont="1"/>
    <xf numFmtId="165" fontId="8" fillId="0" borderId="4" xfId="2" applyNumberFormat="1" applyFont="1" applyBorder="1"/>
    <xf numFmtId="165" fontId="8" fillId="0" borderId="0" xfId="2" quotePrefix="1" applyNumberFormat="1" applyFont="1" applyAlignment="1">
      <alignment horizontal="right"/>
    </xf>
    <xf numFmtId="165" fontId="8" fillId="0" borderId="5" xfId="2" applyNumberFormat="1" applyFont="1" applyBorder="1" applyAlignment="1">
      <alignment vertical="center"/>
    </xf>
    <xf numFmtId="165" fontId="8" fillId="0" borderId="6" xfId="2" applyNumberFormat="1" applyFont="1" applyBorder="1" applyAlignment="1">
      <alignment vertical="center"/>
    </xf>
    <xf numFmtId="165" fontId="8" fillId="0" borderId="7" xfId="2" applyNumberFormat="1" applyFont="1" applyBorder="1" applyAlignment="1">
      <alignment vertical="center"/>
    </xf>
    <xf numFmtId="37" fontId="5" fillId="0" borderId="0" xfId="3" applyFont="1" applyAlignment="1">
      <alignment horizontal="center" vertical="center" wrapText="1"/>
    </xf>
    <xf numFmtId="0" fontId="2" fillId="0" borderId="0" xfId="2" applyAlignment="1">
      <alignment wrapText="1"/>
    </xf>
    <xf numFmtId="37" fontId="5" fillId="0" borderId="1" xfId="3" applyFont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/>
    </xf>
    <xf numFmtId="37" fontId="5" fillId="0" borderId="2" xfId="3" applyFont="1" applyBorder="1" applyAlignment="1">
      <alignment horizontal="center" vertical="center"/>
    </xf>
    <xf numFmtId="37" fontId="5" fillId="0" borderId="2" xfId="3" applyFont="1" applyBorder="1" applyAlignment="1">
      <alignment horizontal="center" vertical="center" wrapText="1"/>
    </xf>
    <xf numFmtId="37" fontId="5" fillId="0" borderId="2" xfId="3" applyFont="1" applyBorder="1" applyAlignment="1">
      <alignment horizontal="center"/>
    </xf>
  </cellXfs>
  <cellStyles count="5">
    <cellStyle name="Comma" xfId="1" builtinId="3"/>
    <cellStyle name="Comma 2" xfId="4" xr:uid="{A2804C6B-8D78-434C-88F6-FABEE95F9AC6}"/>
    <cellStyle name="Normal" xfId="0" builtinId="0"/>
    <cellStyle name="Normal 3" xfId="2" xr:uid="{65B692C4-7F5B-4011-AD79-9D9D6C830576}"/>
    <cellStyle name="Normal_Jan06_tables" xfId="3" xr:uid="{CE8CD4BF-F7DF-44BE-8D72-5823743837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E78B4-DB85-4DE5-8F31-CE2B3714AFCB}">
  <dimension ref="A1:Z27"/>
  <sheetViews>
    <sheetView showGridLines="0" tabSelected="1" zoomScale="80" zoomScaleNormal="80" workbookViewId="0">
      <selection activeCell="I29" sqref="I29"/>
    </sheetView>
  </sheetViews>
  <sheetFormatPr defaultColWidth="9.140625" defaultRowHeight="14.25" x14ac:dyDescent="0.2"/>
  <cols>
    <col min="1" max="1" width="2.7109375" style="2" customWidth="1"/>
    <col min="2" max="2" width="27.28515625" style="2" customWidth="1"/>
    <col min="3" max="3" width="11.28515625" style="2" bestFit="1" customWidth="1"/>
    <col min="4" max="4" width="9.42578125" style="2" bestFit="1" customWidth="1"/>
    <col min="5" max="5" width="9.5703125" style="2" bestFit="1" customWidth="1"/>
    <col min="6" max="6" width="11.5703125" style="2" customWidth="1"/>
    <col min="7" max="7" width="9.5703125" style="2" bestFit="1" customWidth="1"/>
    <col min="8" max="8" width="11.7109375" style="2" customWidth="1"/>
    <col min="9" max="9" width="9.42578125" style="2" bestFit="1" customWidth="1"/>
    <col min="10" max="10" width="11.28515625" style="2" customWidth="1"/>
    <col min="11" max="11" width="9.42578125" style="2" bestFit="1" customWidth="1"/>
    <col min="12" max="12" width="11.5703125" style="2" customWidth="1"/>
    <col min="13" max="13" width="9.5703125" style="2" bestFit="1" customWidth="1"/>
    <col min="14" max="14" width="12.42578125" style="2" customWidth="1"/>
    <col min="15" max="17" width="9.140625" style="2"/>
    <col min="18" max="18" width="12" style="2" customWidth="1"/>
    <col min="19" max="19" width="9.140625" style="2"/>
    <col min="20" max="20" width="11.7109375" style="2" customWidth="1"/>
    <col min="21" max="21" width="9.140625" style="2"/>
    <col min="22" max="22" width="11.140625" style="2" customWidth="1"/>
    <col min="23" max="23" width="9.140625" style="2"/>
    <col min="24" max="24" width="10.7109375" style="2" customWidth="1"/>
    <col min="25" max="25" width="9.140625" style="2"/>
    <col min="26" max="26" width="11.28515625" style="2" customWidth="1"/>
    <col min="27" max="16384" width="9.140625" style="2"/>
  </cols>
  <sheetData>
    <row r="1" spans="1:26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B2" s="49" t="s">
        <v>0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spans="1:26" ht="15" x14ac:dyDescent="0.2">
      <c r="B3" s="49"/>
      <c r="C3" s="49"/>
      <c r="D3" s="49"/>
      <c r="E3" s="49"/>
      <c r="F3" s="49"/>
      <c r="G3" s="49"/>
      <c r="H3" s="49"/>
      <c r="I3" s="50"/>
      <c r="J3" s="50"/>
      <c r="K3" s="50"/>
      <c r="L3" s="50"/>
      <c r="M3" s="50"/>
      <c r="N3" s="50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x14ac:dyDescent="0.2">
      <c r="B4" s="3"/>
      <c r="C4" s="3"/>
      <c r="D4" s="3"/>
      <c r="E4" s="3"/>
      <c r="F4" s="3"/>
      <c r="G4" s="3"/>
      <c r="H4" s="3"/>
      <c r="I4" s="1"/>
      <c r="J4" s="1"/>
      <c r="K4" s="1"/>
      <c r="L4" s="1"/>
      <c r="M4" s="1"/>
      <c r="N4" s="1"/>
      <c r="O4" s="3"/>
      <c r="P4" s="3"/>
      <c r="Q4" s="3"/>
      <c r="R4" s="3"/>
      <c r="S4" s="3"/>
      <c r="T4" s="3"/>
      <c r="U4" s="1"/>
      <c r="V4" s="1"/>
      <c r="W4" s="1"/>
      <c r="X4" s="1"/>
      <c r="Y4" s="1"/>
      <c r="Z4" s="1"/>
    </row>
    <row r="5" spans="1:26" ht="15" x14ac:dyDescent="0.2">
      <c r="B5" s="4"/>
      <c r="C5" s="4"/>
      <c r="D5" s="4"/>
      <c r="E5" s="4"/>
      <c r="F5" s="4"/>
      <c r="G5" s="4"/>
      <c r="H5" s="4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1"/>
      <c r="V5" s="1"/>
      <c r="W5" s="1"/>
      <c r="X5" s="1"/>
      <c r="Y5" s="1"/>
      <c r="Z5" s="1"/>
    </row>
    <row r="6" spans="1:26" ht="15" x14ac:dyDescent="0.2">
      <c r="B6" s="51" t="s">
        <v>25</v>
      </c>
      <c r="C6" s="52" t="s">
        <v>1</v>
      </c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 t="s">
        <v>2</v>
      </c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spans="1:26" ht="15" x14ac:dyDescent="0.2">
      <c r="B7" s="51"/>
      <c r="C7" s="53" t="s">
        <v>3</v>
      </c>
      <c r="D7" s="53" t="s">
        <v>4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 t="s">
        <v>3</v>
      </c>
      <c r="P7" s="53" t="s">
        <v>4</v>
      </c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5" x14ac:dyDescent="0.25">
      <c r="B8" s="51"/>
      <c r="C8" s="53"/>
      <c r="D8" s="54" t="s">
        <v>5</v>
      </c>
      <c r="E8" s="55" t="s">
        <v>6</v>
      </c>
      <c r="F8" s="55"/>
      <c r="G8" s="55" t="s">
        <v>7</v>
      </c>
      <c r="H8" s="55"/>
      <c r="I8" s="55" t="s">
        <v>8</v>
      </c>
      <c r="J8" s="55"/>
      <c r="K8" s="55" t="s">
        <v>9</v>
      </c>
      <c r="L8" s="55"/>
      <c r="M8" s="55" t="s">
        <v>10</v>
      </c>
      <c r="N8" s="55"/>
      <c r="O8" s="53"/>
      <c r="P8" s="54" t="s">
        <v>5</v>
      </c>
      <c r="Q8" s="55" t="s">
        <v>6</v>
      </c>
      <c r="R8" s="55"/>
      <c r="S8" s="55" t="s">
        <v>7</v>
      </c>
      <c r="T8" s="55"/>
      <c r="U8" s="55" t="s">
        <v>8</v>
      </c>
      <c r="V8" s="55"/>
      <c r="W8" s="55" t="s">
        <v>9</v>
      </c>
      <c r="X8" s="55"/>
      <c r="Y8" s="55" t="s">
        <v>10</v>
      </c>
      <c r="Z8" s="55"/>
    </row>
    <row r="9" spans="1:26" x14ac:dyDescent="0.2">
      <c r="B9" s="51"/>
      <c r="C9" s="53"/>
      <c r="D9" s="54"/>
      <c r="E9" s="54" t="s">
        <v>11</v>
      </c>
      <c r="F9" s="54" t="s">
        <v>12</v>
      </c>
      <c r="G9" s="54" t="s">
        <v>11</v>
      </c>
      <c r="H9" s="54" t="s">
        <v>12</v>
      </c>
      <c r="I9" s="54" t="s">
        <v>11</v>
      </c>
      <c r="J9" s="54" t="s">
        <v>12</v>
      </c>
      <c r="K9" s="54" t="s">
        <v>11</v>
      </c>
      <c r="L9" s="54" t="s">
        <v>12</v>
      </c>
      <c r="M9" s="54" t="s">
        <v>11</v>
      </c>
      <c r="N9" s="54" t="s">
        <v>12</v>
      </c>
      <c r="O9" s="53"/>
      <c r="P9" s="54"/>
      <c r="Q9" s="54" t="s">
        <v>11</v>
      </c>
      <c r="R9" s="54" t="s">
        <v>12</v>
      </c>
      <c r="S9" s="54" t="s">
        <v>11</v>
      </c>
      <c r="T9" s="54" t="s">
        <v>12</v>
      </c>
      <c r="U9" s="54" t="s">
        <v>11</v>
      </c>
      <c r="V9" s="54" t="s">
        <v>12</v>
      </c>
      <c r="W9" s="54" t="s">
        <v>11</v>
      </c>
      <c r="X9" s="54" t="s">
        <v>12</v>
      </c>
      <c r="Y9" s="54" t="s">
        <v>11</v>
      </c>
      <c r="Z9" s="54" t="s">
        <v>12</v>
      </c>
    </row>
    <row r="10" spans="1:26" x14ac:dyDescent="0.2">
      <c r="B10" s="51"/>
      <c r="C10" s="53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3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spans="1:26" ht="15" x14ac:dyDescent="0.2">
      <c r="B11" s="5"/>
      <c r="C11" s="5"/>
      <c r="D11" s="3"/>
      <c r="E11" s="3"/>
      <c r="F11" s="6"/>
      <c r="G11" s="6"/>
      <c r="H11" s="6"/>
      <c r="I11" s="1"/>
      <c r="J11" s="1"/>
      <c r="K11" s="1"/>
      <c r="L11" s="1"/>
      <c r="M11" s="1"/>
      <c r="N11" s="7"/>
      <c r="O11" s="5"/>
      <c r="P11" s="3"/>
      <c r="Q11" s="3"/>
      <c r="R11" s="6"/>
      <c r="S11" s="6"/>
      <c r="T11" s="6"/>
      <c r="U11" s="1"/>
      <c r="V11" s="1"/>
      <c r="W11" s="1"/>
      <c r="X11" s="1"/>
      <c r="Y11" s="1"/>
      <c r="Z11" s="7"/>
    </row>
    <row r="12" spans="1:26" ht="15" x14ac:dyDescent="0.25">
      <c r="B12" s="8" t="s">
        <v>13</v>
      </c>
      <c r="C12" s="26">
        <v>1795.7249999999999</v>
      </c>
      <c r="D12" s="27">
        <v>5.0119999999999996</v>
      </c>
      <c r="E12" s="27">
        <v>105.38</v>
      </c>
      <c r="F12" s="27">
        <v>73.659000000000006</v>
      </c>
      <c r="G12" s="27">
        <v>208.43</v>
      </c>
      <c r="H12" s="27">
        <v>472.786</v>
      </c>
      <c r="I12" s="27">
        <v>26.97</v>
      </c>
      <c r="J12" s="27">
        <v>135.80500000000001</v>
      </c>
      <c r="K12" s="27">
        <v>0</v>
      </c>
      <c r="L12" s="27">
        <v>33.685000000000002</v>
      </c>
      <c r="M12" s="27">
        <v>151.441</v>
      </c>
      <c r="N12" s="28">
        <v>582.55700000000002</v>
      </c>
      <c r="O12" s="29">
        <v>121.124</v>
      </c>
      <c r="P12" s="30">
        <v>2.3050000000000002</v>
      </c>
      <c r="Q12" s="30">
        <v>27.228000000000002</v>
      </c>
      <c r="R12" s="30">
        <v>17.579999999999998</v>
      </c>
      <c r="S12" s="30">
        <v>42.377000000000002</v>
      </c>
      <c r="T12" s="30">
        <v>56.323</v>
      </c>
      <c r="U12" s="31">
        <v>12.257999999999999</v>
      </c>
      <c r="V12" s="31">
        <v>24.349</v>
      </c>
      <c r="W12" s="31">
        <v>0</v>
      </c>
      <c r="X12" s="31">
        <v>8.9920000000000009</v>
      </c>
      <c r="Y12" s="31">
        <v>24.634</v>
      </c>
      <c r="Z12" s="32">
        <v>58.948</v>
      </c>
    </row>
    <row r="13" spans="1:26" ht="15" x14ac:dyDescent="0.2">
      <c r="B13" s="10" t="s">
        <v>14</v>
      </c>
      <c r="C13" s="33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5"/>
      <c r="O13" s="33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5"/>
    </row>
    <row r="14" spans="1:26" ht="15" x14ac:dyDescent="0.2">
      <c r="B14" s="9"/>
      <c r="C14" s="33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5"/>
      <c r="O14" s="33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5"/>
    </row>
    <row r="15" spans="1:26" ht="15" x14ac:dyDescent="0.25">
      <c r="A15" s="1"/>
      <c r="B15" s="11" t="s">
        <v>3</v>
      </c>
      <c r="C15" s="36">
        <f>SUM(C16:C21)</f>
        <v>100.001</v>
      </c>
      <c r="D15" s="37">
        <f t="shared" ref="D15:N15" si="0">SUM(D16:D21)</f>
        <v>99.998999999999995</v>
      </c>
      <c r="E15" s="37">
        <f t="shared" si="0"/>
        <v>99.99799999999999</v>
      </c>
      <c r="F15" s="37">
        <f t="shared" si="0"/>
        <v>99.998999999999995</v>
      </c>
      <c r="G15" s="37">
        <f t="shared" si="0"/>
        <v>100</v>
      </c>
      <c r="H15" s="37">
        <f t="shared" si="0"/>
        <v>100</v>
      </c>
      <c r="I15" s="37">
        <f t="shared" si="0"/>
        <v>100</v>
      </c>
      <c r="J15" s="37">
        <f t="shared" si="0"/>
        <v>100</v>
      </c>
      <c r="K15" s="38">
        <v>0</v>
      </c>
      <c r="L15" s="37">
        <f t="shared" si="0"/>
        <v>99.999999999999986</v>
      </c>
      <c r="M15" s="37">
        <f t="shared" si="0"/>
        <v>99.99799999999999</v>
      </c>
      <c r="N15" s="39">
        <f t="shared" si="0"/>
        <v>99.999999999999986</v>
      </c>
      <c r="O15" s="33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5"/>
    </row>
    <row r="16" spans="1:26" x14ac:dyDescent="0.2">
      <c r="A16" s="1"/>
      <c r="B16" s="12" t="s">
        <v>15</v>
      </c>
      <c r="C16" s="40">
        <v>32.728999999999999</v>
      </c>
      <c r="D16" s="38">
        <v>7.8209999999999997</v>
      </c>
      <c r="E16" s="38">
        <v>12.896000000000001</v>
      </c>
      <c r="F16" s="38">
        <v>21.43</v>
      </c>
      <c r="G16" s="38">
        <v>31.94</v>
      </c>
      <c r="H16" s="38">
        <v>15.425000000000001</v>
      </c>
      <c r="I16" s="38">
        <v>100</v>
      </c>
      <c r="J16" s="38">
        <v>100</v>
      </c>
      <c r="K16" s="38">
        <v>0</v>
      </c>
      <c r="L16" s="38">
        <v>18.103000000000002</v>
      </c>
      <c r="M16" s="38">
        <v>28.481999999999999</v>
      </c>
      <c r="N16" s="41">
        <v>35.438000000000002</v>
      </c>
      <c r="O16" s="42">
        <v>2.82</v>
      </c>
      <c r="P16" s="43">
        <v>7.508</v>
      </c>
      <c r="Q16" s="43">
        <v>6.0309999999999997</v>
      </c>
      <c r="R16" s="43">
        <v>8.0150000000000006</v>
      </c>
      <c r="S16" s="43">
        <v>8.2539999999999996</v>
      </c>
      <c r="T16" s="43">
        <v>3.41</v>
      </c>
      <c r="U16" s="43">
        <v>0</v>
      </c>
      <c r="V16" s="43">
        <v>0</v>
      </c>
      <c r="W16" s="43">
        <v>0</v>
      </c>
      <c r="X16" s="43">
        <v>8.5879999999999992</v>
      </c>
      <c r="Y16" s="43">
        <v>5.24</v>
      </c>
      <c r="Z16" s="44">
        <v>4.4619999999999997</v>
      </c>
    </row>
    <row r="17" spans="1:26" x14ac:dyDescent="0.2">
      <c r="A17" s="1"/>
      <c r="B17" s="12" t="s">
        <v>16</v>
      </c>
      <c r="C17" s="40">
        <v>37.274000000000001</v>
      </c>
      <c r="D17" s="38">
        <v>0</v>
      </c>
      <c r="E17" s="38">
        <v>23.559000000000001</v>
      </c>
      <c r="F17" s="38">
        <v>14.712</v>
      </c>
      <c r="G17" s="38">
        <v>28.009</v>
      </c>
      <c r="H17" s="38">
        <v>42.445</v>
      </c>
      <c r="I17" s="38">
        <v>0</v>
      </c>
      <c r="J17" s="38">
        <v>0</v>
      </c>
      <c r="K17" s="38">
        <v>0</v>
      </c>
      <c r="L17" s="38">
        <v>50.094000000000001</v>
      </c>
      <c r="M17" s="38">
        <v>42.23</v>
      </c>
      <c r="N17" s="41">
        <v>50.430999999999997</v>
      </c>
      <c r="O17" s="42">
        <v>2.726</v>
      </c>
      <c r="P17" s="43">
        <v>0</v>
      </c>
      <c r="Q17" s="43">
        <v>10.79</v>
      </c>
      <c r="R17" s="43">
        <v>6.81</v>
      </c>
      <c r="S17" s="43">
        <v>7.1689999999999996</v>
      </c>
      <c r="T17" s="43">
        <v>5.6879999999999997</v>
      </c>
      <c r="U17" s="45">
        <v>0</v>
      </c>
      <c r="V17" s="45">
        <v>0</v>
      </c>
      <c r="W17" s="45">
        <v>0</v>
      </c>
      <c r="X17" s="43">
        <v>13.738</v>
      </c>
      <c r="Y17" s="43">
        <v>7.9489999999999998</v>
      </c>
      <c r="Z17" s="44">
        <v>4.6710000000000003</v>
      </c>
    </row>
    <row r="18" spans="1:26" x14ac:dyDescent="0.2">
      <c r="A18" s="1"/>
      <c r="B18" s="12" t="s">
        <v>17</v>
      </c>
      <c r="C18" s="40">
        <v>14.032999999999999</v>
      </c>
      <c r="D18" s="38">
        <v>16.739999999999998</v>
      </c>
      <c r="E18" s="38">
        <v>18.658999999999999</v>
      </c>
      <c r="F18" s="38">
        <v>27.045999999999999</v>
      </c>
      <c r="G18" s="38">
        <v>5.2910000000000004</v>
      </c>
      <c r="H18" s="38">
        <v>25.574000000000002</v>
      </c>
      <c r="I18" s="38">
        <v>0</v>
      </c>
      <c r="J18" s="38">
        <v>0</v>
      </c>
      <c r="K18" s="38">
        <v>0</v>
      </c>
      <c r="L18" s="38">
        <v>19.242999999999999</v>
      </c>
      <c r="M18" s="38">
        <v>18.722999999999999</v>
      </c>
      <c r="N18" s="41">
        <v>7.6890000000000001</v>
      </c>
      <c r="O18" s="42">
        <v>1.546</v>
      </c>
      <c r="P18" s="45">
        <v>14.422000000000001</v>
      </c>
      <c r="Q18" s="43">
        <v>9.6820000000000004</v>
      </c>
      <c r="R18" s="43">
        <v>8.4689999999999994</v>
      </c>
      <c r="S18" s="43">
        <v>2.4420000000000002</v>
      </c>
      <c r="T18" s="43">
        <v>4.3239999999999998</v>
      </c>
      <c r="U18" s="45">
        <v>0</v>
      </c>
      <c r="V18" s="45">
        <v>0</v>
      </c>
      <c r="W18" s="45">
        <v>0</v>
      </c>
      <c r="X18" s="43">
        <v>12.042999999999999</v>
      </c>
      <c r="Y18" s="43">
        <v>5.1870000000000003</v>
      </c>
      <c r="Z18" s="44">
        <v>2.464</v>
      </c>
    </row>
    <row r="19" spans="1:26" x14ac:dyDescent="0.2">
      <c r="A19" s="1"/>
      <c r="B19" s="12" t="s">
        <v>18</v>
      </c>
      <c r="C19" s="40">
        <v>9.0259999999999998</v>
      </c>
      <c r="D19" s="38">
        <v>0</v>
      </c>
      <c r="E19" s="38">
        <v>20.289000000000001</v>
      </c>
      <c r="F19" s="38">
        <v>16.100000000000001</v>
      </c>
      <c r="G19" s="38">
        <v>15.935</v>
      </c>
      <c r="H19" s="38">
        <v>10.208</v>
      </c>
      <c r="I19" s="38">
        <v>0</v>
      </c>
      <c r="J19" s="38">
        <v>0</v>
      </c>
      <c r="K19" s="38">
        <v>0</v>
      </c>
      <c r="L19" s="38">
        <v>5.1950000000000003</v>
      </c>
      <c r="M19" s="38">
        <v>8.6769999999999996</v>
      </c>
      <c r="N19" s="41">
        <v>5.5739999999999998</v>
      </c>
      <c r="O19" s="42">
        <v>1.6240000000000001</v>
      </c>
      <c r="P19" s="43">
        <v>0</v>
      </c>
      <c r="Q19" s="43">
        <v>8.4589999999999996</v>
      </c>
      <c r="R19" s="43">
        <v>6.48</v>
      </c>
      <c r="S19" s="43">
        <v>7.8739999999999997</v>
      </c>
      <c r="T19" s="43">
        <v>2.5609999999999999</v>
      </c>
      <c r="U19" s="45">
        <v>0</v>
      </c>
      <c r="V19" s="45">
        <v>0</v>
      </c>
      <c r="W19" s="45">
        <v>0</v>
      </c>
      <c r="X19" s="43">
        <v>3.2829999999999999</v>
      </c>
      <c r="Y19" s="43">
        <v>4.7160000000000002</v>
      </c>
      <c r="Z19" s="44">
        <v>2.403</v>
      </c>
    </row>
    <row r="20" spans="1:26" x14ac:dyDescent="0.2">
      <c r="A20" s="1"/>
      <c r="B20" s="12" t="s">
        <v>19</v>
      </c>
      <c r="C20" s="40">
        <v>5.3019999999999996</v>
      </c>
      <c r="D20" s="38">
        <v>16.061</v>
      </c>
      <c r="E20" s="38">
        <v>11.391999999999999</v>
      </c>
      <c r="F20" s="38">
        <v>16.492000000000001</v>
      </c>
      <c r="G20" s="38">
        <v>18.824999999999999</v>
      </c>
      <c r="H20" s="38">
        <v>4.3600000000000003</v>
      </c>
      <c r="I20" s="38">
        <v>0</v>
      </c>
      <c r="J20" s="38">
        <v>0</v>
      </c>
      <c r="K20" s="38">
        <v>0</v>
      </c>
      <c r="L20" s="38">
        <v>7.3650000000000002</v>
      </c>
      <c r="M20" s="38">
        <v>1.8859999999999999</v>
      </c>
      <c r="N20" s="41">
        <v>0.86799999999999999</v>
      </c>
      <c r="O20" s="42">
        <v>1.0620000000000001</v>
      </c>
      <c r="P20" s="43">
        <v>13.97</v>
      </c>
      <c r="Q20" s="43">
        <v>5.09</v>
      </c>
      <c r="R20" s="43">
        <v>5.49</v>
      </c>
      <c r="S20" s="43">
        <v>6.8570000000000002</v>
      </c>
      <c r="T20" s="43">
        <v>1.64</v>
      </c>
      <c r="U20" s="45">
        <v>0</v>
      </c>
      <c r="V20" s="45">
        <v>0</v>
      </c>
      <c r="W20" s="45">
        <v>0</v>
      </c>
      <c r="X20" s="43">
        <v>5.0350000000000001</v>
      </c>
      <c r="Y20" s="43">
        <v>1.2230000000000001</v>
      </c>
      <c r="Z20" s="44">
        <v>0.496</v>
      </c>
    </row>
    <row r="21" spans="1:26" x14ac:dyDescent="0.2">
      <c r="A21" s="1"/>
      <c r="B21" s="12" t="s">
        <v>20</v>
      </c>
      <c r="C21" s="40">
        <v>1.637</v>
      </c>
      <c r="D21" s="38">
        <v>59.377000000000002</v>
      </c>
      <c r="E21" s="38">
        <v>13.202999999999999</v>
      </c>
      <c r="F21" s="38">
        <v>4.2190000000000003</v>
      </c>
      <c r="G21" s="38">
        <v>0</v>
      </c>
      <c r="H21" s="38">
        <v>1.988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41">
        <v>0</v>
      </c>
      <c r="O21" s="42">
        <v>0.59699999999999998</v>
      </c>
      <c r="P21" s="43">
        <v>15.504</v>
      </c>
      <c r="Q21" s="43">
        <v>6.9630000000000001</v>
      </c>
      <c r="R21" s="43">
        <v>2.7719999999999998</v>
      </c>
      <c r="S21" s="43">
        <v>0</v>
      </c>
      <c r="T21" s="43">
        <v>1.448</v>
      </c>
      <c r="U21" s="45">
        <v>0</v>
      </c>
      <c r="V21" s="45">
        <v>0</v>
      </c>
      <c r="W21" s="45">
        <v>0</v>
      </c>
      <c r="X21" s="45">
        <v>0</v>
      </c>
      <c r="Y21" s="43">
        <v>0</v>
      </c>
      <c r="Z21" s="44">
        <v>0</v>
      </c>
    </row>
    <row r="22" spans="1:26" x14ac:dyDescent="0.2">
      <c r="A22" s="1"/>
      <c r="B22" s="13"/>
      <c r="C22" s="46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8"/>
      <c r="O22" s="46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8"/>
    </row>
    <row r="23" spans="1:26" ht="15" x14ac:dyDescent="0.2">
      <c r="A23" s="14"/>
      <c r="B23" s="22" t="s">
        <v>21</v>
      </c>
      <c r="C23" s="15"/>
      <c r="D23" s="16"/>
      <c r="E23" s="15"/>
      <c r="F23" s="15"/>
      <c r="G23" s="1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x14ac:dyDescent="0.2">
      <c r="A24" s="17"/>
      <c r="B24" s="23"/>
      <c r="C24" s="18"/>
      <c r="D24" s="18"/>
      <c r="E24" s="18"/>
      <c r="F24" s="18"/>
      <c r="G24" s="19"/>
      <c r="H24" s="19"/>
      <c r="I24" s="19"/>
      <c r="J24" s="4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5" x14ac:dyDescent="0.2">
      <c r="A25" s="17"/>
      <c r="B25" s="23" t="s">
        <v>22</v>
      </c>
      <c r="C25" s="18"/>
      <c r="D25" s="18"/>
      <c r="E25" s="18"/>
      <c r="F25" s="18"/>
      <c r="G25" s="19"/>
      <c r="H25" s="19"/>
      <c r="I25" s="19"/>
      <c r="J25" s="4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5" x14ac:dyDescent="0.2">
      <c r="A26" s="17"/>
      <c r="B26" s="24" t="s">
        <v>23</v>
      </c>
      <c r="C26" s="19"/>
      <c r="D26" s="19"/>
      <c r="E26" s="19"/>
      <c r="F26" s="19"/>
      <c r="G26" s="19"/>
      <c r="H26" s="19"/>
      <c r="I26" s="19"/>
      <c r="J26" s="4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x14ac:dyDescent="0.2">
      <c r="A27" s="1"/>
      <c r="B27" s="25" t="s">
        <v>24</v>
      </c>
      <c r="C27" s="20"/>
      <c r="D27" s="20"/>
      <c r="E27" s="20"/>
      <c r="F27" s="20"/>
      <c r="G27" s="20"/>
      <c r="H27" s="20"/>
      <c r="I27" s="20"/>
      <c r="J27" s="2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</sheetData>
  <mergeCells count="41">
    <mergeCell ref="Y9:Y10"/>
    <mergeCell ref="Z9:Z10"/>
    <mergeCell ref="U9:U10"/>
    <mergeCell ref="Q8:R8"/>
    <mergeCell ref="S8:T8"/>
    <mergeCell ref="U8:V8"/>
    <mergeCell ref="W8:X8"/>
    <mergeCell ref="Q9:Q10"/>
    <mergeCell ref="R9:R10"/>
    <mergeCell ref="S9:S10"/>
    <mergeCell ref="T9:T10"/>
    <mergeCell ref="V9:V10"/>
    <mergeCell ref="W9:W10"/>
    <mergeCell ref="X9:X10"/>
    <mergeCell ref="P8:P10"/>
    <mergeCell ref="J9:J10"/>
    <mergeCell ref="K9:K10"/>
    <mergeCell ref="L9:L10"/>
    <mergeCell ref="M9:M10"/>
    <mergeCell ref="N9:N10"/>
    <mergeCell ref="E8:F8"/>
    <mergeCell ref="G8:H8"/>
    <mergeCell ref="I8:J8"/>
    <mergeCell ref="K8:L8"/>
    <mergeCell ref="M8:N8"/>
    <mergeCell ref="B2:Z2"/>
    <mergeCell ref="B3:N3"/>
    <mergeCell ref="B6:B10"/>
    <mergeCell ref="C6:N6"/>
    <mergeCell ref="O6:Z6"/>
    <mergeCell ref="C7:C10"/>
    <mergeCell ref="D7:N7"/>
    <mergeCell ref="O7:O10"/>
    <mergeCell ref="P7:Z7"/>
    <mergeCell ref="D8:D10"/>
    <mergeCell ref="Y8:Z8"/>
    <mergeCell ref="E9:E10"/>
    <mergeCell ref="F9:F10"/>
    <mergeCell ref="G9:G10"/>
    <mergeCell ref="H9:H10"/>
    <mergeCell ref="I9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Statistical_Tab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2025-10-21T11:48:06Z</dcterms:created>
  <dcterms:modified xsi:type="dcterms:W3CDTF">2025-12-15T08:48:53Z</dcterms:modified>
</cp:coreProperties>
</file>