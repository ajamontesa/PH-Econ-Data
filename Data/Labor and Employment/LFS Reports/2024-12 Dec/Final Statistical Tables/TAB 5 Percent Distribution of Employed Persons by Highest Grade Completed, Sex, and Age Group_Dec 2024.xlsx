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DDE4310E-FCFF-496E-B0EE-229355926ACD}" xr6:coauthVersionLast="47" xr6:coauthVersionMax="47" xr10:uidLastSave="{00000000-0000-0000-0000-000000000000}"/>
  <bookViews>
    <workbookView xWindow="-120" yWindow="-120" windowWidth="29040" windowHeight="15720" xr2:uid="{DFC30AB7-1AB8-4413-AACC-CED86191F835}"/>
  </bookViews>
  <sheets>
    <sheet name="Statistical Tab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38" i="1"/>
  <c r="M38" i="1"/>
  <c r="L38" i="1"/>
  <c r="K38" i="1"/>
  <c r="J38" i="1"/>
  <c r="I38" i="1"/>
  <c r="H38" i="1"/>
  <c r="G38" i="1"/>
  <c r="F38" i="1"/>
  <c r="E38" i="1"/>
  <c r="D38" i="1"/>
  <c r="C38" i="1"/>
  <c r="N27" i="1"/>
  <c r="M27" i="1"/>
  <c r="L27" i="1"/>
  <c r="K27" i="1"/>
  <c r="J27" i="1"/>
  <c r="I27" i="1"/>
  <c r="H27" i="1"/>
  <c r="G27" i="1"/>
  <c r="F27" i="1"/>
  <c r="E27" i="1"/>
  <c r="D27" i="1"/>
  <c r="C27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<sst xmlns="http://schemas.openxmlformats.org/spreadsheetml/2006/main" count="73" uniqueCount="30">
  <si>
    <r>
      <t>TABLE 5  Percent Distribution of Employed Persons by Highest Grade Completed, Sex, and Age Group: December 2024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</si>
  <si>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</si>
  <si>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</si>
  <si>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</si>
  <si>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</si>
  <si>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</si>
  <si>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</si>
  <si>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</si>
  <si>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</si>
  <si>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</si>
  <si>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secondary</t>
  </si>
  <si>
    <t>College</t>
  </si>
  <si>
    <t>Under-graduate</t>
  </si>
  <si>
    <t>Graduate</t>
  </si>
  <si>
    <t>Philippines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</si>
  <si>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</si>
  <si>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</si>
  <si>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</si>
  <si>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</si>
  <si>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</si>
  <si>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</si>
  <si>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</si>
  <si>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</si>
  <si>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</si>
  <si>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</si>
  <si>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</si>
  <si>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Notes: "-" indicator equals to 0</t>
  </si>
  <si>
    <t xml:space="preserve"> 0.0 - less than 0.05 percent</t>
  </si>
  <si>
    <t>Details may not add up to totals due to rounding.</t>
  </si>
  <si>
    <t>Source:  Philippine Statistics Authority, December 2024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</si>
</sst>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,##0,"/>
    <numFmt numFmtId="165" formatCode="_(* #,##0_);_(* \(#,##0\);_(* &quot;-&quot;_);_(@_)"/>
    <numFmt numFmtId="166" formatCode="#,##0.0_);\(#,##0.0\)"/>
    <numFmt numFmtId="167" formatCode="_-* #,##0.0_-;\-* #,##0.0_-;_-* &quot;-&quot;??_-;_-@_-"/>
    <numFmt numFmtId="168" formatCode="_(* #,##0.0_);_(* \(#,##0.0\);_(* &quot;-&quot;??_);_(@_)"/>
    <numFmt numFmtId="169" formatCode="#,##0;[Red]#,##0"/>
    <numFmt numFmtId="170" formatCode="_(* #,##0_);_(* \(#,##0\);_(* &quot;-&quot;??_);_(@_)"/>
    <numFmt numFmtId="171" formatCode="#,##0.000,"/>
    <numFmt numFmtId="172" formatCode="_-* #,##0.000_-;\-* #,##0.0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2" fillId="0" borderId="0"/>
  </cellStyleXfs>
  <cellXfs count="65">
    <xf numFmtId="0" fontId="0" fillId="0" borderId="0" xfId="0"/>
    <xf numFmtId="37" fontId="3" fillId="0" borderId="0" xfId="2" applyFont="1" applyAlignment="1">
      <alignment horizontal="center" vertical="center"/>
    </xf>
    <xf numFmtId="37" fontId="5" fillId="0" borderId="0" xfId="2" applyFont="1" applyAlignment="1">
      <alignment vertical="center"/>
    </xf>
    <xf numFmtId="37" fontId="3" fillId="0" borderId="3" xfId="2" applyFont="1" applyBorder="1" applyAlignment="1">
      <alignment horizontal="center" vertical="center"/>
    </xf>
    <xf numFmtId="37" fontId="5" fillId="0" borderId="4" xfId="2" applyFont="1" applyBorder="1" applyAlignment="1">
      <alignment vertical="center"/>
    </xf>
    <xf numFmtId="37" fontId="3" fillId="0" borderId="3" xfId="2" applyFont="1" applyBorder="1" applyAlignment="1">
      <alignment horizontal="left" vertical="center"/>
    </xf>
    <xf numFmtId="164" fontId="6" fillId="0" borderId="0" xfId="0" applyNumberFormat="1" applyFont="1"/>
    <xf numFmtId="37" fontId="3" fillId="0" borderId="0" xfId="2" applyFont="1" applyAlignment="1">
      <alignment vertical="center"/>
    </xf>
    <xf numFmtId="37" fontId="3" fillId="0" borderId="4" xfId="2" applyFont="1" applyBorder="1" applyAlignment="1">
      <alignment vertical="center"/>
    </xf>
    <xf numFmtId="37" fontId="3" fillId="0" borderId="3" xfId="2" applyFont="1" applyBorder="1" applyAlignment="1">
      <alignment vertical="center"/>
    </xf>
    <xf numFmtId="165" fontId="3" fillId="0" borderId="3" xfId="1" applyNumberFormat="1" applyFont="1" applyBorder="1"/>
    <xf numFmtId="165" fontId="3" fillId="0" borderId="0" xfId="1" applyNumberFormat="1" applyFont="1" applyBorder="1"/>
    <xf numFmtId="165" fontId="3" fillId="0" borderId="4" xfId="1" applyNumberFormat="1" applyFont="1" applyBorder="1"/>
    <xf numFmtId="37" fontId="5" fillId="0" borderId="3" xfId="2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165" fontId="3" fillId="0" borderId="3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166" fontId="3" fillId="0" borderId="3" xfId="2" applyNumberFormat="1" applyFont="1" applyBorder="1" applyAlignment="1">
      <alignment horizontal="left" vertical="center"/>
    </xf>
    <xf numFmtId="37" fontId="5" fillId="0" borderId="3" xfId="2" applyFont="1" applyBorder="1" applyAlignment="1">
      <alignment horizontal="left" vertical="center" indent="1"/>
    </xf>
    <xf numFmtId="167" fontId="7" fillId="0" borderId="0" xfId="1" applyNumberFormat="1" applyFont="1"/>
    <xf numFmtId="37" fontId="3" fillId="0" borderId="3" xfId="2" applyFont="1" applyBorder="1" applyAlignment="1">
      <alignment horizontal="left" vertical="center" indent="1"/>
    </xf>
    <xf numFmtId="165" fontId="3" fillId="0" borderId="0" xfId="1" applyNumberFormat="1" applyFont="1" applyBorder="1" applyAlignment="1">
      <alignment vertical="center"/>
    </xf>
    <xf numFmtId="165" fontId="3" fillId="0" borderId="3" xfId="1" applyNumberFormat="1" applyFont="1" applyBorder="1" applyAlignment="1">
      <alignment vertical="center"/>
    </xf>
    <xf numFmtId="165" fontId="3" fillId="0" borderId="4" xfId="1" applyNumberFormat="1" applyFont="1" applyBorder="1" applyAlignment="1">
      <alignment vertical="center"/>
    </xf>
    <xf numFmtId="37" fontId="5" fillId="0" borderId="5" xfId="2" applyFont="1" applyBorder="1" applyAlignment="1">
      <alignment vertical="center"/>
    </xf>
    <xf numFmtId="168" fontId="5" fillId="0" borderId="6" xfId="2" applyNumberFormat="1" applyFont="1" applyBorder="1" applyAlignment="1">
      <alignment vertical="center"/>
    </xf>
    <xf numFmtId="168" fontId="5" fillId="0" borderId="5" xfId="2" applyNumberFormat="1" applyFont="1" applyBorder="1" applyAlignment="1">
      <alignment vertical="center"/>
    </xf>
    <xf numFmtId="168" fontId="5" fillId="0" borderId="7" xfId="2" applyNumberFormat="1" applyFont="1" applyBorder="1" applyAlignment="1">
      <alignment vertical="center"/>
    </xf>
    <xf numFmtId="168" fontId="5" fillId="0" borderId="0" xfId="2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3" fontId="5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37" fontId="8" fillId="0" borderId="0" xfId="2" applyFont="1" applyAlignment="1">
      <alignment vertical="center"/>
    </xf>
    <xf numFmtId="168" fontId="3" fillId="0" borderId="0" xfId="2" applyNumberFormat="1" applyFont="1" applyAlignment="1">
      <alignment vertical="center"/>
    </xf>
    <xf numFmtId="169" fontId="3" fillId="0" borderId="0" xfId="1" applyNumberFormat="1" applyFont="1"/>
    <xf numFmtId="170" fontId="3" fillId="0" borderId="0" xfId="0" applyNumberFormat="1" applyFont="1" applyAlignment="1">
      <alignment vertical="center"/>
    </xf>
    <xf numFmtId="171" fontId="6" fillId="0" borderId="0" xfId="0" applyNumberFormat="1" applyFont="1"/>
    <xf numFmtId="171" fontId="3" fillId="0" borderId="0" xfId="2" applyNumberFormat="1" applyFont="1" applyAlignment="1">
      <alignment horizontal="center" vertical="center"/>
    </xf>
    <xf numFmtId="171" fontId="3" fillId="0" borderId="0" xfId="2" applyNumberFormat="1" applyFont="1" applyAlignment="1">
      <alignment vertical="center"/>
    </xf>
    <xf numFmtId="171" fontId="3" fillId="0" borderId="0" xfId="0" applyNumberFormat="1" applyFont="1" applyAlignment="1">
      <alignment vertical="center"/>
    </xf>
    <xf numFmtId="172" fontId="7" fillId="0" borderId="0" xfId="1" applyNumberFormat="1" applyFont="1"/>
    <xf numFmtId="172" fontId="7" fillId="0" borderId="6" xfId="1" applyNumberFormat="1" applyFont="1" applyBorder="1"/>
    <xf numFmtId="172" fontId="7" fillId="0" borderId="7" xfId="1" applyNumberFormat="1" applyFont="1" applyBorder="1"/>
    <xf numFmtId="167" fontId="5" fillId="0" borderId="3" xfId="1" applyNumberFormat="1" applyFont="1" applyBorder="1" applyAlignment="1">
      <alignment vertical="center"/>
    </xf>
    <xf numFmtId="167" fontId="5" fillId="0" borderId="0" xfId="1" applyNumberFormat="1" applyFont="1" applyBorder="1" applyAlignment="1">
      <alignment vertical="center"/>
    </xf>
    <xf numFmtId="167" fontId="5" fillId="0" borderId="4" xfId="1" applyNumberFormat="1" applyFont="1" applyBorder="1" applyAlignment="1">
      <alignment vertical="center"/>
    </xf>
    <xf numFmtId="167" fontId="5" fillId="0" borderId="0" xfId="0" quotePrefix="1" applyNumberFormat="1" applyFont="1" applyAlignment="1">
      <alignment horizontal="right" vertical="center"/>
    </xf>
    <xf numFmtId="167" fontId="3" fillId="0" borderId="0" xfId="1" applyNumberFormat="1" applyFont="1" applyAlignment="1">
      <alignment vertical="center"/>
    </xf>
    <xf numFmtId="39" fontId="5" fillId="0" borderId="0" xfId="2" applyNumberFormat="1" applyFont="1" applyAlignment="1">
      <alignment vertical="center"/>
    </xf>
    <xf numFmtId="167" fontId="5" fillId="0" borderId="0" xfId="1" applyNumberFormat="1" applyFont="1" applyAlignment="1">
      <alignment vertical="center"/>
    </xf>
    <xf numFmtId="37" fontId="8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/>
    <xf numFmtId="0" fontId="8" fillId="0" borderId="0" xfId="0" applyFont="1" applyAlignment="1" applyProtection="1">
      <alignment horizontal="left" vertical="center" indent="5"/>
      <protection locked="0"/>
    </xf>
    <xf numFmtId="37" fontId="3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7" fontId="3" fillId="0" borderId="1" xfId="2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7" fontId="3" fillId="0" borderId="0" xfId="2" applyFont="1" applyAlignment="1">
      <alignment horizontal="center" vertical="center" wrapText="1"/>
    </xf>
    <xf numFmtId="37" fontId="3" fillId="0" borderId="9" xfId="2" applyFont="1" applyBorder="1" applyAlignment="1">
      <alignment horizontal="center" vertical="center" wrapText="1"/>
    </xf>
    <xf numFmtId="37" fontId="3" fillId="0" borderId="10" xfId="2" applyFont="1" applyBorder="1" applyAlignment="1">
      <alignment horizontal="center" vertical="center" wrapText="1"/>
    </xf>
    <xf numFmtId="37" fontId="3" fillId="0" borderId="8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EE54C9E8-3584-46B3-90B7-ED448E7604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AFDA-E1C3-410A-9C2F-2D17C5BCA6EA}">
  <dimension ref="B2:AX52"/>
  <sheetViews>
    <sheetView showGridLines="0" tabSelected="1" topLeftCell="A24" zoomScale="90" zoomScaleNormal="90" workbookViewId="0">
      <selection activeCell="O54" sqref="O54"/>
    </sheetView>
  </sheetViews>
  <sheetFormatPr defaultColWidth="10.140625" defaultRowHeight="14.25" x14ac:dyDescent="0.25"/>
  <cols>
    <col min="1" max="1" width="3.42578125" style="2" customWidth="1"/>
    <col min="2" max="2" width="31.85546875" style="2" customWidth="1"/>
    <col min="3" max="14" width="15.5703125" style="2" customWidth="1"/>
    <col min="15" max="15" width="12.7109375" style="2" customWidth="1"/>
    <col min="16" max="16" width="13.85546875" style="2" customWidth="1"/>
    <col min="17" max="26" width="12.28515625" style="2" customWidth="1"/>
    <col min="27" max="256" width="10.140625" style="2"/>
    <col min="257" max="257" width="3.42578125" style="2" customWidth="1"/>
    <col min="258" max="258" width="12.140625" style="2" customWidth="1"/>
    <col min="259" max="259" width="12.7109375" style="2" customWidth="1"/>
    <col min="260" max="260" width="13.85546875" style="2" customWidth="1"/>
    <col min="261" max="270" width="11.85546875" style="2" customWidth="1"/>
    <col min="271" max="271" width="12.7109375" style="2" customWidth="1"/>
    <col min="272" max="272" width="13.85546875" style="2" customWidth="1"/>
    <col min="273" max="282" width="12.28515625" style="2" customWidth="1"/>
    <col min="283" max="512" width="10.140625" style="2"/>
    <col min="513" max="513" width="3.42578125" style="2" customWidth="1"/>
    <col min="514" max="514" width="12.140625" style="2" customWidth="1"/>
    <col min="515" max="515" width="12.7109375" style="2" customWidth="1"/>
    <col min="516" max="516" width="13.85546875" style="2" customWidth="1"/>
    <col min="517" max="526" width="11.85546875" style="2" customWidth="1"/>
    <col min="527" max="527" width="12.7109375" style="2" customWidth="1"/>
    <col min="528" max="528" width="13.85546875" style="2" customWidth="1"/>
    <col min="529" max="538" width="12.28515625" style="2" customWidth="1"/>
    <col min="539" max="768" width="10.140625" style="2"/>
    <col min="769" max="769" width="3.42578125" style="2" customWidth="1"/>
    <col min="770" max="770" width="12.140625" style="2" customWidth="1"/>
    <col min="771" max="771" width="12.7109375" style="2" customWidth="1"/>
    <col min="772" max="772" width="13.85546875" style="2" customWidth="1"/>
    <col min="773" max="782" width="11.85546875" style="2" customWidth="1"/>
    <col min="783" max="783" width="12.7109375" style="2" customWidth="1"/>
    <col min="784" max="784" width="13.85546875" style="2" customWidth="1"/>
    <col min="785" max="794" width="12.28515625" style="2" customWidth="1"/>
    <col min="795" max="1024" width="10.140625" style="2"/>
    <col min="1025" max="1025" width="3.42578125" style="2" customWidth="1"/>
    <col min="1026" max="1026" width="12.140625" style="2" customWidth="1"/>
    <col min="1027" max="1027" width="12.7109375" style="2" customWidth="1"/>
    <col min="1028" max="1028" width="13.85546875" style="2" customWidth="1"/>
    <col min="1029" max="1038" width="11.85546875" style="2" customWidth="1"/>
    <col min="1039" max="1039" width="12.7109375" style="2" customWidth="1"/>
    <col min="1040" max="1040" width="13.85546875" style="2" customWidth="1"/>
    <col min="1041" max="1050" width="12.28515625" style="2" customWidth="1"/>
    <col min="1051" max="1280" width="10.140625" style="2"/>
    <col min="1281" max="1281" width="3.42578125" style="2" customWidth="1"/>
    <col min="1282" max="1282" width="12.140625" style="2" customWidth="1"/>
    <col min="1283" max="1283" width="12.7109375" style="2" customWidth="1"/>
    <col min="1284" max="1284" width="13.85546875" style="2" customWidth="1"/>
    <col min="1285" max="1294" width="11.85546875" style="2" customWidth="1"/>
    <col min="1295" max="1295" width="12.7109375" style="2" customWidth="1"/>
    <col min="1296" max="1296" width="13.85546875" style="2" customWidth="1"/>
    <col min="1297" max="1306" width="12.28515625" style="2" customWidth="1"/>
    <col min="1307" max="1536" width="10.140625" style="2"/>
    <col min="1537" max="1537" width="3.42578125" style="2" customWidth="1"/>
    <col min="1538" max="1538" width="12.140625" style="2" customWidth="1"/>
    <col min="1539" max="1539" width="12.7109375" style="2" customWidth="1"/>
    <col min="1540" max="1540" width="13.85546875" style="2" customWidth="1"/>
    <col min="1541" max="1550" width="11.85546875" style="2" customWidth="1"/>
    <col min="1551" max="1551" width="12.7109375" style="2" customWidth="1"/>
    <col min="1552" max="1552" width="13.85546875" style="2" customWidth="1"/>
    <col min="1553" max="1562" width="12.28515625" style="2" customWidth="1"/>
    <col min="1563" max="1792" width="10.140625" style="2"/>
    <col min="1793" max="1793" width="3.42578125" style="2" customWidth="1"/>
    <col min="1794" max="1794" width="12.140625" style="2" customWidth="1"/>
    <col min="1795" max="1795" width="12.7109375" style="2" customWidth="1"/>
    <col min="1796" max="1796" width="13.85546875" style="2" customWidth="1"/>
    <col min="1797" max="1806" width="11.85546875" style="2" customWidth="1"/>
    <col min="1807" max="1807" width="12.7109375" style="2" customWidth="1"/>
    <col min="1808" max="1808" width="13.85546875" style="2" customWidth="1"/>
    <col min="1809" max="1818" width="12.28515625" style="2" customWidth="1"/>
    <col min="1819" max="2048" width="10.140625" style="2"/>
    <col min="2049" max="2049" width="3.42578125" style="2" customWidth="1"/>
    <col min="2050" max="2050" width="12.140625" style="2" customWidth="1"/>
    <col min="2051" max="2051" width="12.7109375" style="2" customWidth="1"/>
    <col min="2052" max="2052" width="13.85546875" style="2" customWidth="1"/>
    <col min="2053" max="2062" width="11.85546875" style="2" customWidth="1"/>
    <col min="2063" max="2063" width="12.7109375" style="2" customWidth="1"/>
    <col min="2064" max="2064" width="13.85546875" style="2" customWidth="1"/>
    <col min="2065" max="2074" width="12.28515625" style="2" customWidth="1"/>
    <col min="2075" max="2304" width="10.140625" style="2"/>
    <col min="2305" max="2305" width="3.42578125" style="2" customWidth="1"/>
    <col min="2306" max="2306" width="12.140625" style="2" customWidth="1"/>
    <col min="2307" max="2307" width="12.7109375" style="2" customWidth="1"/>
    <col min="2308" max="2308" width="13.85546875" style="2" customWidth="1"/>
    <col min="2309" max="2318" width="11.85546875" style="2" customWidth="1"/>
    <col min="2319" max="2319" width="12.7109375" style="2" customWidth="1"/>
    <col min="2320" max="2320" width="13.85546875" style="2" customWidth="1"/>
    <col min="2321" max="2330" width="12.28515625" style="2" customWidth="1"/>
    <col min="2331" max="2560" width="10.140625" style="2"/>
    <col min="2561" max="2561" width="3.42578125" style="2" customWidth="1"/>
    <col min="2562" max="2562" width="12.140625" style="2" customWidth="1"/>
    <col min="2563" max="2563" width="12.7109375" style="2" customWidth="1"/>
    <col min="2564" max="2564" width="13.85546875" style="2" customWidth="1"/>
    <col min="2565" max="2574" width="11.85546875" style="2" customWidth="1"/>
    <col min="2575" max="2575" width="12.7109375" style="2" customWidth="1"/>
    <col min="2576" max="2576" width="13.85546875" style="2" customWidth="1"/>
    <col min="2577" max="2586" width="12.28515625" style="2" customWidth="1"/>
    <col min="2587" max="2816" width="10.140625" style="2"/>
    <col min="2817" max="2817" width="3.42578125" style="2" customWidth="1"/>
    <col min="2818" max="2818" width="12.140625" style="2" customWidth="1"/>
    <col min="2819" max="2819" width="12.7109375" style="2" customWidth="1"/>
    <col min="2820" max="2820" width="13.85546875" style="2" customWidth="1"/>
    <col min="2821" max="2830" width="11.85546875" style="2" customWidth="1"/>
    <col min="2831" max="2831" width="12.7109375" style="2" customWidth="1"/>
    <col min="2832" max="2832" width="13.85546875" style="2" customWidth="1"/>
    <col min="2833" max="2842" width="12.28515625" style="2" customWidth="1"/>
    <col min="2843" max="3072" width="10.140625" style="2"/>
    <col min="3073" max="3073" width="3.42578125" style="2" customWidth="1"/>
    <col min="3074" max="3074" width="12.140625" style="2" customWidth="1"/>
    <col min="3075" max="3075" width="12.7109375" style="2" customWidth="1"/>
    <col min="3076" max="3076" width="13.85546875" style="2" customWidth="1"/>
    <col min="3077" max="3086" width="11.85546875" style="2" customWidth="1"/>
    <col min="3087" max="3087" width="12.7109375" style="2" customWidth="1"/>
    <col min="3088" max="3088" width="13.85546875" style="2" customWidth="1"/>
    <col min="3089" max="3098" width="12.28515625" style="2" customWidth="1"/>
    <col min="3099" max="3328" width="10.140625" style="2"/>
    <col min="3329" max="3329" width="3.42578125" style="2" customWidth="1"/>
    <col min="3330" max="3330" width="12.140625" style="2" customWidth="1"/>
    <col min="3331" max="3331" width="12.7109375" style="2" customWidth="1"/>
    <col min="3332" max="3332" width="13.85546875" style="2" customWidth="1"/>
    <col min="3333" max="3342" width="11.85546875" style="2" customWidth="1"/>
    <col min="3343" max="3343" width="12.7109375" style="2" customWidth="1"/>
    <col min="3344" max="3344" width="13.85546875" style="2" customWidth="1"/>
    <col min="3345" max="3354" width="12.28515625" style="2" customWidth="1"/>
    <col min="3355" max="3584" width="10.140625" style="2"/>
    <col min="3585" max="3585" width="3.42578125" style="2" customWidth="1"/>
    <col min="3586" max="3586" width="12.140625" style="2" customWidth="1"/>
    <col min="3587" max="3587" width="12.7109375" style="2" customWidth="1"/>
    <col min="3588" max="3588" width="13.85546875" style="2" customWidth="1"/>
    <col min="3589" max="3598" width="11.85546875" style="2" customWidth="1"/>
    <col min="3599" max="3599" width="12.7109375" style="2" customWidth="1"/>
    <col min="3600" max="3600" width="13.85546875" style="2" customWidth="1"/>
    <col min="3601" max="3610" width="12.28515625" style="2" customWidth="1"/>
    <col min="3611" max="3840" width="10.140625" style="2"/>
    <col min="3841" max="3841" width="3.42578125" style="2" customWidth="1"/>
    <col min="3842" max="3842" width="12.140625" style="2" customWidth="1"/>
    <col min="3843" max="3843" width="12.7109375" style="2" customWidth="1"/>
    <col min="3844" max="3844" width="13.85546875" style="2" customWidth="1"/>
    <col min="3845" max="3854" width="11.85546875" style="2" customWidth="1"/>
    <col min="3855" max="3855" width="12.7109375" style="2" customWidth="1"/>
    <col min="3856" max="3856" width="13.85546875" style="2" customWidth="1"/>
    <col min="3857" max="3866" width="12.28515625" style="2" customWidth="1"/>
    <col min="3867" max="4096" width="10.140625" style="2"/>
    <col min="4097" max="4097" width="3.42578125" style="2" customWidth="1"/>
    <col min="4098" max="4098" width="12.140625" style="2" customWidth="1"/>
    <col min="4099" max="4099" width="12.7109375" style="2" customWidth="1"/>
    <col min="4100" max="4100" width="13.85546875" style="2" customWidth="1"/>
    <col min="4101" max="4110" width="11.85546875" style="2" customWidth="1"/>
    <col min="4111" max="4111" width="12.7109375" style="2" customWidth="1"/>
    <col min="4112" max="4112" width="13.85546875" style="2" customWidth="1"/>
    <col min="4113" max="4122" width="12.28515625" style="2" customWidth="1"/>
    <col min="4123" max="4352" width="10.140625" style="2"/>
    <col min="4353" max="4353" width="3.42578125" style="2" customWidth="1"/>
    <col min="4354" max="4354" width="12.140625" style="2" customWidth="1"/>
    <col min="4355" max="4355" width="12.7109375" style="2" customWidth="1"/>
    <col min="4356" max="4356" width="13.85546875" style="2" customWidth="1"/>
    <col min="4357" max="4366" width="11.85546875" style="2" customWidth="1"/>
    <col min="4367" max="4367" width="12.7109375" style="2" customWidth="1"/>
    <col min="4368" max="4368" width="13.85546875" style="2" customWidth="1"/>
    <col min="4369" max="4378" width="12.28515625" style="2" customWidth="1"/>
    <col min="4379" max="4608" width="10.140625" style="2"/>
    <col min="4609" max="4609" width="3.42578125" style="2" customWidth="1"/>
    <col min="4610" max="4610" width="12.140625" style="2" customWidth="1"/>
    <col min="4611" max="4611" width="12.7109375" style="2" customWidth="1"/>
    <col min="4612" max="4612" width="13.85546875" style="2" customWidth="1"/>
    <col min="4613" max="4622" width="11.85546875" style="2" customWidth="1"/>
    <col min="4623" max="4623" width="12.7109375" style="2" customWidth="1"/>
    <col min="4624" max="4624" width="13.85546875" style="2" customWidth="1"/>
    <col min="4625" max="4634" width="12.28515625" style="2" customWidth="1"/>
    <col min="4635" max="4864" width="10.140625" style="2"/>
    <col min="4865" max="4865" width="3.42578125" style="2" customWidth="1"/>
    <col min="4866" max="4866" width="12.140625" style="2" customWidth="1"/>
    <col min="4867" max="4867" width="12.7109375" style="2" customWidth="1"/>
    <col min="4868" max="4868" width="13.85546875" style="2" customWidth="1"/>
    <col min="4869" max="4878" width="11.85546875" style="2" customWidth="1"/>
    <col min="4879" max="4879" width="12.7109375" style="2" customWidth="1"/>
    <col min="4880" max="4880" width="13.85546875" style="2" customWidth="1"/>
    <col min="4881" max="4890" width="12.28515625" style="2" customWidth="1"/>
    <col min="4891" max="5120" width="10.140625" style="2"/>
    <col min="5121" max="5121" width="3.42578125" style="2" customWidth="1"/>
    <col min="5122" max="5122" width="12.140625" style="2" customWidth="1"/>
    <col min="5123" max="5123" width="12.7109375" style="2" customWidth="1"/>
    <col min="5124" max="5124" width="13.85546875" style="2" customWidth="1"/>
    <col min="5125" max="5134" width="11.85546875" style="2" customWidth="1"/>
    <col min="5135" max="5135" width="12.7109375" style="2" customWidth="1"/>
    <col min="5136" max="5136" width="13.85546875" style="2" customWidth="1"/>
    <col min="5137" max="5146" width="12.28515625" style="2" customWidth="1"/>
    <col min="5147" max="5376" width="10.140625" style="2"/>
    <col min="5377" max="5377" width="3.42578125" style="2" customWidth="1"/>
    <col min="5378" max="5378" width="12.140625" style="2" customWidth="1"/>
    <col min="5379" max="5379" width="12.7109375" style="2" customWidth="1"/>
    <col min="5380" max="5380" width="13.85546875" style="2" customWidth="1"/>
    <col min="5381" max="5390" width="11.85546875" style="2" customWidth="1"/>
    <col min="5391" max="5391" width="12.7109375" style="2" customWidth="1"/>
    <col min="5392" max="5392" width="13.85546875" style="2" customWidth="1"/>
    <col min="5393" max="5402" width="12.28515625" style="2" customWidth="1"/>
    <col min="5403" max="5632" width="10.140625" style="2"/>
    <col min="5633" max="5633" width="3.42578125" style="2" customWidth="1"/>
    <col min="5634" max="5634" width="12.140625" style="2" customWidth="1"/>
    <col min="5635" max="5635" width="12.7109375" style="2" customWidth="1"/>
    <col min="5636" max="5636" width="13.85546875" style="2" customWidth="1"/>
    <col min="5637" max="5646" width="11.85546875" style="2" customWidth="1"/>
    <col min="5647" max="5647" width="12.7109375" style="2" customWidth="1"/>
    <col min="5648" max="5648" width="13.85546875" style="2" customWidth="1"/>
    <col min="5649" max="5658" width="12.28515625" style="2" customWidth="1"/>
    <col min="5659" max="5888" width="10.140625" style="2"/>
    <col min="5889" max="5889" width="3.42578125" style="2" customWidth="1"/>
    <col min="5890" max="5890" width="12.140625" style="2" customWidth="1"/>
    <col min="5891" max="5891" width="12.7109375" style="2" customWidth="1"/>
    <col min="5892" max="5892" width="13.85546875" style="2" customWidth="1"/>
    <col min="5893" max="5902" width="11.85546875" style="2" customWidth="1"/>
    <col min="5903" max="5903" width="12.7109375" style="2" customWidth="1"/>
    <col min="5904" max="5904" width="13.85546875" style="2" customWidth="1"/>
    <col min="5905" max="5914" width="12.28515625" style="2" customWidth="1"/>
    <col min="5915" max="6144" width="10.140625" style="2"/>
    <col min="6145" max="6145" width="3.42578125" style="2" customWidth="1"/>
    <col min="6146" max="6146" width="12.140625" style="2" customWidth="1"/>
    <col min="6147" max="6147" width="12.7109375" style="2" customWidth="1"/>
    <col min="6148" max="6148" width="13.85546875" style="2" customWidth="1"/>
    <col min="6149" max="6158" width="11.85546875" style="2" customWidth="1"/>
    <col min="6159" max="6159" width="12.7109375" style="2" customWidth="1"/>
    <col min="6160" max="6160" width="13.85546875" style="2" customWidth="1"/>
    <col min="6161" max="6170" width="12.28515625" style="2" customWidth="1"/>
    <col min="6171" max="6400" width="10.140625" style="2"/>
    <col min="6401" max="6401" width="3.42578125" style="2" customWidth="1"/>
    <col min="6402" max="6402" width="12.140625" style="2" customWidth="1"/>
    <col min="6403" max="6403" width="12.7109375" style="2" customWidth="1"/>
    <col min="6404" max="6404" width="13.85546875" style="2" customWidth="1"/>
    <col min="6405" max="6414" width="11.85546875" style="2" customWidth="1"/>
    <col min="6415" max="6415" width="12.7109375" style="2" customWidth="1"/>
    <col min="6416" max="6416" width="13.85546875" style="2" customWidth="1"/>
    <col min="6417" max="6426" width="12.28515625" style="2" customWidth="1"/>
    <col min="6427" max="6656" width="10.140625" style="2"/>
    <col min="6657" max="6657" width="3.42578125" style="2" customWidth="1"/>
    <col min="6658" max="6658" width="12.140625" style="2" customWidth="1"/>
    <col min="6659" max="6659" width="12.7109375" style="2" customWidth="1"/>
    <col min="6660" max="6660" width="13.85546875" style="2" customWidth="1"/>
    <col min="6661" max="6670" width="11.85546875" style="2" customWidth="1"/>
    <col min="6671" max="6671" width="12.7109375" style="2" customWidth="1"/>
    <col min="6672" max="6672" width="13.85546875" style="2" customWidth="1"/>
    <col min="6673" max="6682" width="12.28515625" style="2" customWidth="1"/>
    <col min="6683" max="6912" width="10.140625" style="2"/>
    <col min="6913" max="6913" width="3.42578125" style="2" customWidth="1"/>
    <col min="6914" max="6914" width="12.140625" style="2" customWidth="1"/>
    <col min="6915" max="6915" width="12.7109375" style="2" customWidth="1"/>
    <col min="6916" max="6916" width="13.85546875" style="2" customWidth="1"/>
    <col min="6917" max="6926" width="11.85546875" style="2" customWidth="1"/>
    <col min="6927" max="6927" width="12.7109375" style="2" customWidth="1"/>
    <col min="6928" max="6928" width="13.85546875" style="2" customWidth="1"/>
    <col min="6929" max="6938" width="12.28515625" style="2" customWidth="1"/>
    <col min="6939" max="7168" width="10.140625" style="2"/>
    <col min="7169" max="7169" width="3.42578125" style="2" customWidth="1"/>
    <col min="7170" max="7170" width="12.140625" style="2" customWidth="1"/>
    <col min="7171" max="7171" width="12.7109375" style="2" customWidth="1"/>
    <col min="7172" max="7172" width="13.85546875" style="2" customWidth="1"/>
    <col min="7173" max="7182" width="11.85546875" style="2" customWidth="1"/>
    <col min="7183" max="7183" width="12.7109375" style="2" customWidth="1"/>
    <col min="7184" max="7184" width="13.85546875" style="2" customWidth="1"/>
    <col min="7185" max="7194" width="12.28515625" style="2" customWidth="1"/>
    <col min="7195" max="7424" width="10.140625" style="2"/>
    <col min="7425" max="7425" width="3.42578125" style="2" customWidth="1"/>
    <col min="7426" max="7426" width="12.140625" style="2" customWidth="1"/>
    <col min="7427" max="7427" width="12.7109375" style="2" customWidth="1"/>
    <col min="7428" max="7428" width="13.85546875" style="2" customWidth="1"/>
    <col min="7429" max="7438" width="11.85546875" style="2" customWidth="1"/>
    <col min="7439" max="7439" width="12.7109375" style="2" customWidth="1"/>
    <col min="7440" max="7440" width="13.85546875" style="2" customWidth="1"/>
    <col min="7441" max="7450" width="12.28515625" style="2" customWidth="1"/>
    <col min="7451" max="7680" width="10.140625" style="2"/>
    <col min="7681" max="7681" width="3.42578125" style="2" customWidth="1"/>
    <col min="7682" max="7682" width="12.140625" style="2" customWidth="1"/>
    <col min="7683" max="7683" width="12.7109375" style="2" customWidth="1"/>
    <col min="7684" max="7684" width="13.85546875" style="2" customWidth="1"/>
    <col min="7685" max="7694" width="11.85546875" style="2" customWidth="1"/>
    <col min="7695" max="7695" width="12.7109375" style="2" customWidth="1"/>
    <col min="7696" max="7696" width="13.85546875" style="2" customWidth="1"/>
    <col min="7697" max="7706" width="12.28515625" style="2" customWidth="1"/>
    <col min="7707" max="7936" width="10.140625" style="2"/>
    <col min="7937" max="7937" width="3.42578125" style="2" customWidth="1"/>
    <col min="7938" max="7938" width="12.140625" style="2" customWidth="1"/>
    <col min="7939" max="7939" width="12.7109375" style="2" customWidth="1"/>
    <col min="7940" max="7940" width="13.85546875" style="2" customWidth="1"/>
    <col min="7941" max="7950" width="11.85546875" style="2" customWidth="1"/>
    <col min="7951" max="7951" width="12.7109375" style="2" customWidth="1"/>
    <col min="7952" max="7952" width="13.85546875" style="2" customWidth="1"/>
    <col min="7953" max="7962" width="12.28515625" style="2" customWidth="1"/>
    <col min="7963" max="8192" width="10.140625" style="2"/>
    <col min="8193" max="8193" width="3.42578125" style="2" customWidth="1"/>
    <col min="8194" max="8194" width="12.140625" style="2" customWidth="1"/>
    <col min="8195" max="8195" width="12.7109375" style="2" customWidth="1"/>
    <col min="8196" max="8196" width="13.85546875" style="2" customWidth="1"/>
    <col min="8197" max="8206" width="11.85546875" style="2" customWidth="1"/>
    <col min="8207" max="8207" width="12.7109375" style="2" customWidth="1"/>
    <col min="8208" max="8208" width="13.85546875" style="2" customWidth="1"/>
    <col min="8209" max="8218" width="12.28515625" style="2" customWidth="1"/>
    <col min="8219" max="8448" width="10.140625" style="2"/>
    <col min="8449" max="8449" width="3.42578125" style="2" customWidth="1"/>
    <col min="8450" max="8450" width="12.140625" style="2" customWidth="1"/>
    <col min="8451" max="8451" width="12.7109375" style="2" customWidth="1"/>
    <col min="8452" max="8452" width="13.85546875" style="2" customWidth="1"/>
    <col min="8453" max="8462" width="11.85546875" style="2" customWidth="1"/>
    <col min="8463" max="8463" width="12.7109375" style="2" customWidth="1"/>
    <col min="8464" max="8464" width="13.85546875" style="2" customWidth="1"/>
    <col min="8465" max="8474" width="12.28515625" style="2" customWidth="1"/>
    <col min="8475" max="8704" width="10.140625" style="2"/>
    <col min="8705" max="8705" width="3.42578125" style="2" customWidth="1"/>
    <col min="8706" max="8706" width="12.140625" style="2" customWidth="1"/>
    <col min="8707" max="8707" width="12.7109375" style="2" customWidth="1"/>
    <col min="8708" max="8708" width="13.85546875" style="2" customWidth="1"/>
    <col min="8709" max="8718" width="11.85546875" style="2" customWidth="1"/>
    <col min="8719" max="8719" width="12.7109375" style="2" customWidth="1"/>
    <col min="8720" max="8720" width="13.85546875" style="2" customWidth="1"/>
    <col min="8721" max="8730" width="12.28515625" style="2" customWidth="1"/>
    <col min="8731" max="8960" width="10.140625" style="2"/>
    <col min="8961" max="8961" width="3.42578125" style="2" customWidth="1"/>
    <col min="8962" max="8962" width="12.140625" style="2" customWidth="1"/>
    <col min="8963" max="8963" width="12.7109375" style="2" customWidth="1"/>
    <col min="8964" max="8964" width="13.85546875" style="2" customWidth="1"/>
    <col min="8965" max="8974" width="11.85546875" style="2" customWidth="1"/>
    <col min="8975" max="8975" width="12.7109375" style="2" customWidth="1"/>
    <col min="8976" max="8976" width="13.85546875" style="2" customWidth="1"/>
    <col min="8977" max="8986" width="12.28515625" style="2" customWidth="1"/>
    <col min="8987" max="9216" width="10.140625" style="2"/>
    <col min="9217" max="9217" width="3.42578125" style="2" customWidth="1"/>
    <col min="9218" max="9218" width="12.140625" style="2" customWidth="1"/>
    <col min="9219" max="9219" width="12.7109375" style="2" customWidth="1"/>
    <col min="9220" max="9220" width="13.85546875" style="2" customWidth="1"/>
    <col min="9221" max="9230" width="11.85546875" style="2" customWidth="1"/>
    <col min="9231" max="9231" width="12.7109375" style="2" customWidth="1"/>
    <col min="9232" max="9232" width="13.85546875" style="2" customWidth="1"/>
    <col min="9233" max="9242" width="12.28515625" style="2" customWidth="1"/>
    <col min="9243" max="9472" width="10.140625" style="2"/>
    <col min="9473" max="9473" width="3.42578125" style="2" customWidth="1"/>
    <col min="9474" max="9474" width="12.140625" style="2" customWidth="1"/>
    <col min="9475" max="9475" width="12.7109375" style="2" customWidth="1"/>
    <col min="9476" max="9476" width="13.85546875" style="2" customWidth="1"/>
    <col min="9477" max="9486" width="11.85546875" style="2" customWidth="1"/>
    <col min="9487" max="9487" width="12.7109375" style="2" customWidth="1"/>
    <col min="9488" max="9488" width="13.85546875" style="2" customWidth="1"/>
    <col min="9489" max="9498" width="12.28515625" style="2" customWidth="1"/>
    <col min="9499" max="9728" width="10.140625" style="2"/>
    <col min="9729" max="9729" width="3.42578125" style="2" customWidth="1"/>
    <col min="9730" max="9730" width="12.140625" style="2" customWidth="1"/>
    <col min="9731" max="9731" width="12.7109375" style="2" customWidth="1"/>
    <col min="9732" max="9732" width="13.85546875" style="2" customWidth="1"/>
    <col min="9733" max="9742" width="11.85546875" style="2" customWidth="1"/>
    <col min="9743" max="9743" width="12.7109375" style="2" customWidth="1"/>
    <col min="9744" max="9744" width="13.85546875" style="2" customWidth="1"/>
    <col min="9745" max="9754" width="12.28515625" style="2" customWidth="1"/>
    <col min="9755" max="9984" width="10.140625" style="2"/>
    <col min="9985" max="9985" width="3.42578125" style="2" customWidth="1"/>
    <col min="9986" max="9986" width="12.140625" style="2" customWidth="1"/>
    <col min="9987" max="9987" width="12.7109375" style="2" customWidth="1"/>
    <col min="9988" max="9988" width="13.85546875" style="2" customWidth="1"/>
    <col min="9989" max="9998" width="11.85546875" style="2" customWidth="1"/>
    <col min="9999" max="9999" width="12.7109375" style="2" customWidth="1"/>
    <col min="10000" max="10000" width="13.85546875" style="2" customWidth="1"/>
    <col min="10001" max="10010" width="12.28515625" style="2" customWidth="1"/>
    <col min="10011" max="10240" width="10.140625" style="2"/>
    <col min="10241" max="10241" width="3.42578125" style="2" customWidth="1"/>
    <col min="10242" max="10242" width="12.140625" style="2" customWidth="1"/>
    <col min="10243" max="10243" width="12.7109375" style="2" customWidth="1"/>
    <col min="10244" max="10244" width="13.85546875" style="2" customWidth="1"/>
    <col min="10245" max="10254" width="11.85546875" style="2" customWidth="1"/>
    <col min="10255" max="10255" width="12.7109375" style="2" customWidth="1"/>
    <col min="10256" max="10256" width="13.85546875" style="2" customWidth="1"/>
    <col min="10257" max="10266" width="12.28515625" style="2" customWidth="1"/>
    <col min="10267" max="10496" width="10.140625" style="2"/>
    <col min="10497" max="10497" width="3.42578125" style="2" customWidth="1"/>
    <col min="10498" max="10498" width="12.140625" style="2" customWidth="1"/>
    <col min="10499" max="10499" width="12.7109375" style="2" customWidth="1"/>
    <col min="10500" max="10500" width="13.85546875" style="2" customWidth="1"/>
    <col min="10501" max="10510" width="11.85546875" style="2" customWidth="1"/>
    <col min="10511" max="10511" width="12.7109375" style="2" customWidth="1"/>
    <col min="10512" max="10512" width="13.85546875" style="2" customWidth="1"/>
    <col min="10513" max="10522" width="12.28515625" style="2" customWidth="1"/>
    <col min="10523" max="10752" width="10.140625" style="2"/>
    <col min="10753" max="10753" width="3.42578125" style="2" customWidth="1"/>
    <col min="10754" max="10754" width="12.140625" style="2" customWidth="1"/>
    <col min="10755" max="10755" width="12.7109375" style="2" customWidth="1"/>
    <col min="10756" max="10756" width="13.85546875" style="2" customWidth="1"/>
    <col min="10757" max="10766" width="11.85546875" style="2" customWidth="1"/>
    <col min="10767" max="10767" width="12.7109375" style="2" customWidth="1"/>
    <col min="10768" max="10768" width="13.85546875" style="2" customWidth="1"/>
    <col min="10769" max="10778" width="12.28515625" style="2" customWidth="1"/>
    <col min="10779" max="11008" width="10.140625" style="2"/>
    <col min="11009" max="11009" width="3.42578125" style="2" customWidth="1"/>
    <col min="11010" max="11010" width="12.140625" style="2" customWidth="1"/>
    <col min="11011" max="11011" width="12.7109375" style="2" customWidth="1"/>
    <col min="11012" max="11012" width="13.85546875" style="2" customWidth="1"/>
    <col min="11013" max="11022" width="11.85546875" style="2" customWidth="1"/>
    <col min="11023" max="11023" width="12.7109375" style="2" customWidth="1"/>
    <col min="11024" max="11024" width="13.85546875" style="2" customWidth="1"/>
    <col min="11025" max="11034" width="12.28515625" style="2" customWidth="1"/>
    <col min="11035" max="11264" width="10.140625" style="2"/>
    <col min="11265" max="11265" width="3.42578125" style="2" customWidth="1"/>
    <col min="11266" max="11266" width="12.140625" style="2" customWidth="1"/>
    <col min="11267" max="11267" width="12.7109375" style="2" customWidth="1"/>
    <col min="11268" max="11268" width="13.85546875" style="2" customWidth="1"/>
    <col min="11269" max="11278" width="11.85546875" style="2" customWidth="1"/>
    <col min="11279" max="11279" width="12.7109375" style="2" customWidth="1"/>
    <col min="11280" max="11280" width="13.85546875" style="2" customWidth="1"/>
    <col min="11281" max="11290" width="12.28515625" style="2" customWidth="1"/>
    <col min="11291" max="11520" width="10.140625" style="2"/>
    <col min="11521" max="11521" width="3.42578125" style="2" customWidth="1"/>
    <col min="11522" max="11522" width="12.140625" style="2" customWidth="1"/>
    <col min="11523" max="11523" width="12.7109375" style="2" customWidth="1"/>
    <col min="11524" max="11524" width="13.85546875" style="2" customWidth="1"/>
    <col min="11525" max="11534" width="11.85546875" style="2" customWidth="1"/>
    <col min="11535" max="11535" width="12.7109375" style="2" customWidth="1"/>
    <col min="11536" max="11536" width="13.85546875" style="2" customWidth="1"/>
    <col min="11537" max="11546" width="12.28515625" style="2" customWidth="1"/>
    <col min="11547" max="11776" width="10.140625" style="2"/>
    <col min="11777" max="11777" width="3.42578125" style="2" customWidth="1"/>
    <col min="11778" max="11778" width="12.140625" style="2" customWidth="1"/>
    <col min="11779" max="11779" width="12.7109375" style="2" customWidth="1"/>
    <col min="11780" max="11780" width="13.85546875" style="2" customWidth="1"/>
    <col min="11781" max="11790" width="11.85546875" style="2" customWidth="1"/>
    <col min="11791" max="11791" width="12.7109375" style="2" customWidth="1"/>
    <col min="11792" max="11792" width="13.85546875" style="2" customWidth="1"/>
    <col min="11793" max="11802" width="12.28515625" style="2" customWidth="1"/>
    <col min="11803" max="12032" width="10.140625" style="2"/>
    <col min="12033" max="12033" width="3.42578125" style="2" customWidth="1"/>
    <col min="12034" max="12034" width="12.140625" style="2" customWidth="1"/>
    <col min="12035" max="12035" width="12.7109375" style="2" customWidth="1"/>
    <col min="12036" max="12036" width="13.85546875" style="2" customWidth="1"/>
    <col min="12037" max="12046" width="11.85546875" style="2" customWidth="1"/>
    <col min="12047" max="12047" width="12.7109375" style="2" customWidth="1"/>
    <col min="12048" max="12048" width="13.85546875" style="2" customWidth="1"/>
    <col min="12049" max="12058" width="12.28515625" style="2" customWidth="1"/>
    <col min="12059" max="12288" width="10.140625" style="2"/>
    <col min="12289" max="12289" width="3.42578125" style="2" customWidth="1"/>
    <col min="12290" max="12290" width="12.140625" style="2" customWidth="1"/>
    <col min="12291" max="12291" width="12.7109375" style="2" customWidth="1"/>
    <col min="12292" max="12292" width="13.85546875" style="2" customWidth="1"/>
    <col min="12293" max="12302" width="11.85546875" style="2" customWidth="1"/>
    <col min="12303" max="12303" width="12.7109375" style="2" customWidth="1"/>
    <col min="12304" max="12304" width="13.85546875" style="2" customWidth="1"/>
    <col min="12305" max="12314" width="12.28515625" style="2" customWidth="1"/>
    <col min="12315" max="12544" width="10.140625" style="2"/>
    <col min="12545" max="12545" width="3.42578125" style="2" customWidth="1"/>
    <col min="12546" max="12546" width="12.140625" style="2" customWidth="1"/>
    <col min="12547" max="12547" width="12.7109375" style="2" customWidth="1"/>
    <col min="12548" max="12548" width="13.85546875" style="2" customWidth="1"/>
    <col min="12549" max="12558" width="11.85546875" style="2" customWidth="1"/>
    <col min="12559" max="12559" width="12.7109375" style="2" customWidth="1"/>
    <col min="12560" max="12560" width="13.85546875" style="2" customWidth="1"/>
    <col min="12561" max="12570" width="12.28515625" style="2" customWidth="1"/>
    <col min="12571" max="12800" width="10.140625" style="2"/>
    <col min="12801" max="12801" width="3.42578125" style="2" customWidth="1"/>
    <col min="12802" max="12802" width="12.140625" style="2" customWidth="1"/>
    <col min="12803" max="12803" width="12.7109375" style="2" customWidth="1"/>
    <col min="12804" max="12804" width="13.85546875" style="2" customWidth="1"/>
    <col min="12805" max="12814" width="11.85546875" style="2" customWidth="1"/>
    <col min="12815" max="12815" width="12.7109375" style="2" customWidth="1"/>
    <col min="12816" max="12816" width="13.85546875" style="2" customWidth="1"/>
    <col min="12817" max="12826" width="12.28515625" style="2" customWidth="1"/>
    <col min="12827" max="13056" width="10.140625" style="2"/>
    <col min="13057" max="13057" width="3.42578125" style="2" customWidth="1"/>
    <col min="13058" max="13058" width="12.140625" style="2" customWidth="1"/>
    <col min="13059" max="13059" width="12.7109375" style="2" customWidth="1"/>
    <col min="13060" max="13060" width="13.85546875" style="2" customWidth="1"/>
    <col min="13061" max="13070" width="11.85546875" style="2" customWidth="1"/>
    <col min="13071" max="13071" width="12.7109375" style="2" customWidth="1"/>
    <col min="13072" max="13072" width="13.85546875" style="2" customWidth="1"/>
    <col min="13073" max="13082" width="12.28515625" style="2" customWidth="1"/>
    <col min="13083" max="13312" width="10.140625" style="2"/>
    <col min="13313" max="13313" width="3.42578125" style="2" customWidth="1"/>
    <col min="13314" max="13314" width="12.140625" style="2" customWidth="1"/>
    <col min="13315" max="13315" width="12.7109375" style="2" customWidth="1"/>
    <col min="13316" max="13316" width="13.85546875" style="2" customWidth="1"/>
    <col min="13317" max="13326" width="11.85546875" style="2" customWidth="1"/>
    <col min="13327" max="13327" width="12.7109375" style="2" customWidth="1"/>
    <col min="13328" max="13328" width="13.85546875" style="2" customWidth="1"/>
    <col min="13329" max="13338" width="12.28515625" style="2" customWidth="1"/>
    <col min="13339" max="13568" width="10.140625" style="2"/>
    <col min="13569" max="13569" width="3.42578125" style="2" customWidth="1"/>
    <col min="13570" max="13570" width="12.140625" style="2" customWidth="1"/>
    <col min="13571" max="13571" width="12.7109375" style="2" customWidth="1"/>
    <col min="13572" max="13572" width="13.85546875" style="2" customWidth="1"/>
    <col min="13573" max="13582" width="11.85546875" style="2" customWidth="1"/>
    <col min="13583" max="13583" width="12.7109375" style="2" customWidth="1"/>
    <col min="13584" max="13584" width="13.85546875" style="2" customWidth="1"/>
    <col min="13585" max="13594" width="12.28515625" style="2" customWidth="1"/>
    <col min="13595" max="13824" width="10.140625" style="2"/>
    <col min="13825" max="13825" width="3.42578125" style="2" customWidth="1"/>
    <col min="13826" max="13826" width="12.140625" style="2" customWidth="1"/>
    <col min="13827" max="13827" width="12.7109375" style="2" customWidth="1"/>
    <col min="13828" max="13828" width="13.85546875" style="2" customWidth="1"/>
    <col min="13829" max="13838" width="11.85546875" style="2" customWidth="1"/>
    <col min="13839" max="13839" width="12.7109375" style="2" customWidth="1"/>
    <col min="13840" max="13840" width="13.85546875" style="2" customWidth="1"/>
    <col min="13841" max="13850" width="12.28515625" style="2" customWidth="1"/>
    <col min="13851" max="14080" width="10.140625" style="2"/>
    <col min="14081" max="14081" width="3.42578125" style="2" customWidth="1"/>
    <col min="14082" max="14082" width="12.140625" style="2" customWidth="1"/>
    <col min="14083" max="14083" width="12.7109375" style="2" customWidth="1"/>
    <col min="14084" max="14084" width="13.85546875" style="2" customWidth="1"/>
    <col min="14085" max="14094" width="11.85546875" style="2" customWidth="1"/>
    <col min="14095" max="14095" width="12.7109375" style="2" customWidth="1"/>
    <col min="14096" max="14096" width="13.85546875" style="2" customWidth="1"/>
    <col min="14097" max="14106" width="12.28515625" style="2" customWidth="1"/>
    <col min="14107" max="14336" width="10.140625" style="2"/>
    <col min="14337" max="14337" width="3.42578125" style="2" customWidth="1"/>
    <col min="14338" max="14338" width="12.140625" style="2" customWidth="1"/>
    <col min="14339" max="14339" width="12.7109375" style="2" customWidth="1"/>
    <col min="14340" max="14340" width="13.85546875" style="2" customWidth="1"/>
    <col min="14341" max="14350" width="11.85546875" style="2" customWidth="1"/>
    <col min="14351" max="14351" width="12.7109375" style="2" customWidth="1"/>
    <col min="14352" max="14352" width="13.85546875" style="2" customWidth="1"/>
    <col min="14353" max="14362" width="12.28515625" style="2" customWidth="1"/>
    <col min="14363" max="14592" width="10.140625" style="2"/>
    <col min="14593" max="14593" width="3.42578125" style="2" customWidth="1"/>
    <col min="14594" max="14594" width="12.140625" style="2" customWidth="1"/>
    <col min="14595" max="14595" width="12.7109375" style="2" customWidth="1"/>
    <col min="14596" max="14596" width="13.85546875" style="2" customWidth="1"/>
    <col min="14597" max="14606" width="11.85546875" style="2" customWidth="1"/>
    <col min="14607" max="14607" width="12.7109375" style="2" customWidth="1"/>
    <col min="14608" max="14608" width="13.85546875" style="2" customWidth="1"/>
    <col min="14609" max="14618" width="12.28515625" style="2" customWidth="1"/>
    <col min="14619" max="14848" width="10.140625" style="2"/>
    <col min="14849" max="14849" width="3.42578125" style="2" customWidth="1"/>
    <col min="14850" max="14850" width="12.140625" style="2" customWidth="1"/>
    <col min="14851" max="14851" width="12.7109375" style="2" customWidth="1"/>
    <col min="14852" max="14852" width="13.85546875" style="2" customWidth="1"/>
    <col min="14853" max="14862" width="11.85546875" style="2" customWidth="1"/>
    <col min="14863" max="14863" width="12.7109375" style="2" customWidth="1"/>
    <col min="14864" max="14864" width="13.85546875" style="2" customWidth="1"/>
    <col min="14865" max="14874" width="12.28515625" style="2" customWidth="1"/>
    <col min="14875" max="15104" width="10.140625" style="2"/>
    <col min="15105" max="15105" width="3.42578125" style="2" customWidth="1"/>
    <col min="15106" max="15106" width="12.140625" style="2" customWidth="1"/>
    <col min="15107" max="15107" width="12.7109375" style="2" customWidth="1"/>
    <col min="15108" max="15108" width="13.85546875" style="2" customWidth="1"/>
    <col min="15109" max="15118" width="11.85546875" style="2" customWidth="1"/>
    <col min="15119" max="15119" width="12.7109375" style="2" customWidth="1"/>
    <col min="15120" max="15120" width="13.85546875" style="2" customWidth="1"/>
    <col min="15121" max="15130" width="12.28515625" style="2" customWidth="1"/>
    <col min="15131" max="15360" width="10.140625" style="2"/>
    <col min="15361" max="15361" width="3.42578125" style="2" customWidth="1"/>
    <col min="15362" max="15362" width="12.140625" style="2" customWidth="1"/>
    <col min="15363" max="15363" width="12.7109375" style="2" customWidth="1"/>
    <col min="15364" max="15364" width="13.85546875" style="2" customWidth="1"/>
    <col min="15365" max="15374" width="11.85546875" style="2" customWidth="1"/>
    <col min="15375" max="15375" width="12.7109375" style="2" customWidth="1"/>
    <col min="15376" max="15376" width="13.85546875" style="2" customWidth="1"/>
    <col min="15377" max="15386" width="12.28515625" style="2" customWidth="1"/>
    <col min="15387" max="15616" width="10.140625" style="2"/>
    <col min="15617" max="15617" width="3.42578125" style="2" customWidth="1"/>
    <col min="15618" max="15618" width="12.140625" style="2" customWidth="1"/>
    <col min="15619" max="15619" width="12.7109375" style="2" customWidth="1"/>
    <col min="15620" max="15620" width="13.85546875" style="2" customWidth="1"/>
    <col min="15621" max="15630" width="11.85546875" style="2" customWidth="1"/>
    <col min="15631" max="15631" width="12.7109375" style="2" customWidth="1"/>
    <col min="15632" max="15632" width="13.85546875" style="2" customWidth="1"/>
    <col min="15633" max="15642" width="12.28515625" style="2" customWidth="1"/>
    <col min="15643" max="15872" width="10.140625" style="2"/>
    <col min="15873" max="15873" width="3.42578125" style="2" customWidth="1"/>
    <col min="15874" max="15874" width="12.140625" style="2" customWidth="1"/>
    <col min="15875" max="15875" width="12.7109375" style="2" customWidth="1"/>
    <col min="15876" max="15876" width="13.85546875" style="2" customWidth="1"/>
    <col min="15877" max="15886" width="11.85546875" style="2" customWidth="1"/>
    <col min="15887" max="15887" width="12.7109375" style="2" customWidth="1"/>
    <col min="15888" max="15888" width="13.85546875" style="2" customWidth="1"/>
    <col min="15889" max="15898" width="12.28515625" style="2" customWidth="1"/>
    <col min="15899" max="16128" width="10.140625" style="2"/>
    <col min="16129" max="16129" width="3.42578125" style="2" customWidth="1"/>
    <col min="16130" max="16130" width="12.140625" style="2" customWidth="1"/>
    <col min="16131" max="16131" width="12.7109375" style="2" customWidth="1"/>
    <col min="16132" max="16132" width="13.85546875" style="2" customWidth="1"/>
    <col min="16133" max="16142" width="11.85546875" style="2" customWidth="1"/>
    <col min="16143" max="16143" width="12.7109375" style="2" customWidth="1"/>
    <col min="16144" max="16144" width="13.85546875" style="2" customWidth="1"/>
    <col min="16145" max="16154" width="12.28515625" style="2" customWidth="1"/>
    <col min="16155" max="16384" width="10.140625" style="2"/>
  </cols>
  <sheetData>
    <row r="2" spans="2:26" ht="15" x14ac:dyDescent="0.25">
      <c r="B2" s="61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2:26" ht="15" x14ac:dyDescent="0.25">
      <c r="B3" s="1"/>
      <c r="C3" s="1"/>
      <c r="D3" s="1"/>
      <c r="E3" s="1"/>
      <c r="F3" s="1"/>
      <c r="G3" s="1"/>
      <c r="H3" s="1"/>
      <c r="O3" s="1"/>
      <c r="P3" s="1"/>
      <c r="Q3" s="1"/>
      <c r="R3" s="1"/>
      <c r="S3" s="1"/>
      <c r="T3" s="1"/>
    </row>
    <row r="4" spans="2:26" ht="15" x14ac:dyDescent="0.25">
      <c r="B4" s="1"/>
      <c r="C4" s="1"/>
      <c r="D4" s="1"/>
      <c r="E4" s="1"/>
      <c r="F4" s="1"/>
      <c r="G4" s="1"/>
      <c r="H4" s="1"/>
      <c r="O4" s="1"/>
      <c r="P4" s="1"/>
      <c r="Q4" s="1"/>
      <c r="R4" s="1"/>
      <c r="S4" s="1"/>
      <c r="T4" s="1"/>
    </row>
    <row r="5" spans="2:26" ht="15" x14ac:dyDescent="0.25">
      <c r="B5" s="62" t="s">
        <v>1</v>
      </c>
      <c r="C5" s="57" t="s">
        <v>2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8"/>
      <c r="O5" s="57" t="s">
        <v>3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2:26" ht="15" x14ac:dyDescent="0.25">
      <c r="B6" s="63"/>
      <c r="C6" s="57" t="s">
        <v>4</v>
      </c>
      <c r="D6" s="57" t="s">
        <v>5</v>
      </c>
      <c r="E6" s="57"/>
      <c r="F6" s="57"/>
      <c r="G6" s="57"/>
      <c r="H6" s="57"/>
      <c r="I6" s="57"/>
      <c r="J6" s="57"/>
      <c r="K6" s="57"/>
      <c r="L6" s="57"/>
      <c r="M6" s="57"/>
      <c r="N6" s="58"/>
      <c r="O6" s="57" t="s">
        <v>4</v>
      </c>
      <c r="P6" s="57" t="s">
        <v>5</v>
      </c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2:26" ht="15" x14ac:dyDescent="0.25">
      <c r="B7" s="63"/>
      <c r="C7" s="57"/>
      <c r="D7" s="55" t="s">
        <v>6</v>
      </c>
      <c r="E7" s="57" t="s">
        <v>7</v>
      </c>
      <c r="F7" s="57"/>
      <c r="G7" s="57" t="s">
        <v>8</v>
      </c>
      <c r="H7" s="57"/>
      <c r="I7" s="57" t="s">
        <v>9</v>
      </c>
      <c r="J7" s="57"/>
      <c r="K7" s="57" t="s">
        <v>10</v>
      </c>
      <c r="L7" s="57"/>
      <c r="M7" s="57" t="s">
        <v>11</v>
      </c>
      <c r="N7" s="58"/>
      <c r="O7" s="57"/>
      <c r="P7" s="55" t="s">
        <v>6</v>
      </c>
      <c r="Q7" s="57" t="s">
        <v>7</v>
      </c>
      <c r="R7" s="57"/>
      <c r="S7" s="57" t="s">
        <v>8</v>
      </c>
      <c r="T7" s="57"/>
      <c r="U7" s="57" t="s">
        <v>9</v>
      </c>
      <c r="V7" s="57"/>
      <c r="W7" s="57" t="s">
        <v>10</v>
      </c>
      <c r="X7" s="57"/>
      <c r="Y7" s="57" t="s">
        <v>11</v>
      </c>
      <c r="Z7" s="57"/>
    </row>
    <row r="8" spans="2:26" x14ac:dyDescent="0.25">
      <c r="B8" s="63"/>
      <c r="C8" s="57"/>
      <c r="D8" s="55"/>
      <c r="E8" s="55" t="s">
        <v>12</v>
      </c>
      <c r="F8" s="55" t="s">
        <v>13</v>
      </c>
      <c r="G8" s="55" t="s">
        <v>12</v>
      </c>
      <c r="H8" s="55" t="s">
        <v>13</v>
      </c>
      <c r="I8" s="55" t="s">
        <v>12</v>
      </c>
      <c r="J8" s="55" t="s">
        <v>13</v>
      </c>
      <c r="K8" s="55" t="s">
        <v>12</v>
      </c>
      <c r="L8" s="55" t="s">
        <v>13</v>
      </c>
      <c r="M8" s="55" t="s">
        <v>12</v>
      </c>
      <c r="N8" s="59" t="s">
        <v>13</v>
      </c>
      <c r="O8" s="57"/>
      <c r="P8" s="55"/>
      <c r="Q8" s="55" t="s">
        <v>12</v>
      </c>
      <c r="R8" s="55" t="s">
        <v>13</v>
      </c>
      <c r="S8" s="55" t="s">
        <v>12</v>
      </c>
      <c r="T8" s="55" t="s">
        <v>13</v>
      </c>
      <c r="U8" s="55" t="s">
        <v>12</v>
      </c>
      <c r="V8" s="55" t="s">
        <v>13</v>
      </c>
      <c r="W8" s="55" t="s">
        <v>12</v>
      </c>
      <c r="X8" s="55" t="s">
        <v>13</v>
      </c>
      <c r="Y8" s="55" t="s">
        <v>12</v>
      </c>
      <c r="Z8" s="55" t="s">
        <v>13</v>
      </c>
    </row>
    <row r="9" spans="2:26" x14ac:dyDescent="0.25">
      <c r="B9" s="64"/>
      <c r="C9" s="57"/>
      <c r="D9" s="55"/>
      <c r="E9" s="55"/>
      <c r="F9" s="55"/>
      <c r="G9" s="55"/>
      <c r="H9" s="55"/>
      <c r="I9" s="56"/>
      <c r="J9" s="56"/>
      <c r="K9" s="56"/>
      <c r="L9" s="56"/>
      <c r="M9" s="56"/>
      <c r="N9" s="60"/>
      <c r="O9" s="57"/>
      <c r="P9" s="55"/>
      <c r="Q9" s="55"/>
      <c r="R9" s="55"/>
      <c r="S9" s="55"/>
      <c r="T9" s="55"/>
      <c r="U9" s="56"/>
      <c r="V9" s="56"/>
      <c r="W9" s="56"/>
      <c r="X9" s="56"/>
      <c r="Y9" s="56"/>
      <c r="Z9" s="56"/>
    </row>
    <row r="10" spans="2:26" ht="15" x14ac:dyDescent="0.25">
      <c r="B10" s="3"/>
      <c r="C10" s="1"/>
      <c r="D10" s="1"/>
      <c r="E10" s="1"/>
      <c r="F10" s="1"/>
      <c r="G10" s="1"/>
      <c r="H10" s="1"/>
      <c r="O10" s="3"/>
      <c r="P10" s="1"/>
      <c r="Q10" s="1"/>
      <c r="R10" s="1"/>
      <c r="S10" s="1"/>
      <c r="T10" s="1"/>
      <c r="Z10" s="4"/>
    </row>
    <row r="11" spans="2:26" s="7" customFormat="1" ht="15" x14ac:dyDescent="0.25">
      <c r="B11" s="5" t="s">
        <v>14</v>
      </c>
      <c r="C11" s="6">
        <v>50185471</v>
      </c>
      <c r="D11" s="6">
        <v>621260</v>
      </c>
      <c r="E11" s="6">
        <v>4571165</v>
      </c>
      <c r="F11" s="6">
        <v>5599873</v>
      </c>
      <c r="G11" s="6">
        <v>5010473</v>
      </c>
      <c r="H11" s="6">
        <v>16054130</v>
      </c>
      <c r="I11" s="6">
        <v>403435</v>
      </c>
      <c r="J11" s="6">
        <v>1468389</v>
      </c>
      <c r="K11" s="6">
        <v>57904</v>
      </c>
      <c r="L11" s="6">
        <v>1653264</v>
      </c>
      <c r="M11" s="6">
        <v>4866528</v>
      </c>
      <c r="N11" s="6">
        <v>9879050</v>
      </c>
      <c r="O11" s="3">
        <v>972.19399999999996</v>
      </c>
      <c r="P11" s="1">
        <v>110.065</v>
      </c>
      <c r="Q11" s="1">
        <v>228.952</v>
      </c>
      <c r="R11" s="1">
        <v>242.71199999999999</v>
      </c>
      <c r="S11" s="1">
        <v>204.15199999999999</v>
      </c>
      <c r="T11" s="7">
        <v>473.572</v>
      </c>
      <c r="U11" s="7">
        <v>43.012999999999998</v>
      </c>
      <c r="V11" s="7">
        <v>87.837999999999994</v>
      </c>
      <c r="W11" s="7">
        <v>19.469000000000001</v>
      </c>
      <c r="X11" s="7">
        <v>120.11499999999999</v>
      </c>
      <c r="Y11" s="7">
        <v>218.196</v>
      </c>
      <c r="Z11" s="8">
        <v>390.94499999999999</v>
      </c>
    </row>
    <row r="12" spans="2:26" s="7" customFormat="1" ht="15" x14ac:dyDescent="0.25">
      <c r="B12" s="9"/>
      <c r="C12" s="39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"/>
      <c r="Z12" s="8"/>
    </row>
    <row r="13" spans="2:26" s="7" customFormat="1" ht="15" x14ac:dyDescent="0.25">
      <c r="B13" s="9" t="s">
        <v>15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10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</row>
    <row r="14" spans="2:26" s="7" customFormat="1" ht="15" x14ac:dyDescent="0.25">
      <c r="B14" s="13" t="s">
        <v>16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15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6"/>
    </row>
    <row r="15" spans="2:26" ht="15" x14ac:dyDescent="0.25">
      <c r="B15" s="9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15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6"/>
    </row>
    <row r="16" spans="2:26" s="7" customFormat="1" ht="15" x14ac:dyDescent="0.25">
      <c r="B16" s="17" t="s">
        <v>4</v>
      </c>
      <c r="C16" s="49">
        <f>SUM(C17:C22)</f>
        <v>100</v>
      </c>
      <c r="D16" s="49">
        <f t="shared" ref="D16:M16" si="0">SUM(D17:D22)</f>
        <v>100.001</v>
      </c>
      <c r="E16" s="49">
        <f t="shared" si="0"/>
        <v>99.998999999999995</v>
      </c>
      <c r="F16" s="49">
        <f t="shared" si="0"/>
        <v>100</v>
      </c>
      <c r="G16" s="49">
        <f t="shared" si="0"/>
        <v>99.999000000000009</v>
      </c>
      <c r="H16" s="49">
        <f t="shared" si="0"/>
        <v>100</v>
      </c>
      <c r="I16" s="49">
        <f t="shared" si="0"/>
        <v>100</v>
      </c>
      <c r="J16" s="49">
        <f t="shared" si="0"/>
        <v>100</v>
      </c>
      <c r="K16" s="49">
        <f t="shared" si="0"/>
        <v>99.999999999999986</v>
      </c>
      <c r="L16" s="49">
        <f t="shared" si="0"/>
        <v>100</v>
      </c>
      <c r="M16" s="49">
        <f t="shared" si="0"/>
        <v>100.00099999999999</v>
      </c>
      <c r="N16" s="49">
        <f>SUM(N17:N22)</f>
        <v>99.999999999999986</v>
      </c>
      <c r="O16" s="15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6"/>
    </row>
    <row r="17" spans="2:50" x14ac:dyDescent="0.2">
      <c r="B17" s="18" t="s">
        <v>17</v>
      </c>
      <c r="C17" s="19">
        <v>11.641</v>
      </c>
      <c r="D17" s="19">
        <v>3.5960000000000001</v>
      </c>
      <c r="E17" s="19">
        <v>6.0350000000000001</v>
      </c>
      <c r="F17" s="19">
        <v>4.6509999999999998</v>
      </c>
      <c r="G17" s="19">
        <v>16.204000000000001</v>
      </c>
      <c r="H17" s="19">
        <v>6.3179999999999996</v>
      </c>
      <c r="I17" s="19">
        <v>98.671999999999997</v>
      </c>
      <c r="J17" s="19">
        <v>91.340999999999994</v>
      </c>
      <c r="K17" s="19">
        <v>6.984</v>
      </c>
      <c r="L17" s="19">
        <v>3.0790000000000002</v>
      </c>
      <c r="M17" s="19">
        <v>16.065999999999999</v>
      </c>
      <c r="N17" s="19">
        <v>8.9190000000000005</v>
      </c>
      <c r="O17" s="45">
        <v>0.34499999999999997</v>
      </c>
      <c r="P17" s="46">
        <v>1.2350000000000001</v>
      </c>
      <c r="Q17" s="46">
        <v>0.73299999999999998</v>
      </c>
      <c r="R17" s="46">
        <v>0.53700000000000003</v>
      </c>
      <c r="S17" s="46">
        <v>1.0309999999999999</v>
      </c>
      <c r="T17" s="46">
        <v>0.503</v>
      </c>
      <c r="U17" s="46">
        <v>0.85499999999999998</v>
      </c>
      <c r="V17" s="46">
        <v>1.7909999999999999</v>
      </c>
      <c r="W17" s="46">
        <v>6.89</v>
      </c>
      <c r="X17" s="46">
        <v>0.97399999999999998</v>
      </c>
      <c r="Y17" s="46">
        <v>1.2090000000000001</v>
      </c>
      <c r="Z17" s="47">
        <v>0.72699999999999998</v>
      </c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</row>
    <row r="18" spans="2:50" x14ac:dyDescent="0.2">
      <c r="B18" s="18" t="s">
        <v>18</v>
      </c>
      <c r="C18" s="19">
        <v>28.338999999999999</v>
      </c>
      <c r="D18" s="19">
        <v>11.029</v>
      </c>
      <c r="E18" s="19">
        <v>18.404</v>
      </c>
      <c r="F18" s="19">
        <v>15.824</v>
      </c>
      <c r="G18" s="19">
        <v>26.663</v>
      </c>
      <c r="H18" s="19">
        <v>29.838999999999999</v>
      </c>
      <c r="I18" s="19">
        <v>1.1879999999999999</v>
      </c>
      <c r="J18" s="19">
        <v>8.6110000000000007</v>
      </c>
      <c r="K18" s="19">
        <v>38.274000000000001</v>
      </c>
      <c r="L18" s="19">
        <v>26.61</v>
      </c>
      <c r="M18" s="19">
        <v>33.192</v>
      </c>
      <c r="N18" s="19">
        <v>41.412999999999997</v>
      </c>
      <c r="O18" s="45">
        <v>0.55600000000000005</v>
      </c>
      <c r="P18" s="46">
        <v>3.9239999999999999</v>
      </c>
      <c r="Q18" s="46">
        <v>1.228</v>
      </c>
      <c r="R18" s="46">
        <v>1.1259999999999999</v>
      </c>
      <c r="S18" s="46">
        <v>1.5820000000000001</v>
      </c>
      <c r="T18" s="46">
        <v>0.96099999999999997</v>
      </c>
      <c r="U18" s="46">
        <v>0.84199999999999997</v>
      </c>
      <c r="V18" s="48">
        <v>1.79</v>
      </c>
      <c r="W18" s="46">
        <v>19.341000000000001</v>
      </c>
      <c r="X18" s="46">
        <v>2.9729999999999999</v>
      </c>
      <c r="Y18" s="46">
        <v>1.59</v>
      </c>
      <c r="Z18" s="47">
        <v>1.236</v>
      </c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</row>
    <row r="19" spans="2:50" x14ac:dyDescent="0.2">
      <c r="B19" s="18" t="s">
        <v>19</v>
      </c>
      <c r="C19" s="19">
        <v>23.117999999999999</v>
      </c>
      <c r="D19" s="19">
        <v>14.183</v>
      </c>
      <c r="E19" s="19">
        <v>16.974</v>
      </c>
      <c r="F19" s="19">
        <v>19.986000000000001</v>
      </c>
      <c r="G19" s="19">
        <v>23.609000000000002</v>
      </c>
      <c r="H19" s="19">
        <v>26.686</v>
      </c>
      <c r="I19" s="19">
        <v>0.14000000000000001</v>
      </c>
      <c r="J19" s="19">
        <v>4.8000000000000001E-2</v>
      </c>
      <c r="K19" s="19">
        <v>22.353999999999999</v>
      </c>
      <c r="L19" s="19">
        <v>34.082000000000001</v>
      </c>
      <c r="M19" s="19">
        <v>24.875</v>
      </c>
      <c r="N19" s="19">
        <v>23.920999999999999</v>
      </c>
      <c r="O19" s="45">
        <v>0.55300000000000005</v>
      </c>
      <c r="P19" s="46">
        <v>3.113</v>
      </c>
      <c r="Q19" s="46">
        <v>1.395</v>
      </c>
      <c r="R19" s="46">
        <v>1.2090000000000001</v>
      </c>
      <c r="S19" s="46">
        <v>1.3069999999999999</v>
      </c>
      <c r="T19" s="46">
        <v>0.92600000000000005</v>
      </c>
      <c r="U19" s="48">
        <v>0.14099999999999999</v>
      </c>
      <c r="V19" s="46">
        <v>4.8000000000000001E-2</v>
      </c>
      <c r="W19" s="46">
        <v>13.266999999999999</v>
      </c>
      <c r="X19" s="46">
        <v>3.1349999999999998</v>
      </c>
      <c r="Y19" s="46">
        <v>1.657</v>
      </c>
      <c r="Z19" s="47">
        <v>1.125</v>
      </c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</row>
    <row r="20" spans="2:50" x14ac:dyDescent="0.2">
      <c r="B20" s="18" t="s">
        <v>20</v>
      </c>
      <c r="C20" s="19">
        <v>18.663</v>
      </c>
      <c r="D20" s="19">
        <v>24.725999999999999</v>
      </c>
      <c r="E20" s="19">
        <v>22.143000000000001</v>
      </c>
      <c r="F20" s="19">
        <v>22.895</v>
      </c>
      <c r="G20" s="19">
        <v>17.137</v>
      </c>
      <c r="H20" s="19">
        <v>21.654</v>
      </c>
      <c r="I20" s="19">
        <v>0</v>
      </c>
      <c r="J20" s="19">
        <v>0</v>
      </c>
      <c r="K20" s="19">
        <v>17.07</v>
      </c>
      <c r="L20" s="19">
        <v>20.417000000000002</v>
      </c>
      <c r="M20" s="19">
        <v>15.875</v>
      </c>
      <c r="N20" s="19">
        <v>14.811999999999999</v>
      </c>
      <c r="O20" s="45">
        <v>0.42399999999999999</v>
      </c>
      <c r="P20" s="46">
        <v>3.6960000000000002</v>
      </c>
      <c r="Q20" s="46">
        <v>1.341</v>
      </c>
      <c r="R20" s="46">
        <v>1.077</v>
      </c>
      <c r="S20" s="46">
        <v>1.137</v>
      </c>
      <c r="T20" s="46">
        <v>0.83399999999999996</v>
      </c>
      <c r="U20" s="48">
        <v>0</v>
      </c>
      <c r="V20" s="48">
        <v>0</v>
      </c>
      <c r="W20" s="46">
        <v>13.515000000000001</v>
      </c>
      <c r="X20" s="46">
        <v>1.9490000000000001</v>
      </c>
      <c r="Y20" s="46">
        <v>1.101</v>
      </c>
      <c r="Z20" s="47">
        <v>0.83499999999999996</v>
      </c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</row>
    <row r="21" spans="2:50" x14ac:dyDescent="0.2">
      <c r="B21" s="18" t="s">
        <v>21</v>
      </c>
      <c r="C21" s="19">
        <v>12.316000000000001</v>
      </c>
      <c r="D21" s="19">
        <v>23.529</v>
      </c>
      <c r="E21" s="19">
        <v>20.792000000000002</v>
      </c>
      <c r="F21" s="19">
        <v>22.047999999999998</v>
      </c>
      <c r="G21" s="19">
        <v>10.468</v>
      </c>
      <c r="H21" s="19">
        <v>11.989000000000001</v>
      </c>
      <c r="I21" s="19">
        <v>0</v>
      </c>
      <c r="J21" s="19">
        <v>0</v>
      </c>
      <c r="K21" s="19">
        <v>15.318</v>
      </c>
      <c r="L21" s="19">
        <v>12.718999999999999</v>
      </c>
      <c r="M21" s="19">
        <v>6.9930000000000003</v>
      </c>
      <c r="N21" s="19">
        <v>8.5139999999999993</v>
      </c>
      <c r="O21" s="45">
        <v>0.34899999999999998</v>
      </c>
      <c r="P21" s="46">
        <v>3.43</v>
      </c>
      <c r="Q21" s="46">
        <v>1.1879999999999999</v>
      </c>
      <c r="R21" s="46">
        <v>1.2529999999999999</v>
      </c>
      <c r="S21" s="46">
        <v>0.77</v>
      </c>
      <c r="T21" s="46">
        <v>0.63300000000000001</v>
      </c>
      <c r="U21" s="48">
        <v>0</v>
      </c>
      <c r="V21" s="48">
        <v>0</v>
      </c>
      <c r="W21" s="46">
        <v>13.824999999999999</v>
      </c>
      <c r="X21" s="46">
        <v>2.1160000000000001</v>
      </c>
      <c r="Y21" s="46">
        <v>0.84699999999999998</v>
      </c>
      <c r="Z21" s="47">
        <v>0.629</v>
      </c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</row>
    <row r="22" spans="2:50" x14ac:dyDescent="0.2">
      <c r="B22" s="18" t="s">
        <v>22</v>
      </c>
      <c r="C22" s="19">
        <v>5.923</v>
      </c>
      <c r="D22" s="19">
        <v>22.937999999999999</v>
      </c>
      <c r="E22" s="19">
        <v>15.651</v>
      </c>
      <c r="F22" s="19">
        <v>14.596</v>
      </c>
      <c r="G22" s="19">
        <v>5.9180000000000001</v>
      </c>
      <c r="H22" s="19">
        <v>3.5139999999999998</v>
      </c>
      <c r="I22" s="19">
        <v>0</v>
      </c>
      <c r="J22" s="19">
        <v>0</v>
      </c>
      <c r="K22" s="19">
        <v>0</v>
      </c>
      <c r="L22" s="19">
        <v>3.093</v>
      </c>
      <c r="M22" s="19">
        <v>3</v>
      </c>
      <c r="N22" s="19">
        <v>2.4209999999999998</v>
      </c>
      <c r="O22" s="45">
        <v>0.23200000000000001</v>
      </c>
      <c r="P22" s="46">
        <v>5.1319999999999997</v>
      </c>
      <c r="Q22" s="46">
        <v>1.1439999999999999</v>
      </c>
      <c r="R22" s="46">
        <v>0.996</v>
      </c>
      <c r="S22" s="46">
        <v>0.751</v>
      </c>
      <c r="T22" s="46">
        <v>0.313</v>
      </c>
      <c r="U22" s="48">
        <v>0</v>
      </c>
      <c r="V22" s="48">
        <v>0</v>
      </c>
      <c r="W22" s="46">
        <v>0</v>
      </c>
      <c r="X22" s="46">
        <v>0.88600000000000001</v>
      </c>
      <c r="Y22" s="46">
        <v>0.497</v>
      </c>
      <c r="Z22" s="47">
        <v>0.35399999999999998</v>
      </c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</row>
    <row r="23" spans="2:50" ht="15" x14ac:dyDescent="0.25">
      <c r="B23" s="9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15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6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</row>
    <row r="24" spans="2:50" s="7" customFormat="1" ht="15" x14ac:dyDescent="0.25">
      <c r="B24" s="5" t="s">
        <v>23</v>
      </c>
      <c r="C24" s="6">
        <v>29268712</v>
      </c>
      <c r="D24" s="6">
        <v>380974</v>
      </c>
      <c r="E24" s="6">
        <v>3153138</v>
      </c>
      <c r="F24" s="6">
        <v>3790105</v>
      </c>
      <c r="G24" s="6">
        <v>3216205</v>
      </c>
      <c r="H24" s="6">
        <v>9713883</v>
      </c>
      <c r="I24" s="6">
        <v>230729</v>
      </c>
      <c r="J24" s="6">
        <v>871728</v>
      </c>
      <c r="K24" s="6">
        <v>41513</v>
      </c>
      <c r="L24" s="6">
        <v>1013331</v>
      </c>
      <c r="M24" s="6">
        <v>2719016</v>
      </c>
      <c r="N24" s="6">
        <v>4138089</v>
      </c>
      <c r="O24" s="10">
        <v>608.65599999999995</v>
      </c>
      <c r="P24" s="11">
        <v>73.635000000000005</v>
      </c>
      <c r="Q24" s="11">
        <v>157.88999999999999</v>
      </c>
      <c r="R24" s="11">
        <v>191.06299999999999</v>
      </c>
      <c r="S24" s="11">
        <v>145.78200000000001</v>
      </c>
      <c r="T24" s="11">
        <v>320.834</v>
      </c>
      <c r="U24" s="11">
        <v>27.614999999999998</v>
      </c>
      <c r="V24" s="11">
        <v>66.869</v>
      </c>
      <c r="W24" s="11">
        <v>17.975999999999999</v>
      </c>
      <c r="X24" s="11">
        <v>93.155000000000001</v>
      </c>
      <c r="Y24" s="11">
        <v>143.75700000000001</v>
      </c>
      <c r="Z24" s="12">
        <v>189.52600000000001</v>
      </c>
    </row>
    <row r="25" spans="2:50" s="7" customFormat="1" ht="15" x14ac:dyDescent="0.25">
      <c r="B25" s="13" t="s">
        <v>16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15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6"/>
    </row>
    <row r="26" spans="2:50" ht="15" x14ac:dyDescent="0.25">
      <c r="B26" s="2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15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6"/>
    </row>
    <row r="27" spans="2:50" s="7" customFormat="1" ht="15" x14ac:dyDescent="0.25">
      <c r="B27" s="17" t="s">
        <v>4</v>
      </c>
      <c r="C27" s="49">
        <f>SUM(C28:C33)</f>
        <v>99.999999999999986</v>
      </c>
      <c r="D27" s="49">
        <f t="shared" ref="D27" si="1">SUM(D28:D33)</f>
        <v>100.001</v>
      </c>
      <c r="E27" s="49">
        <f t="shared" ref="E27" si="2">SUM(E28:E33)</f>
        <v>100.00200000000001</v>
      </c>
      <c r="F27" s="49">
        <f t="shared" ref="F27" si="3">SUM(F28:F33)</f>
        <v>100</v>
      </c>
      <c r="G27" s="49">
        <f t="shared" ref="G27" si="4">SUM(G28:G33)</f>
        <v>100</v>
      </c>
      <c r="H27" s="49">
        <f t="shared" ref="H27" si="5">SUM(H28:H33)</f>
        <v>99.999000000000009</v>
      </c>
      <c r="I27" s="49">
        <f t="shared" ref="I27" si="6">SUM(I28:I33)</f>
        <v>100</v>
      </c>
      <c r="J27" s="49">
        <f t="shared" ref="J27" si="7">SUM(J28:J33)</f>
        <v>100</v>
      </c>
      <c r="K27" s="49">
        <f t="shared" ref="K27" si="8">SUM(K28:K33)</f>
        <v>100.001</v>
      </c>
      <c r="L27" s="49">
        <f t="shared" ref="L27" si="9">SUM(L28:L33)</f>
        <v>100</v>
      </c>
      <c r="M27" s="49">
        <f t="shared" ref="M27" si="10">SUM(M28:M33)</f>
        <v>99.998999999999995</v>
      </c>
      <c r="N27" s="49">
        <f t="shared" ref="N27" si="11">SUM(N28:N33)</f>
        <v>100.00000000000001</v>
      </c>
      <c r="O27" s="15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6"/>
    </row>
    <row r="28" spans="2:50" x14ac:dyDescent="0.25">
      <c r="B28" s="18" t="s">
        <v>17</v>
      </c>
      <c r="C28" s="51">
        <v>12.257</v>
      </c>
      <c r="D28" s="51">
        <v>5.8639999999999999</v>
      </c>
      <c r="E28" s="51">
        <v>7.859</v>
      </c>
      <c r="F28" s="51">
        <v>5.9530000000000003</v>
      </c>
      <c r="G28" s="51">
        <v>18.329999999999998</v>
      </c>
      <c r="H28" s="51">
        <v>7.2960000000000003</v>
      </c>
      <c r="I28" s="51">
        <v>97.923000000000002</v>
      </c>
      <c r="J28" s="51">
        <v>91.262</v>
      </c>
      <c r="K28" s="51">
        <v>0</v>
      </c>
      <c r="L28" s="51">
        <v>4.0209999999999999</v>
      </c>
      <c r="M28" s="51">
        <v>15.555999999999999</v>
      </c>
      <c r="N28" s="51">
        <v>7.4480000000000004</v>
      </c>
      <c r="O28" s="45">
        <v>0.438</v>
      </c>
      <c r="P28" s="46">
        <v>2.1259999999999999</v>
      </c>
      <c r="Q28" s="46">
        <v>0.98499999999999999</v>
      </c>
      <c r="R28" s="46">
        <v>0.754</v>
      </c>
      <c r="S28" s="46">
        <v>1.2410000000000001</v>
      </c>
      <c r="T28" s="46">
        <v>0.68500000000000005</v>
      </c>
      <c r="U28" s="46">
        <v>1.466</v>
      </c>
      <c r="V28" s="46">
        <v>2.0920000000000001</v>
      </c>
      <c r="W28" s="46">
        <v>0</v>
      </c>
      <c r="X28" s="46">
        <v>1.385</v>
      </c>
      <c r="Y28" s="46">
        <v>1.7250000000000001</v>
      </c>
      <c r="Z28" s="47">
        <v>1.0109999999999999</v>
      </c>
    </row>
    <row r="29" spans="2:50" x14ac:dyDescent="0.2">
      <c r="B29" s="18" t="s">
        <v>18</v>
      </c>
      <c r="C29" s="19">
        <v>29.151</v>
      </c>
      <c r="D29" s="19">
        <v>14.478</v>
      </c>
      <c r="E29" s="19">
        <v>21.221</v>
      </c>
      <c r="F29" s="19">
        <v>19.151</v>
      </c>
      <c r="G29" s="19">
        <v>27.817</v>
      </c>
      <c r="H29" s="19">
        <v>31.443000000000001</v>
      </c>
      <c r="I29" s="19">
        <v>2.077</v>
      </c>
      <c r="J29" s="19">
        <v>8.7379999999999995</v>
      </c>
      <c r="K29" s="19">
        <v>48.036000000000001</v>
      </c>
      <c r="L29" s="19">
        <v>31.312999999999999</v>
      </c>
      <c r="M29" s="19">
        <v>33.524000000000001</v>
      </c>
      <c r="N29" s="19">
        <v>43.576000000000001</v>
      </c>
      <c r="O29" s="45">
        <v>0.63500000000000001</v>
      </c>
      <c r="P29" s="46">
        <v>4.851</v>
      </c>
      <c r="Q29" s="46">
        <v>1.548</v>
      </c>
      <c r="R29" s="46">
        <v>1.4239999999999999</v>
      </c>
      <c r="S29" s="46">
        <v>1.7589999999999999</v>
      </c>
      <c r="T29" s="46">
        <v>1.202</v>
      </c>
      <c r="U29" s="46">
        <v>1.466</v>
      </c>
      <c r="V29" s="48">
        <v>2.0920000000000001</v>
      </c>
      <c r="W29" s="46">
        <v>22.99</v>
      </c>
      <c r="X29" s="46">
        <v>4</v>
      </c>
      <c r="Y29" s="46">
        <v>1.9370000000000001</v>
      </c>
      <c r="Z29" s="47">
        <v>1.893</v>
      </c>
    </row>
    <row r="30" spans="2:50" x14ac:dyDescent="0.2">
      <c r="B30" s="18" t="s">
        <v>19</v>
      </c>
      <c r="C30" s="19">
        <v>23.132999999999999</v>
      </c>
      <c r="D30" s="19">
        <v>12.792</v>
      </c>
      <c r="E30" s="19">
        <v>18.199000000000002</v>
      </c>
      <c r="F30" s="19">
        <v>20.925999999999998</v>
      </c>
      <c r="G30" s="19">
        <v>24.456</v>
      </c>
      <c r="H30" s="19">
        <v>26.734999999999999</v>
      </c>
      <c r="I30" s="19">
        <v>0</v>
      </c>
      <c r="J30" s="19">
        <v>0</v>
      </c>
      <c r="K30" s="19">
        <v>31.181000000000001</v>
      </c>
      <c r="L30" s="19">
        <v>32.826999999999998</v>
      </c>
      <c r="M30" s="19">
        <v>24.669</v>
      </c>
      <c r="N30" s="19">
        <v>23.081</v>
      </c>
      <c r="O30" s="45">
        <v>0.623</v>
      </c>
      <c r="P30" s="46">
        <v>3.484</v>
      </c>
      <c r="Q30" s="46">
        <v>1.3779999999999999</v>
      </c>
      <c r="R30" s="46">
        <v>1.4219999999999999</v>
      </c>
      <c r="S30" s="46">
        <v>1.6180000000000001</v>
      </c>
      <c r="T30" s="46">
        <v>1.0920000000000001</v>
      </c>
      <c r="U30" s="48">
        <v>0</v>
      </c>
      <c r="V30" s="46">
        <v>0</v>
      </c>
      <c r="W30" s="46">
        <v>18.899999999999999</v>
      </c>
      <c r="X30" s="46">
        <v>3.8650000000000002</v>
      </c>
      <c r="Y30" s="46">
        <v>2.1480000000000001</v>
      </c>
      <c r="Z30" s="47">
        <v>1.7390000000000001</v>
      </c>
    </row>
    <row r="31" spans="2:50" x14ac:dyDescent="0.2">
      <c r="B31" s="18" t="s">
        <v>20</v>
      </c>
      <c r="C31" s="19">
        <v>17.981999999999999</v>
      </c>
      <c r="D31" s="19">
        <v>19.134</v>
      </c>
      <c r="E31" s="19">
        <v>21.298999999999999</v>
      </c>
      <c r="F31" s="19">
        <v>21.437999999999999</v>
      </c>
      <c r="G31" s="19">
        <v>16.463000000000001</v>
      </c>
      <c r="H31" s="19">
        <v>19.643000000000001</v>
      </c>
      <c r="I31" s="19">
        <v>0</v>
      </c>
      <c r="J31" s="19">
        <v>0</v>
      </c>
      <c r="K31" s="19">
        <v>20.783999999999999</v>
      </c>
      <c r="L31" s="19">
        <v>18.207999999999998</v>
      </c>
      <c r="M31" s="19">
        <v>15.824</v>
      </c>
      <c r="N31" s="19">
        <v>15.589</v>
      </c>
      <c r="O31" s="45">
        <v>0.46700000000000003</v>
      </c>
      <c r="P31" s="46">
        <v>3.5369999999999999</v>
      </c>
      <c r="Q31" s="46">
        <v>1.494</v>
      </c>
      <c r="R31" s="46">
        <v>1.3049999999999999</v>
      </c>
      <c r="S31" s="46">
        <v>1.476</v>
      </c>
      <c r="T31" s="46">
        <v>0.96699999999999997</v>
      </c>
      <c r="U31" s="48">
        <v>0</v>
      </c>
      <c r="V31" s="48">
        <v>0</v>
      </c>
      <c r="W31" s="46">
        <v>18.259</v>
      </c>
      <c r="X31" s="46">
        <v>2.5</v>
      </c>
      <c r="Y31" s="46">
        <v>1.4570000000000001</v>
      </c>
      <c r="Z31" s="47">
        <v>1.363</v>
      </c>
    </row>
    <row r="32" spans="2:50" x14ac:dyDescent="0.2">
      <c r="B32" s="18" t="s">
        <v>21</v>
      </c>
      <c r="C32" s="19">
        <v>11.837999999999999</v>
      </c>
      <c r="D32" s="19">
        <v>24.64</v>
      </c>
      <c r="E32" s="19">
        <v>18.417999999999999</v>
      </c>
      <c r="F32" s="19">
        <v>20.311</v>
      </c>
      <c r="G32" s="19">
        <v>8.6940000000000008</v>
      </c>
      <c r="H32" s="19">
        <v>11.483000000000001</v>
      </c>
      <c r="I32" s="19">
        <v>0</v>
      </c>
      <c r="J32" s="19">
        <v>0</v>
      </c>
      <c r="K32" s="19">
        <v>0</v>
      </c>
      <c r="L32" s="19">
        <v>11.202</v>
      </c>
      <c r="M32" s="19">
        <v>7.008</v>
      </c>
      <c r="N32" s="19">
        <v>7.7629999999999999</v>
      </c>
      <c r="O32" s="45">
        <v>0.41399999999999998</v>
      </c>
      <c r="P32" s="46">
        <v>3.9369999999999998</v>
      </c>
      <c r="Q32" s="46">
        <v>1.2270000000000001</v>
      </c>
      <c r="R32" s="46">
        <v>1.4950000000000001</v>
      </c>
      <c r="S32" s="46">
        <v>0.86399999999999999</v>
      </c>
      <c r="T32" s="46">
        <v>0.749</v>
      </c>
      <c r="U32" s="48">
        <v>0</v>
      </c>
      <c r="V32" s="48">
        <v>0</v>
      </c>
      <c r="W32" s="46">
        <v>0</v>
      </c>
      <c r="X32" s="46">
        <v>2.5270000000000001</v>
      </c>
      <c r="Y32" s="46">
        <v>0.97</v>
      </c>
      <c r="Z32" s="47">
        <v>0.88400000000000001</v>
      </c>
    </row>
    <row r="33" spans="2:26" x14ac:dyDescent="0.2">
      <c r="B33" s="18" t="s">
        <v>22</v>
      </c>
      <c r="C33" s="19">
        <v>5.6390000000000002</v>
      </c>
      <c r="D33" s="19">
        <v>23.093</v>
      </c>
      <c r="E33" s="19">
        <v>13.006</v>
      </c>
      <c r="F33" s="19">
        <v>12.221</v>
      </c>
      <c r="G33" s="19">
        <v>4.24</v>
      </c>
      <c r="H33" s="19">
        <v>3.399</v>
      </c>
      <c r="I33" s="19">
        <v>0</v>
      </c>
      <c r="J33" s="19">
        <v>0</v>
      </c>
      <c r="K33" s="19">
        <v>0</v>
      </c>
      <c r="L33" s="19">
        <v>2.4289999999999998</v>
      </c>
      <c r="M33" s="19">
        <v>3.4180000000000001</v>
      </c>
      <c r="N33" s="19">
        <v>2.5430000000000001</v>
      </c>
      <c r="O33" s="45">
        <v>0.28100000000000003</v>
      </c>
      <c r="P33" s="46">
        <v>5.6859999999999999</v>
      </c>
      <c r="Q33" s="46">
        <v>1.1659999999999999</v>
      </c>
      <c r="R33" s="46">
        <v>1.163</v>
      </c>
      <c r="S33" s="46">
        <v>0.86</v>
      </c>
      <c r="T33" s="46">
        <v>0.38</v>
      </c>
      <c r="U33" s="48">
        <v>0</v>
      </c>
      <c r="V33" s="48">
        <v>0</v>
      </c>
      <c r="W33" s="46">
        <v>0</v>
      </c>
      <c r="X33" s="46">
        <v>0.97599999999999998</v>
      </c>
      <c r="Y33" s="46">
        <v>0.67300000000000004</v>
      </c>
      <c r="Z33" s="47">
        <v>0.48499999999999999</v>
      </c>
    </row>
    <row r="34" spans="2:26" ht="15" x14ac:dyDescent="0.2">
      <c r="B34" s="20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22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3"/>
    </row>
    <row r="35" spans="2:26" s="7" customFormat="1" ht="15" x14ac:dyDescent="0.25">
      <c r="B35" s="5" t="s">
        <v>24</v>
      </c>
      <c r="C35" s="6">
        <v>20916759</v>
      </c>
      <c r="D35" s="6">
        <v>240286</v>
      </c>
      <c r="E35" s="6">
        <v>1418027</v>
      </c>
      <c r="F35" s="6">
        <v>1809767</v>
      </c>
      <c r="G35" s="6">
        <v>1794268</v>
      </c>
      <c r="H35" s="6">
        <v>6340247</v>
      </c>
      <c r="I35" s="6">
        <v>172705</v>
      </c>
      <c r="J35" s="6">
        <v>596660</v>
      </c>
      <c r="K35" s="6">
        <v>16391</v>
      </c>
      <c r="L35" s="6">
        <v>639933</v>
      </c>
      <c r="M35" s="6">
        <v>2147512</v>
      </c>
      <c r="N35" s="6">
        <v>5740961</v>
      </c>
      <c r="O35" s="10">
        <v>479.233</v>
      </c>
      <c r="P35" s="11">
        <v>43.911999999999999</v>
      </c>
      <c r="Q35" s="11">
        <v>101.89400000000001</v>
      </c>
      <c r="R35" s="11">
        <v>90.756</v>
      </c>
      <c r="S35" s="11">
        <v>102.712</v>
      </c>
      <c r="T35" s="11">
        <v>225.078</v>
      </c>
      <c r="U35" s="11">
        <v>32.067</v>
      </c>
      <c r="V35" s="11">
        <v>55.27</v>
      </c>
      <c r="W35" s="11">
        <v>9.6620000000000008</v>
      </c>
      <c r="X35" s="11">
        <v>61.703000000000003</v>
      </c>
      <c r="Y35" s="11">
        <v>120.235</v>
      </c>
      <c r="Z35" s="12">
        <v>250.571</v>
      </c>
    </row>
    <row r="36" spans="2:26" s="7" customFormat="1" ht="15" x14ac:dyDescent="0.25">
      <c r="B36" s="13" t="s">
        <v>16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15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6"/>
    </row>
    <row r="37" spans="2:26" ht="15" x14ac:dyDescent="0.25">
      <c r="B37" s="2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15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6"/>
    </row>
    <row r="38" spans="2:26" s="7" customFormat="1" ht="15" x14ac:dyDescent="0.25">
      <c r="B38" s="17" t="s">
        <v>4</v>
      </c>
      <c r="C38" s="49">
        <f>SUM(C39:C44)</f>
        <v>100.001</v>
      </c>
      <c r="D38" s="49">
        <f t="shared" ref="D38" si="12">SUM(D39:D44)</f>
        <v>100</v>
      </c>
      <c r="E38" s="49">
        <f t="shared" ref="E38" si="13">SUM(E39:E44)</f>
        <v>99.998999999999995</v>
      </c>
      <c r="F38" s="49">
        <f t="shared" ref="F38" si="14">SUM(F39:F44)</f>
        <v>100</v>
      </c>
      <c r="G38" s="49">
        <f t="shared" ref="G38" si="15">SUM(G39:G44)</f>
        <v>100.001</v>
      </c>
      <c r="H38" s="49">
        <f t="shared" ref="H38" si="16">SUM(H39:H44)</f>
        <v>99.998999999999995</v>
      </c>
      <c r="I38" s="49">
        <f t="shared" ref="I38" si="17">SUM(I39:I44)</f>
        <v>100</v>
      </c>
      <c r="J38" s="49">
        <f t="shared" ref="J38" si="18">SUM(J39:J44)</f>
        <v>100</v>
      </c>
      <c r="K38" s="49">
        <f t="shared" ref="K38" si="19">SUM(K39:K44)</f>
        <v>100</v>
      </c>
      <c r="L38" s="49">
        <f t="shared" ref="L38" si="20">SUM(L39:L44)</f>
        <v>100.001</v>
      </c>
      <c r="M38" s="49">
        <f t="shared" ref="M38" si="21">SUM(M39:M44)</f>
        <v>99.998999999999995</v>
      </c>
      <c r="N38" s="49">
        <f t="shared" ref="N38" si="22">SUM(N39:N44)</f>
        <v>100.001</v>
      </c>
      <c r="O38" s="15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6"/>
    </row>
    <row r="39" spans="2:26" x14ac:dyDescent="0.25">
      <c r="B39" s="18" t="s">
        <v>17</v>
      </c>
      <c r="C39" s="51">
        <v>10.779</v>
      </c>
      <c r="D39" s="51">
        <v>0</v>
      </c>
      <c r="E39" s="51">
        <v>1.9810000000000001</v>
      </c>
      <c r="F39" s="51">
        <v>1.923</v>
      </c>
      <c r="G39" s="51">
        <v>12.394</v>
      </c>
      <c r="H39" s="51">
        <v>4.819</v>
      </c>
      <c r="I39" s="51">
        <v>99.671999999999997</v>
      </c>
      <c r="J39" s="51">
        <v>91.456000000000003</v>
      </c>
      <c r="K39" s="51">
        <v>24.672000000000001</v>
      </c>
      <c r="L39" s="51">
        <v>1.5880000000000001</v>
      </c>
      <c r="M39" s="51">
        <v>16.710999999999999</v>
      </c>
      <c r="N39" s="51">
        <v>9.9789999999999992</v>
      </c>
      <c r="O39" s="45">
        <v>0.53700000000000003</v>
      </c>
      <c r="P39" s="46">
        <v>0</v>
      </c>
      <c r="Q39" s="46">
        <v>0.624</v>
      </c>
      <c r="R39" s="46">
        <v>0.497</v>
      </c>
      <c r="S39" s="46">
        <v>1.5069999999999999</v>
      </c>
      <c r="T39" s="46">
        <v>0.59699999999999998</v>
      </c>
      <c r="U39" s="46">
        <v>0.33200000000000002</v>
      </c>
      <c r="V39" s="46">
        <v>2.395</v>
      </c>
      <c r="W39" s="46">
        <v>22.800999999999998</v>
      </c>
      <c r="X39" s="46">
        <v>1.42</v>
      </c>
      <c r="Y39" s="46">
        <v>1.65</v>
      </c>
      <c r="Z39" s="47">
        <v>0.99</v>
      </c>
    </row>
    <row r="40" spans="2:26" x14ac:dyDescent="0.2">
      <c r="B40" s="18" t="s">
        <v>18</v>
      </c>
      <c r="C40" s="19">
        <v>27.202999999999999</v>
      </c>
      <c r="D40" s="19">
        <v>5.56</v>
      </c>
      <c r="E40" s="19">
        <v>12.141</v>
      </c>
      <c r="F40" s="19">
        <v>8.8569999999999993</v>
      </c>
      <c r="G40" s="19">
        <v>24.594000000000001</v>
      </c>
      <c r="H40" s="19">
        <v>27.382000000000001</v>
      </c>
      <c r="I40" s="19">
        <v>0</v>
      </c>
      <c r="J40" s="19">
        <v>8.4260000000000002</v>
      </c>
      <c r="K40" s="19">
        <v>13.55</v>
      </c>
      <c r="L40" s="19">
        <v>19.164999999999999</v>
      </c>
      <c r="M40" s="19">
        <v>32.771000000000001</v>
      </c>
      <c r="N40" s="19">
        <v>39.853000000000002</v>
      </c>
      <c r="O40" s="45">
        <v>0.72199999999999998</v>
      </c>
      <c r="P40" s="46">
        <v>4.1680000000000001</v>
      </c>
      <c r="Q40" s="46">
        <v>1.704</v>
      </c>
      <c r="R40" s="46">
        <v>1.44</v>
      </c>
      <c r="S40" s="46">
        <v>2.4620000000000002</v>
      </c>
      <c r="T40" s="46">
        <v>1.379</v>
      </c>
      <c r="U40" s="46">
        <v>0</v>
      </c>
      <c r="V40" s="48">
        <v>2.3919999999999999</v>
      </c>
      <c r="W40" s="46">
        <v>14.202999999999999</v>
      </c>
      <c r="X40" s="46">
        <v>3.2770000000000001</v>
      </c>
      <c r="Y40" s="46">
        <v>2.2370000000000001</v>
      </c>
      <c r="Z40" s="47">
        <v>1.395</v>
      </c>
    </row>
    <row r="41" spans="2:26" x14ac:dyDescent="0.2">
      <c r="B41" s="18" t="s">
        <v>19</v>
      </c>
      <c r="C41" s="19">
        <v>23.097000000000001</v>
      </c>
      <c r="D41" s="19">
        <v>16.388000000000002</v>
      </c>
      <c r="E41" s="19">
        <v>14.252000000000001</v>
      </c>
      <c r="F41" s="19">
        <v>18.018000000000001</v>
      </c>
      <c r="G41" s="19">
        <v>22.091000000000001</v>
      </c>
      <c r="H41" s="19">
        <v>26.611000000000001</v>
      </c>
      <c r="I41" s="19">
        <v>0.32800000000000001</v>
      </c>
      <c r="J41" s="19">
        <v>0.11799999999999999</v>
      </c>
      <c r="K41" s="19">
        <v>0</v>
      </c>
      <c r="L41" s="19">
        <v>36.069000000000003</v>
      </c>
      <c r="M41" s="19">
        <v>25.135999999999999</v>
      </c>
      <c r="N41" s="19">
        <v>24.527000000000001</v>
      </c>
      <c r="O41" s="45">
        <v>0.68300000000000005</v>
      </c>
      <c r="P41" s="46">
        <v>4.3049999999999997</v>
      </c>
      <c r="Q41" s="46">
        <v>2.3380000000000001</v>
      </c>
      <c r="R41" s="46">
        <v>1.7330000000000001</v>
      </c>
      <c r="S41" s="46">
        <v>1.931</v>
      </c>
      <c r="T41" s="46">
        <v>1.274</v>
      </c>
      <c r="U41" s="48">
        <v>0.33200000000000002</v>
      </c>
      <c r="V41" s="46">
        <v>0.11799999999999999</v>
      </c>
      <c r="W41" s="46">
        <v>0</v>
      </c>
      <c r="X41" s="46">
        <v>3.927</v>
      </c>
      <c r="Y41" s="46">
        <v>2.4449999999999998</v>
      </c>
      <c r="Z41" s="47">
        <v>1.1990000000000001</v>
      </c>
    </row>
    <row r="42" spans="2:26" x14ac:dyDescent="0.2">
      <c r="B42" s="18" t="s">
        <v>20</v>
      </c>
      <c r="C42" s="19">
        <v>19.617000000000001</v>
      </c>
      <c r="D42" s="19">
        <v>33.591999999999999</v>
      </c>
      <c r="E42" s="19">
        <v>24.021999999999998</v>
      </c>
      <c r="F42" s="19">
        <v>25.948</v>
      </c>
      <c r="G42" s="19">
        <v>18.346</v>
      </c>
      <c r="H42" s="19">
        <v>24.734000000000002</v>
      </c>
      <c r="I42" s="19">
        <v>0</v>
      </c>
      <c r="J42" s="19">
        <v>0</v>
      </c>
      <c r="K42" s="19">
        <v>7.6630000000000003</v>
      </c>
      <c r="L42" s="19">
        <v>23.914999999999999</v>
      </c>
      <c r="M42" s="19">
        <v>15.938000000000001</v>
      </c>
      <c r="N42" s="19">
        <v>14.253</v>
      </c>
      <c r="O42" s="45">
        <v>0.57199999999999995</v>
      </c>
      <c r="P42" s="46">
        <v>5.976</v>
      </c>
      <c r="Q42" s="46">
        <v>2.3239999999999998</v>
      </c>
      <c r="R42" s="46">
        <v>1.9890000000000001</v>
      </c>
      <c r="S42" s="46">
        <v>1.7729999999999999</v>
      </c>
      <c r="T42" s="46">
        <v>1.161</v>
      </c>
      <c r="U42" s="48">
        <v>0</v>
      </c>
      <c r="V42" s="48">
        <v>0</v>
      </c>
      <c r="W42" s="46">
        <v>8.51</v>
      </c>
      <c r="X42" s="46">
        <v>3.17</v>
      </c>
      <c r="Y42" s="46">
        <v>1.6240000000000001</v>
      </c>
      <c r="Z42" s="47">
        <v>1.0029999999999999</v>
      </c>
    </row>
    <row r="43" spans="2:26" x14ac:dyDescent="0.2">
      <c r="B43" s="18" t="s">
        <v>21</v>
      </c>
      <c r="C43" s="19">
        <v>12.986000000000001</v>
      </c>
      <c r="D43" s="19">
        <v>21.768000000000001</v>
      </c>
      <c r="E43" s="19">
        <v>26.071000000000002</v>
      </c>
      <c r="F43" s="19">
        <v>25.686</v>
      </c>
      <c r="G43" s="19">
        <v>13.648999999999999</v>
      </c>
      <c r="H43" s="19">
        <v>12.763</v>
      </c>
      <c r="I43" s="19">
        <v>0</v>
      </c>
      <c r="J43" s="19">
        <v>0</v>
      </c>
      <c r="K43" s="19">
        <v>54.115000000000002</v>
      </c>
      <c r="L43" s="19">
        <v>15.12</v>
      </c>
      <c r="M43" s="19">
        <v>6.9729999999999999</v>
      </c>
      <c r="N43" s="19">
        <v>9.0559999999999992</v>
      </c>
      <c r="O43" s="45">
        <v>0.48599999999999999</v>
      </c>
      <c r="P43" s="46">
        <v>5.2380000000000004</v>
      </c>
      <c r="Q43" s="46">
        <v>2.4009999999999998</v>
      </c>
      <c r="R43" s="46">
        <v>2.1419999999999999</v>
      </c>
      <c r="S43" s="46">
        <v>1.5720000000000001</v>
      </c>
      <c r="T43" s="46">
        <v>0.88400000000000001</v>
      </c>
      <c r="U43" s="48">
        <v>0</v>
      </c>
      <c r="V43" s="48">
        <v>0</v>
      </c>
      <c r="W43" s="46">
        <v>28.271000000000001</v>
      </c>
      <c r="X43" s="46">
        <v>3.2909999999999999</v>
      </c>
      <c r="Y43" s="46">
        <v>1.127</v>
      </c>
      <c r="Z43" s="47">
        <v>0.82099999999999995</v>
      </c>
    </row>
    <row r="44" spans="2:26" x14ac:dyDescent="0.2">
      <c r="B44" s="18" t="s">
        <v>22</v>
      </c>
      <c r="C44" s="19">
        <v>6.319</v>
      </c>
      <c r="D44" s="19">
        <v>22.692</v>
      </c>
      <c r="E44" s="19">
        <v>21.532</v>
      </c>
      <c r="F44" s="19">
        <v>19.568000000000001</v>
      </c>
      <c r="G44" s="19">
        <v>8.9269999999999996</v>
      </c>
      <c r="H44" s="19">
        <v>3.69</v>
      </c>
      <c r="I44" s="19">
        <v>0</v>
      </c>
      <c r="J44" s="19">
        <v>0</v>
      </c>
      <c r="K44" s="19">
        <v>0</v>
      </c>
      <c r="L44" s="19">
        <v>4.1440000000000001</v>
      </c>
      <c r="M44" s="19">
        <v>2.4700000000000002</v>
      </c>
      <c r="N44" s="19">
        <v>2.3330000000000002</v>
      </c>
      <c r="O44" s="45">
        <v>0.32900000000000001</v>
      </c>
      <c r="P44" s="46">
        <v>5.8310000000000004</v>
      </c>
      <c r="Q44" s="46">
        <v>2.2810000000000001</v>
      </c>
      <c r="R44" s="46">
        <v>1.986</v>
      </c>
      <c r="S44" s="46">
        <v>1.48</v>
      </c>
      <c r="T44" s="46">
        <v>0.51700000000000002</v>
      </c>
      <c r="U44" s="48">
        <v>0</v>
      </c>
      <c r="V44" s="48">
        <v>0</v>
      </c>
      <c r="W44" s="46">
        <v>0</v>
      </c>
      <c r="X44" s="46">
        <v>1.7390000000000001</v>
      </c>
      <c r="Y44" s="46">
        <v>0.77900000000000003</v>
      </c>
      <c r="Z44" s="47">
        <v>0.42399999999999999</v>
      </c>
    </row>
    <row r="45" spans="2:26" x14ac:dyDescent="0.2">
      <c r="B45" s="24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4"/>
      <c r="O45" s="26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7"/>
    </row>
    <row r="46" spans="2:26" x14ac:dyDescent="0.25">
      <c r="B46" s="34" t="s">
        <v>25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2:26" x14ac:dyDescent="0.25">
      <c r="B47" s="34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2:26" s="30" customFormat="1" x14ac:dyDescent="0.2">
      <c r="B48" s="53" t="s">
        <v>26</v>
      </c>
      <c r="C48" s="2"/>
      <c r="D48" s="29"/>
      <c r="E48" s="29"/>
      <c r="F48" s="29"/>
      <c r="G48" s="29"/>
      <c r="H48" s="29"/>
      <c r="O48" s="2"/>
      <c r="P48" s="29"/>
      <c r="Q48" s="29"/>
      <c r="R48" s="29"/>
      <c r="S48" s="29"/>
      <c r="T48" s="29"/>
    </row>
    <row r="49" spans="2:21" s="30" customFormat="1" x14ac:dyDescent="0.2">
      <c r="B49" s="54" t="s">
        <v>27</v>
      </c>
      <c r="C49" s="2"/>
      <c r="D49" s="29"/>
      <c r="E49" s="29"/>
      <c r="F49" s="29"/>
      <c r="G49" s="29"/>
      <c r="H49" s="29"/>
      <c r="O49" s="2"/>
      <c r="P49" s="29"/>
      <c r="Q49" s="29"/>
      <c r="R49" s="29"/>
      <c r="S49" s="29"/>
      <c r="T49" s="29"/>
    </row>
    <row r="50" spans="2:21" s="31" customFormat="1" x14ac:dyDescent="0.25">
      <c r="B50" s="54" t="s">
        <v>28</v>
      </c>
      <c r="D50" s="33"/>
      <c r="E50" s="32"/>
      <c r="F50" s="33"/>
      <c r="G50" s="33"/>
      <c r="H50" s="33"/>
      <c r="I50" s="33"/>
      <c r="P50" s="33"/>
      <c r="Q50" s="32"/>
      <c r="R50" s="33"/>
      <c r="S50" s="33"/>
      <c r="T50" s="33"/>
      <c r="U50" s="33"/>
    </row>
    <row r="51" spans="2:21" ht="15" x14ac:dyDescent="0.25">
      <c r="B51" s="52" t="s">
        <v>29</v>
      </c>
      <c r="C51" s="35"/>
      <c r="D51" s="36"/>
      <c r="E51" s="36"/>
      <c r="F51" s="35"/>
      <c r="G51" s="35"/>
      <c r="H51" s="35"/>
      <c r="O51" s="35"/>
      <c r="P51" s="36"/>
      <c r="Q51" s="36"/>
      <c r="R51" s="35"/>
      <c r="S51" s="35"/>
      <c r="T51" s="35"/>
    </row>
    <row r="52" spans="2:21" ht="15" x14ac:dyDescent="0.25">
      <c r="C52" s="35"/>
      <c r="D52" s="37"/>
      <c r="E52" s="37"/>
      <c r="F52" s="35"/>
      <c r="G52" s="35"/>
      <c r="H52" s="35"/>
      <c r="O52" s="35"/>
      <c r="P52" s="37"/>
      <c r="Q52" s="37"/>
      <c r="R52" s="35"/>
      <c r="S52" s="35"/>
      <c r="T52" s="35"/>
    </row>
  </sheetData>
  <mergeCells count="40">
    <mergeCell ref="K8:K9"/>
    <mergeCell ref="L8:L9"/>
    <mergeCell ref="M8:M9"/>
    <mergeCell ref="N8:N9"/>
    <mergeCell ref="B2:Z2"/>
    <mergeCell ref="B5:B9"/>
    <mergeCell ref="C5:N5"/>
    <mergeCell ref="O5:Z5"/>
    <mergeCell ref="C6:C9"/>
    <mergeCell ref="D6:N6"/>
    <mergeCell ref="O6:O9"/>
    <mergeCell ref="P6:Z6"/>
    <mergeCell ref="D7:D9"/>
    <mergeCell ref="E7:F7"/>
    <mergeCell ref="S7:T7"/>
    <mergeCell ref="U7:V7"/>
    <mergeCell ref="W7:X7"/>
    <mergeCell ref="Y7:Z7"/>
    <mergeCell ref="E8:E9"/>
    <mergeCell ref="F8:F9"/>
    <mergeCell ref="G8:G9"/>
    <mergeCell ref="H8:H9"/>
    <mergeCell ref="I8:I9"/>
    <mergeCell ref="J8:J9"/>
    <mergeCell ref="G7:H7"/>
    <mergeCell ref="I7:J7"/>
    <mergeCell ref="K7:L7"/>
    <mergeCell ref="M7:N7"/>
    <mergeCell ref="P7:P9"/>
    <mergeCell ref="Q7:R7"/>
    <mergeCell ref="W8:W9"/>
    <mergeCell ref="X8:X9"/>
    <mergeCell ref="Y8:Y9"/>
    <mergeCell ref="Z8:Z9"/>
    <mergeCell ref="Q8:Q9"/>
    <mergeCell ref="R8:R9"/>
    <mergeCell ref="S8:S9"/>
    <mergeCell ref="T8:T9"/>
    <mergeCell ref="U8:U9"/>
    <mergeCell ref="V8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2025-11-10T07:16:25Z</dcterms:created>
  <dcterms:modified xsi:type="dcterms:W3CDTF">2025-12-16T11:24:25Z</dcterms:modified>
</cp:coreProperties>
</file>