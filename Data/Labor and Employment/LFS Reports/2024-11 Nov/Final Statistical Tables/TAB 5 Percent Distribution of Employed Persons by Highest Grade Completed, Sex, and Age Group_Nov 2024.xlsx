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 - LFS\Sol's works\A-SOL 2025\S - SPECIAL RELEASE\2024 FINAL RESULTS\FINAL STAT TABLES\11 - NOV 2024\"/>
    </mc:Choice>
  </mc:AlternateContent>
  <xr:revisionPtr revIDLastSave="0" documentId="13_ncr:1_{86D3BF8B-7AEC-43F8-9454-4E5E6FB0E134}" xr6:coauthVersionLast="47" xr6:coauthVersionMax="47" xr10:uidLastSave="{00000000-0000-0000-0000-000000000000}"/>
  <bookViews>
    <workbookView xWindow="-120" yWindow="-120" windowWidth="29040" windowHeight="15720" xr2:uid="{C4B50BA3-C5F0-4B5C-8AE3-1B4FE6975797}"/>
  </bookViews>
  <sheets>
    <sheet name="Statistical_Tab 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9" i="1" l="1"/>
  <c r="M39" i="1"/>
  <c r="L39" i="1"/>
  <c r="K39" i="1"/>
  <c r="J39" i="1"/>
  <c r="I39" i="1"/>
  <c r="H39" i="1"/>
  <c r="G39" i="1"/>
  <c r="F39" i="1"/>
  <c r="E39" i="1"/>
  <c r="D39" i="1"/>
  <c r="C39" i="1"/>
  <c r="N28" i="1"/>
  <c r="M28" i="1"/>
  <c r="L28" i="1"/>
  <c r="K28" i="1"/>
  <c r="J28" i="1"/>
  <c r="I28" i="1"/>
  <c r="H28" i="1"/>
  <c r="G28" i="1"/>
  <c r="F28" i="1"/>
  <c r="E28" i="1"/>
  <c r="D28" i="1"/>
  <c r="C28" i="1"/>
  <c r="N17" i="1"/>
  <c r="M17" i="1"/>
  <c r="L17" i="1"/>
  <c r="K17" i="1"/>
  <c r="J17" i="1"/>
  <c r="H17" i="1"/>
  <c r="G17" i="1"/>
  <c r="F17" i="1"/>
  <c r="E17" i="1"/>
  <c r="D17" i="1"/>
  <c r="C17" i="1"/>
  <c r="I17" i="1"/>
</calcChain>
</file>

<file path=xl/sharedStrings.xml><?xml version="1.0" encoding="utf-8"?>
<sst xmlns="http://schemas.openxmlformats.org/spreadsheetml/2006/main" count="72" uniqueCount="29">
  <si>
    <t>Sex and Age Group</t>
  </si>
  <si>
    <t>Estimates</t>
  </si>
  <si>
    <t>Standard Error</t>
  </si>
  <si>
    <t>Total</t>
  </si>
  <si>
    <t>H i g h e s t   G r a d e   C o m p l e t e d</t>
  </si>
  <si>
    <t>No Grade Completed</t>
  </si>
  <si>
    <t>Elementary</t>
  </si>
  <si>
    <t>Junior High school</t>
  </si>
  <si>
    <t>Senior High school</t>
  </si>
  <si>
    <t>Post secondary</t>
  </si>
  <si>
    <t>College</t>
  </si>
  <si>
    <t>Under-graduate</t>
  </si>
  <si>
    <t>Graduate</t>
  </si>
  <si>
    <t>Philippines</t>
  </si>
  <si>
    <t>Both Sexes</t>
  </si>
  <si>
    <t>Number (in thousands)</t>
  </si>
  <si>
    <t>15 - 24</t>
  </si>
  <si>
    <t>25 - 34</t>
  </si>
  <si>
    <t>35 - 44</t>
  </si>
  <si>
    <t>45 - 54</t>
  </si>
  <si>
    <t>55 - 64</t>
  </si>
  <si>
    <t>65 and over</t>
  </si>
  <si>
    <t>Male</t>
  </si>
  <si>
    <t>Female</t>
  </si>
  <si>
    <t>f - Estimates are final</t>
  </si>
  <si>
    <t xml:space="preserve"> Notes: "-" indicator equals to 0</t>
  </si>
  <si>
    <t xml:space="preserve">  Details may not add up to totals due to rounding.</t>
  </si>
  <si>
    <r>
      <t>TABLE 5  Percent Distribution of Employed Persons by Highest Grade Completed, Sex, and Age Group: November 2024</t>
    </r>
    <r>
      <rPr>
        <b/>
        <vertAlign val="superscript"/>
        <sz val="11"/>
        <rFont val="Arial"/>
        <family val="2"/>
      </rPr>
      <t>f</t>
    </r>
  </si>
  <si>
    <t xml:space="preserve"> Source:  Philippine Statistics Authority, November 2024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</si>
</sst>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#,##0,"/>
    <numFmt numFmtId="165" formatCode="_(* #,##0_);_(* \(#,##0\);_(* &quot;-&quot;_);_(@_)"/>
    <numFmt numFmtId="166" formatCode="#,##0.0_);\(#,##0.0\)"/>
    <numFmt numFmtId="167" formatCode="_-* #,##0.0_-;\-* #,##0.0_-;_-* &quot;-&quot;??_-;_-@_-"/>
    <numFmt numFmtId="168" formatCode="_(* #,##0.0_);_(* \(#,##0.0\);_(* &quot;-&quot;??_);_(@_)"/>
    <numFmt numFmtId="169" formatCode="#,##0;[Red]#,##0"/>
    <numFmt numFmtId="170" formatCode="_(* #,##0_);_(* \(#,##0\);_(* &quot;-&quot;??_);_(@_)"/>
    <numFmt numFmtId="171" formatCode="#,##0.000,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i/>
      <sz val="11"/>
      <name val="Arial"/>
      <family val="2"/>
    </font>
    <font>
      <sz val="11"/>
      <color theme="1"/>
      <name val="Arial"/>
      <family val="2"/>
    </font>
    <font>
      <i/>
      <sz val="10"/>
      <name val="Arial"/>
      <family val="2"/>
    </font>
    <font>
      <b/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2" fillId="0" borderId="0"/>
  </cellStyleXfs>
  <cellXfs count="67">
    <xf numFmtId="0" fontId="0" fillId="0" borderId="0" xfId="0"/>
    <xf numFmtId="37" fontId="5" fillId="0" borderId="0" xfId="2" applyFont="1" applyAlignment="1">
      <alignment vertical="center"/>
    </xf>
    <xf numFmtId="37" fontId="3" fillId="0" borderId="0" xfId="2" applyFont="1" applyAlignment="1">
      <alignment horizontal="center" vertical="center"/>
    </xf>
    <xf numFmtId="37" fontId="6" fillId="0" borderId="0" xfId="2" applyFont="1" applyAlignment="1">
      <alignment vertical="center"/>
    </xf>
    <xf numFmtId="37" fontId="3" fillId="0" borderId="3" xfId="2" applyFont="1" applyBorder="1" applyAlignment="1">
      <alignment horizontal="center" vertical="center"/>
    </xf>
    <xf numFmtId="37" fontId="6" fillId="0" borderId="4" xfId="2" applyFont="1" applyBorder="1" applyAlignment="1">
      <alignment vertical="center"/>
    </xf>
    <xf numFmtId="37" fontId="3" fillId="0" borderId="3" xfId="2" applyFont="1" applyBorder="1" applyAlignment="1">
      <alignment horizontal="left" vertical="center"/>
    </xf>
    <xf numFmtId="37" fontId="3" fillId="0" borderId="0" xfId="2" applyFont="1" applyAlignment="1">
      <alignment vertical="center"/>
    </xf>
    <xf numFmtId="37" fontId="3" fillId="0" borderId="4" xfId="2" applyFont="1" applyBorder="1" applyAlignment="1">
      <alignment vertical="center"/>
    </xf>
    <xf numFmtId="37" fontId="7" fillId="0" borderId="0" xfId="2" applyFont="1" applyAlignment="1">
      <alignment vertical="center"/>
    </xf>
    <xf numFmtId="37" fontId="3" fillId="0" borderId="3" xfId="2" applyFont="1" applyBorder="1" applyAlignment="1">
      <alignment vertical="center"/>
    </xf>
    <xf numFmtId="164" fontId="8" fillId="0" borderId="0" xfId="0" applyNumberFormat="1" applyFont="1"/>
    <xf numFmtId="165" fontId="3" fillId="0" borderId="3" xfId="1" applyNumberFormat="1" applyFont="1" applyBorder="1"/>
    <xf numFmtId="165" fontId="3" fillId="0" borderId="0" xfId="1" applyNumberFormat="1" applyFont="1" applyBorder="1"/>
    <xf numFmtId="165" fontId="3" fillId="0" borderId="4" xfId="1" applyNumberFormat="1" applyFont="1" applyBorder="1"/>
    <xf numFmtId="37" fontId="6" fillId="0" borderId="3" xfId="2" applyFont="1" applyBorder="1" applyAlignment="1">
      <alignment vertical="center"/>
    </xf>
    <xf numFmtId="165" fontId="3" fillId="0" borderId="0" xfId="0" applyNumberFormat="1" applyFont="1" applyAlignment="1">
      <alignment vertical="center"/>
    </xf>
    <xf numFmtId="165" fontId="3" fillId="0" borderId="3" xfId="0" applyNumberFormat="1" applyFont="1" applyBorder="1" applyAlignment="1">
      <alignment vertical="center"/>
    </xf>
    <xf numFmtId="165" fontId="3" fillId="0" borderId="4" xfId="0" applyNumberFormat="1" applyFont="1" applyBorder="1" applyAlignment="1">
      <alignment vertical="center"/>
    </xf>
    <xf numFmtId="166" fontId="3" fillId="0" borderId="3" xfId="2" applyNumberFormat="1" applyFont="1" applyBorder="1" applyAlignment="1">
      <alignment horizontal="left" vertical="center"/>
    </xf>
    <xf numFmtId="37" fontId="6" fillId="0" borderId="3" xfId="2" applyFont="1" applyBorder="1" applyAlignment="1">
      <alignment horizontal="left" vertical="center" indent="1"/>
    </xf>
    <xf numFmtId="37" fontId="3" fillId="0" borderId="3" xfId="2" applyFont="1" applyBorder="1" applyAlignment="1">
      <alignment horizontal="left" vertical="center" indent="1"/>
    </xf>
    <xf numFmtId="165" fontId="3" fillId="0" borderId="0" xfId="1" applyNumberFormat="1" applyFont="1" applyBorder="1" applyAlignment="1">
      <alignment vertical="center"/>
    </xf>
    <xf numFmtId="165" fontId="3" fillId="0" borderId="3" xfId="1" applyNumberFormat="1" applyFont="1" applyBorder="1" applyAlignment="1">
      <alignment vertical="center"/>
    </xf>
    <xf numFmtId="165" fontId="3" fillId="0" borderId="4" xfId="1" applyNumberFormat="1" applyFont="1" applyBorder="1" applyAlignment="1">
      <alignment vertical="center"/>
    </xf>
    <xf numFmtId="37" fontId="6" fillId="0" borderId="5" xfId="2" applyFont="1" applyBorder="1" applyAlignment="1">
      <alignment vertical="center"/>
    </xf>
    <xf numFmtId="168" fontId="6" fillId="0" borderId="6" xfId="2" applyNumberFormat="1" applyFont="1" applyBorder="1" applyAlignment="1">
      <alignment vertical="center"/>
    </xf>
    <xf numFmtId="168" fontId="6" fillId="0" borderId="5" xfId="2" applyNumberFormat="1" applyFont="1" applyBorder="1" applyAlignment="1">
      <alignment vertical="center"/>
    </xf>
    <xf numFmtId="168" fontId="6" fillId="0" borderId="7" xfId="2" applyNumberFormat="1" applyFont="1" applyBorder="1" applyAlignment="1">
      <alignment vertical="center"/>
    </xf>
    <xf numFmtId="37" fontId="9" fillId="0" borderId="0" xfId="2" applyFont="1" applyAlignment="1">
      <alignment vertical="center"/>
    </xf>
    <xf numFmtId="168" fontId="6" fillId="0" borderId="0" xfId="2" applyNumberFormat="1" applyFont="1" applyAlignment="1">
      <alignment vertical="center"/>
    </xf>
    <xf numFmtId="0" fontId="6" fillId="0" borderId="0" xfId="0" applyFont="1"/>
    <xf numFmtId="0" fontId="10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 applyProtection="1">
      <alignment vertical="center"/>
      <protection locked="0"/>
    </xf>
    <xf numFmtId="3" fontId="6" fillId="0" borderId="0" xfId="0" applyNumberFormat="1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37" fontId="11" fillId="0" borderId="0" xfId="2" applyFont="1" applyAlignment="1">
      <alignment vertical="center"/>
    </xf>
    <xf numFmtId="168" fontId="12" fillId="0" borderId="0" xfId="2" applyNumberFormat="1" applyFont="1" applyAlignment="1">
      <alignment vertical="center"/>
    </xf>
    <xf numFmtId="168" fontId="3" fillId="0" borderId="0" xfId="2" applyNumberFormat="1" applyFont="1" applyAlignment="1">
      <alignment vertical="center"/>
    </xf>
    <xf numFmtId="169" fontId="3" fillId="0" borderId="0" xfId="1" applyNumberFormat="1" applyFont="1"/>
    <xf numFmtId="170" fontId="3" fillId="0" borderId="0" xfId="0" applyNumberFormat="1" applyFont="1" applyAlignment="1">
      <alignment vertical="center"/>
    </xf>
    <xf numFmtId="167" fontId="10" fillId="0" borderId="0" xfId="1" applyNumberFormat="1" applyFont="1"/>
    <xf numFmtId="171" fontId="8" fillId="0" borderId="0" xfId="0" applyNumberFormat="1" applyFont="1"/>
    <xf numFmtId="171" fontId="3" fillId="0" borderId="0" xfId="2" applyNumberFormat="1" applyFont="1" applyAlignment="1">
      <alignment horizontal="center" vertical="center"/>
    </xf>
    <xf numFmtId="171" fontId="3" fillId="0" borderId="0" xfId="2" applyNumberFormat="1" applyFont="1" applyAlignment="1">
      <alignment vertical="center"/>
    </xf>
    <xf numFmtId="171" fontId="3" fillId="0" borderId="0" xfId="0" applyNumberFormat="1" applyFont="1" applyAlignment="1">
      <alignment vertical="center"/>
    </xf>
    <xf numFmtId="171" fontId="3" fillId="0" borderId="0" xfId="1" applyNumberFormat="1" applyFont="1" applyBorder="1" applyAlignment="1">
      <alignment vertical="center"/>
    </xf>
    <xf numFmtId="37" fontId="11" fillId="0" borderId="0" xfId="0" applyNumberFormat="1" applyFont="1" applyAlignment="1" applyProtection="1">
      <alignment vertical="center"/>
      <protection locked="0"/>
    </xf>
    <xf numFmtId="37" fontId="11" fillId="0" borderId="0" xfId="0" applyNumberFormat="1" applyFont="1" applyAlignment="1" applyProtection="1">
      <alignment horizontal="left" vertical="center" indent="4"/>
      <protection locked="0"/>
    </xf>
    <xf numFmtId="37" fontId="11" fillId="0" borderId="0" xfId="0" applyNumberFormat="1" applyFont="1" applyAlignment="1" applyProtection="1">
      <alignment horizontal="left" vertical="center"/>
      <protection locked="0"/>
    </xf>
    <xf numFmtId="39" fontId="5" fillId="0" borderId="0" xfId="2" applyNumberFormat="1" applyFont="1" applyAlignment="1">
      <alignment vertical="center"/>
    </xf>
    <xf numFmtId="167" fontId="6" fillId="0" borderId="3" xfId="1" applyNumberFormat="1" applyFont="1" applyBorder="1" applyAlignment="1">
      <alignment vertical="center"/>
    </xf>
    <xf numFmtId="167" fontId="6" fillId="0" borderId="0" xfId="1" applyNumberFormat="1" applyFont="1" applyBorder="1" applyAlignment="1">
      <alignment vertical="center"/>
    </xf>
    <xf numFmtId="167" fontId="6" fillId="0" borderId="4" xfId="1" applyNumberFormat="1" applyFont="1" applyBorder="1" applyAlignment="1">
      <alignment vertical="center"/>
    </xf>
    <xf numFmtId="167" fontId="6" fillId="0" borderId="0" xfId="0" quotePrefix="1" applyNumberFormat="1" applyFont="1" applyAlignment="1">
      <alignment horizontal="right" vertical="center"/>
    </xf>
    <xf numFmtId="167" fontId="8" fillId="0" borderId="0" xfId="1" applyNumberFormat="1" applyFont="1"/>
    <xf numFmtId="37" fontId="3" fillId="0" borderId="1" xfId="2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7" fontId="3" fillId="0" borderId="1" xfId="2" applyFont="1" applyBorder="1" applyAlignment="1">
      <alignment horizontal="center" vertical="center"/>
    </xf>
    <xf numFmtId="37" fontId="3" fillId="0" borderId="2" xfId="2" applyFont="1" applyBorder="1" applyAlignment="1">
      <alignment horizontal="center" vertical="center"/>
    </xf>
    <xf numFmtId="37" fontId="3" fillId="0" borderId="2" xfId="2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7" fontId="3" fillId="0" borderId="0" xfId="2" applyFont="1" applyAlignment="1">
      <alignment horizontal="center" vertical="center" wrapText="1"/>
    </xf>
    <xf numFmtId="37" fontId="3" fillId="0" borderId="8" xfId="2" applyFont="1" applyBorder="1" applyAlignment="1">
      <alignment horizontal="center" vertical="center" wrapText="1"/>
    </xf>
    <xf numFmtId="37" fontId="3" fillId="0" borderId="9" xfId="2" applyFont="1" applyBorder="1" applyAlignment="1">
      <alignment horizontal="center" vertical="center" wrapText="1"/>
    </xf>
    <xf numFmtId="37" fontId="3" fillId="0" borderId="10" xfId="2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Jan06_tables" xfId="2" xr:uid="{85ED27F3-0FE5-4E61-A205-C8AD1F4B79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A564-AAA4-4655-9199-4730E6A380AF}">
  <dimension ref="B3:AX54"/>
  <sheetViews>
    <sheetView showGridLines="0" tabSelected="1" topLeftCell="B1" zoomScale="90" zoomScaleNormal="90" workbookViewId="0">
      <selection activeCell="L30" sqref="L30"/>
    </sheetView>
  </sheetViews>
  <sheetFormatPr defaultColWidth="10.140625" defaultRowHeight="12.75" x14ac:dyDescent="0.25"/>
  <cols>
    <col min="1" max="1" width="3.42578125" style="1" customWidth="1"/>
    <col min="2" max="2" width="28" style="1" customWidth="1"/>
    <col min="3" max="14" width="16.42578125" style="1" customWidth="1"/>
    <col min="15" max="15" width="12.7109375" style="1" customWidth="1"/>
    <col min="16" max="16" width="13.85546875" style="1" customWidth="1"/>
    <col min="17" max="26" width="12.28515625" style="1" customWidth="1"/>
    <col min="27" max="256" width="10.140625" style="1"/>
    <col min="257" max="257" width="3.42578125" style="1" customWidth="1"/>
    <col min="258" max="258" width="12.140625" style="1" customWidth="1"/>
    <col min="259" max="259" width="12.7109375" style="1" customWidth="1"/>
    <col min="260" max="260" width="13.85546875" style="1" customWidth="1"/>
    <col min="261" max="270" width="11.85546875" style="1" customWidth="1"/>
    <col min="271" max="271" width="12.7109375" style="1" customWidth="1"/>
    <col min="272" max="272" width="13.85546875" style="1" customWidth="1"/>
    <col min="273" max="282" width="12.28515625" style="1" customWidth="1"/>
    <col min="283" max="512" width="10.140625" style="1"/>
    <col min="513" max="513" width="3.42578125" style="1" customWidth="1"/>
    <col min="514" max="514" width="12.140625" style="1" customWidth="1"/>
    <col min="515" max="515" width="12.7109375" style="1" customWidth="1"/>
    <col min="516" max="516" width="13.85546875" style="1" customWidth="1"/>
    <col min="517" max="526" width="11.85546875" style="1" customWidth="1"/>
    <col min="527" max="527" width="12.7109375" style="1" customWidth="1"/>
    <col min="528" max="528" width="13.85546875" style="1" customWidth="1"/>
    <col min="529" max="538" width="12.28515625" style="1" customWidth="1"/>
    <col min="539" max="768" width="10.140625" style="1"/>
    <col min="769" max="769" width="3.42578125" style="1" customWidth="1"/>
    <col min="770" max="770" width="12.140625" style="1" customWidth="1"/>
    <col min="771" max="771" width="12.7109375" style="1" customWidth="1"/>
    <col min="772" max="772" width="13.85546875" style="1" customWidth="1"/>
    <col min="773" max="782" width="11.85546875" style="1" customWidth="1"/>
    <col min="783" max="783" width="12.7109375" style="1" customWidth="1"/>
    <col min="784" max="784" width="13.85546875" style="1" customWidth="1"/>
    <col min="785" max="794" width="12.28515625" style="1" customWidth="1"/>
    <col min="795" max="1024" width="10.140625" style="1"/>
    <col min="1025" max="1025" width="3.42578125" style="1" customWidth="1"/>
    <col min="1026" max="1026" width="12.140625" style="1" customWidth="1"/>
    <col min="1027" max="1027" width="12.7109375" style="1" customWidth="1"/>
    <col min="1028" max="1028" width="13.85546875" style="1" customWidth="1"/>
    <col min="1029" max="1038" width="11.85546875" style="1" customWidth="1"/>
    <col min="1039" max="1039" width="12.7109375" style="1" customWidth="1"/>
    <col min="1040" max="1040" width="13.85546875" style="1" customWidth="1"/>
    <col min="1041" max="1050" width="12.28515625" style="1" customWidth="1"/>
    <col min="1051" max="1280" width="10.140625" style="1"/>
    <col min="1281" max="1281" width="3.42578125" style="1" customWidth="1"/>
    <col min="1282" max="1282" width="12.140625" style="1" customWidth="1"/>
    <col min="1283" max="1283" width="12.7109375" style="1" customWidth="1"/>
    <col min="1284" max="1284" width="13.85546875" style="1" customWidth="1"/>
    <col min="1285" max="1294" width="11.85546875" style="1" customWidth="1"/>
    <col min="1295" max="1295" width="12.7109375" style="1" customWidth="1"/>
    <col min="1296" max="1296" width="13.85546875" style="1" customWidth="1"/>
    <col min="1297" max="1306" width="12.28515625" style="1" customWidth="1"/>
    <col min="1307" max="1536" width="10.140625" style="1"/>
    <col min="1537" max="1537" width="3.42578125" style="1" customWidth="1"/>
    <col min="1538" max="1538" width="12.140625" style="1" customWidth="1"/>
    <col min="1539" max="1539" width="12.7109375" style="1" customWidth="1"/>
    <col min="1540" max="1540" width="13.85546875" style="1" customWidth="1"/>
    <col min="1541" max="1550" width="11.85546875" style="1" customWidth="1"/>
    <col min="1551" max="1551" width="12.7109375" style="1" customWidth="1"/>
    <col min="1552" max="1552" width="13.85546875" style="1" customWidth="1"/>
    <col min="1553" max="1562" width="12.28515625" style="1" customWidth="1"/>
    <col min="1563" max="1792" width="10.140625" style="1"/>
    <col min="1793" max="1793" width="3.42578125" style="1" customWidth="1"/>
    <col min="1794" max="1794" width="12.140625" style="1" customWidth="1"/>
    <col min="1795" max="1795" width="12.7109375" style="1" customWidth="1"/>
    <col min="1796" max="1796" width="13.85546875" style="1" customWidth="1"/>
    <col min="1797" max="1806" width="11.85546875" style="1" customWidth="1"/>
    <col min="1807" max="1807" width="12.7109375" style="1" customWidth="1"/>
    <col min="1808" max="1808" width="13.85546875" style="1" customWidth="1"/>
    <col min="1809" max="1818" width="12.28515625" style="1" customWidth="1"/>
    <col min="1819" max="2048" width="10.140625" style="1"/>
    <col min="2049" max="2049" width="3.42578125" style="1" customWidth="1"/>
    <col min="2050" max="2050" width="12.140625" style="1" customWidth="1"/>
    <col min="2051" max="2051" width="12.7109375" style="1" customWidth="1"/>
    <col min="2052" max="2052" width="13.85546875" style="1" customWidth="1"/>
    <col min="2053" max="2062" width="11.85546875" style="1" customWidth="1"/>
    <col min="2063" max="2063" width="12.7109375" style="1" customWidth="1"/>
    <col min="2064" max="2064" width="13.85546875" style="1" customWidth="1"/>
    <col min="2065" max="2074" width="12.28515625" style="1" customWidth="1"/>
    <col min="2075" max="2304" width="10.140625" style="1"/>
    <col min="2305" max="2305" width="3.42578125" style="1" customWidth="1"/>
    <col min="2306" max="2306" width="12.140625" style="1" customWidth="1"/>
    <col min="2307" max="2307" width="12.7109375" style="1" customWidth="1"/>
    <col min="2308" max="2308" width="13.85546875" style="1" customWidth="1"/>
    <col min="2309" max="2318" width="11.85546875" style="1" customWidth="1"/>
    <col min="2319" max="2319" width="12.7109375" style="1" customWidth="1"/>
    <col min="2320" max="2320" width="13.85546875" style="1" customWidth="1"/>
    <col min="2321" max="2330" width="12.28515625" style="1" customWidth="1"/>
    <col min="2331" max="2560" width="10.140625" style="1"/>
    <col min="2561" max="2561" width="3.42578125" style="1" customWidth="1"/>
    <col min="2562" max="2562" width="12.140625" style="1" customWidth="1"/>
    <col min="2563" max="2563" width="12.7109375" style="1" customWidth="1"/>
    <col min="2564" max="2564" width="13.85546875" style="1" customWidth="1"/>
    <col min="2565" max="2574" width="11.85546875" style="1" customWidth="1"/>
    <col min="2575" max="2575" width="12.7109375" style="1" customWidth="1"/>
    <col min="2576" max="2576" width="13.85546875" style="1" customWidth="1"/>
    <col min="2577" max="2586" width="12.28515625" style="1" customWidth="1"/>
    <col min="2587" max="2816" width="10.140625" style="1"/>
    <col min="2817" max="2817" width="3.42578125" style="1" customWidth="1"/>
    <col min="2818" max="2818" width="12.140625" style="1" customWidth="1"/>
    <col min="2819" max="2819" width="12.7109375" style="1" customWidth="1"/>
    <col min="2820" max="2820" width="13.85546875" style="1" customWidth="1"/>
    <col min="2821" max="2830" width="11.85546875" style="1" customWidth="1"/>
    <col min="2831" max="2831" width="12.7109375" style="1" customWidth="1"/>
    <col min="2832" max="2832" width="13.85546875" style="1" customWidth="1"/>
    <col min="2833" max="2842" width="12.28515625" style="1" customWidth="1"/>
    <col min="2843" max="3072" width="10.140625" style="1"/>
    <col min="3073" max="3073" width="3.42578125" style="1" customWidth="1"/>
    <col min="3074" max="3074" width="12.140625" style="1" customWidth="1"/>
    <col min="3075" max="3075" width="12.7109375" style="1" customWidth="1"/>
    <col min="3076" max="3076" width="13.85546875" style="1" customWidth="1"/>
    <col min="3077" max="3086" width="11.85546875" style="1" customWidth="1"/>
    <col min="3087" max="3087" width="12.7109375" style="1" customWidth="1"/>
    <col min="3088" max="3088" width="13.85546875" style="1" customWidth="1"/>
    <col min="3089" max="3098" width="12.28515625" style="1" customWidth="1"/>
    <col min="3099" max="3328" width="10.140625" style="1"/>
    <col min="3329" max="3329" width="3.42578125" style="1" customWidth="1"/>
    <col min="3330" max="3330" width="12.140625" style="1" customWidth="1"/>
    <col min="3331" max="3331" width="12.7109375" style="1" customWidth="1"/>
    <col min="3332" max="3332" width="13.85546875" style="1" customWidth="1"/>
    <col min="3333" max="3342" width="11.85546875" style="1" customWidth="1"/>
    <col min="3343" max="3343" width="12.7109375" style="1" customWidth="1"/>
    <col min="3344" max="3344" width="13.85546875" style="1" customWidth="1"/>
    <col min="3345" max="3354" width="12.28515625" style="1" customWidth="1"/>
    <col min="3355" max="3584" width="10.140625" style="1"/>
    <col min="3585" max="3585" width="3.42578125" style="1" customWidth="1"/>
    <col min="3586" max="3586" width="12.140625" style="1" customWidth="1"/>
    <col min="3587" max="3587" width="12.7109375" style="1" customWidth="1"/>
    <col min="3588" max="3588" width="13.85546875" style="1" customWidth="1"/>
    <col min="3589" max="3598" width="11.85546875" style="1" customWidth="1"/>
    <col min="3599" max="3599" width="12.7109375" style="1" customWidth="1"/>
    <col min="3600" max="3600" width="13.85546875" style="1" customWidth="1"/>
    <col min="3601" max="3610" width="12.28515625" style="1" customWidth="1"/>
    <col min="3611" max="3840" width="10.140625" style="1"/>
    <col min="3841" max="3841" width="3.42578125" style="1" customWidth="1"/>
    <col min="3842" max="3842" width="12.140625" style="1" customWidth="1"/>
    <col min="3843" max="3843" width="12.7109375" style="1" customWidth="1"/>
    <col min="3844" max="3844" width="13.85546875" style="1" customWidth="1"/>
    <col min="3845" max="3854" width="11.85546875" style="1" customWidth="1"/>
    <col min="3855" max="3855" width="12.7109375" style="1" customWidth="1"/>
    <col min="3856" max="3856" width="13.85546875" style="1" customWidth="1"/>
    <col min="3857" max="3866" width="12.28515625" style="1" customWidth="1"/>
    <col min="3867" max="4096" width="10.140625" style="1"/>
    <col min="4097" max="4097" width="3.42578125" style="1" customWidth="1"/>
    <col min="4098" max="4098" width="12.140625" style="1" customWidth="1"/>
    <col min="4099" max="4099" width="12.7109375" style="1" customWidth="1"/>
    <col min="4100" max="4100" width="13.85546875" style="1" customWidth="1"/>
    <col min="4101" max="4110" width="11.85546875" style="1" customWidth="1"/>
    <col min="4111" max="4111" width="12.7109375" style="1" customWidth="1"/>
    <col min="4112" max="4112" width="13.85546875" style="1" customWidth="1"/>
    <col min="4113" max="4122" width="12.28515625" style="1" customWidth="1"/>
    <col min="4123" max="4352" width="10.140625" style="1"/>
    <col min="4353" max="4353" width="3.42578125" style="1" customWidth="1"/>
    <col min="4354" max="4354" width="12.140625" style="1" customWidth="1"/>
    <col min="4355" max="4355" width="12.7109375" style="1" customWidth="1"/>
    <col min="4356" max="4356" width="13.85546875" style="1" customWidth="1"/>
    <col min="4357" max="4366" width="11.85546875" style="1" customWidth="1"/>
    <col min="4367" max="4367" width="12.7109375" style="1" customWidth="1"/>
    <col min="4368" max="4368" width="13.85546875" style="1" customWidth="1"/>
    <col min="4369" max="4378" width="12.28515625" style="1" customWidth="1"/>
    <col min="4379" max="4608" width="10.140625" style="1"/>
    <col min="4609" max="4609" width="3.42578125" style="1" customWidth="1"/>
    <col min="4610" max="4610" width="12.140625" style="1" customWidth="1"/>
    <col min="4611" max="4611" width="12.7109375" style="1" customWidth="1"/>
    <col min="4612" max="4612" width="13.85546875" style="1" customWidth="1"/>
    <col min="4613" max="4622" width="11.85546875" style="1" customWidth="1"/>
    <col min="4623" max="4623" width="12.7109375" style="1" customWidth="1"/>
    <col min="4624" max="4624" width="13.85546875" style="1" customWidth="1"/>
    <col min="4625" max="4634" width="12.28515625" style="1" customWidth="1"/>
    <col min="4635" max="4864" width="10.140625" style="1"/>
    <col min="4865" max="4865" width="3.42578125" style="1" customWidth="1"/>
    <col min="4866" max="4866" width="12.140625" style="1" customWidth="1"/>
    <col min="4867" max="4867" width="12.7109375" style="1" customWidth="1"/>
    <col min="4868" max="4868" width="13.85546875" style="1" customWidth="1"/>
    <col min="4869" max="4878" width="11.85546875" style="1" customWidth="1"/>
    <col min="4879" max="4879" width="12.7109375" style="1" customWidth="1"/>
    <col min="4880" max="4880" width="13.85546875" style="1" customWidth="1"/>
    <col min="4881" max="4890" width="12.28515625" style="1" customWidth="1"/>
    <col min="4891" max="5120" width="10.140625" style="1"/>
    <col min="5121" max="5121" width="3.42578125" style="1" customWidth="1"/>
    <col min="5122" max="5122" width="12.140625" style="1" customWidth="1"/>
    <col min="5123" max="5123" width="12.7109375" style="1" customWidth="1"/>
    <col min="5124" max="5124" width="13.85546875" style="1" customWidth="1"/>
    <col min="5125" max="5134" width="11.85546875" style="1" customWidth="1"/>
    <col min="5135" max="5135" width="12.7109375" style="1" customWidth="1"/>
    <col min="5136" max="5136" width="13.85546875" style="1" customWidth="1"/>
    <col min="5137" max="5146" width="12.28515625" style="1" customWidth="1"/>
    <col min="5147" max="5376" width="10.140625" style="1"/>
    <col min="5377" max="5377" width="3.42578125" style="1" customWidth="1"/>
    <col min="5378" max="5378" width="12.140625" style="1" customWidth="1"/>
    <col min="5379" max="5379" width="12.7109375" style="1" customWidth="1"/>
    <col min="5380" max="5380" width="13.85546875" style="1" customWidth="1"/>
    <col min="5381" max="5390" width="11.85546875" style="1" customWidth="1"/>
    <col min="5391" max="5391" width="12.7109375" style="1" customWidth="1"/>
    <col min="5392" max="5392" width="13.85546875" style="1" customWidth="1"/>
    <col min="5393" max="5402" width="12.28515625" style="1" customWidth="1"/>
    <col min="5403" max="5632" width="10.140625" style="1"/>
    <col min="5633" max="5633" width="3.42578125" style="1" customWidth="1"/>
    <col min="5634" max="5634" width="12.140625" style="1" customWidth="1"/>
    <col min="5635" max="5635" width="12.7109375" style="1" customWidth="1"/>
    <col min="5636" max="5636" width="13.85546875" style="1" customWidth="1"/>
    <col min="5637" max="5646" width="11.85546875" style="1" customWidth="1"/>
    <col min="5647" max="5647" width="12.7109375" style="1" customWidth="1"/>
    <col min="5648" max="5648" width="13.85546875" style="1" customWidth="1"/>
    <col min="5649" max="5658" width="12.28515625" style="1" customWidth="1"/>
    <col min="5659" max="5888" width="10.140625" style="1"/>
    <col min="5889" max="5889" width="3.42578125" style="1" customWidth="1"/>
    <col min="5890" max="5890" width="12.140625" style="1" customWidth="1"/>
    <col min="5891" max="5891" width="12.7109375" style="1" customWidth="1"/>
    <col min="5892" max="5892" width="13.85546875" style="1" customWidth="1"/>
    <col min="5893" max="5902" width="11.85546875" style="1" customWidth="1"/>
    <col min="5903" max="5903" width="12.7109375" style="1" customWidth="1"/>
    <col min="5904" max="5904" width="13.85546875" style="1" customWidth="1"/>
    <col min="5905" max="5914" width="12.28515625" style="1" customWidth="1"/>
    <col min="5915" max="6144" width="10.140625" style="1"/>
    <col min="6145" max="6145" width="3.42578125" style="1" customWidth="1"/>
    <col min="6146" max="6146" width="12.140625" style="1" customWidth="1"/>
    <col min="6147" max="6147" width="12.7109375" style="1" customWidth="1"/>
    <col min="6148" max="6148" width="13.85546875" style="1" customWidth="1"/>
    <col min="6149" max="6158" width="11.85546875" style="1" customWidth="1"/>
    <col min="6159" max="6159" width="12.7109375" style="1" customWidth="1"/>
    <col min="6160" max="6160" width="13.85546875" style="1" customWidth="1"/>
    <col min="6161" max="6170" width="12.28515625" style="1" customWidth="1"/>
    <col min="6171" max="6400" width="10.140625" style="1"/>
    <col min="6401" max="6401" width="3.42578125" style="1" customWidth="1"/>
    <col min="6402" max="6402" width="12.140625" style="1" customWidth="1"/>
    <col min="6403" max="6403" width="12.7109375" style="1" customWidth="1"/>
    <col min="6404" max="6404" width="13.85546875" style="1" customWidth="1"/>
    <col min="6405" max="6414" width="11.85546875" style="1" customWidth="1"/>
    <col min="6415" max="6415" width="12.7109375" style="1" customWidth="1"/>
    <col min="6416" max="6416" width="13.85546875" style="1" customWidth="1"/>
    <col min="6417" max="6426" width="12.28515625" style="1" customWidth="1"/>
    <col min="6427" max="6656" width="10.140625" style="1"/>
    <col min="6657" max="6657" width="3.42578125" style="1" customWidth="1"/>
    <col min="6658" max="6658" width="12.140625" style="1" customWidth="1"/>
    <col min="6659" max="6659" width="12.7109375" style="1" customWidth="1"/>
    <col min="6660" max="6660" width="13.85546875" style="1" customWidth="1"/>
    <col min="6661" max="6670" width="11.85546875" style="1" customWidth="1"/>
    <col min="6671" max="6671" width="12.7109375" style="1" customWidth="1"/>
    <col min="6672" max="6672" width="13.85546875" style="1" customWidth="1"/>
    <col min="6673" max="6682" width="12.28515625" style="1" customWidth="1"/>
    <col min="6683" max="6912" width="10.140625" style="1"/>
    <col min="6913" max="6913" width="3.42578125" style="1" customWidth="1"/>
    <col min="6914" max="6914" width="12.140625" style="1" customWidth="1"/>
    <col min="6915" max="6915" width="12.7109375" style="1" customWidth="1"/>
    <col min="6916" max="6916" width="13.85546875" style="1" customWidth="1"/>
    <col min="6917" max="6926" width="11.85546875" style="1" customWidth="1"/>
    <col min="6927" max="6927" width="12.7109375" style="1" customWidth="1"/>
    <col min="6928" max="6928" width="13.85546875" style="1" customWidth="1"/>
    <col min="6929" max="6938" width="12.28515625" style="1" customWidth="1"/>
    <col min="6939" max="7168" width="10.140625" style="1"/>
    <col min="7169" max="7169" width="3.42578125" style="1" customWidth="1"/>
    <col min="7170" max="7170" width="12.140625" style="1" customWidth="1"/>
    <col min="7171" max="7171" width="12.7109375" style="1" customWidth="1"/>
    <col min="7172" max="7172" width="13.85546875" style="1" customWidth="1"/>
    <col min="7173" max="7182" width="11.85546875" style="1" customWidth="1"/>
    <col min="7183" max="7183" width="12.7109375" style="1" customWidth="1"/>
    <col min="7184" max="7184" width="13.85546875" style="1" customWidth="1"/>
    <col min="7185" max="7194" width="12.28515625" style="1" customWidth="1"/>
    <col min="7195" max="7424" width="10.140625" style="1"/>
    <col min="7425" max="7425" width="3.42578125" style="1" customWidth="1"/>
    <col min="7426" max="7426" width="12.140625" style="1" customWidth="1"/>
    <col min="7427" max="7427" width="12.7109375" style="1" customWidth="1"/>
    <col min="7428" max="7428" width="13.85546875" style="1" customWidth="1"/>
    <col min="7429" max="7438" width="11.85546875" style="1" customWidth="1"/>
    <col min="7439" max="7439" width="12.7109375" style="1" customWidth="1"/>
    <col min="7440" max="7440" width="13.85546875" style="1" customWidth="1"/>
    <col min="7441" max="7450" width="12.28515625" style="1" customWidth="1"/>
    <col min="7451" max="7680" width="10.140625" style="1"/>
    <col min="7681" max="7681" width="3.42578125" style="1" customWidth="1"/>
    <col min="7682" max="7682" width="12.140625" style="1" customWidth="1"/>
    <col min="7683" max="7683" width="12.7109375" style="1" customWidth="1"/>
    <col min="7684" max="7684" width="13.85546875" style="1" customWidth="1"/>
    <col min="7685" max="7694" width="11.85546875" style="1" customWidth="1"/>
    <col min="7695" max="7695" width="12.7109375" style="1" customWidth="1"/>
    <col min="7696" max="7696" width="13.85546875" style="1" customWidth="1"/>
    <col min="7697" max="7706" width="12.28515625" style="1" customWidth="1"/>
    <col min="7707" max="7936" width="10.140625" style="1"/>
    <col min="7937" max="7937" width="3.42578125" style="1" customWidth="1"/>
    <col min="7938" max="7938" width="12.140625" style="1" customWidth="1"/>
    <col min="7939" max="7939" width="12.7109375" style="1" customWidth="1"/>
    <col min="7940" max="7940" width="13.85546875" style="1" customWidth="1"/>
    <col min="7941" max="7950" width="11.85546875" style="1" customWidth="1"/>
    <col min="7951" max="7951" width="12.7109375" style="1" customWidth="1"/>
    <col min="7952" max="7952" width="13.85546875" style="1" customWidth="1"/>
    <col min="7953" max="7962" width="12.28515625" style="1" customWidth="1"/>
    <col min="7963" max="8192" width="10.140625" style="1"/>
    <col min="8193" max="8193" width="3.42578125" style="1" customWidth="1"/>
    <col min="8194" max="8194" width="12.140625" style="1" customWidth="1"/>
    <col min="8195" max="8195" width="12.7109375" style="1" customWidth="1"/>
    <col min="8196" max="8196" width="13.85546875" style="1" customWidth="1"/>
    <col min="8197" max="8206" width="11.85546875" style="1" customWidth="1"/>
    <col min="8207" max="8207" width="12.7109375" style="1" customWidth="1"/>
    <col min="8208" max="8208" width="13.85546875" style="1" customWidth="1"/>
    <col min="8209" max="8218" width="12.28515625" style="1" customWidth="1"/>
    <col min="8219" max="8448" width="10.140625" style="1"/>
    <col min="8449" max="8449" width="3.42578125" style="1" customWidth="1"/>
    <col min="8450" max="8450" width="12.140625" style="1" customWidth="1"/>
    <col min="8451" max="8451" width="12.7109375" style="1" customWidth="1"/>
    <col min="8452" max="8452" width="13.85546875" style="1" customWidth="1"/>
    <col min="8453" max="8462" width="11.85546875" style="1" customWidth="1"/>
    <col min="8463" max="8463" width="12.7109375" style="1" customWidth="1"/>
    <col min="8464" max="8464" width="13.85546875" style="1" customWidth="1"/>
    <col min="8465" max="8474" width="12.28515625" style="1" customWidth="1"/>
    <col min="8475" max="8704" width="10.140625" style="1"/>
    <col min="8705" max="8705" width="3.42578125" style="1" customWidth="1"/>
    <col min="8706" max="8706" width="12.140625" style="1" customWidth="1"/>
    <col min="8707" max="8707" width="12.7109375" style="1" customWidth="1"/>
    <col min="8708" max="8708" width="13.85546875" style="1" customWidth="1"/>
    <col min="8709" max="8718" width="11.85546875" style="1" customWidth="1"/>
    <col min="8719" max="8719" width="12.7109375" style="1" customWidth="1"/>
    <col min="8720" max="8720" width="13.85546875" style="1" customWidth="1"/>
    <col min="8721" max="8730" width="12.28515625" style="1" customWidth="1"/>
    <col min="8731" max="8960" width="10.140625" style="1"/>
    <col min="8961" max="8961" width="3.42578125" style="1" customWidth="1"/>
    <col min="8962" max="8962" width="12.140625" style="1" customWidth="1"/>
    <col min="8963" max="8963" width="12.7109375" style="1" customWidth="1"/>
    <col min="8964" max="8964" width="13.85546875" style="1" customWidth="1"/>
    <col min="8965" max="8974" width="11.85546875" style="1" customWidth="1"/>
    <col min="8975" max="8975" width="12.7109375" style="1" customWidth="1"/>
    <col min="8976" max="8976" width="13.85546875" style="1" customWidth="1"/>
    <col min="8977" max="8986" width="12.28515625" style="1" customWidth="1"/>
    <col min="8987" max="9216" width="10.140625" style="1"/>
    <col min="9217" max="9217" width="3.42578125" style="1" customWidth="1"/>
    <col min="9218" max="9218" width="12.140625" style="1" customWidth="1"/>
    <col min="9219" max="9219" width="12.7109375" style="1" customWidth="1"/>
    <col min="9220" max="9220" width="13.85546875" style="1" customWidth="1"/>
    <col min="9221" max="9230" width="11.85546875" style="1" customWidth="1"/>
    <col min="9231" max="9231" width="12.7109375" style="1" customWidth="1"/>
    <col min="9232" max="9232" width="13.85546875" style="1" customWidth="1"/>
    <col min="9233" max="9242" width="12.28515625" style="1" customWidth="1"/>
    <col min="9243" max="9472" width="10.140625" style="1"/>
    <col min="9473" max="9473" width="3.42578125" style="1" customWidth="1"/>
    <col min="9474" max="9474" width="12.140625" style="1" customWidth="1"/>
    <col min="9475" max="9475" width="12.7109375" style="1" customWidth="1"/>
    <col min="9476" max="9476" width="13.85546875" style="1" customWidth="1"/>
    <col min="9477" max="9486" width="11.85546875" style="1" customWidth="1"/>
    <col min="9487" max="9487" width="12.7109375" style="1" customWidth="1"/>
    <col min="9488" max="9488" width="13.85546875" style="1" customWidth="1"/>
    <col min="9489" max="9498" width="12.28515625" style="1" customWidth="1"/>
    <col min="9499" max="9728" width="10.140625" style="1"/>
    <col min="9729" max="9729" width="3.42578125" style="1" customWidth="1"/>
    <col min="9730" max="9730" width="12.140625" style="1" customWidth="1"/>
    <col min="9731" max="9731" width="12.7109375" style="1" customWidth="1"/>
    <col min="9732" max="9732" width="13.85546875" style="1" customWidth="1"/>
    <col min="9733" max="9742" width="11.85546875" style="1" customWidth="1"/>
    <col min="9743" max="9743" width="12.7109375" style="1" customWidth="1"/>
    <col min="9744" max="9744" width="13.85546875" style="1" customWidth="1"/>
    <col min="9745" max="9754" width="12.28515625" style="1" customWidth="1"/>
    <col min="9755" max="9984" width="10.140625" style="1"/>
    <col min="9985" max="9985" width="3.42578125" style="1" customWidth="1"/>
    <col min="9986" max="9986" width="12.140625" style="1" customWidth="1"/>
    <col min="9987" max="9987" width="12.7109375" style="1" customWidth="1"/>
    <col min="9988" max="9988" width="13.85546875" style="1" customWidth="1"/>
    <col min="9989" max="9998" width="11.85546875" style="1" customWidth="1"/>
    <col min="9999" max="9999" width="12.7109375" style="1" customWidth="1"/>
    <col min="10000" max="10000" width="13.85546875" style="1" customWidth="1"/>
    <col min="10001" max="10010" width="12.28515625" style="1" customWidth="1"/>
    <col min="10011" max="10240" width="10.140625" style="1"/>
    <col min="10241" max="10241" width="3.42578125" style="1" customWidth="1"/>
    <col min="10242" max="10242" width="12.140625" style="1" customWidth="1"/>
    <col min="10243" max="10243" width="12.7109375" style="1" customWidth="1"/>
    <col min="10244" max="10244" width="13.85546875" style="1" customWidth="1"/>
    <col min="10245" max="10254" width="11.85546875" style="1" customWidth="1"/>
    <col min="10255" max="10255" width="12.7109375" style="1" customWidth="1"/>
    <col min="10256" max="10256" width="13.85546875" style="1" customWidth="1"/>
    <col min="10257" max="10266" width="12.28515625" style="1" customWidth="1"/>
    <col min="10267" max="10496" width="10.140625" style="1"/>
    <col min="10497" max="10497" width="3.42578125" style="1" customWidth="1"/>
    <col min="10498" max="10498" width="12.140625" style="1" customWidth="1"/>
    <col min="10499" max="10499" width="12.7109375" style="1" customWidth="1"/>
    <col min="10500" max="10500" width="13.85546875" style="1" customWidth="1"/>
    <col min="10501" max="10510" width="11.85546875" style="1" customWidth="1"/>
    <col min="10511" max="10511" width="12.7109375" style="1" customWidth="1"/>
    <col min="10512" max="10512" width="13.85546875" style="1" customWidth="1"/>
    <col min="10513" max="10522" width="12.28515625" style="1" customWidth="1"/>
    <col min="10523" max="10752" width="10.140625" style="1"/>
    <col min="10753" max="10753" width="3.42578125" style="1" customWidth="1"/>
    <col min="10754" max="10754" width="12.140625" style="1" customWidth="1"/>
    <col min="10755" max="10755" width="12.7109375" style="1" customWidth="1"/>
    <col min="10756" max="10756" width="13.85546875" style="1" customWidth="1"/>
    <col min="10757" max="10766" width="11.85546875" style="1" customWidth="1"/>
    <col min="10767" max="10767" width="12.7109375" style="1" customWidth="1"/>
    <col min="10768" max="10768" width="13.85546875" style="1" customWidth="1"/>
    <col min="10769" max="10778" width="12.28515625" style="1" customWidth="1"/>
    <col min="10779" max="11008" width="10.140625" style="1"/>
    <col min="11009" max="11009" width="3.42578125" style="1" customWidth="1"/>
    <col min="11010" max="11010" width="12.140625" style="1" customWidth="1"/>
    <col min="11011" max="11011" width="12.7109375" style="1" customWidth="1"/>
    <col min="11012" max="11012" width="13.85546875" style="1" customWidth="1"/>
    <col min="11013" max="11022" width="11.85546875" style="1" customWidth="1"/>
    <col min="11023" max="11023" width="12.7109375" style="1" customWidth="1"/>
    <col min="11024" max="11024" width="13.85546875" style="1" customWidth="1"/>
    <col min="11025" max="11034" width="12.28515625" style="1" customWidth="1"/>
    <col min="11035" max="11264" width="10.140625" style="1"/>
    <col min="11265" max="11265" width="3.42578125" style="1" customWidth="1"/>
    <col min="11266" max="11266" width="12.140625" style="1" customWidth="1"/>
    <col min="11267" max="11267" width="12.7109375" style="1" customWidth="1"/>
    <col min="11268" max="11268" width="13.85546875" style="1" customWidth="1"/>
    <col min="11269" max="11278" width="11.85546875" style="1" customWidth="1"/>
    <col min="11279" max="11279" width="12.7109375" style="1" customWidth="1"/>
    <col min="11280" max="11280" width="13.85546875" style="1" customWidth="1"/>
    <col min="11281" max="11290" width="12.28515625" style="1" customWidth="1"/>
    <col min="11291" max="11520" width="10.140625" style="1"/>
    <col min="11521" max="11521" width="3.42578125" style="1" customWidth="1"/>
    <col min="11522" max="11522" width="12.140625" style="1" customWidth="1"/>
    <col min="11523" max="11523" width="12.7109375" style="1" customWidth="1"/>
    <col min="11524" max="11524" width="13.85546875" style="1" customWidth="1"/>
    <col min="11525" max="11534" width="11.85546875" style="1" customWidth="1"/>
    <col min="11535" max="11535" width="12.7109375" style="1" customWidth="1"/>
    <col min="11536" max="11536" width="13.85546875" style="1" customWidth="1"/>
    <col min="11537" max="11546" width="12.28515625" style="1" customWidth="1"/>
    <col min="11547" max="11776" width="10.140625" style="1"/>
    <col min="11777" max="11777" width="3.42578125" style="1" customWidth="1"/>
    <col min="11778" max="11778" width="12.140625" style="1" customWidth="1"/>
    <col min="11779" max="11779" width="12.7109375" style="1" customWidth="1"/>
    <col min="11780" max="11780" width="13.85546875" style="1" customWidth="1"/>
    <col min="11781" max="11790" width="11.85546875" style="1" customWidth="1"/>
    <col min="11791" max="11791" width="12.7109375" style="1" customWidth="1"/>
    <col min="11792" max="11792" width="13.85546875" style="1" customWidth="1"/>
    <col min="11793" max="11802" width="12.28515625" style="1" customWidth="1"/>
    <col min="11803" max="12032" width="10.140625" style="1"/>
    <col min="12033" max="12033" width="3.42578125" style="1" customWidth="1"/>
    <col min="12034" max="12034" width="12.140625" style="1" customWidth="1"/>
    <col min="12035" max="12035" width="12.7109375" style="1" customWidth="1"/>
    <col min="12036" max="12036" width="13.85546875" style="1" customWidth="1"/>
    <col min="12037" max="12046" width="11.85546875" style="1" customWidth="1"/>
    <col min="12047" max="12047" width="12.7109375" style="1" customWidth="1"/>
    <col min="12048" max="12048" width="13.85546875" style="1" customWidth="1"/>
    <col min="12049" max="12058" width="12.28515625" style="1" customWidth="1"/>
    <col min="12059" max="12288" width="10.140625" style="1"/>
    <col min="12289" max="12289" width="3.42578125" style="1" customWidth="1"/>
    <col min="12290" max="12290" width="12.140625" style="1" customWidth="1"/>
    <col min="12291" max="12291" width="12.7109375" style="1" customWidth="1"/>
    <col min="12292" max="12292" width="13.85546875" style="1" customWidth="1"/>
    <col min="12293" max="12302" width="11.85546875" style="1" customWidth="1"/>
    <col min="12303" max="12303" width="12.7109375" style="1" customWidth="1"/>
    <col min="12304" max="12304" width="13.85546875" style="1" customWidth="1"/>
    <col min="12305" max="12314" width="12.28515625" style="1" customWidth="1"/>
    <col min="12315" max="12544" width="10.140625" style="1"/>
    <col min="12545" max="12545" width="3.42578125" style="1" customWidth="1"/>
    <col min="12546" max="12546" width="12.140625" style="1" customWidth="1"/>
    <col min="12547" max="12547" width="12.7109375" style="1" customWidth="1"/>
    <col min="12548" max="12548" width="13.85546875" style="1" customWidth="1"/>
    <col min="12549" max="12558" width="11.85546875" style="1" customWidth="1"/>
    <col min="12559" max="12559" width="12.7109375" style="1" customWidth="1"/>
    <col min="12560" max="12560" width="13.85546875" style="1" customWidth="1"/>
    <col min="12561" max="12570" width="12.28515625" style="1" customWidth="1"/>
    <col min="12571" max="12800" width="10.140625" style="1"/>
    <col min="12801" max="12801" width="3.42578125" style="1" customWidth="1"/>
    <col min="12802" max="12802" width="12.140625" style="1" customWidth="1"/>
    <col min="12803" max="12803" width="12.7109375" style="1" customWidth="1"/>
    <col min="12804" max="12804" width="13.85546875" style="1" customWidth="1"/>
    <col min="12805" max="12814" width="11.85546875" style="1" customWidth="1"/>
    <col min="12815" max="12815" width="12.7109375" style="1" customWidth="1"/>
    <col min="12816" max="12816" width="13.85546875" style="1" customWidth="1"/>
    <col min="12817" max="12826" width="12.28515625" style="1" customWidth="1"/>
    <col min="12827" max="13056" width="10.140625" style="1"/>
    <col min="13057" max="13057" width="3.42578125" style="1" customWidth="1"/>
    <col min="13058" max="13058" width="12.140625" style="1" customWidth="1"/>
    <col min="13059" max="13059" width="12.7109375" style="1" customWidth="1"/>
    <col min="13060" max="13060" width="13.85546875" style="1" customWidth="1"/>
    <col min="13061" max="13070" width="11.85546875" style="1" customWidth="1"/>
    <col min="13071" max="13071" width="12.7109375" style="1" customWidth="1"/>
    <col min="13072" max="13072" width="13.85546875" style="1" customWidth="1"/>
    <col min="13073" max="13082" width="12.28515625" style="1" customWidth="1"/>
    <col min="13083" max="13312" width="10.140625" style="1"/>
    <col min="13313" max="13313" width="3.42578125" style="1" customWidth="1"/>
    <col min="13314" max="13314" width="12.140625" style="1" customWidth="1"/>
    <col min="13315" max="13315" width="12.7109375" style="1" customWidth="1"/>
    <col min="13316" max="13316" width="13.85546875" style="1" customWidth="1"/>
    <col min="13317" max="13326" width="11.85546875" style="1" customWidth="1"/>
    <col min="13327" max="13327" width="12.7109375" style="1" customWidth="1"/>
    <col min="13328" max="13328" width="13.85546875" style="1" customWidth="1"/>
    <col min="13329" max="13338" width="12.28515625" style="1" customWidth="1"/>
    <col min="13339" max="13568" width="10.140625" style="1"/>
    <col min="13569" max="13569" width="3.42578125" style="1" customWidth="1"/>
    <col min="13570" max="13570" width="12.140625" style="1" customWidth="1"/>
    <col min="13571" max="13571" width="12.7109375" style="1" customWidth="1"/>
    <col min="13572" max="13572" width="13.85546875" style="1" customWidth="1"/>
    <col min="13573" max="13582" width="11.85546875" style="1" customWidth="1"/>
    <col min="13583" max="13583" width="12.7109375" style="1" customWidth="1"/>
    <col min="13584" max="13584" width="13.85546875" style="1" customWidth="1"/>
    <col min="13585" max="13594" width="12.28515625" style="1" customWidth="1"/>
    <col min="13595" max="13824" width="10.140625" style="1"/>
    <col min="13825" max="13825" width="3.42578125" style="1" customWidth="1"/>
    <col min="13826" max="13826" width="12.140625" style="1" customWidth="1"/>
    <col min="13827" max="13827" width="12.7109375" style="1" customWidth="1"/>
    <col min="13828" max="13828" width="13.85546875" style="1" customWidth="1"/>
    <col min="13829" max="13838" width="11.85546875" style="1" customWidth="1"/>
    <col min="13839" max="13839" width="12.7109375" style="1" customWidth="1"/>
    <col min="13840" max="13840" width="13.85546875" style="1" customWidth="1"/>
    <col min="13841" max="13850" width="12.28515625" style="1" customWidth="1"/>
    <col min="13851" max="14080" width="10.140625" style="1"/>
    <col min="14081" max="14081" width="3.42578125" style="1" customWidth="1"/>
    <col min="14082" max="14082" width="12.140625" style="1" customWidth="1"/>
    <col min="14083" max="14083" width="12.7109375" style="1" customWidth="1"/>
    <col min="14084" max="14084" width="13.85546875" style="1" customWidth="1"/>
    <col min="14085" max="14094" width="11.85546875" style="1" customWidth="1"/>
    <col min="14095" max="14095" width="12.7109375" style="1" customWidth="1"/>
    <col min="14096" max="14096" width="13.85546875" style="1" customWidth="1"/>
    <col min="14097" max="14106" width="12.28515625" style="1" customWidth="1"/>
    <col min="14107" max="14336" width="10.140625" style="1"/>
    <col min="14337" max="14337" width="3.42578125" style="1" customWidth="1"/>
    <col min="14338" max="14338" width="12.140625" style="1" customWidth="1"/>
    <col min="14339" max="14339" width="12.7109375" style="1" customWidth="1"/>
    <col min="14340" max="14340" width="13.85546875" style="1" customWidth="1"/>
    <col min="14341" max="14350" width="11.85546875" style="1" customWidth="1"/>
    <col min="14351" max="14351" width="12.7109375" style="1" customWidth="1"/>
    <col min="14352" max="14352" width="13.85546875" style="1" customWidth="1"/>
    <col min="14353" max="14362" width="12.28515625" style="1" customWidth="1"/>
    <col min="14363" max="14592" width="10.140625" style="1"/>
    <col min="14593" max="14593" width="3.42578125" style="1" customWidth="1"/>
    <col min="14594" max="14594" width="12.140625" style="1" customWidth="1"/>
    <col min="14595" max="14595" width="12.7109375" style="1" customWidth="1"/>
    <col min="14596" max="14596" width="13.85546875" style="1" customWidth="1"/>
    <col min="14597" max="14606" width="11.85546875" style="1" customWidth="1"/>
    <col min="14607" max="14607" width="12.7109375" style="1" customWidth="1"/>
    <col min="14608" max="14608" width="13.85546875" style="1" customWidth="1"/>
    <col min="14609" max="14618" width="12.28515625" style="1" customWidth="1"/>
    <col min="14619" max="14848" width="10.140625" style="1"/>
    <col min="14849" max="14849" width="3.42578125" style="1" customWidth="1"/>
    <col min="14850" max="14850" width="12.140625" style="1" customWidth="1"/>
    <col min="14851" max="14851" width="12.7109375" style="1" customWidth="1"/>
    <col min="14852" max="14852" width="13.85546875" style="1" customWidth="1"/>
    <col min="14853" max="14862" width="11.85546875" style="1" customWidth="1"/>
    <col min="14863" max="14863" width="12.7109375" style="1" customWidth="1"/>
    <col min="14864" max="14864" width="13.85546875" style="1" customWidth="1"/>
    <col min="14865" max="14874" width="12.28515625" style="1" customWidth="1"/>
    <col min="14875" max="15104" width="10.140625" style="1"/>
    <col min="15105" max="15105" width="3.42578125" style="1" customWidth="1"/>
    <col min="15106" max="15106" width="12.140625" style="1" customWidth="1"/>
    <col min="15107" max="15107" width="12.7109375" style="1" customWidth="1"/>
    <col min="15108" max="15108" width="13.85546875" style="1" customWidth="1"/>
    <col min="15109" max="15118" width="11.85546875" style="1" customWidth="1"/>
    <col min="15119" max="15119" width="12.7109375" style="1" customWidth="1"/>
    <col min="15120" max="15120" width="13.85546875" style="1" customWidth="1"/>
    <col min="15121" max="15130" width="12.28515625" style="1" customWidth="1"/>
    <col min="15131" max="15360" width="10.140625" style="1"/>
    <col min="15361" max="15361" width="3.42578125" style="1" customWidth="1"/>
    <col min="15362" max="15362" width="12.140625" style="1" customWidth="1"/>
    <col min="15363" max="15363" width="12.7109375" style="1" customWidth="1"/>
    <col min="15364" max="15364" width="13.85546875" style="1" customWidth="1"/>
    <col min="15365" max="15374" width="11.85546875" style="1" customWidth="1"/>
    <col min="15375" max="15375" width="12.7109375" style="1" customWidth="1"/>
    <col min="15376" max="15376" width="13.85546875" style="1" customWidth="1"/>
    <col min="15377" max="15386" width="12.28515625" style="1" customWidth="1"/>
    <col min="15387" max="15616" width="10.140625" style="1"/>
    <col min="15617" max="15617" width="3.42578125" style="1" customWidth="1"/>
    <col min="15618" max="15618" width="12.140625" style="1" customWidth="1"/>
    <col min="15619" max="15619" width="12.7109375" style="1" customWidth="1"/>
    <col min="15620" max="15620" width="13.85546875" style="1" customWidth="1"/>
    <col min="15621" max="15630" width="11.85546875" style="1" customWidth="1"/>
    <col min="15631" max="15631" width="12.7109375" style="1" customWidth="1"/>
    <col min="15632" max="15632" width="13.85546875" style="1" customWidth="1"/>
    <col min="15633" max="15642" width="12.28515625" style="1" customWidth="1"/>
    <col min="15643" max="15872" width="10.140625" style="1"/>
    <col min="15873" max="15873" width="3.42578125" style="1" customWidth="1"/>
    <col min="15874" max="15874" width="12.140625" style="1" customWidth="1"/>
    <col min="15875" max="15875" width="12.7109375" style="1" customWidth="1"/>
    <col min="15876" max="15876" width="13.85546875" style="1" customWidth="1"/>
    <col min="15877" max="15886" width="11.85546875" style="1" customWidth="1"/>
    <col min="15887" max="15887" width="12.7109375" style="1" customWidth="1"/>
    <col min="15888" max="15888" width="13.85546875" style="1" customWidth="1"/>
    <col min="15889" max="15898" width="12.28515625" style="1" customWidth="1"/>
    <col min="15899" max="16128" width="10.140625" style="1"/>
    <col min="16129" max="16129" width="3.42578125" style="1" customWidth="1"/>
    <col min="16130" max="16130" width="12.140625" style="1" customWidth="1"/>
    <col min="16131" max="16131" width="12.7109375" style="1" customWidth="1"/>
    <col min="16132" max="16132" width="13.85546875" style="1" customWidth="1"/>
    <col min="16133" max="16142" width="11.85546875" style="1" customWidth="1"/>
    <col min="16143" max="16143" width="12.7109375" style="1" customWidth="1"/>
    <col min="16144" max="16144" width="13.85546875" style="1" customWidth="1"/>
    <col min="16145" max="16154" width="12.28515625" style="1" customWidth="1"/>
    <col min="16155" max="16384" width="10.140625" style="1"/>
  </cols>
  <sheetData>
    <row r="3" spans="2:26" ht="15" x14ac:dyDescent="0.25">
      <c r="B3" s="63" t="s">
        <v>27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spans="2:26" ht="15" x14ac:dyDescent="0.25">
      <c r="B4" s="2"/>
      <c r="C4" s="2"/>
      <c r="D4" s="2"/>
      <c r="E4" s="2"/>
      <c r="F4" s="2"/>
      <c r="G4" s="2"/>
      <c r="H4" s="2"/>
      <c r="I4" s="3"/>
      <c r="J4" s="3"/>
      <c r="K4" s="3"/>
      <c r="L4" s="3"/>
      <c r="M4" s="3"/>
      <c r="N4" s="3"/>
      <c r="O4" s="2"/>
      <c r="P4" s="2"/>
      <c r="Q4" s="2"/>
      <c r="R4" s="2"/>
      <c r="S4" s="2"/>
      <c r="T4" s="2"/>
      <c r="U4" s="3"/>
      <c r="V4" s="3"/>
      <c r="W4" s="3"/>
      <c r="X4" s="3"/>
      <c r="Y4" s="3"/>
      <c r="Z4" s="3"/>
    </row>
    <row r="5" spans="2:26" ht="15" x14ac:dyDescent="0.25">
      <c r="B5" s="2"/>
      <c r="C5" s="2"/>
      <c r="D5" s="2"/>
      <c r="E5" s="2"/>
      <c r="F5" s="2"/>
      <c r="G5" s="2"/>
      <c r="H5" s="2"/>
      <c r="I5" s="3"/>
      <c r="J5" s="3"/>
      <c r="K5" s="3"/>
      <c r="L5" s="3"/>
      <c r="M5" s="3"/>
      <c r="N5" s="3"/>
      <c r="O5" s="2"/>
      <c r="P5" s="2"/>
      <c r="Q5" s="2"/>
      <c r="R5" s="2"/>
      <c r="S5" s="2"/>
      <c r="T5" s="2"/>
      <c r="U5" s="3"/>
      <c r="V5" s="3"/>
      <c r="W5" s="3"/>
      <c r="X5" s="3"/>
      <c r="Y5" s="3"/>
      <c r="Z5" s="3"/>
    </row>
    <row r="6" spans="2:26" ht="15" x14ac:dyDescent="0.25">
      <c r="B6" s="64" t="s">
        <v>0</v>
      </c>
      <c r="C6" s="59" t="s">
        <v>1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60"/>
      <c r="O6" s="59" t="s">
        <v>2</v>
      </c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2:26" ht="15" x14ac:dyDescent="0.25">
      <c r="B7" s="65"/>
      <c r="C7" s="59" t="s">
        <v>3</v>
      </c>
      <c r="D7" s="59" t="s">
        <v>4</v>
      </c>
      <c r="E7" s="59"/>
      <c r="F7" s="59"/>
      <c r="G7" s="59"/>
      <c r="H7" s="59"/>
      <c r="I7" s="59"/>
      <c r="J7" s="59"/>
      <c r="K7" s="59"/>
      <c r="L7" s="59"/>
      <c r="M7" s="59"/>
      <c r="N7" s="60"/>
      <c r="O7" s="59" t="s">
        <v>3</v>
      </c>
      <c r="P7" s="59" t="s">
        <v>4</v>
      </c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2:26" ht="15" x14ac:dyDescent="0.25">
      <c r="B8" s="65"/>
      <c r="C8" s="59"/>
      <c r="D8" s="57" t="s">
        <v>5</v>
      </c>
      <c r="E8" s="59" t="s">
        <v>6</v>
      </c>
      <c r="F8" s="59"/>
      <c r="G8" s="59" t="s">
        <v>7</v>
      </c>
      <c r="H8" s="59"/>
      <c r="I8" s="59" t="s">
        <v>8</v>
      </c>
      <c r="J8" s="59"/>
      <c r="K8" s="59" t="s">
        <v>9</v>
      </c>
      <c r="L8" s="59"/>
      <c r="M8" s="59" t="s">
        <v>10</v>
      </c>
      <c r="N8" s="60"/>
      <c r="O8" s="59"/>
      <c r="P8" s="57" t="s">
        <v>5</v>
      </c>
      <c r="Q8" s="59" t="s">
        <v>6</v>
      </c>
      <c r="R8" s="59"/>
      <c r="S8" s="59" t="s">
        <v>7</v>
      </c>
      <c r="T8" s="59"/>
      <c r="U8" s="59" t="s">
        <v>8</v>
      </c>
      <c r="V8" s="59"/>
      <c r="W8" s="59" t="s">
        <v>9</v>
      </c>
      <c r="X8" s="59"/>
      <c r="Y8" s="59" t="s">
        <v>10</v>
      </c>
      <c r="Z8" s="59"/>
    </row>
    <row r="9" spans="2:26" x14ac:dyDescent="0.25">
      <c r="B9" s="65"/>
      <c r="C9" s="59"/>
      <c r="D9" s="57"/>
      <c r="E9" s="57" t="s">
        <v>11</v>
      </c>
      <c r="F9" s="57" t="s">
        <v>12</v>
      </c>
      <c r="G9" s="57" t="s">
        <v>11</v>
      </c>
      <c r="H9" s="57" t="s">
        <v>12</v>
      </c>
      <c r="I9" s="57" t="s">
        <v>11</v>
      </c>
      <c r="J9" s="57" t="s">
        <v>12</v>
      </c>
      <c r="K9" s="57" t="s">
        <v>11</v>
      </c>
      <c r="L9" s="57" t="s">
        <v>12</v>
      </c>
      <c r="M9" s="57" t="s">
        <v>11</v>
      </c>
      <c r="N9" s="61" t="s">
        <v>12</v>
      </c>
      <c r="O9" s="59"/>
      <c r="P9" s="57"/>
      <c r="Q9" s="57" t="s">
        <v>11</v>
      </c>
      <c r="R9" s="57" t="s">
        <v>12</v>
      </c>
      <c r="S9" s="57" t="s">
        <v>11</v>
      </c>
      <c r="T9" s="57" t="s">
        <v>12</v>
      </c>
      <c r="U9" s="57" t="s">
        <v>11</v>
      </c>
      <c r="V9" s="57" t="s">
        <v>12</v>
      </c>
      <c r="W9" s="57" t="s">
        <v>11</v>
      </c>
      <c r="X9" s="57" t="s">
        <v>12</v>
      </c>
      <c r="Y9" s="57" t="s">
        <v>11</v>
      </c>
      <c r="Z9" s="57" t="s">
        <v>12</v>
      </c>
    </row>
    <row r="10" spans="2:26" x14ac:dyDescent="0.25">
      <c r="B10" s="66"/>
      <c r="C10" s="59"/>
      <c r="D10" s="57"/>
      <c r="E10" s="57"/>
      <c r="F10" s="57"/>
      <c r="G10" s="57"/>
      <c r="H10" s="57"/>
      <c r="I10" s="58"/>
      <c r="J10" s="58"/>
      <c r="K10" s="58"/>
      <c r="L10" s="58"/>
      <c r="M10" s="58"/>
      <c r="N10" s="62"/>
      <c r="O10" s="59"/>
      <c r="P10" s="57"/>
      <c r="Q10" s="57"/>
      <c r="R10" s="57"/>
      <c r="S10" s="57"/>
      <c r="T10" s="57"/>
      <c r="U10" s="58"/>
      <c r="V10" s="58"/>
      <c r="W10" s="58"/>
      <c r="X10" s="58"/>
      <c r="Y10" s="58"/>
      <c r="Z10" s="58"/>
    </row>
    <row r="11" spans="2:26" ht="15" x14ac:dyDescent="0.25">
      <c r="B11" s="4"/>
      <c r="C11" s="2"/>
      <c r="D11" s="2"/>
      <c r="E11" s="2"/>
      <c r="F11" s="2"/>
      <c r="G11" s="2"/>
      <c r="H11" s="2"/>
      <c r="I11" s="3"/>
      <c r="J11" s="3"/>
      <c r="K11" s="3"/>
      <c r="L11" s="3"/>
      <c r="M11" s="3"/>
      <c r="N11" s="3"/>
      <c r="O11" s="4"/>
      <c r="P11" s="2"/>
      <c r="Q11" s="2"/>
      <c r="R11" s="2"/>
      <c r="S11" s="2"/>
      <c r="T11" s="2"/>
      <c r="U11" s="3"/>
      <c r="V11" s="3"/>
      <c r="W11" s="3"/>
      <c r="X11" s="3"/>
      <c r="Y11" s="3"/>
      <c r="Z11" s="5"/>
    </row>
    <row r="12" spans="2:26" s="9" customFormat="1" ht="15" x14ac:dyDescent="0.25">
      <c r="B12" s="6" t="s">
        <v>13</v>
      </c>
      <c r="C12" s="11">
        <v>49541469</v>
      </c>
      <c r="D12" s="11">
        <v>487814</v>
      </c>
      <c r="E12" s="11">
        <v>4604178</v>
      </c>
      <c r="F12" s="11">
        <v>5526291</v>
      </c>
      <c r="G12" s="11">
        <v>4983178</v>
      </c>
      <c r="H12" s="11">
        <v>15836960</v>
      </c>
      <c r="I12" s="11">
        <v>428480</v>
      </c>
      <c r="J12" s="11">
        <v>1519905</v>
      </c>
      <c r="K12" s="11">
        <v>85113</v>
      </c>
      <c r="L12" s="11">
        <v>1626688</v>
      </c>
      <c r="M12" s="11">
        <v>4618109</v>
      </c>
      <c r="N12" s="11">
        <v>9824753</v>
      </c>
      <c r="O12" s="4">
        <v>1008.8049999999999</v>
      </c>
      <c r="P12" s="2">
        <v>62.671999999999997</v>
      </c>
      <c r="Q12" s="2">
        <v>253.495</v>
      </c>
      <c r="R12" s="2">
        <v>280.58100000000002</v>
      </c>
      <c r="S12" s="2">
        <v>228.636</v>
      </c>
      <c r="T12" s="7">
        <v>450.471</v>
      </c>
      <c r="U12" s="7">
        <v>42.533999999999999</v>
      </c>
      <c r="V12" s="7">
        <v>103.40900000000001</v>
      </c>
      <c r="W12" s="7">
        <v>24.696999999999999</v>
      </c>
      <c r="X12" s="7">
        <v>108.072</v>
      </c>
      <c r="Y12" s="7">
        <v>202.03</v>
      </c>
      <c r="Z12" s="8">
        <v>449.52100000000002</v>
      </c>
    </row>
    <row r="13" spans="2:26" s="9" customFormat="1" ht="15" x14ac:dyDescent="0.25">
      <c r="B13" s="10"/>
      <c r="C13" s="44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"/>
      <c r="P13" s="7"/>
      <c r="Q13" s="7"/>
      <c r="R13" s="7"/>
      <c r="S13" s="7"/>
      <c r="T13" s="7"/>
      <c r="U13" s="7"/>
      <c r="V13" s="7"/>
      <c r="W13" s="7"/>
      <c r="X13" s="7"/>
      <c r="Y13" s="7"/>
      <c r="Z13" s="8"/>
    </row>
    <row r="14" spans="2:26" s="9" customFormat="1" ht="15" x14ac:dyDescent="0.25">
      <c r="B14" s="10" t="s">
        <v>14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12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4"/>
    </row>
    <row r="15" spans="2:26" s="9" customFormat="1" ht="15" x14ac:dyDescent="0.25">
      <c r="B15" s="15" t="s">
        <v>15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17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8"/>
    </row>
    <row r="16" spans="2:26" ht="15" x14ac:dyDescent="0.25">
      <c r="B16" s="10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17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8"/>
    </row>
    <row r="17" spans="2:50" s="9" customFormat="1" ht="15" x14ac:dyDescent="0.25">
      <c r="B17" s="19" t="s">
        <v>3</v>
      </c>
      <c r="C17" s="56">
        <f>SUM(C18:C23)</f>
        <v>100.001</v>
      </c>
      <c r="D17" s="56">
        <f t="shared" ref="D17:H17" si="0">SUM(D18:D23)</f>
        <v>100</v>
      </c>
      <c r="E17" s="56">
        <f t="shared" si="0"/>
        <v>99.998999999999995</v>
      </c>
      <c r="F17" s="56">
        <f t="shared" si="0"/>
        <v>100.001</v>
      </c>
      <c r="G17" s="56">
        <f t="shared" si="0"/>
        <v>100.001</v>
      </c>
      <c r="H17" s="56">
        <f t="shared" si="0"/>
        <v>100.001</v>
      </c>
      <c r="I17" s="56">
        <f>SUM(I18:I23)</f>
        <v>100</v>
      </c>
      <c r="J17" s="56">
        <f t="shared" ref="J17:N17" si="1">SUM(J18:J23)</f>
        <v>100</v>
      </c>
      <c r="K17" s="56">
        <f t="shared" si="1"/>
        <v>99.999999999999986</v>
      </c>
      <c r="L17" s="56">
        <f t="shared" si="1"/>
        <v>100.001</v>
      </c>
      <c r="M17" s="56">
        <f t="shared" si="1"/>
        <v>100.00099999999999</v>
      </c>
      <c r="N17" s="56">
        <f t="shared" si="1"/>
        <v>100.00099999999999</v>
      </c>
      <c r="O17" s="17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8"/>
    </row>
    <row r="18" spans="2:50" ht="14.25" x14ac:dyDescent="0.2">
      <c r="B18" s="20" t="s">
        <v>16</v>
      </c>
      <c r="C18" s="42">
        <v>11.922000000000001</v>
      </c>
      <c r="D18" s="42">
        <v>3.109</v>
      </c>
      <c r="E18" s="42">
        <v>6.907</v>
      </c>
      <c r="F18" s="42">
        <v>5.7190000000000003</v>
      </c>
      <c r="G18" s="42">
        <v>14.727</v>
      </c>
      <c r="H18" s="42">
        <v>6.5890000000000004</v>
      </c>
      <c r="I18" s="42">
        <v>94.152000000000001</v>
      </c>
      <c r="J18" s="42">
        <v>86.534999999999997</v>
      </c>
      <c r="K18" s="42">
        <v>0</v>
      </c>
      <c r="L18" s="42">
        <v>3.3940000000000001</v>
      </c>
      <c r="M18" s="42">
        <v>17.619</v>
      </c>
      <c r="N18" s="42">
        <v>9.08</v>
      </c>
      <c r="O18" s="52">
        <v>0.36099999999999999</v>
      </c>
      <c r="P18" s="53">
        <v>1.069</v>
      </c>
      <c r="Q18" s="53">
        <v>0.80100000000000005</v>
      </c>
      <c r="R18" s="53">
        <v>0.61</v>
      </c>
      <c r="S18" s="53">
        <v>1.0620000000000001</v>
      </c>
      <c r="T18" s="53">
        <v>0.47799999999999998</v>
      </c>
      <c r="U18" s="53">
        <v>2.6280000000000001</v>
      </c>
      <c r="V18" s="53">
        <v>1.992</v>
      </c>
      <c r="W18" s="53">
        <v>0</v>
      </c>
      <c r="X18" s="53">
        <v>1.0269999999999999</v>
      </c>
      <c r="Y18" s="53">
        <v>1.393</v>
      </c>
      <c r="Z18" s="54">
        <v>0.70099999999999996</v>
      </c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</row>
    <row r="19" spans="2:50" ht="14.25" x14ac:dyDescent="0.2">
      <c r="B19" s="20" t="s">
        <v>17</v>
      </c>
      <c r="C19" s="42">
        <v>28.544</v>
      </c>
      <c r="D19" s="42">
        <v>19.158000000000001</v>
      </c>
      <c r="E19" s="42">
        <v>19.309000000000001</v>
      </c>
      <c r="F19" s="42">
        <v>16.366</v>
      </c>
      <c r="G19" s="42">
        <v>26.736999999999998</v>
      </c>
      <c r="H19" s="42">
        <v>28.812000000000001</v>
      </c>
      <c r="I19" s="42">
        <v>5.8479999999999999</v>
      </c>
      <c r="J19" s="42">
        <v>13.465</v>
      </c>
      <c r="K19" s="42">
        <v>23.210999999999999</v>
      </c>
      <c r="L19" s="42">
        <v>24.78</v>
      </c>
      <c r="M19" s="42">
        <v>30.768999999999998</v>
      </c>
      <c r="N19" s="42">
        <v>43.616999999999997</v>
      </c>
      <c r="O19" s="52">
        <v>0.49299999999999999</v>
      </c>
      <c r="P19" s="53">
        <v>3.589</v>
      </c>
      <c r="Q19" s="53">
        <v>1.54</v>
      </c>
      <c r="R19" s="53">
        <v>1.0369999999999999</v>
      </c>
      <c r="S19" s="53">
        <v>1.575</v>
      </c>
      <c r="T19" s="53">
        <v>0.96399999999999997</v>
      </c>
      <c r="U19" s="53">
        <v>2.6280000000000001</v>
      </c>
      <c r="V19" s="55">
        <v>1.992</v>
      </c>
      <c r="W19" s="53">
        <v>10.773999999999999</v>
      </c>
      <c r="X19" s="53">
        <v>2.44</v>
      </c>
      <c r="Y19" s="53">
        <v>1.7430000000000001</v>
      </c>
      <c r="Z19" s="54">
        <v>1.232</v>
      </c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</row>
    <row r="20" spans="2:50" ht="14.25" x14ac:dyDescent="0.2">
      <c r="B20" s="20" t="s">
        <v>18</v>
      </c>
      <c r="C20" s="42">
        <v>22.94</v>
      </c>
      <c r="D20" s="42">
        <v>22.597000000000001</v>
      </c>
      <c r="E20" s="42">
        <v>19.728999999999999</v>
      </c>
      <c r="F20" s="42">
        <v>20.919</v>
      </c>
      <c r="G20" s="42">
        <v>22.337</v>
      </c>
      <c r="H20" s="42">
        <v>27.734999999999999</v>
      </c>
      <c r="I20" s="42">
        <v>0</v>
      </c>
      <c r="J20" s="42">
        <v>0</v>
      </c>
      <c r="K20" s="42">
        <v>46.639000000000003</v>
      </c>
      <c r="L20" s="42">
        <v>28.443999999999999</v>
      </c>
      <c r="M20" s="42">
        <v>23.533999999999999</v>
      </c>
      <c r="N20" s="42">
        <v>21.329000000000001</v>
      </c>
      <c r="O20" s="52">
        <v>0.54900000000000004</v>
      </c>
      <c r="P20" s="53">
        <v>3.2949999999999999</v>
      </c>
      <c r="Q20" s="53">
        <v>1.266</v>
      </c>
      <c r="R20" s="53">
        <v>1.3480000000000001</v>
      </c>
      <c r="S20" s="53">
        <v>1.466</v>
      </c>
      <c r="T20" s="53">
        <v>0.92400000000000004</v>
      </c>
      <c r="U20" s="55">
        <v>0</v>
      </c>
      <c r="V20" s="53">
        <v>0</v>
      </c>
      <c r="W20" s="53">
        <v>11.146000000000001</v>
      </c>
      <c r="X20" s="53">
        <v>3.1930000000000001</v>
      </c>
      <c r="Y20" s="53">
        <v>1.5569999999999999</v>
      </c>
      <c r="Z20" s="54">
        <v>0.96299999999999997</v>
      </c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</row>
    <row r="21" spans="2:50" ht="14.25" x14ac:dyDescent="0.2">
      <c r="B21" s="20" t="s">
        <v>19</v>
      </c>
      <c r="C21" s="42">
        <v>18.856999999999999</v>
      </c>
      <c r="D21" s="42">
        <v>18.004999999999999</v>
      </c>
      <c r="E21" s="42">
        <v>20.181999999999999</v>
      </c>
      <c r="F21" s="42">
        <v>23.285</v>
      </c>
      <c r="G21" s="42">
        <v>18.809999999999999</v>
      </c>
      <c r="H21" s="42">
        <v>20.76</v>
      </c>
      <c r="I21" s="42">
        <v>0</v>
      </c>
      <c r="J21" s="42">
        <v>0</v>
      </c>
      <c r="K21" s="42">
        <v>21.49</v>
      </c>
      <c r="L21" s="42">
        <v>24.718</v>
      </c>
      <c r="M21" s="42">
        <v>17.699000000000002</v>
      </c>
      <c r="N21" s="42">
        <v>16.038</v>
      </c>
      <c r="O21" s="52">
        <v>0.41</v>
      </c>
      <c r="P21" s="53">
        <v>2.2869999999999999</v>
      </c>
      <c r="Q21" s="53">
        <v>1.08</v>
      </c>
      <c r="R21" s="53">
        <v>1.1879999999999999</v>
      </c>
      <c r="S21" s="53">
        <v>1.21</v>
      </c>
      <c r="T21" s="53">
        <v>0.72899999999999998</v>
      </c>
      <c r="U21" s="55">
        <v>0</v>
      </c>
      <c r="V21" s="55">
        <v>0</v>
      </c>
      <c r="W21" s="53">
        <v>11.061999999999999</v>
      </c>
      <c r="X21" s="53">
        <v>2.3809999999999998</v>
      </c>
      <c r="Y21" s="53">
        <v>1.546</v>
      </c>
      <c r="Z21" s="54">
        <v>0.90800000000000003</v>
      </c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</row>
    <row r="22" spans="2:50" ht="14.25" x14ac:dyDescent="0.2">
      <c r="B22" s="20" t="s">
        <v>20</v>
      </c>
      <c r="C22" s="42">
        <v>12.11</v>
      </c>
      <c r="D22" s="42">
        <v>20.050999999999998</v>
      </c>
      <c r="E22" s="42">
        <v>19.407</v>
      </c>
      <c r="F22" s="42">
        <v>20.922000000000001</v>
      </c>
      <c r="G22" s="42">
        <v>12.004</v>
      </c>
      <c r="H22" s="42">
        <v>12.308</v>
      </c>
      <c r="I22" s="42">
        <v>0</v>
      </c>
      <c r="J22" s="42">
        <v>0</v>
      </c>
      <c r="K22" s="42">
        <v>8.66</v>
      </c>
      <c r="L22" s="42">
        <v>13.898999999999999</v>
      </c>
      <c r="M22" s="42">
        <v>7.58</v>
      </c>
      <c r="N22" s="42">
        <v>7.3380000000000001</v>
      </c>
      <c r="O22" s="52">
        <v>0.31</v>
      </c>
      <c r="P22" s="53">
        <v>2.7290000000000001</v>
      </c>
      <c r="Q22" s="53">
        <v>1.3440000000000001</v>
      </c>
      <c r="R22" s="53">
        <v>1.339</v>
      </c>
      <c r="S22" s="53">
        <v>1.08</v>
      </c>
      <c r="T22" s="53">
        <v>0.58699999999999997</v>
      </c>
      <c r="U22" s="55">
        <v>0</v>
      </c>
      <c r="V22" s="55">
        <v>0</v>
      </c>
      <c r="W22" s="53">
        <v>7.077</v>
      </c>
      <c r="X22" s="53">
        <v>1.9470000000000001</v>
      </c>
      <c r="Y22" s="53">
        <v>0.82099999999999995</v>
      </c>
      <c r="Z22" s="54">
        <v>0.58799999999999997</v>
      </c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</row>
    <row r="23" spans="2:50" ht="14.25" x14ac:dyDescent="0.2">
      <c r="B23" s="20" t="s">
        <v>21</v>
      </c>
      <c r="C23" s="42">
        <v>5.6280000000000001</v>
      </c>
      <c r="D23" s="42">
        <v>17.079999999999998</v>
      </c>
      <c r="E23" s="42">
        <v>14.465</v>
      </c>
      <c r="F23" s="42">
        <v>12.79</v>
      </c>
      <c r="G23" s="42">
        <v>5.3860000000000001</v>
      </c>
      <c r="H23" s="42">
        <v>3.7970000000000002</v>
      </c>
      <c r="I23" s="42">
        <v>0</v>
      </c>
      <c r="J23" s="42">
        <v>0</v>
      </c>
      <c r="K23" s="42">
        <v>0</v>
      </c>
      <c r="L23" s="42">
        <v>4.766</v>
      </c>
      <c r="M23" s="42">
        <v>2.8</v>
      </c>
      <c r="N23" s="42">
        <v>2.5990000000000002</v>
      </c>
      <c r="O23" s="52">
        <v>0.23300000000000001</v>
      </c>
      <c r="P23" s="53">
        <v>2.8650000000000002</v>
      </c>
      <c r="Q23" s="53">
        <v>0.94699999999999995</v>
      </c>
      <c r="R23" s="53">
        <v>1.087</v>
      </c>
      <c r="S23" s="53">
        <v>0.64200000000000002</v>
      </c>
      <c r="T23" s="53">
        <v>0.378</v>
      </c>
      <c r="U23" s="55">
        <v>0</v>
      </c>
      <c r="V23" s="55">
        <v>0</v>
      </c>
      <c r="W23" s="53">
        <v>0</v>
      </c>
      <c r="X23" s="53">
        <v>1.204</v>
      </c>
      <c r="Y23" s="53">
        <v>0.51400000000000001</v>
      </c>
      <c r="Z23" s="54">
        <v>0.34599999999999997</v>
      </c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</row>
    <row r="24" spans="2:50" ht="15" x14ac:dyDescent="0.25">
      <c r="B24" s="10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17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8"/>
    </row>
    <row r="25" spans="2:50" s="9" customFormat="1" ht="15" x14ac:dyDescent="0.25">
      <c r="B25" s="6" t="s">
        <v>22</v>
      </c>
      <c r="C25" s="11">
        <v>28939264</v>
      </c>
      <c r="D25" s="11">
        <v>290941</v>
      </c>
      <c r="E25" s="11">
        <v>3291424</v>
      </c>
      <c r="F25" s="11">
        <v>3413105</v>
      </c>
      <c r="G25" s="11">
        <v>3239669</v>
      </c>
      <c r="H25" s="11">
        <v>9334026</v>
      </c>
      <c r="I25" s="11">
        <v>283651</v>
      </c>
      <c r="J25" s="11">
        <v>976857</v>
      </c>
      <c r="K25" s="11">
        <v>39155</v>
      </c>
      <c r="L25" s="11">
        <v>1001063</v>
      </c>
      <c r="M25" s="11">
        <v>2675212</v>
      </c>
      <c r="N25" s="11">
        <v>4394162</v>
      </c>
      <c r="O25" s="12">
        <v>611.32799999999997</v>
      </c>
      <c r="P25" s="13">
        <v>42.762</v>
      </c>
      <c r="Q25" s="13">
        <v>192.75299999999999</v>
      </c>
      <c r="R25" s="13">
        <v>202.66900000000001</v>
      </c>
      <c r="S25" s="13">
        <v>161.86099999999999</v>
      </c>
      <c r="T25" s="13">
        <v>284.798</v>
      </c>
      <c r="U25" s="13">
        <v>33.206000000000003</v>
      </c>
      <c r="V25" s="13">
        <v>80.036000000000001</v>
      </c>
      <c r="W25" s="13">
        <v>14.073</v>
      </c>
      <c r="X25" s="13">
        <v>79.661000000000001</v>
      </c>
      <c r="Y25" s="13">
        <v>132.38499999999999</v>
      </c>
      <c r="Z25" s="14">
        <v>242.93</v>
      </c>
    </row>
    <row r="26" spans="2:50" s="9" customFormat="1" ht="15" x14ac:dyDescent="0.25">
      <c r="B26" s="15" t="s">
        <v>15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17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8"/>
    </row>
    <row r="27" spans="2:50" ht="15" x14ac:dyDescent="0.25">
      <c r="B27" s="21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17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8"/>
    </row>
    <row r="28" spans="2:50" s="9" customFormat="1" ht="15" x14ac:dyDescent="0.25">
      <c r="B28" s="19" t="s">
        <v>3</v>
      </c>
      <c r="C28" s="56">
        <f>SUM(C29:C34)</f>
        <v>99.99799999999999</v>
      </c>
      <c r="D28" s="56">
        <f t="shared" ref="D28" si="2">SUM(D29:D34)</f>
        <v>99.999000000000009</v>
      </c>
      <c r="E28" s="56">
        <f t="shared" ref="E28" si="3">SUM(E29:E34)</f>
        <v>99.999999999999986</v>
      </c>
      <c r="F28" s="56">
        <f t="shared" ref="F28" si="4">SUM(F29:F34)</f>
        <v>100</v>
      </c>
      <c r="G28" s="56">
        <f t="shared" ref="G28" si="5">SUM(G29:G34)</f>
        <v>100.001</v>
      </c>
      <c r="H28" s="56">
        <f t="shared" ref="H28" si="6">SUM(H29:H34)</f>
        <v>100</v>
      </c>
      <c r="I28" s="56">
        <f>SUM(I29:I34)</f>
        <v>100</v>
      </c>
      <c r="J28" s="56">
        <f t="shared" ref="J28" si="7">SUM(J29:J34)</f>
        <v>100</v>
      </c>
      <c r="K28" s="56">
        <f t="shared" ref="K28" si="8">SUM(K29:K34)</f>
        <v>100.002</v>
      </c>
      <c r="L28" s="56">
        <f t="shared" ref="L28" si="9">SUM(L29:L34)</f>
        <v>100</v>
      </c>
      <c r="M28" s="56">
        <f t="shared" ref="M28" si="10">SUM(M29:M34)</f>
        <v>99.998999999999995</v>
      </c>
      <c r="N28" s="56">
        <f t="shared" ref="N28" si="11">SUM(N29:N34)</f>
        <v>100</v>
      </c>
      <c r="O28" s="17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8"/>
    </row>
    <row r="29" spans="2:50" ht="14.25" x14ac:dyDescent="0.2">
      <c r="B29" s="20" t="s">
        <v>16</v>
      </c>
      <c r="C29" s="42">
        <v>12.502000000000001</v>
      </c>
      <c r="D29" s="42">
        <v>4.6120000000000001</v>
      </c>
      <c r="E29" s="42">
        <v>8.6229999999999993</v>
      </c>
      <c r="F29" s="42">
        <v>7.7880000000000003</v>
      </c>
      <c r="G29" s="42">
        <v>16.588000000000001</v>
      </c>
      <c r="H29" s="42">
        <v>7.3579999999999997</v>
      </c>
      <c r="I29" s="42">
        <v>94.41</v>
      </c>
      <c r="J29" s="42">
        <v>81.921999999999997</v>
      </c>
      <c r="K29" s="42">
        <v>0</v>
      </c>
      <c r="L29" s="42">
        <v>2.8610000000000002</v>
      </c>
      <c r="M29" s="42">
        <v>16.420000000000002</v>
      </c>
      <c r="N29" s="42">
        <v>6.7110000000000003</v>
      </c>
      <c r="O29" s="52">
        <v>0.46100000000000002</v>
      </c>
      <c r="P29" s="53">
        <v>1.702</v>
      </c>
      <c r="Q29" s="53">
        <v>1.028</v>
      </c>
      <c r="R29" s="53">
        <v>0.88200000000000001</v>
      </c>
      <c r="S29" s="53">
        <v>1.4550000000000001</v>
      </c>
      <c r="T29" s="53">
        <v>0.624</v>
      </c>
      <c r="U29" s="53">
        <v>2.6989999999999998</v>
      </c>
      <c r="V29" s="53">
        <v>2.8559999999999999</v>
      </c>
      <c r="W29" s="53">
        <v>0</v>
      </c>
      <c r="X29" s="53">
        <v>1.2170000000000001</v>
      </c>
      <c r="Y29" s="53">
        <v>1.7090000000000001</v>
      </c>
      <c r="Z29" s="54">
        <v>0.86</v>
      </c>
    </row>
    <row r="30" spans="2:50" ht="14.25" x14ac:dyDescent="0.2">
      <c r="B30" s="20" t="s">
        <v>17</v>
      </c>
      <c r="C30" s="42">
        <v>29.303999999999998</v>
      </c>
      <c r="D30" s="42">
        <v>20.344999999999999</v>
      </c>
      <c r="E30" s="42">
        <v>21.832000000000001</v>
      </c>
      <c r="F30" s="42">
        <v>19.388999999999999</v>
      </c>
      <c r="G30" s="42">
        <v>29.884</v>
      </c>
      <c r="H30" s="42">
        <v>31.331</v>
      </c>
      <c r="I30" s="42">
        <v>5.59</v>
      </c>
      <c r="J30" s="42">
        <v>18.077999999999999</v>
      </c>
      <c r="K30" s="42">
        <v>7.9450000000000003</v>
      </c>
      <c r="L30" s="42">
        <v>27.492999999999999</v>
      </c>
      <c r="M30" s="42">
        <v>29.594000000000001</v>
      </c>
      <c r="N30" s="42">
        <v>42.917999999999999</v>
      </c>
      <c r="O30" s="52">
        <v>0.61899999999999999</v>
      </c>
      <c r="P30" s="53">
        <v>3.96</v>
      </c>
      <c r="Q30" s="53">
        <v>1.7030000000000001</v>
      </c>
      <c r="R30" s="53">
        <v>1.361</v>
      </c>
      <c r="S30" s="53">
        <v>1.998</v>
      </c>
      <c r="T30" s="53">
        <v>1.214</v>
      </c>
      <c r="U30" s="53">
        <v>2.6989999999999998</v>
      </c>
      <c r="V30" s="55">
        <v>2.8559999999999999</v>
      </c>
      <c r="W30" s="53">
        <v>7.8259999999999996</v>
      </c>
      <c r="X30" s="53">
        <v>3.137</v>
      </c>
      <c r="Y30" s="53">
        <v>1.9530000000000001</v>
      </c>
      <c r="Z30" s="54">
        <v>1.7529999999999999</v>
      </c>
    </row>
    <row r="31" spans="2:50" ht="14.25" x14ac:dyDescent="0.2">
      <c r="B31" s="20" t="s">
        <v>18</v>
      </c>
      <c r="C31" s="42">
        <v>23.276</v>
      </c>
      <c r="D31" s="42">
        <v>28.934000000000001</v>
      </c>
      <c r="E31" s="42">
        <v>20.134</v>
      </c>
      <c r="F31" s="42">
        <v>22.742000000000001</v>
      </c>
      <c r="G31" s="42">
        <v>21.745999999999999</v>
      </c>
      <c r="H31" s="42">
        <v>27.242999999999999</v>
      </c>
      <c r="I31" s="42">
        <v>0</v>
      </c>
      <c r="J31" s="42">
        <v>0</v>
      </c>
      <c r="K31" s="42">
        <v>57.691000000000003</v>
      </c>
      <c r="L31" s="42">
        <v>26.98</v>
      </c>
      <c r="M31" s="42">
        <v>25.146000000000001</v>
      </c>
      <c r="N31" s="42">
        <v>22.760999999999999</v>
      </c>
      <c r="O31" s="52">
        <v>0.59499999999999997</v>
      </c>
      <c r="P31" s="53">
        <v>4.67</v>
      </c>
      <c r="Q31" s="53">
        <v>1.339</v>
      </c>
      <c r="R31" s="53">
        <v>1.4870000000000001</v>
      </c>
      <c r="S31" s="53">
        <v>1.639</v>
      </c>
      <c r="T31" s="53">
        <v>1.07</v>
      </c>
      <c r="U31" s="55">
        <v>0</v>
      </c>
      <c r="V31" s="53">
        <v>0</v>
      </c>
      <c r="W31" s="53">
        <v>17.951000000000001</v>
      </c>
      <c r="X31" s="53">
        <v>3.266</v>
      </c>
      <c r="Y31" s="53">
        <v>2.2040000000000002</v>
      </c>
      <c r="Z31" s="54">
        <v>1.413</v>
      </c>
    </row>
    <row r="32" spans="2:50" ht="14.25" x14ac:dyDescent="0.2">
      <c r="B32" s="20" t="s">
        <v>19</v>
      </c>
      <c r="C32" s="42">
        <v>18.23</v>
      </c>
      <c r="D32" s="42">
        <v>16.512</v>
      </c>
      <c r="E32" s="42">
        <v>19.713000000000001</v>
      </c>
      <c r="F32" s="42">
        <v>22.045000000000002</v>
      </c>
      <c r="G32" s="42">
        <v>17.266999999999999</v>
      </c>
      <c r="H32" s="42">
        <v>18.943000000000001</v>
      </c>
      <c r="I32" s="42">
        <v>0</v>
      </c>
      <c r="J32" s="42">
        <v>0</v>
      </c>
      <c r="K32" s="42">
        <v>15.541</v>
      </c>
      <c r="L32" s="42">
        <v>24.126000000000001</v>
      </c>
      <c r="M32" s="42">
        <v>18.759</v>
      </c>
      <c r="N32" s="42">
        <v>17.056000000000001</v>
      </c>
      <c r="O32" s="52">
        <v>0.52400000000000002</v>
      </c>
      <c r="P32" s="53">
        <v>3.0219999999999998</v>
      </c>
      <c r="Q32" s="53">
        <v>1.224</v>
      </c>
      <c r="R32" s="53">
        <v>1.3480000000000001</v>
      </c>
      <c r="S32" s="53">
        <v>1.484</v>
      </c>
      <c r="T32" s="53">
        <v>0.95899999999999996</v>
      </c>
      <c r="U32" s="55">
        <v>0</v>
      </c>
      <c r="V32" s="55">
        <v>0</v>
      </c>
      <c r="W32" s="53">
        <v>10.987</v>
      </c>
      <c r="X32" s="53">
        <v>2.8479999999999999</v>
      </c>
      <c r="Y32" s="53">
        <v>1.8640000000000001</v>
      </c>
      <c r="Z32" s="54">
        <v>1.335</v>
      </c>
    </row>
    <row r="33" spans="2:26" ht="14.25" x14ac:dyDescent="0.2">
      <c r="B33" s="20" t="s">
        <v>20</v>
      </c>
      <c r="C33" s="42">
        <v>11.567</v>
      </c>
      <c r="D33" s="42">
        <v>15.819000000000001</v>
      </c>
      <c r="E33" s="42">
        <v>17.138999999999999</v>
      </c>
      <c r="F33" s="42">
        <v>17.417999999999999</v>
      </c>
      <c r="G33" s="42">
        <v>10.827</v>
      </c>
      <c r="H33" s="42">
        <v>12.077999999999999</v>
      </c>
      <c r="I33" s="42">
        <v>0</v>
      </c>
      <c r="J33" s="42">
        <v>0</v>
      </c>
      <c r="K33" s="42">
        <v>18.824999999999999</v>
      </c>
      <c r="L33" s="42">
        <v>14.481</v>
      </c>
      <c r="M33" s="42">
        <v>7.141</v>
      </c>
      <c r="N33" s="42">
        <v>7.3120000000000003</v>
      </c>
      <c r="O33" s="52">
        <v>0.379</v>
      </c>
      <c r="P33" s="53">
        <v>2.9249999999999998</v>
      </c>
      <c r="Q33" s="53">
        <v>1.6240000000000001</v>
      </c>
      <c r="R33" s="53">
        <v>1.306</v>
      </c>
      <c r="S33" s="53">
        <v>1.2490000000000001</v>
      </c>
      <c r="T33" s="53">
        <v>0.71699999999999997</v>
      </c>
      <c r="U33" s="55">
        <v>0</v>
      </c>
      <c r="V33" s="55">
        <v>0</v>
      </c>
      <c r="W33" s="53">
        <v>13.917999999999999</v>
      </c>
      <c r="X33" s="53">
        <v>2.2400000000000002</v>
      </c>
      <c r="Y33" s="53">
        <v>0.94199999999999995</v>
      </c>
      <c r="Z33" s="54">
        <v>0.85799999999999998</v>
      </c>
    </row>
    <row r="34" spans="2:26" ht="14.25" x14ac:dyDescent="0.2">
      <c r="B34" s="20" t="s">
        <v>21</v>
      </c>
      <c r="C34" s="42">
        <v>5.1189999999999998</v>
      </c>
      <c r="D34" s="42">
        <v>13.776999999999999</v>
      </c>
      <c r="E34" s="42">
        <v>12.558999999999999</v>
      </c>
      <c r="F34" s="42">
        <v>10.618</v>
      </c>
      <c r="G34" s="42">
        <v>3.6890000000000001</v>
      </c>
      <c r="H34" s="42">
        <v>3.0470000000000002</v>
      </c>
      <c r="I34" s="42">
        <v>0</v>
      </c>
      <c r="J34" s="42">
        <v>0</v>
      </c>
      <c r="K34" s="42">
        <v>0</v>
      </c>
      <c r="L34" s="42">
        <v>4.0590000000000002</v>
      </c>
      <c r="M34" s="42">
        <v>2.9390000000000001</v>
      </c>
      <c r="N34" s="42">
        <v>3.242</v>
      </c>
      <c r="O34" s="52">
        <v>0.253</v>
      </c>
      <c r="P34" s="53">
        <v>3.2440000000000002</v>
      </c>
      <c r="Q34" s="53">
        <v>1.0249999999999999</v>
      </c>
      <c r="R34" s="53">
        <v>1.17</v>
      </c>
      <c r="S34" s="53">
        <v>0.622</v>
      </c>
      <c r="T34" s="53">
        <v>0.39600000000000002</v>
      </c>
      <c r="U34" s="55">
        <v>0</v>
      </c>
      <c r="V34" s="55">
        <v>0</v>
      </c>
      <c r="W34" s="53">
        <v>0</v>
      </c>
      <c r="X34" s="53">
        <v>1.6859999999999999</v>
      </c>
      <c r="Y34" s="53">
        <v>0.67800000000000005</v>
      </c>
      <c r="Z34" s="54">
        <v>0.51500000000000001</v>
      </c>
    </row>
    <row r="35" spans="2:26" ht="15" x14ac:dyDescent="0.25">
      <c r="B35" s="21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23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4"/>
    </row>
    <row r="36" spans="2:26" s="9" customFormat="1" ht="15" x14ac:dyDescent="0.25">
      <c r="B36" s="6" t="s">
        <v>23</v>
      </c>
      <c r="C36" s="11">
        <v>20602205</v>
      </c>
      <c r="D36" s="11">
        <v>196874</v>
      </c>
      <c r="E36" s="11">
        <v>1312754</v>
      </c>
      <c r="F36" s="11">
        <v>2113186</v>
      </c>
      <c r="G36" s="11">
        <v>1743509</v>
      </c>
      <c r="H36" s="11">
        <v>6502934</v>
      </c>
      <c r="I36" s="11">
        <v>144829</v>
      </c>
      <c r="J36" s="11">
        <v>543048</v>
      </c>
      <c r="K36" s="11">
        <v>45959</v>
      </c>
      <c r="L36" s="11">
        <v>625625</v>
      </c>
      <c r="M36" s="11">
        <v>1942896</v>
      </c>
      <c r="N36" s="11">
        <v>5430591</v>
      </c>
      <c r="O36" s="12">
        <v>486.57799999999997</v>
      </c>
      <c r="P36" s="13">
        <v>27.677</v>
      </c>
      <c r="Q36" s="13">
        <v>89.287999999999997</v>
      </c>
      <c r="R36" s="13">
        <v>113.783</v>
      </c>
      <c r="S36" s="13">
        <v>102.34699999999999</v>
      </c>
      <c r="T36" s="13">
        <v>242.863</v>
      </c>
      <c r="U36" s="13">
        <v>24.841999999999999</v>
      </c>
      <c r="V36" s="13">
        <v>55.143999999999998</v>
      </c>
      <c r="W36" s="13">
        <v>22.475000000000001</v>
      </c>
      <c r="X36" s="13">
        <v>61.813000000000002</v>
      </c>
      <c r="Y36" s="13">
        <v>116.95</v>
      </c>
      <c r="Z36" s="14">
        <v>258.53500000000003</v>
      </c>
    </row>
    <row r="37" spans="2:26" s="9" customFormat="1" ht="15" x14ac:dyDescent="0.25">
      <c r="B37" s="15" t="s">
        <v>15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17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8"/>
    </row>
    <row r="38" spans="2:26" ht="15" x14ac:dyDescent="0.25">
      <c r="B38" s="21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17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8"/>
    </row>
    <row r="39" spans="2:26" s="9" customFormat="1" ht="15" x14ac:dyDescent="0.25">
      <c r="B39" s="19" t="s">
        <v>3</v>
      </c>
      <c r="C39" s="56">
        <f>SUM(C40:C45)</f>
        <v>100</v>
      </c>
      <c r="D39" s="56">
        <f t="shared" ref="D39" si="12">SUM(D40:D45)</f>
        <v>100.001</v>
      </c>
      <c r="E39" s="56">
        <f t="shared" ref="E39" si="13">SUM(E40:E45)</f>
        <v>99.998999999999995</v>
      </c>
      <c r="F39" s="56">
        <f t="shared" ref="F39" si="14">SUM(F40:F45)</f>
        <v>99.998999999999995</v>
      </c>
      <c r="G39" s="56">
        <f t="shared" ref="G39" si="15">SUM(G40:G45)</f>
        <v>100.001</v>
      </c>
      <c r="H39" s="56">
        <f t="shared" ref="H39" si="16">SUM(H40:H45)</f>
        <v>100.001</v>
      </c>
      <c r="I39" s="56">
        <f>SUM(I40:I45)</f>
        <v>100</v>
      </c>
      <c r="J39" s="56">
        <f t="shared" ref="J39" si="17">SUM(J40:J45)</f>
        <v>100</v>
      </c>
      <c r="K39" s="56">
        <f t="shared" ref="K39" si="18">SUM(K40:K45)</f>
        <v>99.996999999999986</v>
      </c>
      <c r="L39" s="56">
        <f t="shared" ref="L39" si="19">SUM(L40:L45)</f>
        <v>100</v>
      </c>
      <c r="M39" s="56">
        <f t="shared" ref="M39" si="20">SUM(M40:M45)</f>
        <v>99.998999999999981</v>
      </c>
      <c r="N39" s="56">
        <f t="shared" ref="N39" si="21">SUM(N40:N45)</f>
        <v>100</v>
      </c>
      <c r="O39" s="17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8"/>
    </row>
    <row r="40" spans="2:26" ht="14.25" x14ac:dyDescent="0.2">
      <c r="B40" s="20" t="s">
        <v>16</v>
      </c>
      <c r="C40" s="42">
        <v>11.106</v>
      </c>
      <c r="D40" s="42">
        <v>0.88700000000000001</v>
      </c>
      <c r="E40" s="42">
        <v>2.6070000000000002</v>
      </c>
      <c r="F40" s="42">
        <v>2.3769999999999998</v>
      </c>
      <c r="G40" s="42">
        <v>11.269</v>
      </c>
      <c r="H40" s="42">
        <v>5.4859999999999998</v>
      </c>
      <c r="I40" s="42">
        <v>93.646000000000001</v>
      </c>
      <c r="J40" s="42">
        <v>94.831999999999994</v>
      </c>
      <c r="K40" s="42">
        <v>0</v>
      </c>
      <c r="L40" s="42">
        <v>4.2460000000000004</v>
      </c>
      <c r="M40" s="42">
        <v>19.268999999999998</v>
      </c>
      <c r="N40" s="42">
        <v>10.997</v>
      </c>
      <c r="O40" s="52">
        <v>0.48</v>
      </c>
      <c r="P40" s="53">
        <v>0.83699999999999997</v>
      </c>
      <c r="Q40" s="53">
        <v>0.74099999999999999</v>
      </c>
      <c r="R40" s="53">
        <v>0.66900000000000004</v>
      </c>
      <c r="S40" s="53">
        <v>1.413</v>
      </c>
      <c r="T40" s="53">
        <v>0.621</v>
      </c>
      <c r="U40" s="53">
        <v>5.57</v>
      </c>
      <c r="V40" s="53">
        <v>1.6359999999999999</v>
      </c>
      <c r="W40" s="53">
        <v>0</v>
      </c>
      <c r="X40" s="53">
        <v>2.0489999999999999</v>
      </c>
      <c r="Y40" s="53">
        <v>1.843</v>
      </c>
      <c r="Z40" s="54">
        <v>0.95099999999999996</v>
      </c>
    </row>
    <row r="41" spans="2:26" ht="14.25" x14ac:dyDescent="0.2">
      <c r="B41" s="20" t="s">
        <v>17</v>
      </c>
      <c r="C41" s="42">
        <v>27.475000000000001</v>
      </c>
      <c r="D41" s="42">
        <v>17.405000000000001</v>
      </c>
      <c r="E41" s="42">
        <v>12.983000000000001</v>
      </c>
      <c r="F41" s="42">
        <v>11.481999999999999</v>
      </c>
      <c r="G41" s="42">
        <v>20.888000000000002</v>
      </c>
      <c r="H41" s="42">
        <v>25.196000000000002</v>
      </c>
      <c r="I41" s="42">
        <v>6.3540000000000001</v>
      </c>
      <c r="J41" s="42">
        <v>5.1680000000000001</v>
      </c>
      <c r="K41" s="42">
        <v>36.216999999999999</v>
      </c>
      <c r="L41" s="42">
        <v>20.439</v>
      </c>
      <c r="M41" s="42">
        <v>32.384999999999998</v>
      </c>
      <c r="N41" s="42">
        <v>44.183</v>
      </c>
      <c r="O41" s="52">
        <v>0.64800000000000002</v>
      </c>
      <c r="P41" s="53">
        <v>5.1369999999999996</v>
      </c>
      <c r="Q41" s="53">
        <v>1.978</v>
      </c>
      <c r="R41" s="53">
        <v>1.3959999999999999</v>
      </c>
      <c r="S41" s="53">
        <v>2.1480000000000001</v>
      </c>
      <c r="T41" s="53">
        <v>1.1890000000000001</v>
      </c>
      <c r="U41" s="53">
        <v>5.57</v>
      </c>
      <c r="V41" s="55">
        <v>1.6359999999999999</v>
      </c>
      <c r="W41" s="53">
        <v>14.384</v>
      </c>
      <c r="X41" s="53">
        <v>3.4180000000000001</v>
      </c>
      <c r="Y41" s="53">
        <v>2.746</v>
      </c>
      <c r="Z41" s="54">
        <v>1.4410000000000001</v>
      </c>
    </row>
    <row r="42" spans="2:26" ht="14.25" x14ac:dyDescent="0.2">
      <c r="B42" s="20" t="s">
        <v>18</v>
      </c>
      <c r="C42" s="42">
        <v>22.466999999999999</v>
      </c>
      <c r="D42" s="42">
        <v>13.231999999999999</v>
      </c>
      <c r="E42" s="42">
        <v>18.713000000000001</v>
      </c>
      <c r="F42" s="42">
        <v>17.972999999999999</v>
      </c>
      <c r="G42" s="42">
        <v>23.437000000000001</v>
      </c>
      <c r="H42" s="42">
        <v>28.44</v>
      </c>
      <c r="I42" s="42">
        <v>0</v>
      </c>
      <c r="J42" s="42">
        <v>0</v>
      </c>
      <c r="K42" s="42">
        <v>37.222000000000001</v>
      </c>
      <c r="L42" s="42">
        <v>30.788</v>
      </c>
      <c r="M42" s="42">
        <v>21.314</v>
      </c>
      <c r="N42" s="42">
        <v>20.170000000000002</v>
      </c>
      <c r="O42" s="52">
        <v>0.73</v>
      </c>
      <c r="P42" s="53">
        <v>3.391</v>
      </c>
      <c r="Q42" s="53">
        <v>2.149</v>
      </c>
      <c r="R42" s="53">
        <v>2.1030000000000002</v>
      </c>
      <c r="S42" s="53">
        <v>2.532</v>
      </c>
      <c r="T42" s="53">
        <v>1.3919999999999999</v>
      </c>
      <c r="U42" s="55">
        <v>0</v>
      </c>
      <c r="V42" s="53">
        <v>0</v>
      </c>
      <c r="W42" s="53">
        <v>13.307</v>
      </c>
      <c r="X42" s="53">
        <v>4.8419999999999996</v>
      </c>
      <c r="Y42" s="53">
        <v>2.0649999999999999</v>
      </c>
      <c r="Z42" s="54">
        <v>1.18</v>
      </c>
    </row>
    <row r="43" spans="2:26" ht="14.25" x14ac:dyDescent="0.2">
      <c r="B43" s="20" t="s">
        <v>19</v>
      </c>
      <c r="C43" s="42">
        <v>19.738</v>
      </c>
      <c r="D43" s="42">
        <v>20.212</v>
      </c>
      <c r="E43" s="42">
        <v>21.356000000000002</v>
      </c>
      <c r="F43" s="42">
        <v>25.286999999999999</v>
      </c>
      <c r="G43" s="42">
        <v>21.678000000000001</v>
      </c>
      <c r="H43" s="42">
        <v>23.367000000000001</v>
      </c>
      <c r="I43" s="42">
        <v>0</v>
      </c>
      <c r="J43" s="42">
        <v>0</v>
      </c>
      <c r="K43" s="42">
        <v>26.558</v>
      </c>
      <c r="L43" s="42">
        <v>25.664000000000001</v>
      </c>
      <c r="M43" s="42">
        <v>16.238</v>
      </c>
      <c r="N43" s="42">
        <v>15.214</v>
      </c>
      <c r="O43" s="52">
        <v>0.61799999999999999</v>
      </c>
      <c r="P43" s="53">
        <v>3.5339999999999998</v>
      </c>
      <c r="Q43" s="53">
        <v>2.0369999999999999</v>
      </c>
      <c r="R43" s="53">
        <v>2.1059999999999999</v>
      </c>
      <c r="S43" s="53">
        <v>1.875</v>
      </c>
      <c r="T43" s="53">
        <v>1.0880000000000001</v>
      </c>
      <c r="U43" s="55">
        <v>0</v>
      </c>
      <c r="V43" s="55">
        <v>0</v>
      </c>
      <c r="W43" s="53">
        <v>18.722999999999999</v>
      </c>
      <c r="X43" s="53">
        <v>3.899</v>
      </c>
      <c r="Y43" s="53">
        <v>2.1389999999999998</v>
      </c>
      <c r="Z43" s="54">
        <v>1.1120000000000001</v>
      </c>
    </row>
    <row r="44" spans="2:26" ht="14.25" x14ac:dyDescent="0.2">
      <c r="B44" s="20" t="s">
        <v>20</v>
      </c>
      <c r="C44" s="42">
        <v>12.872</v>
      </c>
      <c r="D44" s="42">
        <v>26.305</v>
      </c>
      <c r="E44" s="42">
        <v>25.096</v>
      </c>
      <c r="F44" s="42">
        <v>26.581</v>
      </c>
      <c r="G44" s="42">
        <v>14.19</v>
      </c>
      <c r="H44" s="42">
        <v>12.638999999999999</v>
      </c>
      <c r="I44" s="42">
        <v>0</v>
      </c>
      <c r="J44" s="42">
        <v>0</v>
      </c>
      <c r="K44" s="42">
        <v>0</v>
      </c>
      <c r="L44" s="42">
        <v>12.965999999999999</v>
      </c>
      <c r="M44" s="42">
        <v>8.1839999999999993</v>
      </c>
      <c r="N44" s="42">
        <v>7.3579999999999997</v>
      </c>
      <c r="O44" s="52">
        <v>0.47499999999999998</v>
      </c>
      <c r="P44" s="53">
        <v>5.1879999999999997</v>
      </c>
      <c r="Q44" s="53">
        <v>2.3439999999999999</v>
      </c>
      <c r="R44" s="53">
        <v>2.2890000000000001</v>
      </c>
      <c r="S44" s="53">
        <v>1.78</v>
      </c>
      <c r="T44" s="53">
        <v>0.82499999999999996</v>
      </c>
      <c r="U44" s="55">
        <v>0</v>
      </c>
      <c r="V44" s="55">
        <v>0</v>
      </c>
      <c r="W44" s="53">
        <v>0</v>
      </c>
      <c r="X44" s="53">
        <v>3.96</v>
      </c>
      <c r="Y44" s="53">
        <v>1.5720000000000001</v>
      </c>
      <c r="Z44" s="54">
        <v>0.69</v>
      </c>
    </row>
    <row r="45" spans="2:26" ht="14.25" x14ac:dyDescent="0.2">
      <c r="B45" s="20" t="s">
        <v>21</v>
      </c>
      <c r="C45" s="42">
        <v>6.3419999999999996</v>
      </c>
      <c r="D45" s="42">
        <v>21.96</v>
      </c>
      <c r="E45" s="42">
        <v>19.244</v>
      </c>
      <c r="F45" s="42">
        <v>16.298999999999999</v>
      </c>
      <c r="G45" s="42">
        <v>8.5389999999999997</v>
      </c>
      <c r="H45" s="42">
        <v>4.8730000000000002</v>
      </c>
      <c r="I45" s="42">
        <v>0</v>
      </c>
      <c r="J45" s="42">
        <v>0</v>
      </c>
      <c r="K45" s="42">
        <v>0</v>
      </c>
      <c r="L45" s="42">
        <v>5.8970000000000002</v>
      </c>
      <c r="M45" s="42">
        <v>2.609</v>
      </c>
      <c r="N45" s="42">
        <v>2.0779999999999998</v>
      </c>
      <c r="O45" s="52">
        <v>0.35</v>
      </c>
      <c r="P45" s="53">
        <v>4.0389999999999997</v>
      </c>
      <c r="Q45" s="53">
        <v>1.948</v>
      </c>
      <c r="R45" s="53">
        <v>1.6619999999999999</v>
      </c>
      <c r="S45" s="53">
        <v>1.327</v>
      </c>
      <c r="T45" s="53">
        <v>0.60199999999999998</v>
      </c>
      <c r="U45" s="55">
        <v>0</v>
      </c>
      <c r="V45" s="55">
        <v>0</v>
      </c>
      <c r="W45" s="53">
        <v>0</v>
      </c>
      <c r="X45" s="53">
        <v>1.796</v>
      </c>
      <c r="Y45" s="53">
        <v>0.77</v>
      </c>
      <c r="Z45" s="54">
        <v>0.41399999999999998</v>
      </c>
    </row>
    <row r="46" spans="2:26" ht="14.25" x14ac:dyDescent="0.25"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7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8"/>
    </row>
    <row r="47" spans="2:26" ht="14.25" x14ac:dyDescent="0.25">
      <c r="B47" s="37" t="s">
        <v>24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2:26" ht="14.25" x14ac:dyDescent="0.25">
      <c r="B48" s="37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2:26" s="32" customFormat="1" ht="14.25" x14ac:dyDescent="0.2">
      <c r="B49" s="48" t="s">
        <v>25</v>
      </c>
      <c r="C49" s="1"/>
      <c r="D49" s="31"/>
      <c r="E49" s="31"/>
      <c r="F49" s="31"/>
      <c r="G49" s="31"/>
      <c r="H49" s="31"/>
      <c r="O49" s="1"/>
      <c r="P49" s="31"/>
      <c r="Q49" s="31"/>
      <c r="R49" s="31"/>
      <c r="S49" s="31"/>
      <c r="T49" s="31"/>
    </row>
    <row r="50" spans="2:26" s="32" customFormat="1" ht="14.25" x14ac:dyDescent="0.2">
      <c r="B50" s="49" t="s">
        <v>26</v>
      </c>
      <c r="C50" s="1"/>
      <c r="D50" s="31"/>
      <c r="E50" s="31"/>
      <c r="F50" s="31"/>
      <c r="G50" s="31"/>
      <c r="H50" s="31"/>
      <c r="O50" s="1"/>
      <c r="P50" s="31"/>
      <c r="Q50" s="31"/>
      <c r="R50" s="31"/>
      <c r="S50" s="31"/>
      <c r="T50" s="31"/>
    </row>
    <row r="51" spans="2:26" s="33" customFormat="1" ht="14.25" x14ac:dyDescent="0.25">
      <c r="B51" s="50" t="s">
        <v>28</v>
      </c>
      <c r="D51" s="34"/>
      <c r="E51" s="35"/>
      <c r="F51" s="36"/>
      <c r="G51" s="36"/>
      <c r="H51" s="36"/>
      <c r="I51" s="36"/>
      <c r="P51" s="34"/>
      <c r="Q51" s="35"/>
      <c r="R51" s="36"/>
      <c r="S51" s="36"/>
      <c r="T51" s="36"/>
      <c r="U51" s="36"/>
    </row>
    <row r="52" spans="2:26" s="37" customFormat="1" ht="14.25" x14ac:dyDescent="0.25">
      <c r="C52" s="38"/>
      <c r="D52" s="38"/>
      <c r="E52" s="38"/>
      <c r="F52" s="38"/>
      <c r="G52" s="38"/>
      <c r="H52" s="38"/>
      <c r="I52" s="29"/>
      <c r="J52" s="29"/>
      <c r="K52" s="29"/>
      <c r="L52" s="29"/>
      <c r="M52" s="29"/>
      <c r="N52" s="29"/>
      <c r="O52" s="38"/>
      <c r="P52" s="38"/>
      <c r="Q52" s="38"/>
      <c r="R52" s="38"/>
      <c r="S52" s="38"/>
      <c r="T52" s="38"/>
      <c r="U52" s="29"/>
      <c r="V52" s="29"/>
      <c r="W52" s="29"/>
      <c r="X52" s="29"/>
      <c r="Y52" s="29"/>
      <c r="Z52" s="29"/>
    </row>
    <row r="53" spans="2:26" ht="15" x14ac:dyDescent="0.25">
      <c r="B53" s="7"/>
      <c r="C53" s="39"/>
      <c r="D53" s="40"/>
      <c r="E53" s="40"/>
      <c r="F53" s="39"/>
      <c r="G53" s="39"/>
      <c r="H53" s="39"/>
      <c r="I53" s="3"/>
      <c r="J53" s="3"/>
      <c r="K53" s="3"/>
      <c r="L53" s="3"/>
      <c r="M53" s="3"/>
      <c r="N53" s="3"/>
      <c r="O53" s="39"/>
      <c r="P53" s="40"/>
      <c r="Q53" s="40"/>
      <c r="R53" s="39"/>
      <c r="S53" s="39"/>
      <c r="T53" s="39"/>
      <c r="U53" s="3"/>
      <c r="V53" s="3"/>
      <c r="W53" s="3"/>
      <c r="X53" s="3"/>
      <c r="Y53" s="3"/>
      <c r="Z53" s="3"/>
    </row>
    <row r="54" spans="2:26" ht="15" x14ac:dyDescent="0.25">
      <c r="C54" s="39"/>
      <c r="D54" s="41"/>
      <c r="E54" s="41"/>
      <c r="F54" s="39"/>
      <c r="G54" s="39"/>
      <c r="H54" s="39"/>
      <c r="I54" s="3"/>
      <c r="J54" s="3"/>
      <c r="K54" s="3"/>
      <c r="L54" s="3"/>
      <c r="M54" s="3"/>
      <c r="N54" s="3"/>
      <c r="O54" s="39"/>
      <c r="P54" s="41"/>
      <c r="Q54" s="41"/>
      <c r="R54" s="39"/>
      <c r="S54" s="39"/>
      <c r="T54" s="39"/>
      <c r="U54" s="3"/>
      <c r="V54" s="3"/>
      <c r="W54" s="3"/>
      <c r="X54" s="3"/>
      <c r="Y54" s="3"/>
      <c r="Z54" s="3"/>
    </row>
  </sheetData>
  <mergeCells count="40">
    <mergeCell ref="K9:K10"/>
    <mergeCell ref="L9:L10"/>
    <mergeCell ref="M9:M10"/>
    <mergeCell ref="N9:N10"/>
    <mergeCell ref="B3:Z3"/>
    <mergeCell ref="B6:B10"/>
    <mergeCell ref="C6:N6"/>
    <mergeCell ref="O6:Z6"/>
    <mergeCell ref="C7:C10"/>
    <mergeCell ref="D7:N7"/>
    <mergeCell ref="O7:O10"/>
    <mergeCell ref="P7:Z7"/>
    <mergeCell ref="D8:D10"/>
    <mergeCell ref="E8:F8"/>
    <mergeCell ref="S8:T8"/>
    <mergeCell ref="U8:V8"/>
    <mergeCell ref="W8:X8"/>
    <mergeCell ref="Y8:Z8"/>
    <mergeCell ref="E9:E10"/>
    <mergeCell ref="F9:F10"/>
    <mergeCell ref="G9:G10"/>
    <mergeCell ref="H9:H10"/>
    <mergeCell ref="I9:I10"/>
    <mergeCell ref="J9:J10"/>
    <mergeCell ref="G8:H8"/>
    <mergeCell ref="I8:J8"/>
    <mergeCell ref="K8:L8"/>
    <mergeCell ref="M8:N8"/>
    <mergeCell ref="P8:P10"/>
    <mergeCell ref="Q8:R8"/>
    <mergeCell ref="W9:W10"/>
    <mergeCell ref="X9:X10"/>
    <mergeCell ref="Y9:Y10"/>
    <mergeCell ref="Z9:Z10"/>
    <mergeCell ref="Q9:Q10"/>
    <mergeCell ref="R9:R10"/>
    <mergeCell ref="S9:S10"/>
    <mergeCell ref="T9:T10"/>
    <mergeCell ref="U9:U10"/>
    <mergeCell ref="V9:V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Statistical_Tab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2025-11-08T04:34:10Z</dcterms:created>
  <dcterms:modified xsi:type="dcterms:W3CDTF">2025-12-16T11:09:56Z</dcterms:modified>
</cp:coreProperties>
</file>