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 - LFS\Sol's works\A-SOL 2025\S - SPECIAL RELEASE\2024 FINAL RESULTS\FINAL STAT TABLES\11 - NOV 2024\"/>
    </mc:Choice>
  </mc:AlternateContent>
  <xr:revisionPtr revIDLastSave="0" documentId="13_ncr:1_{8499823D-1489-4E14-B6C3-1E3EF3BEBB90}" xr6:coauthVersionLast="47" xr6:coauthVersionMax="47" xr10:uidLastSave="{00000000-0000-0000-0000-000000000000}"/>
  <bookViews>
    <workbookView xWindow="-120" yWindow="-120" windowWidth="29040" windowHeight="15720" xr2:uid="{C07C25D2-AFB6-4123-B3D7-CA63FF357DD5}"/>
  </bookViews>
  <sheets>
    <sheet name="Statistical Tab_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" i="1" l="1"/>
  <c r="G12" i="1"/>
  <c r="F12" i="1"/>
  <c r="E12" i="1"/>
  <c r="D12" i="1"/>
  <c r="C12" i="1"/>
</calcChain>
</file>

<file path=xl/sharedStrings.xml><?xml version="1.0" encoding="utf-8"?>
<sst xmlns="http://schemas.openxmlformats.org/spreadsheetml/2006/main" count="38" uniqueCount="29">
  <si>
    <r>
      <t>TABLE 8  Percent  Distribution of Employed Persons by Total Hours Worked and Major Occupation Group: November 2024</t>
    </r>
    <r>
      <rPr>
        <b/>
        <vertAlign val="superscript"/>
        <sz val="11"/>
        <rFont val="Arial"/>
        <family val="2"/>
      </rPr>
      <t>f</t>
    </r>
  </si>
  <si>
    <t>Estimates</t>
  </si>
  <si>
    <t>Standard Error</t>
  </si>
  <si>
    <t>Total</t>
  </si>
  <si>
    <t>Did Not Work</t>
  </si>
  <si>
    <t>Total Hours Worked</t>
  </si>
  <si>
    <t>Mean Hours Worked</t>
  </si>
  <si>
    <t>Under 20</t>
  </si>
  <si>
    <t>20-29</t>
  </si>
  <si>
    <t>30-39</t>
  </si>
  <si>
    <t>40 and over</t>
  </si>
  <si>
    <t>Philippines</t>
  </si>
  <si>
    <t>Number (in thousands)</t>
  </si>
  <si>
    <t xml:space="preserve">  Managers</t>
  </si>
  <si>
    <t xml:space="preserve">  Professionals</t>
  </si>
  <si>
    <t xml:space="preserve">  Technicians and associate professionals</t>
  </si>
  <si>
    <t xml:space="preserve">  Clerical support workers</t>
  </si>
  <si>
    <t xml:space="preserve">  Service and sales workers</t>
  </si>
  <si>
    <t xml:space="preserve">  Skilled agricultural, forestry and fishery workers</t>
  </si>
  <si>
    <t xml:space="preserve">  Craft and related trades workers</t>
  </si>
  <si>
    <t xml:space="preserve">  Plant and machine operators and assemblers</t>
  </si>
  <si>
    <t xml:space="preserve">  Elementary occupations</t>
  </si>
  <si>
    <t xml:space="preserve">  Armed forces occupations and special occupations</t>
  </si>
  <si>
    <t>f - Estimates are final</t>
  </si>
  <si>
    <t xml:space="preserve"> Notes:  "-" indicator equals to 0</t>
  </si>
  <si>
    <t xml:space="preserve"> 0.0 - less than 0.05 percent</t>
  </si>
  <si>
    <t xml:space="preserve"> Details may not add up to totals due to rounding.</t>
  </si>
  <si>
    <t>Source:  Philippine Statistics Authority, November 2024 Labor Force Survey</t>
  </si>
  <si>
    <t>Major Occupation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</si>
</sst>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-* #,##0.0_-;\-* #,##0.0_-;_-* &quot;-&quot;??_-;_-@_-"/>
    <numFmt numFmtId="165" formatCode="#,##0;[Red]#,##0"/>
    <numFmt numFmtId="166" formatCode="0.0"/>
    <numFmt numFmtId="167" formatCode="#,##0.0;[Red]#,##0.0"/>
    <numFmt numFmtId="168" formatCode="#,##0,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Arial"/>
      <family val="2"/>
    </font>
    <font>
      <b/>
      <vertAlign val="superscript"/>
      <sz val="11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sz val="10"/>
      <name val="Courier"/>
      <family val="3"/>
    </font>
    <font>
      <strike/>
      <sz val="10"/>
      <color rgb="FFFF0000"/>
      <name val="Arial"/>
      <family val="2"/>
    </font>
    <font>
      <strike/>
      <sz val="11"/>
      <color rgb="FFFF0000"/>
      <name val="Arial"/>
      <family val="2"/>
    </font>
    <font>
      <b/>
      <strike/>
      <sz val="11"/>
      <color rgb="FFFF0000"/>
      <name val="Arial"/>
      <family val="2"/>
    </font>
    <font>
      <b/>
      <strike/>
      <sz val="10"/>
      <color rgb="FFFF0000"/>
      <name val="Arial"/>
      <family val="2"/>
    </font>
    <font>
      <b/>
      <sz val="11"/>
      <color theme="4" tint="-0.249977111117893"/>
      <name val="Arial"/>
      <family val="2"/>
    </font>
    <font>
      <sz val="11"/>
      <color rgb="FFFF0000"/>
      <name val="Arial"/>
      <family val="2"/>
    </font>
    <font>
      <sz val="10"/>
      <color rgb="FFFF0000"/>
      <name val="Arial"/>
      <family val="2"/>
    </font>
    <font>
      <b/>
      <sz val="11"/>
      <color theme="1"/>
      <name val="Arial"/>
      <family val="2"/>
    </font>
    <font>
      <i/>
      <sz val="10"/>
      <name val="Arial"/>
      <family val="2"/>
    </font>
    <font>
      <i/>
      <sz val="10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37" fontId="8" fillId="0" borderId="0"/>
  </cellStyleXfs>
  <cellXfs count="69">
    <xf numFmtId="0" fontId="0" fillId="0" borderId="0" xfId="0"/>
    <xf numFmtId="0" fontId="2" fillId="0" borderId="0" xfId="0" applyFont="1" applyAlignment="1">
      <alignment horizontal="center" vertical="center"/>
    </xf>
    <xf numFmtId="0" fontId="4" fillId="0" borderId="0" xfId="0" applyFont="1"/>
    <xf numFmtId="0" fontId="2" fillId="0" borderId="0" xfId="0" applyFont="1" applyAlignment="1">
      <alignment horizontal="center" vertical="center" wrapText="1"/>
    </xf>
    <xf numFmtId="0" fontId="5" fillId="0" borderId="0" xfId="0" applyFont="1" applyAlignment="1">
      <alignment horizontal="right" vertical="center" wrapText="1"/>
    </xf>
    <xf numFmtId="0" fontId="5" fillId="0" borderId="0" xfId="0" applyFont="1" applyAlignment="1">
      <alignment horizontal="center" vertical="center"/>
    </xf>
    <xf numFmtId="0" fontId="6" fillId="0" borderId="0" xfId="0" applyFont="1"/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2" fillId="0" borderId="4" xfId="0" applyFont="1" applyBorder="1" applyAlignment="1">
      <alignment horizontal="right" vertical="center" wrapText="1"/>
    </xf>
    <xf numFmtId="0" fontId="4" fillId="0" borderId="4" xfId="0" applyFont="1" applyBorder="1"/>
    <xf numFmtId="0" fontId="2" fillId="0" borderId="3" xfId="0" applyFont="1" applyBorder="1" applyAlignment="1">
      <alignment vertical="center"/>
    </xf>
    <xf numFmtId="165" fontId="2" fillId="0" borderId="0" xfId="1" applyNumberFormat="1" applyFont="1" applyFill="1" applyBorder="1"/>
    <xf numFmtId="166" fontId="2" fillId="0" borderId="4" xfId="0" applyNumberFormat="1" applyFont="1" applyBorder="1"/>
    <xf numFmtId="37" fontId="7" fillId="0" borderId="3" xfId="2" applyFont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4" xfId="0" applyFont="1" applyBorder="1" applyAlignment="1">
      <alignment vertical="center"/>
    </xf>
    <xf numFmtId="166" fontId="6" fillId="0" borderId="0" xfId="0" applyNumberFormat="1" applyFont="1"/>
    <xf numFmtId="166" fontId="4" fillId="0" borderId="0" xfId="0" applyNumberFormat="1" applyFont="1"/>
    <xf numFmtId="37" fontId="2" fillId="0" borderId="3" xfId="2" applyFont="1" applyBorder="1" applyAlignment="1">
      <alignment vertical="center"/>
    </xf>
    <xf numFmtId="166" fontId="4" fillId="0" borderId="4" xfId="0" applyNumberFormat="1" applyFont="1" applyBorder="1"/>
    <xf numFmtId="37" fontId="2" fillId="0" borderId="3" xfId="2" applyFont="1" applyBorder="1" applyAlignment="1">
      <alignment horizontal="left" vertical="center"/>
    </xf>
    <xf numFmtId="0" fontId="6" fillId="0" borderId="4" xfId="0" applyFont="1" applyBorder="1"/>
    <xf numFmtId="166" fontId="6" fillId="0" borderId="4" xfId="0" applyNumberFormat="1" applyFont="1" applyBorder="1"/>
    <xf numFmtId="37" fontId="7" fillId="0" borderId="3" xfId="0" applyNumberFormat="1" applyFont="1" applyBorder="1" applyAlignment="1">
      <alignment vertical="center"/>
    </xf>
    <xf numFmtId="164" fontId="7" fillId="0" borderId="0" xfId="1" applyNumberFormat="1" applyFont="1" applyFill="1" applyBorder="1" applyAlignment="1"/>
    <xf numFmtId="164" fontId="7" fillId="0" borderId="4" xfId="1" applyNumberFormat="1" applyFont="1" applyFill="1" applyBorder="1" applyAlignment="1"/>
    <xf numFmtId="37" fontId="7" fillId="0" borderId="3" xfId="0" applyNumberFormat="1" applyFont="1" applyBorder="1" applyAlignment="1">
      <alignment horizontal="left" vertical="center"/>
    </xf>
    <xf numFmtId="164" fontId="7" fillId="0" borderId="0" xfId="0" applyNumberFormat="1" applyFont="1"/>
    <xf numFmtId="164" fontId="7" fillId="0" borderId="4" xfId="0" applyNumberFormat="1" applyFont="1" applyBorder="1"/>
    <xf numFmtId="0" fontId="9" fillId="0" borderId="0" xfId="0" applyFont="1"/>
    <xf numFmtId="37" fontId="10" fillId="0" borderId="5" xfId="0" applyNumberFormat="1" applyFont="1" applyBorder="1" applyAlignment="1">
      <alignment vertical="center"/>
    </xf>
    <xf numFmtId="0" fontId="12" fillId="0" borderId="6" xfId="0" applyFont="1" applyBorder="1"/>
    <xf numFmtId="0" fontId="9" fillId="0" borderId="6" xfId="0" applyFont="1" applyBorder="1" applyAlignment="1">
      <alignment horizontal="right"/>
    </xf>
    <xf numFmtId="0" fontId="9" fillId="0" borderId="6" xfId="0" applyFont="1" applyBorder="1"/>
    <xf numFmtId="0" fontId="9" fillId="0" borderId="7" xfId="0" applyFont="1" applyBorder="1"/>
    <xf numFmtId="167" fontId="7" fillId="0" borderId="0" xfId="0" applyNumberFormat="1" applyFont="1" applyAlignment="1">
      <alignment vertical="center"/>
    </xf>
    <xf numFmtId="167" fontId="2" fillId="0" borderId="0" xfId="1" quotePrefix="1" applyNumberFormat="1" applyFont="1" applyBorder="1" applyAlignment="1">
      <alignment horizontal="right" vertical="center"/>
    </xf>
    <xf numFmtId="0" fontId="13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4" fillId="0" borderId="0" xfId="0" applyFont="1"/>
    <xf numFmtId="0" fontId="15" fillId="0" borderId="0" xfId="0" applyFont="1"/>
    <xf numFmtId="164" fontId="16" fillId="0" borderId="3" xfId="1" applyNumberFormat="1" applyFont="1" applyBorder="1"/>
    <xf numFmtId="164" fontId="16" fillId="0" borderId="0" xfId="1" applyNumberFormat="1" applyFont="1" applyBorder="1"/>
    <xf numFmtId="37" fontId="17" fillId="0" borderId="0" xfId="0" applyNumberFormat="1" applyFont="1" applyAlignment="1">
      <alignment vertical="center"/>
    </xf>
    <xf numFmtId="0" fontId="18" fillId="0" borderId="0" xfId="0" applyFont="1"/>
    <xf numFmtId="0" fontId="18" fillId="0" borderId="0" xfId="0" applyFont="1" applyAlignment="1">
      <alignment horizontal="left" indent="4"/>
    </xf>
    <xf numFmtId="37" fontId="17" fillId="0" borderId="0" xfId="0" applyNumberFormat="1" applyFont="1" applyAlignment="1" applyProtection="1">
      <alignment horizontal="left" vertical="center"/>
      <protection locked="0"/>
    </xf>
    <xf numFmtId="168" fontId="16" fillId="0" borderId="3" xfId="0" applyNumberFormat="1" applyFont="1" applyBorder="1"/>
    <xf numFmtId="168" fontId="16" fillId="0" borderId="0" xfId="0" applyNumberFormat="1" applyFont="1"/>
    <xf numFmtId="164" fontId="16" fillId="0" borderId="4" xfId="1" applyNumberFormat="1" applyFont="1" applyBorder="1"/>
    <xf numFmtId="164" fontId="4" fillId="0" borderId="3" xfId="1" applyNumberFormat="1" applyFont="1" applyBorder="1"/>
    <xf numFmtId="164" fontId="4" fillId="0" borderId="0" xfId="1" applyNumberFormat="1" applyFont="1" applyBorder="1"/>
    <xf numFmtId="164" fontId="4" fillId="0" borderId="4" xfId="1" applyNumberFormat="1" applyFont="1" applyBorder="1"/>
    <xf numFmtId="164" fontId="10" fillId="0" borderId="5" xfId="0" applyNumberFormat="1" applyFont="1" applyBorder="1" applyAlignment="1">
      <alignment vertical="center"/>
    </xf>
    <xf numFmtId="164" fontId="11" fillId="0" borderId="6" xfId="1" quotePrefix="1" applyNumberFormat="1" applyFont="1" applyFill="1" applyBorder="1" applyAlignment="1">
      <alignment horizontal="right" vertical="center"/>
    </xf>
    <xf numFmtId="164" fontId="10" fillId="0" borderId="6" xfId="0" applyNumberFormat="1" applyFont="1" applyBorder="1" applyAlignment="1">
      <alignment vertical="center"/>
    </xf>
    <xf numFmtId="164" fontId="10" fillId="0" borderId="7" xfId="0" applyNumberFormat="1" applyFont="1" applyBorder="1"/>
    <xf numFmtId="37" fontId="19" fillId="0" borderId="0" xfId="0" applyNumberFormat="1" applyFont="1" applyAlignment="1">
      <alignment vertical="center"/>
    </xf>
    <xf numFmtId="0" fontId="20" fillId="0" borderId="0" xfId="0" applyFont="1"/>
    <xf numFmtId="0" fontId="2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Normal_Jan06_tables" xfId="2" xr:uid="{40F5796F-BFA2-4C03-9385-43E3DF197B3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2A8B1-A825-4FC8-8B0B-9311D6B6B9B4}">
  <dimension ref="A2:P29"/>
  <sheetViews>
    <sheetView showGridLines="0" tabSelected="1" workbookViewId="0">
      <selection activeCell="L16" sqref="L16"/>
    </sheetView>
  </sheetViews>
  <sheetFormatPr defaultRowHeight="14.25" x14ac:dyDescent="0.2"/>
  <cols>
    <col min="1" max="1" width="2.140625" style="2" customWidth="1"/>
    <col min="2" max="2" width="51.28515625" style="2" customWidth="1"/>
    <col min="3" max="9" width="12.28515625" style="42" customWidth="1"/>
    <col min="10" max="10" width="8.85546875" style="6"/>
    <col min="11" max="242" width="8.85546875" style="2"/>
    <col min="243" max="243" width="8.42578125" style="2" customWidth="1"/>
    <col min="244" max="244" width="50.7109375" style="2" customWidth="1"/>
    <col min="245" max="245" width="8.7109375" style="2" customWidth="1"/>
    <col min="246" max="246" width="7.7109375" style="2" customWidth="1"/>
    <col min="247" max="247" width="7.28515625" style="2" customWidth="1"/>
    <col min="248" max="248" width="7.7109375" style="2" customWidth="1"/>
    <col min="249" max="249" width="8" style="2" customWidth="1"/>
    <col min="250" max="250" width="7.7109375" style="2" customWidth="1"/>
    <col min="251" max="251" width="9" style="2" customWidth="1"/>
    <col min="252" max="498" width="8.85546875" style="2"/>
    <col min="499" max="499" width="8.42578125" style="2" customWidth="1"/>
    <col min="500" max="500" width="50.7109375" style="2" customWidth="1"/>
    <col min="501" max="501" width="8.7109375" style="2" customWidth="1"/>
    <col min="502" max="502" width="7.7109375" style="2" customWidth="1"/>
    <col min="503" max="503" width="7.28515625" style="2" customWidth="1"/>
    <col min="504" max="504" width="7.7109375" style="2" customWidth="1"/>
    <col min="505" max="505" width="8" style="2" customWidth="1"/>
    <col min="506" max="506" width="7.7109375" style="2" customWidth="1"/>
    <col min="507" max="507" width="9" style="2" customWidth="1"/>
    <col min="508" max="754" width="8.85546875" style="2"/>
    <col min="755" max="755" width="8.42578125" style="2" customWidth="1"/>
    <col min="756" max="756" width="50.7109375" style="2" customWidth="1"/>
    <col min="757" max="757" width="8.7109375" style="2" customWidth="1"/>
    <col min="758" max="758" width="7.7109375" style="2" customWidth="1"/>
    <col min="759" max="759" width="7.28515625" style="2" customWidth="1"/>
    <col min="760" max="760" width="7.7109375" style="2" customWidth="1"/>
    <col min="761" max="761" width="8" style="2" customWidth="1"/>
    <col min="762" max="762" width="7.7109375" style="2" customWidth="1"/>
    <col min="763" max="763" width="9" style="2" customWidth="1"/>
    <col min="764" max="1010" width="8.85546875" style="2"/>
    <col min="1011" max="1011" width="8.42578125" style="2" customWidth="1"/>
    <col min="1012" max="1012" width="50.7109375" style="2" customWidth="1"/>
    <col min="1013" max="1013" width="8.7109375" style="2" customWidth="1"/>
    <col min="1014" max="1014" width="7.7109375" style="2" customWidth="1"/>
    <col min="1015" max="1015" width="7.28515625" style="2" customWidth="1"/>
    <col min="1016" max="1016" width="7.7109375" style="2" customWidth="1"/>
    <col min="1017" max="1017" width="8" style="2" customWidth="1"/>
    <col min="1018" max="1018" width="7.7109375" style="2" customWidth="1"/>
    <col min="1019" max="1019" width="9" style="2" customWidth="1"/>
    <col min="1020" max="1266" width="8.85546875" style="2"/>
    <col min="1267" max="1267" width="8.42578125" style="2" customWidth="1"/>
    <col min="1268" max="1268" width="50.7109375" style="2" customWidth="1"/>
    <col min="1269" max="1269" width="8.7109375" style="2" customWidth="1"/>
    <col min="1270" max="1270" width="7.7109375" style="2" customWidth="1"/>
    <col min="1271" max="1271" width="7.28515625" style="2" customWidth="1"/>
    <col min="1272" max="1272" width="7.7109375" style="2" customWidth="1"/>
    <col min="1273" max="1273" width="8" style="2" customWidth="1"/>
    <col min="1274" max="1274" width="7.7109375" style="2" customWidth="1"/>
    <col min="1275" max="1275" width="9" style="2" customWidth="1"/>
    <col min="1276" max="1522" width="8.85546875" style="2"/>
    <col min="1523" max="1523" width="8.42578125" style="2" customWidth="1"/>
    <col min="1524" max="1524" width="50.7109375" style="2" customWidth="1"/>
    <col min="1525" max="1525" width="8.7109375" style="2" customWidth="1"/>
    <col min="1526" max="1526" width="7.7109375" style="2" customWidth="1"/>
    <col min="1527" max="1527" width="7.28515625" style="2" customWidth="1"/>
    <col min="1528" max="1528" width="7.7109375" style="2" customWidth="1"/>
    <col min="1529" max="1529" width="8" style="2" customWidth="1"/>
    <col min="1530" max="1530" width="7.7109375" style="2" customWidth="1"/>
    <col min="1531" max="1531" width="9" style="2" customWidth="1"/>
    <col min="1532" max="1778" width="8.85546875" style="2"/>
    <col min="1779" max="1779" width="8.42578125" style="2" customWidth="1"/>
    <col min="1780" max="1780" width="50.7109375" style="2" customWidth="1"/>
    <col min="1781" max="1781" width="8.7109375" style="2" customWidth="1"/>
    <col min="1782" max="1782" width="7.7109375" style="2" customWidth="1"/>
    <col min="1783" max="1783" width="7.28515625" style="2" customWidth="1"/>
    <col min="1784" max="1784" width="7.7109375" style="2" customWidth="1"/>
    <col min="1785" max="1785" width="8" style="2" customWidth="1"/>
    <col min="1786" max="1786" width="7.7109375" style="2" customWidth="1"/>
    <col min="1787" max="1787" width="9" style="2" customWidth="1"/>
    <col min="1788" max="2034" width="8.85546875" style="2"/>
    <col min="2035" max="2035" width="8.42578125" style="2" customWidth="1"/>
    <col min="2036" max="2036" width="50.7109375" style="2" customWidth="1"/>
    <col min="2037" max="2037" width="8.7109375" style="2" customWidth="1"/>
    <col min="2038" max="2038" width="7.7109375" style="2" customWidth="1"/>
    <col min="2039" max="2039" width="7.28515625" style="2" customWidth="1"/>
    <col min="2040" max="2040" width="7.7109375" style="2" customWidth="1"/>
    <col min="2041" max="2041" width="8" style="2" customWidth="1"/>
    <col min="2042" max="2042" width="7.7109375" style="2" customWidth="1"/>
    <col min="2043" max="2043" width="9" style="2" customWidth="1"/>
    <col min="2044" max="2290" width="8.85546875" style="2"/>
    <col min="2291" max="2291" width="8.42578125" style="2" customWidth="1"/>
    <col min="2292" max="2292" width="50.7109375" style="2" customWidth="1"/>
    <col min="2293" max="2293" width="8.7109375" style="2" customWidth="1"/>
    <col min="2294" max="2294" width="7.7109375" style="2" customWidth="1"/>
    <col min="2295" max="2295" width="7.28515625" style="2" customWidth="1"/>
    <col min="2296" max="2296" width="7.7109375" style="2" customWidth="1"/>
    <col min="2297" max="2297" width="8" style="2" customWidth="1"/>
    <col min="2298" max="2298" width="7.7109375" style="2" customWidth="1"/>
    <col min="2299" max="2299" width="9" style="2" customWidth="1"/>
    <col min="2300" max="2546" width="8.85546875" style="2"/>
    <col min="2547" max="2547" width="8.42578125" style="2" customWidth="1"/>
    <col min="2548" max="2548" width="50.7109375" style="2" customWidth="1"/>
    <col min="2549" max="2549" width="8.7109375" style="2" customWidth="1"/>
    <col min="2550" max="2550" width="7.7109375" style="2" customWidth="1"/>
    <col min="2551" max="2551" width="7.28515625" style="2" customWidth="1"/>
    <col min="2552" max="2552" width="7.7109375" style="2" customWidth="1"/>
    <col min="2553" max="2553" width="8" style="2" customWidth="1"/>
    <col min="2554" max="2554" width="7.7109375" style="2" customWidth="1"/>
    <col min="2555" max="2555" width="9" style="2" customWidth="1"/>
    <col min="2556" max="2802" width="8.85546875" style="2"/>
    <col min="2803" max="2803" width="8.42578125" style="2" customWidth="1"/>
    <col min="2804" max="2804" width="50.7109375" style="2" customWidth="1"/>
    <col min="2805" max="2805" width="8.7109375" style="2" customWidth="1"/>
    <col min="2806" max="2806" width="7.7109375" style="2" customWidth="1"/>
    <col min="2807" max="2807" width="7.28515625" style="2" customWidth="1"/>
    <col min="2808" max="2808" width="7.7109375" style="2" customWidth="1"/>
    <col min="2809" max="2809" width="8" style="2" customWidth="1"/>
    <col min="2810" max="2810" width="7.7109375" style="2" customWidth="1"/>
    <col min="2811" max="2811" width="9" style="2" customWidth="1"/>
    <col min="2812" max="3058" width="8.85546875" style="2"/>
    <col min="3059" max="3059" width="8.42578125" style="2" customWidth="1"/>
    <col min="3060" max="3060" width="50.7109375" style="2" customWidth="1"/>
    <col min="3061" max="3061" width="8.7109375" style="2" customWidth="1"/>
    <col min="3062" max="3062" width="7.7109375" style="2" customWidth="1"/>
    <col min="3063" max="3063" width="7.28515625" style="2" customWidth="1"/>
    <col min="3064" max="3064" width="7.7109375" style="2" customWidth="1"/>
    <col min="3065" max="3065" width="8" style="2" customWidth="1"/>
    <col min="3066" max="3066" width="7.7109375" style="2" customWidth="1"/>
    <col min="3067" max="3067" width="9" style="2" customWidth="1"/>
    <col min="3068" max="3314" width="8.85546875" style="2"/>
    <col min="3315" max="3315" width="8.42578125" style="2" customWidth="1"/>
    <col min="3316" max="3316" width="50.7109375" style="2" customWidth="1"/>
    <col min="3317" max="3317" width="8.7109375" style="2" customWidth="1"/>
    <col min="3318" max="3318" width="7.7109375" style="2" customWidth="1"/>
    <col min="3319" max="3319" width="7.28515625" style="2" customWidth="1"/>
    <col min="3320" max="3320" width="7.7109375" style="2" customWidth="1"/>
    <col min="3321" max="3321" width="8" style="2" customWidth="1"/>
    <col min="3322" max="3322" width="7.7109375" style="2" customWidth="1"/>
    <col min="3323" max="3323" width="9" style="2" customWidth="1"/>
    <col min="3324" max="3570" width="8.85546875" style="2"/>
    <col min="3571" max="3571" width="8.42578125" style="2" customWidth="1"/>
    <col min="3572" max="3572" width="50.7109375" style="2" customWidth="1"/>
    <col min="3573" max="3573" width="8.7109375" style="2" customWidth="1"/>
    <col min="3574" max="3574" width="7.7109375" style="2" customWidth="1"/>
    <col min="3575" max="3575" width="7.28515625" style="2" customWidth="1"/>
    <col min="3576" max="3576" width="7.7109375" style="2" customWidth="1"/>
    <col min="3577" max="3577" width="8" style="2" customWidth="1"/>
    <col min="3578" max="3578" width="7.7109375" style="2" customWidth="1"/>
    <col min="3579" max="3579" width="9" style="2" customWidth="1"/>
    <col min="3580" max="3826" width="8.85546875" style="2"/>
    <col min="3827" max="3827" width="8.42578125" style="2" customWidth="1"/>
    <col min="3828" max="3828" width="50.7109375" style="2" customWidth="1"/>
    <col min="3829" max="3829" width="8.7109375" style="2" customWidth="1"/>
    <col min="3830" max="3830" width="7.7109375" style="2" customWidth="1"/>
    <col min="3831" max="3831" width="7.28515625" style="2" customWidth="1"/>
    <col min="3832" max="3832" width="7.7109375" style="2" customWidth="1"/>
    <col min="3833" max="3833" width="8" style="2" customWidth="1"/>
    <col min="3834" max="3834" width="7.7109375" style="2" customWidth="1"/>
    <col min="3835" max="3835" width="9" style="2" customWidth="1"/>
    <col min="3836" max="4082" width="8.85546875" style="2"/>
    <col min="4083" max="4083" width="8.42578125" style="2" customWidth="1"/>
    <col min="4084" max="4084" width="50.7109375" style="2" customWidth="1"/>
    <col min="4085" max="4085" width="8.7109375" style="2" customWidth="1"/>
    <col min="4086" max="4086" width="7.7109375" style="2" customWidth="1"/>
    <col min="4087" max="4087" width="7.28515625" style="2" customWidth="1"/>
    <col min="4088" max="4088" width="7.7109375" style="2" customWidth="1"/>
    <col min="4089" max="4089" width="8" style="2" customWidth="1"/>
    <col min="4090" max="4090" width="7.7109375" style="2" customWidth="1"/>
    <col min="4091" max="4091" width="9" style="2" customWidth="1"/>
    <col min="4092" max="4338" width="8.85546875" style="2"/>
    <col min="4339" max="4339" width="8.42578125" style="2" customWidth="1"/>
    <col min="4340" max="4340" width="50.7109375" style="2" customWidth="1"/>
    <col min="4341" max="4341" width="8.7109375" style="2" customWidth="1"/>
    <col min="4342" max="4342" width="7.7109375" style="2" customWidth="1"/>
    <col min="4343" max="4343" width="7.28515625" style="2" customWidth="1"/>
    <col min="4344" max="4344" width="7.7109375" style="2" customWidth="1"/>
    <col min="4345" max="4345" width="8" style="2" customWidth="1"/>
    <col min="4346" max="4346" width="7.7109375" style="2" customWidth="1"/>
    <col min="4347" max="4347" width="9" style="2" customWidth="1"/>
    <col min="4348" max="4594" width="8.85546875" style="2"/>
    <col min="4595" max="4595" width="8.42578125" style="2" customWidth="1"/>
    <col min="4596" max="4596" width="50.7109375" style="2" customWidth="1"/>
    <col min="4597" max="4597" width="8.7109375" style="2" customWidth="1"/>
    <col min="4598" max="4598" width="7.7109375" style="2" customWidth="1"/>
    <col min="4599" max="4599" width="7.28515625" style="2" customWidth="1"/>
    <col min="4600" max="4600" width="7.7109375" style="2" customWidth="1"/>
    <col min="4601" max="4601" width="8" style="2" customWidth="1"/>
    <col min="4602" max="4602" width="7.7109375" style="2" customWidth="1"/>
    <col min="4603" max="4603" width="9" style="2" customWidth="1"/>
    <col min="4604" max="4850" width="8.85546875" style="2"/>
    <col min="4851" max="4851" width="8.42578125" style="2" customWidth="1"/>
    <col min="4852" max="4852" width="50.7109375" style="2" customWidth="1"/>
    <col min="4853" max="4853" width="8.7109375" style="2" customWidth="1"/>
    <col min="4854" max="4854" width="7.7109375" style="2" customWidth="1"/>
    <col min="4855" max="4855" width="7.28515625" style="2" customWidth="1"/>
    <col min="4856" max="4856" width="7.7109375" style="2" customWidth="1"/>
    <col min="4857" max="4857" width="8" style="2" customWidth="1"/>
    <col min="4858" max="4858" width="7.7109375" style="2" customWidth="1"/>
    <col min="4859" max="4859" width="9" style="2" customWidth="1"/>
    <col min="4860" max="5106" width="8.85546875" style="2"/>
    <col min="5107" max="5107" width="8.42578125" style="2" customWidth="1"/>
    <col min="5108" max="5108" width="50.7109375" style="2" customWidth="1"/>
    <col min="5109" max="5109" width="8.7109375" style="2" customWidth="1"/>
    <col min="5110" max="5110" width="7.7109375" style="2" customWidth="1"/>
    <col min="5111" max="5111" width="7.28515625" style="2" customWidth="1"/>
    <col min="5112" max="5112" width="7.7109375" style="2" customWidth="1"/>
    <col min="5113" max="5113" width="8" style="2" customWidth="1"/>
    <col min="5114" max="5114" width="7.7109375" style="2" customWidth="1"/>
    <col min="5115" max="5115" width="9" style="2" customWidth="1"/>
    <col min="5116" max="5362" width="8.85546875" style="2"/>
    <col min="5363" max="5363" width="8.42578125" style="2" customWidth="1"/>
    <col min="5364" max="5364" width="50.7109375" style="2" customWidth="1"/>
    <col min="5365" max="5365" width="8.7109375" style="2" customWidth="1"/>
    <col min="5366" max="5366" width="7.7109375" style="2" customWidth="1"/>
    <col min="5367" max="5367" width="7.28515625" style="2" customWidth="1"/>
    <col min="5368" max="5368" width="7.7109375" style="2" customWidth="1"/>
    <col min="5369" max="5369" width="8" style="2" customWidth="1"/>
    <col min="5370" max="5370" width="7.7109375" style="2" customWidth="1"/>
    <col min="5371" max="5371" width="9" style="2" customWidth="1"/>
    <col min="5372" max="5618" width="8.85546875" style="2"/>
    <col min="5619" max="5619" width="8.42578125" style="2" customWidth="1"/>
    <col min="5620" max="5620" width="50.7109375" style="2" customWidth="1"/>
    <col min="5621" max="5621" width="8.7109375" style="2" customWidth="1"/>
    <col min="5622" max="5622" width="7.7109375" style="2" customWidth="1"/>
    <col min="5623" max="5623" width="7.28515625" style="2" customWidth="1"/>
    <col min="5624" max="5624" width="7.7109375" style="2" customWidth="1"/>
    <col min="5625" max="5625" width="8" style="2" customWidth="1"/>
    <col min="5626" max="5626" width="7.7109375" style="2" customWidth="1"/>
    <col min="5627" max="5627" width="9" style="2" customWidth="1"/>
    <col min="5628" max="5874" width="8.85546875" style="2"/>
    <col min="5875" max="5875" width="8.42578125" style="2" customWidth="1"/>
    <col min="5876" max="5876" width="50.7109375" style="2" customWidth="1"/>
    <col min="5877" max="5877" width="8.7109375" style="2" customWidth="1"/>
    <col min="5878" max="5878" width="7.7109375" style="2" customWidth="1"/>
    <col min="5879" max="5879" width="7.28515625" style="2" customWidth="1"/>
    <col min="5880" max="5880" width="7.7109375" style="2" customWidth="1"/>
    <col min="5881" max="5881" width="8" style="2" customWidth="1"/>
    <col min="5882" max="5882" width="7.7109375" style="2" customWidth="1"/>
    <col min="5883" max="5883" width="9" style="2" customWidth="1"/>
    <col min="5884" max="6130" width="8.85546875" style="2"/>
    <col min="6131" max="6131" width="8.42578125" style="2" customWidth="1"/>
    <col min="6132" max="6132" width="50.7109375" style="2" customWidth="1"/>
    <col min="6133" max="6133" width="8.7109375" style="2" customWidth="1"/>
    <col min="6134" max="6134" width="7.7109375" style="2" customWidth="1"/>
    <col min="6135" max="6135" width="7.28515625" style="2" customWidth="1"/>
    <col min="6136" max="6136" width="7.7109375" style="2" customWidth="1"/>
    <col min="6137" max="6137" width="8" style="2" customWidth="1"/>
    <col min="6138" max="6138" width="7.7109375" style="2" customWidth="1"/>
    <col min="6139" max="6139" width="9" style="2" customWidth="1"/>
    <col min="6140" max="6386" width="8.85546875" style="2"/>
    <col min="6387" max="6387" width="8.42578125" style="2" customWidth="1"/>
    <col min="6388" max="6388" width="50.7109375" style="2" customWidth="1"/>
    <col min="6389" max="6389" width="8.7109375" style="2" customWidth="1"/>
    <col min="6390" max="6390" width="7.7109375" style="2" customWidth="1"/>
    <col min="6391" max="6391" width="7.28515625" style="2" customWidth="1"/>
    <col min="6392" max="6392" width="7.7109375" style="2" customWidth="1"/>
    <col min="6393" max="6393" width="8" style="2" customWidth="1"/>
    <col min="6394" max="6394" width="7.7109375" style="2" customWidth="1"/>
    <col min="6395" max="6395" width="9" style="2" customWidth="1"/>
    <col min="6396" max="6642" width="8.85546875" style="2"/>
    <col min="6643" max="6643" width="8.42578125" style="2" customWidth="1"/>
    <col min="6644" max="6644" width="50.7109375" style="2" customWidth="1"/>
    <col min="6645" max="6645" width="8.7109375" style="2" customWidth="1"/>
    <col min="6646" max="6646" width="7.7109375" style="2" customWidth="1"/>
    <col min="6647" max="6647" width="7.28515625" style="2" customWidth="1"/>
    <col min="6648" max="6648" width="7.7109375" style="2" customWidth="1"/>
    <col min="6649" max="6649" width="8" style="2" customWidth="1"/>
    <col min="6650" max="6650" width="7.7109375" style="2" customWidth="1"/>
    <col min="6651" max="6651" width="9" style="2" customWidth="1"/>
    <col min="6652" max="6898" width="8.85546875" style="2"/>
    <col min="6899" max="6899" width="8.42578125" style="2" customWidth="1"/>
    <col min="6900" max="6900" width="50.7109375" style="2" customWidth="1"/>
    <col min="6901" max="6901" width="8.7109375" style="2" customWidth="1"/>
    <col min="6902" max="6902" width="7.7109375" style="2" customWidth="1"/>
    <col min="6903" max="6903" width="7.28515625" style="2" customWidth="1"/>
    <col min="6904" max="6904" width="7.7109375" style="2" customWidth="1"/>
    <col min="6905" max="6905" width="8" style="2" customWidth="1"/>
    <col min="6906" max="6906" width="7.7109375" style="2" customWidth="1"/>
    <col min="6907" max="6907" width="9" style="2" customWidth="1"/>
    <col min="6908" max="7154" width="8.85546875" style="2"/>
    <col min="7155" max="7155" width="8.42578125" style="2" customWidth="1"/>
    <col min="7156" max="7156" width="50.7109375" style="2" customWidth="1"/>
    <col min="7157" max="7157" width="8.7109375" style="2" customWidth="1"/>
    <col min="7158" max="7158" width="7.7109375" style="2" customWidth="1"/>
    <col min="7159" max="7159" width="7.28515625" style="2" customWidth="1"/>
    <col min="7160" max="7160" width="7.7109375" style="2" customWidth="1"/>
    <col min="7161" max="7161" width="8" style="2" customWidth="1"/>
    <col min="7162" max="7162" width="7.7109375" style="2" customWidth="1"/>
    <col min="7163" max="7163" width="9" style="2" customWidth="1"/>
    <col min="7164" max="7410" width="8.85546875" style="2"/>
    <col min="7411" max="7411" width="8.42578125" style="2" customWidth="1"/>
    <col min="7412" max="7412" width="50.7109375" style="2" customWidth="1"/>
    <col min="7413" max="7413" width="8.7109375" style="2" customWidth="1"/>
    <col min="7414" max="7414" width="7.7109375" style="2" customWidth="1"/>
    <col min="7415" max="7415" width="7.28515625" style="2" customWidth="1"/>
    <col min="7416" max="7416" width="7.7109375" style="2" customWidth="1"/>
    <col min="7417" max="7417" width="8" style="2" customWidth="1"/>
    <col min="7418" max="7418" width="7.7109375" style="2" customWidth="1"/>
    <col min="7419" max="7419" width="9" style="2" customWidth="1"/>
    <col min="7420" max="7666" width="8.85546875" style="2"/>
    <col min="7667" max="7667" width="8.42578125" style="2" customWidth="1"/>
    <col min="7668" max="7668" width="50.7109375" style="2" customWidth="1"/>
    <col min="7669" max="7669" width="8.7109375" style="2" customWidth="1"/>
    <col min="7670" max="7670" width="7.7109375" style="2" customWidth="1"/>
    <col min="7671" max="7671" width="7.28515625" style="2" customWidth="1"/>
    <col min="7672" max="7672" width="7.7109375" style="2" customWidth="1"/>
    <col min="7673" max="7673" width="8" style="2" customWidth="1"/>
    <col min="7674" max="7674" width="7.7109375" style="2" customWidth="1"/>
    <col min="7675" max="7675" width="9" style="2" customWidth="1"/>
    <col min="7676" max="7922" width="8.85546875" style="2"/>
    <col min="7923" max="7923" width="8.42578125" style="2" customWidth="1"/>
    <col min="7924" max="7924" width="50.7109375" style="2" customWidth="1"/>
    <col min="7925" max="7925" width="8.7109375" style="2" customWidth="1"/>
    <col min="7926" max="7926" width="7.7109375" style="2" customWidth="1"/>
    <col min="7927" max="7927" width="7.28515625" style="2" customWidth="1"/>
    <col min="7928" max="7928" width="7.7109375" style="2" customWidth="1"/>
    <col min="7929" max="7929" width="8" style="2" customWidth="1"/>
    <col min="7930" max="7930" width="7.7109375" style="2" customWidth="1"/>
    <col min="7931" max="7931" width="9" style="2" customWidth="1"/>
    <col min="7932" max="8178" width="8.85546875" style="2"/>
    <col min="8179" max="8179" width="8.42578125" style="2" customWidth="1"/>
    <col min="8180" max="8180" width="50.7109375" style="2" customWidth="1"/>
    <col min="8181" max="8181" width="8.7109375" style="2" customWidth="1"/>
    <col min="8182" max="8182" width="7.7109375" style="2" customWidth="1"/>
    <col min="8183" max="8183" width="7.28515625" style="2" customWidth="1"/>
    <col min="8184" max="8184" width="7.7109375" style="2" customWidth="1"/>
    <col min="8185" max="8185" width="8" style="2" customWidth="1"/>
    <col min="8186" max="8186" width="7.7109375" style="2" customWidth="1"/>
    <col min="8187" max="8187" width="9" style="2" customWidth="1"/>
    <col min="8188" max="8434" width="8.85546875" style="2"/>
    <col min="8435" max="8435" width="8.42578125" style="2" customWidth="1"/>
    <col min="8436" max="8436" width="50.7109375" style="2" customWidth="1"/>
    <col min="8437" max="8437" width="8.7109375" style="2" customWidth="1"/>
    <col min="8438" max="8438" width="7.7109375" style="2" customWidth="1"/>
    <col min="8439" max="8439" width="7.28515625" style="2" customWidth="1"/>
    <col min="8440" max="8440" width="7.7109375" style="2" customWidth="1"/>
    <col min="8441" max="8441" width="8" style="2" customWidth="1"/>
    <col min="8442" max="8442" width="7.7109375" style="2" customWidth="1"/>
    <col min="8443" max="8443" width="9" style="2" customWidth="1"/>
    <col min="8444" max="8690" width="8.85546875" style="2"/>
    <col min="8691" max="8691" width="8.42578125" style="2" customWidth="1"/>
    <col min="8692" max="8692" width="50.7109375" style="2" customWidth="1"/>
    <col min="8693" max="8693" width="8.7109375" style="2" customWidth="1"/>
    <col min="8694" max="8694" width="7.7109375" style="2" customWidth="1"/>
    <col min="8695" max="8695" width="7.28515625" style="2" customWidth="1"/>
    <col min="8696" max="8696" width="7.7109375" style="2" customWidth="1"/>
    <col min="8697" max="8697" width="8" style="2" customWidth="1"/>
    <col min="8698" max="8698" width="7.7109375" style="2" customWidth="1"/>
    <col min="8699" max="8699" width="9" style="2" customWidth="1"/>
    <col min="8700" max="8946" width="8.85546875" style="2"/>
    <col min="8947" max="8947" width="8.42578125" style="2" customWidth="1"/>
    <col min="8948" max="8948" width="50.7109375" style="2" customWidth="1"/>
    <col min="8949" max="8949" width="8.7109375" style="2" customWidth="1"/>
    <col min="8950" max="8950" width="7.7109375" style="2" customWidth="1"/>
    <col min="8951" max="8951" width="7.28515625" style="2" customWidth="1"/>
    <col min="8952" max="8952" width="7.7109375" style="2" customWidth="1"/>
    <col min="8953" max="8953" width="8" style="2" customWidth="1"/>
    <col min="8954" max="8954" width="7.7109375" style="2" customWidth="1"/>
    <col min="8955" max="8955" width="9" style="2" customWidth="1"/>
    <col min="8956" max="9202" width="8.85546875" style="2"/>
    <col min="9203" max="9203" width="8.42578125" style="2" customWidth="1"/>
    <col min="9204" max="9204" width="50.7109375" style="2" customWidth="1"/>
    <col min="9205" max="9205" width="8.7109375" style="2" customWidth="1"/>
    <col min="9206" max="9206" width="7.7109375" style="2" customWidth="1"/>
    <col min="9207" max="9207" width="7.28515625" style="2" customWidth="1"/>
    <col min="9208" max="9208" width="7.7109375" style="2" customWidth="1"/>
    <col min="9209" max="9209" width="8" style="2" customWidth="1"/>
    <col min="9210" max="9210" width="7.7109375" style="2" customWidth="1"/>
    <col min="9211" max="9211" width="9" style="2" customWidth="1"/>
    <col min="9212" max="9458" width="8.85546875" style="2"/>
    <col min="9459" max="9459" width="8.42578125" style="2" customWidth="1"/>
    <col min="9460" max="9460" width="50.7109375" style="2" customWidth="1"/>
    <col min="9461" max="9461" width="8.7109375" style="2" customWidth="1"/>
    <col min="9462" max="9462" width="7.7109375" style="2" customWidth="1"/>
    <col min="9463" max="9463" width="7.28515625" style="2" customWidth="1"/>
    <col min="9464" max="9464" width="7.7109375" style="2" customWidth="1"/>
    <col min="9465" max="9465" width="8" style="2" customWidth="1"/>
    <col min="9466" max="9466" width="7.7109375" style="2" customWidth="1"/>
    <col min="9467" max="9467" width="9" style="2" customWidth="1"/>
    <col min="9468" max="9714" width="8.85546875" style="2"/>
    <col min="9715" max="9715" width="8.42578125" style="2" customWidth="1"/>
    <col min="9716" max="9716" width="50.7109375" style="2" customWidth="1"/>
    <col min="9717" max="9717" width="8.7109375" style="2" customWidth="1"/>
    <col min="9718" max="9718" width="7.7109375" style="2" customWidth="1"/>
    <col min="9719" max="9719" width="7.28515625" style="2" customWidth="1"/>
    <col min="9720" max="9720" width="7.7109375" style="2" customWidth="1"/>
    <col min="9721" max="9721" width="8" style="2" customWidth="1"/>
    <col min="9722" max="9722" width="7.7109375" style="2" customWidth="1"/>
    <col min="9723" max="9723" width="9" style="2" customWidth="1"/>
    <col min="9724" max="9970" width="8.85546875" style="2"/>
    <col min="9971" max="9971" width="8.42578125" style="2" customWidth="1"/>
    <col min="9972" max="9972" width="50.7109375" style="2" customWidth="1"/>
    <col min="9973" max="9973" width="8.7109375" style="2" customWidth="1"/>
    <col min="9974" max="9974" width="7.7109375" style="2" customWidth="1"/>
    <col min="9975" max="9975" width="7.28515625" style="2" customWidth="1"/>
    <col min="9976" max="9976" width="7.7109375" style="2" customWidth="1"/>
    <col min="9977" max="9977" width="8" style="2" customWidth="1"/>
    <col min="9978" max="9978" width="7.7109375" style="2" customWidth="1"/>
    <col min="9979" max="9979" width="9" style="2" customWidth="1"/>
    <col min="9980" max="10226" width="8.85546875" style="2"/>
    <col min="10227" max="10227" width="8.42578125" style="2" customWidth="1"/>
    <col min="10228" max="10228" width="50.7109375" style="2" customWidth="1"/>
    <col min="10229" max="10229" width="8.7109375" style="2" customWidth="1"/>
    <col min="10230" max="10230" width="7.7109375" style="2" customWidth="1"/>
    <col min="10231" max="10231" width="7.28515625" style="2" customWidth="1"/>
    <col min="10232" max="10232" width="7.7109375" style="2" customWidth="1"/>
    <col min="10233" max="10233" width="8" style="2" customWidth="1"/>
    <col min="10234" max="10234" width="7.7109375" style="2" customWidth="1"/>
    <col min="10235" max="10235" width="9" style="2" customWidth="1"/>
    <col min="10236" max="10482" width="8.85546875" style="2"/>
    <col min="10483" max="10483" width="8.42578125" style="2" customWidth="1"/>
    <col min="10484" max="10484" width="50.7109375" style="2" customWidth="1"/>
    <col min="10485" max="10485" width="8.7109375" style="2" customWidth="1"/>
    <col min="10486" max="10486" width="7.7109375" style="2" customWidth="1"/>
    <col min="10487" max="10487" width="7.28515625" style="2" customWidth="1"/>
    <col min="10488" max="10488" width="7.7109375" style="2" customWidth="1"/>
    <col min="10489" max="10489" width="8" style="2" customWidth="1"/>
    <col min="10490" max="10490" width="7.7109375" style="2" customWidth="1"/>
    <col min="10491" max="10491" width="9" style="2" customWidth="1"/>
    <col min="10492" max="10738" width="8.85546875" style="2"/>
    <col min="10739" max="10739" width="8.42578125" style="2" customWidth="1"/>
    <col min="10740" max="10740" width="50.7109375" style="2" customWidth="1"/>
    <col min="10741" max="10741" width="8.7109375" style="2" customWidth="1"/>
    <col min="10742" max="10742" width="7.7109375" style="2" customWidth="1"/>
    <col min="10743" max="10743" width="7.28515625" style="2" customWidth="1"/>
    <col min="10744" max="10744" width="7.7109375" style="2" customWidth="1"/>
    <col min="10745" max="10745" width="8" style="2" customWidth="1"/>
    <col min="10746" max="10746" width="7.7109375" style="2" customWidth="1"/>
    <col min="10747" max="10747" width="9" style="2" customWidth="1"/>
    <col min="10748" max="10994" width="8.85546875" style="2"/>
    <col min="10995" max="10995" width="8.42578125" style="2" customWidth="1"/>
    <col min="10996" max="10996" width="50.7109375" style="2" customWidth="1"/>
    <col min="10997" max="10997" width="8.7109375" style="2" customWidth="1"/>
    <col min="10998" max="10998" width="7.7109375" style="2" customWidth="1"/>
    <col min="10999" max="10999" width="7.28515625" style="2" customWidth="1"/>
    <col min="11000" max="11000" width="7.7109375" style="2" customWidth="1"/>
    <col min="11001" max="11001" width="8" style="2" customWidth="1"/>
    <col min="11002" max="11002" width="7.7109375" style="2" customWidth="1"/>
    <col min="11003" max="11003" width="9" style="2" customWidth="1"/>
    <col min="11004" max="11250" width="8.85546875" style="2"/>
    <col min="11251" max="11251" width="8.42578125" style="2" customWidth="1"/>
    <col min="11252" max="11252" width="50.7109375" style="2" customWidth="1"/>
    <col min="11253" max="11253" width="8.7109375" style="2" customWidth="1"/>
    <col min="11254" max="11254" width="7.7109375" style="2" customWidth="1"/>
    <col min="11255" max="11255" width="7.28515625" style="2" customWidth="1"/>
    <col min="11256" max="11256" width="7.7109375" style="2" customWidth="1"/>
    <col min="11257" max="11257" width="8" style="2" customWidth="1"/>
    <col min="11258" max="11258" width="7.7109375" style="2" customWidth="1"/>
    <col min="11259" max="11259" width="9" style="2" customWidth="1"/>
    <col min="11260" max="11506" width="8.85546875" style="2"/>
    <col min="11507" max="11507" width="8.42578125" style="2" customWidth="1"/>
    <col min="11508" max="11508" width="50.7109375" style="2" customWidth="1"/>
    <col min="11509" max="11509" width="8.7109375" style="2" customWidth="1"/>
    <col min="11510" max="11510" width="7.7109375" style="2" customWidth="1"/>
    <col min="11511" max="11511" width="7.28515625" style="2" customWidth="1"/>
    <col min="11512" max="11512" width="7.7109375" style="2" customWidth="1"/>
    <col min="11513" max="11513" width="8" style="2" customWidth="1"/>
    <col min="11514" max="11514" width="7.7109375" style="2" customWidth="1"/>
    <col min="11515" max="11515" width="9" style="2" customWidth="1"/>
    <col min="11516" max="11762" width="8.85546875" style="2"/>
    <col min="11763" max="11763" width="8.42578125" style="2" customWidth="1"/>
    <col min="11764" max="11764" width="50.7109375" style="2" customWidth="1"/>
    <col min="11765" max="11765" width="8.7109375" style="2" customWidth="1"/>
    <col min="11766" max="11766" width="7.7109375" style="2" customWidth="1"/>
    <col min="11767" max="11767" width="7.28515625" style="2" customWidth="1"/>
    <col min="11768" max="11768" width="7.7109375" style="2" customWidth="1"/>
    <col min="11769" max="11769" width="8" style="2" customWidth="1"/>
    <col min="11770" max="11770" width="7.7109375" style="2" customWidth="1"/>
    <col min="11771" max="11771" width="9" style="2" customWidth="1"/>
    <col min="11772" max="12018" width="8.85546875" style="2"/>
    <col min="12019" max="12019" width="8.42578125" style="2" customWidth="1"/>
    <col min="12020" max="12020" width="50.7109375" style="2" customWidth="1"/>
    <col min="12021" max="12021" width="8.7109375" style="2" customWidth="1"/>
    <col min="12022" max="12022" width="7.7109375" style="2" customWidth="1"/>
    <col min="12023" max="12023" width="7.28515625" style="2" customWidth="1"/>
    <col min="12024" max="12024" width="7.7109375" style="2" customWidth="1"/>
    <col min="12025" max="12025" width="8" style="2" customWidth="1"/>
    <col min="12026" max="12026" width="7.7109375" style="2" customWidth="1"/>
    <col min="12027" max="12027" width="9" style="2" customWidth="1"/>
    <col min="12028" max="12274" width="8.85546875" style="2"/>
    <col min="12275" max="12275" width="8.42578125" style="2" customWidth="1"/>
    <col min="12276" max="12276" width="50.7109375" style="2" customWidth="1"/>
    <col min="12277" max="12277" width="8.7109375" style="2" customWidth="1"/>
    <col min="12278" max="12278" width="7.7109375" style="2" customWidth="1"/>
    <col min="12279" max="12279" width="7.28515625" style="2" customWidth="1"/>
    <col min="12280" max="12280" width="7.7109375" style="2" customWidth="1"/>
    <col min="12281" max="12281" width="8" style="2" customWidth="1"/>
    <col min="12282" max="12282" width="7.7109375" style="2" customWidth="1"/>
    <col min="12283" max="12283" width="9" style="2" customWidth="1"/>
    <col min="12284" max="12530" width="8.85546875" style="2"/>
    <col min="12531" max="12531" width="8.42578125" style="2" customWidth="1"/>
    <col min="12532" max="12532" width="50.7109375" style="2" customWidth="1"/>
    <col min="12533" max="12533" width="8.7109375" style="2" customWidth="1"/>
    <col min="12534" max="12534" width="7.7109375" style="2" customWidth="1"/>
    <col min="12535" max="12535" width="7.28515625" style="2" customWidth="1"/>
    <col min="12536" max="12536" width="7.7109375" style="2" customWidth="1"/>
    <col min="12537" max="12537" width="8" style="2" customWidth="1"/>
    <col min="12538" max="12538" width="7.7109375" style="2" customWidth="1"/>
    <col min="12539" max="12539" width="9" style="2" customWidth="1"/>
    <col min="12540" max="12786" width="8.85546875" style="2"/>
    <col min="12787" max="12787" width="8.42578125" style="2" customWidth="1"/>
    <col min="12788" max="12788" width="50.7109375" style="2" customWidth="1"/>
    <col min="12789" max="12789" width="8.7109375" style="2" customWidth="1"/>
    <col min="12790" max="12790" width="7.7109375" style="2" customWidth="1"/>
    <col min="12791" max="12791" width="7.28515625" style="2" customWidth="1"/>
    <col min="12792" max="12792" width="7.7109375" style="2" customWidth="1"/>
    <col min="12793" max="12793" width="8" style="2" customWidth="1"/>
    <col min="12794" max="12794" width="7.7109375" style="2" customWidth="1"/>
    <col min="12795" max="12795" width="9" style="2" customWidth="1"/>
    <col min="12796" max="13042" width="8.85546875" style="2"/>
    <col min="13043" max="13043" width="8.42578125" style="2" customWidth="1"/>
    <col min="13044" max="13044" width="50.7109375" style="2" customWidth="1"/>
    <col min="13045" max="13045" width="8.7109375" style="2" customWidth="1"/>
    <col min="13046" max="13046" width="7.7109375" style="2" customWidth="1"/>
    <col min="13047" max="13047" width="7.28515625" style="2" customWidth="1"/>
    <col min="13048" max="13048" width="7.7109375" style="2" customWidth="1"/>
    <col min="13049" max="13049" width="8" style="2" customWidth="1"/>
    <col min="13050" max="13050" width="7.7109375" style="2" customWidth="1"/>
    <col min="13051" max="13051" width="9" style="2" customWidth="1"/>
    <col min="13052" max="13298" width="8.85546875" style="2"/>
    <col min="13299" max="13299" width="8.42578125" style="2" customWidth="1"/>
    <col min="13300" max="13300" width="50.7109375" style="2" customWidth="1"/>
    <col min="13301" max="13301" width="8.7109375" style="2" customWidth="1"/>
    <col min="13302" max="13302" width="7.7109375" style="2" customWidth="1"/>
    <col min="13303" max="13303" width="7.28515625" style="2" customWidth="1"/>
    <col min="13304" max="13304" width="7.7109375" style="2" customWidth="1"/>
    <col min="13305" max="13305" width="8" style="2" customWidth="1"/>
    <col min="13306" max="13306" width="7.7109375" style="2" customWidth="1"/>
    <col min="13307" max="13307" width="9" style="2" customWidth="1"/>
    <col min="13308" max="13554" width="8.85546875" style="2"/>
    <col min="13555" max="13555" width="8.42578125" style="2" customWidth="1"/>
    <col min="13556" max="13556" width="50.7109375" style="2" customWidth="1"/>
    <col min="13557" max="13557" width="8.7109375" style="2" customWidth="1"/>
    <col min="13558" max="13558" width="7.7109375" style="2" customWidth="1"/>
    <col min="13559" max="13559" width="7.28515625" style="2" customWidth="1"/>
    <col min="13560" max="13560" width="7.7109375" style="2" customWidth="1"/>
    <col min="13561" max="13561" width="8" style="2" customWidth="1"/>
    <col min="13562" max="13562" width="7.7109375" style="2" customWidth="1"/>
    <col min="13563" max="13563" width="9" style="2" customWidth="1"/>
    <col min="13564" max="13810" width="8.85546875" style="2"/>
    <col min="13811" max="13811" width="8.42578125" style="2" customWidth="1"/>
    <col min="13812" max="13812" width="50.7109375" style="2" customWidth="1"/>
    <col min="13813" max="13813" width="8.7109375" style="2" customWidth="1"/>
    <col min="13814" max="13814" width="7.7109375" style="2" customWidth="1"/>
    <col min="13815" max="13815" width="7.28515625" style="2" customWidth="1"/>
    <col min="13816" max="13816" width="7.7109375" style="2" customWidth="1"/>
    <col min="13817" max="13817" width="8" style="2" customWidth="1"/>
    <col min="13818" max="13818" width="7.7109375" style="2" customWidth="1"/>
    <col min="13819" max="13819" width="9" style="2" customWidth="1"/>
    <col min="13820" max="14066" width="8.85546875" style="2"/>
    <col min="14067" max="14067" width="8.42578125" style="2" customWidth="1"/>
    <col min="14068" max="14068" width="50.7109375" style="2" customWidth="1"/>
    <col min="14069" max="14069" width="8.7109375" style="2" customWidth="1"/>
    <col min="14070" max="14070" width="7.7109375" style="2" customWidth="1"/>
    <col min="14071" max="14071" width="7.28515625" style="2" customWidth="1"/>
    <col min="14072" max="14072" width="7.7109375" style="2" customWidth="1"/>
    <col min="14073" max="14073" width="8" style="2" customWidth="1"/>
    <col min="14074" max="14074" width="7.7109375" style="2" customWidth="1"/>
    <col min="14075" max="14075" width="9" style="2" customWidth="1"/>
    <col min="14076" max="14322" width="8.85546875" style="2"/>
    <col min="14323" max="14323" width="8.42578125" style="2" customWidth="1"/>
    <col min="14324" max="14324" width="50.7109375" style="2" customWidth="1"/>
    <col min="14325" max="14325" width="8.7109375" style="2" customWidth="1"/>
    <col min="14326" max="14326" width="7.7109375" style="2" customWidth="1"/>
    <col min="14327" max="14327" width="7.28515625" style="2" customWidth="1"/>
    <col min="14328" max="14328" width="7.7109375" style="2" customWidth="1"/>
    <col min="14329" max="14329" width="8" style="2" customWidth="1"/>
    <col min="14330" max="14330" width="7.7109375" style="2" customWidth="1"/>
    <col min="14331" max="14331" width="9" style="2" customWidth="1"/>
    <col min="14332" max="14578" width="8.85546875" style="2"/>
    <col min="14579" max="14579" width="8.42578125" style="2" customWidth="1"/>
    <col min="14580" max="14580" width="50.7109375" style="2" customWidth="1"/>
    <col min="14581" max="14581" width="8.7109375" style="2" customWidth="1"/>
    <col min="14582" max="14582" width="7.7109375" style="2" customWidth="1"/>
    <col min="14583" max="14583" width="7.28515625" style="2" customWidth="1"/>
    <col min="14584" max="14584" width="7.7109375" style="2" customWidth="1"/>
    <col min="14585" max="14585" width="8" style="2" customWidth="1"/>
    <col min="14586" max="14586" width="7.7109375" style="2" customWidth="1"/>
    <col min="14587" max="14587" width="9" style="2" customWidth="1"/>
    <col min="14588" max="14834" width="8.85546875" style="2"/>
    <col min="14835" max="14835" width="8.42578125" style="2" customWidth="1"/>
    <col min="14836" max="14836" width="50.7109375" style="2" customWidth="1"/>
    <col min="14837" max="14837" width="8.7109375" style="2" customWidth="1"/>
    <col min="14838" max="14838" width="7.7109375" style="2" customWidth="1"/>
    <col min="14839" max="14839" width="7.28515625" style="2" customWidth="1"/>
    <col min="14840" max="14840" width="7.7109375" style="2" customWidth="1"/>
    <col min="14841" max="14841" width="8" style="2" customWidth="1"/>
    <col min="14842" max="14842" width="7.7109375" style="2" customWidth="1"/>
    <col min="14843" max="14843" width="9" style="2" customWidth="1"/>
    <col min="14844" max="15090" width="8.85546875" style="2"/>
    <col min="15091" max="15091" width="8.42578125" style="2" customWidth="1"/>
    <col min="15092" max="15092" width="50.7109375" style="2" customWidth="1"/>
    <col min="15093" max="15093" width="8.7109375" style="2" customWidth="1"/>
    <col min="15094" max="15094" width="7.7109375" style="2" customWidth="1"/>
    <col min="15095" max="15095" width="7.28515625" style="2" customWidth="1"/>
    <col min="15096" max="15096" width="7.7109375" style="2" customWidth="1"/>
    <col min="15097" max="15097" width="8" style="2" customWidth="1"/>
    <col min="15098" max="15098" width="7.7109375" style="2" customWidth="1"/>
    <col min="15099" max="15099" width="9" style="2" customWidth="1"/>
    <col min="15100" max="15346" width="8.85546875" style="2"/>
    <col min="15347" max="15347" width="8.42578125" style="2" customWidth="1"/>
    <col min="15348" max="15348" width="50.7109375" style="2" customWidth="1"/>
    <col min="15349" max="15349" width="8.7109375" style="2" customWidth="1"/>
    <col min="15350" max="15350" width="7.7109375" style="2" customWidth="1"/>
    <col min="15351" max="15351" width="7.28515625" style="2" customWidth="1"/>
    <col min="15352" max="15352" width="7.7109375" style="2" customWidth="1"/>
    <col min="15353" max="15353" width="8" style="2" customWidth="1"/>
    <col min="15354" max="15354" width="7.7109375" style="2" customWidth="1"/>
    <col min="15355" max="15355" width="9" style="2" customWidth="1"/>
    <col min="15356" max="15602" width="8.85546875" style="2"/>
    <col min="15603" max="15603" width="8.42578125" style="2" customWidth="1"/>
    <col min="15604" max="15604" width="50.7109375" style="2" customWidth="1"/>
    <col min="15605" max="15605" width="8.7109375" style="2" customWidth="1"/>
    <col min="15606" max="15606" width="7.7109375" style="2" customWidth="1"/>
    <col min="15607" max="15607" width="7.28515625" style="2" customWidth="1"/>
    <col min="15608" max="15608" width="7.7109375" style="2" customWidth="1"/>
    <col min="15609" max="15609" width="8" style="2" customWidth="1"/>
    <col min="15610" max="15610" width="7.7109375" style="2" customWidth="1"/>
    <col min="15611" max="15611" width="9" style="2" customWidth="1"/>
    <col min="15612" max="15858" width="8.85546875" style="2"/>
    <col min="15859" max="15859" width="8.42578125" style="2" customWidth="1"/>
    <col min="15860" max="15860" width="50.7109375" style="2" customWidth="1"/>
    <col min="15861" max="15861" width="8.7109375" style="2" customWidth="1"/>
    <col min="15862" max="15862" width="7.7109375" style="2" customWidth="1"/>
    <col min="15863" max="15863" width="7.28515625" style="2" customWidth="1"/>
    <col min="15864" max="15864" width="7.7109375" style="2" customWidth="1"/>
    <col min="15865" max="15865" width="8" style="2" customWidth="1"/>
    <col min="15866" max="15866" width="7.7109375" style="2" customWidth="1"/>
    <col min="15867" max="15867" width="9" style="2" customWidth="1"/>
    <col min="15868" max="16114" width="8.85546875" style="2"/>
    <col min="16115" max="16115" width="8.42578125" style="2" customWidth="1"/>
    <col min="16116" max="16116" width="50.7109375" style="2" customWidth="1"/>
    <col min="16117" max="16117" width="8.7109375" style="2" customWidth="1"/>
    <col min="16118" max="16118" width="7.7109375" style="2" customWidth="1"/>
    <col min="16119" max="16119" width="7.28515625" style="2" customWidth="1"/>
    <col min="16120" max="16120" width="7.7109375" style="2" customWidth="1"/>
    <col min="16121" max="16121" width="8" style="2" customWidth="1"/>
    <col min="16122" max="16122" width="7.7109375" style="2" customWidth="1"/>
    <col min="16123" max="16123" width="9" style="2" customWidth="1"/>
    <col min="16124" max="16370" width="8.85546875" style="2"/>
    <col min="16371" max="16384" width="8.85546875" style="2" customWidth="1"/>
  </cols>
  <sheetData>
    <row r="2" spans="2:16" ht="17.25" x14ac:dyDescent="0.2">
      <c r="B2" s="64" t="s">
        <v>0</v>
      </c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</row>
    <row r="3" spans="2:16" ht="15" x14ac:dyDescent="0.2">
      <c r="B3" s="3"/>
      <c r="C3" s="4"/>
      <c r="D3" s="4"/>
      <c r="E3" s="5"/>
      <c r="F3" s="5"/>
      <c r="G3" s="5"/>
      <c r="H3" s="5"/>
      <c r="I3" s="4"/>
    </row>
    <row r="4" spans="2:16" ht="15" x14ac:dyDescent="0.2">
      <c r="B4" s="65" t="s">
        <v>28</v>
      </c>
      <c r="C4" s="63" t="s">
        <v>1</v>
      </c>
      <c r="D4" s="63"/>
      <c r="E4" s="63"/>
      <c r="F4" s="63"/>
      <c r="G4" s="63"/>
      <c r="H4" s="63"/>
      <c r="I4" s="63"/>
      <c r="J4" s="68" t="s">
        <v>2</v>
      </c>
      <c r="K4" s="63"/>
      <c r="L4" s="63"/>
      <c r="M4" s="63"/>
      <c r="N4" s="63"/>
      <c r="O4" s="63"/>
      <c r="P4" s="63"/>
    </row>
    <row r="5" spans="2:16" ht="15" x14ac:dyDescent="0.2">
      <c r="B5" s="66"/>
      <c r="C5" s="63" t="s">
        <v>3</v>
      </c>
      <c r="D5" s="63" t="s">
        <v>4</v>
      </c>
      <c r="E5" s="61" t="s">
        <v>5</v>
      </c>
      <c r="F5" s="61"/>
      <c r="G5" s="61"/>
      <c r="H5" s="61"/>
      <c r="I5" s="63" t="s">
        <v>6</v>
      </c>
      <c r="J5" s="68" t="s">
        <v>3</v>
      </c>
      <c r="K5" s="63" t="s">
        <v>4</v>
      </c>
      <c r="L5" s="61" t="s">
        <v>5</v>
      </c>
      <c r="M5" s="61"/>
      <c r="N5" s="61"/>
      <c r="O5" s="61"/>
      <c r="P5" s="63" t="s">
        <v>6</v>
      </c>
    </row>
    <row r="6" spans="2:16" x14ac:dyDescent="0.2">
      <c r="B6" s="66"/>
      <c r="C6" s="63"/>
      <c r="D6" s="63"/>
      <c r="E6" s="63" t="s">
        <v>7</v>
      </c>
      <c r="F6" s="61" t="s">
        <v>8</v>
      </c>
      <c r="G6" s="61" t="s">
        <v>9</v>
      </c>
      <c r="H6" s="63" t="s">
        <v>10</v>
      </c>
      <c r="I6" s="63"/>
      <c r="J6" s="68"/>
      <c r="K6" s="63"/>
      <c r="L6" s="63" t="s">
        <v>7</v>
      </c>
      <c r="M6" s="61" t="s">
        <v>8</v>
      </c>
      <c r="N6" s="61" t="s">
        <v>9</v>
      </c>
      <c r="O6" s="63" t="s">
        <v>10</v>
      </c>
      <c r="P6" s="63"/>
    </row>
    <row r="7" spans="2:16" x14ac:dyDescent="0.2">
      <c r="B7" s="67"/>
      <c r="C7" s="63"/>
      <c r="D7" s="63"/>
      <c r="E7" s="63"/>
      <c r="F7" s="62"/>
      <c r="G7" s="62"/>
      <c r="H7" s="63"/>
      <c r="I7" s="63"/>
      <c r="J7" s="68"/>
      <c r="K7" s="63"/>
      <c r="L7" s="63"/>
      <c r="M7" s="62"/>
      <c r="N7" s="62"/>
      <c r="O7" s="63"/>
      <c r="P7" s="63"/>
    </row>
    <row r="8" spans="2:16" ht="15" x14ac:dyDescent="0.2">
      <c r="B8" s="7"/>
      <c r="C8" s="8"/>
      <c r="D8" s="9"/>
      <c r="E8" s="1"/>
      <c r="F8" s="1"/>
      <c r="G8" s="1"/>
      <c r="H8" s="1"/>
      <c r="I8" s="10"/>
      <c r="P8" s="11"/>
    </row>
    <row r="9" spans="2:16" ht="15" x14ac:dyDescent="0.25">
      <c r="B9" s="12" t="s">
        <v>11</v>
      </c>
      <c r="C9" s="49">
        <v>49541469</v>
      </c>
      <c r="D9" s="50">
        <v>380295</v>
      </c>
      <c r="E9" s="50">
        <v>5764991</v>
      </c>
      <c r="F9" s="50">
        <v>4119878</v>
      </c>
      <c r="G9" s="50">
        <v>4805172</v>
      </c>
      <c r="H9" s="50">
        <v>34471135</v>
      </c>
      <c r="I9" s="51">
        <v>41.094000000000001</v>
      </c>
      <c r="J9" s="13">
        <v>1008.8049999999999</v>
      </c>
      <c r="K9" s="13">
        <v>56.000999999999998</v>
      </c>
      <c r="L9" s="13">
        <v>217.68100000000001</v>
      </c>
      <c r="M9" s="13">
        <v>196.078</v>
      </c>
      <c r="N9" s="13">
        <v>244.845</v>
      </c>
      <c r="O9" s="13">
        <v>868.87199999999996</v>
      </c>
      <c r="P9" s="14">
        <v>0.249</v>
      </c>
    </row>
    <row r="10" spans="2:16" ht="15" x14ac:dyDescent="0.2">
      <c r="B10" s="15" t="s">
        <v>12</v>
      </c>
      <c r="C10" s="12"/>
      <c r="D10" s="16"/>
      <c r="E10" s="16"/>
      <c r="F10" s="16"/>
      <c r="G10" s="16"/>
      <c r="H10" s="16"/>
      <c r="I10" s="17"/>
      <c r="J10" s="18"/>
      <c r="K10" s="19"/>
      <c r="L10" s="19"/>
      <c r="M10" s="19"/>
      <c r="N10" s="19"/>
      <c r="O10" s="19"/>
      <c r="P10" s="11"/>
    </row>
    <row r="11" spans="2:16" ht="15" x14ac:dyDescent="0.2">
      <c r="B11" s="20"/>
      <c r="C11" s="12"/>
      <c r="D11" s="16"/>
      <c r="E11" s="16"/>
      <c r="F11" s="16"/>
      <c r="G11" s="16"/>
      <c r="H11" s="16"/>
      <c r="I11" s="17"/>
      <c r="J11" s="18"/>
      <c r="K11" s="19"/>
      <c r="L11" s="19"/>
      <c r="M11" s="19"/>
      <c r="N11" s="19"/>
      <c r="O11" s="19"/>
      <c r="P11" s="21"/>
    </row>
    <row r="12" spans="2:16" s="6" customFormat="1" ht="15" x14ac:dyDescent="0.25">
      <c r="B12" s="22" t="s">
        <v>3</v>
      </c>
      <c r="C12" s="43">
        <f>SUM(C13:C22)</f>
        <v>100</v>
      </c>
      <c r="D12" s="44">
        <f t="shared" ref="D12:H12" si="0">SUM(D13:D22)</f>
        <v>100.001</v>
      </c>
      <c r="E12" s="44">
        <f t="shared" si="0"/>
        <v>100</v>
      </c>
      <c r="F12" s="44">
        <f t="shared" si="0"/>
        <v>100</v>
      </c>
      <c r="G12" s="44">
        <f t="shared" si="0"/>
        <v>99.998999999999995</v>
      </c>
      <c r="H12" s="44">
        <f t="shared" si="0"/>
        <v>99.999999999999986</v>
      </c>
      <c r="I12" s="23"/>
      <c r="J12" s="18"/>
      <c r="K12" s="18"/>
      <c r="L12" s="18"/>
      <c r="M12" s="18"/>
      <c r="N12" s="18"/>
      <c r="O12" s="18"/>
      <c r="P12" s="24"/>
    </row>
    <row r="13" spans="2:16" x14ac:dyDescent="0.2">
      <c r="B13" s="25" t="s">
        <v>13</v>
      </c>
      <c r="C13" s="52">
        <v>3.6230000000000002</v>
      </c>
      <c r="D13" s="53">
        <v>1.964</v>
      </c>
      <c r="E13" s="53">
        <v>4.8239999999999998</v>
      </c>
      <c r="F13" s="53">
        <v>3.0569999999999999</v>
      </c>
      <c r="G13" s="53">
        <v>2.375</v>
      </c>
      <c r="H13" s="53">
        <v>3.6819999999999999</v>
      </c>
      <c r="I13" s="54">
        <v>38.908000000000001</v>
      </c>
      <c r="J13" s="26">
        <v>0.27</v>
      </c>
      <c r="K13" s="26">
        <v>1.548</v>
      </c>
      <c r="L13" s="26">
        <v>0.629</v>
      </c>
      <c r="M13" s="26">
        <v>0.63</v>
      </c>
      <c r="N13" s="26">
        <v>0.53500000000000003</v>
      </c>
      <c r="O13" s="26">
        <v>0.35</v>
      </c>
      <c r="P13" s="27">
        <v>1.0429999999999999</v>
      </c>
    </row>
    <row r="14" spans="2:16" x14ac:dyDescent="0.2">
      <c r="B14" s="28" t="s">
        <v>14</v>
      </c>
      <c r="C14" s="52">
        <v>5.827</v>
      </c>
      <c r="D14" s="53">
        <v>3.383</v>
      </c>
      <c r="E14" s="53">
        <v>1.127</v>
      </c>
      <c r="F14" s="53">
        <v>1.857</v>
      </c>
      <c r="G14" s="53">
        <v>1.9179999999999999</v>
      </c>
      <c r="H14" s="53">
        <v>7.6589999999999998</v>
      </c>
      <c r="I14" s="54">
        <v>40.953000000000003</v>
      </c>
      <c r="J14" s="29">
        <v>0.36</v>
      </c>
      <c r="K14" s="29">
        <v>1.718</v>
      </c>
      <c r="L14" s="29">
        <v>0.33400000000000002</v>
      </c>
      <c r="M14" s="29">
        <v>0.53600000000000003</v>
      </c>
      <c r="N14" s="29">
        <v>0.61199999999999999</v>
      </c>
      <c r="O14" s="29">
        <v>0.48299999999999998</v>
      </c>
      <c r="P14" s="30">
        <v>0.47299999999999998</v>
      </c>
    </row>
    <row r="15" spans="2:16" x14ac:dyDescent="0.2">
      <c r="B15" s="28" t="s">
        <v>15</v>
      </c>
      <c r="C15" s="52">
        <v>3.7170000000000001</v>
      </c>
      <c r="D15" s="53">
        <v>2.8140000000000001</v>
      </c>
      <c r="E15" s="53">
        <v>5.298</v>
      </c>
      <c r="F15" s="53">
        <v>1.87</v>
      </c>
      <c r="G15" s="53">
        <v>2.9169999999999998</v>
      </c>
      <c r="H15" s="53">
        <v>3.7949999999999999</v>
      </c>
      <c r="I15" s="54">
        <v>37.972999999999999</v>
      </c>
      <c r="J15" s="29">
        <v>0.23799999999999999</v>
      </c>
      <c r="K15" s="29">
        <v>1.395</v>
      </c>
      <c r="L15" s="29">
        <v>0.60799999999999998</v>
      </c>
      <c r="M15" s="29">
        <v>0.45</v>
      </c>
      <c r="N15" s="29">
        <v>0.64600000000000002</v>
      </c>
      <c r="O15" s="29">
        <v>0.28499999999999998</v>
      </c>
      <c r="P15" s="30">
        <v>0.71799999999999997</v>
      </c>
    </row>
    <row r="16" spans="2:16" x14ac:dyDescent="0.2">
      <c r="B16" s="28" t="s">
        <v>16</v>
      </c>
      <c r="C16" s="52">
        <v>7.9009999999999998</v>
      </c>
      <c r="D16" s="53">
        <v>5.7789999999999999</v>
      </c>
      <c r="E16" s="53">
        <v>1.181</v>
      </c>
      <c r="F16" s="53">
        <v>1.895</v>
      </c>
      <c r="G16" s="53">
        <v>1.738</v>
      </c>
      <c r="H16" s="53">
        <v>10.625999999999999</v>
      </c>
      <c r="I16" s="54">
        <v>42.578000000000003</v>
      </c>
      <c r="J16" s="29">
        <v>0.32700000000000001</v>
      </c>
      <c r="K16" s="29">
        <v>2.129</v>
      </c>
      <c r="L16" s="29">
        <v>0.33300000000000002</v>
      </c>
      <c r="M16" s="29">
        <v>0.45600000000000002</v>
      </c>
      <c r="N16" s="29">
        <v>0.57199999999999995</v>
      </c>
      <c r="O16" s="29">
        <v>0.44400000000000001</v>
      </c>
      <c r="P16" s="30">
        <v>0.30499999999999999</v>
      </c>
    </row>
    <row r="17" spans="1:16" x14ac:dyDescent="0.2">
      <c r="B17" s="28" t="s">
        <v>17</v>
      </c>
      <c r="C17" s="52">
        <v>24.497</v>
      </c>
      <c r="D17" s="53">
        <v>18.507000000000001</v>
      </c>
      <c r="E17" s="53">
        <v>18.263000000000002</v>
      </c>
      <c r="F17" s="53">
        <v>17.163</v>
      </c>
      <c r="G17" s="53">
        <v>19.623000000000001</v>
      </c>
      <c r="H17" s="53">
        <v>27.161000000000001</v>
      </c>
      <c r="I17" s="54">
        <v>46.695</v>
      </c>
      <c r="J17" s="29">
        <v>0.55600000000000005</v>
      </c>
      <c r="K17" s="29">
        <v>3.8039999999999998</v>
      </c>
      <c r="L17" s="29">
        <v>1.385</v>
      </c>
      <c r="M17" s="29">
        <v>1.5609999999999999</v>
      </c>
      <c r="N17" s="29">
        <v>1.395</v>
      </c>
      <c r="O17" s="29">
        <v>0.64300000000000002</v>
      </c>
      <c r="P17" s="30">
        <v>0.46200000000000002</v>
      </c>
    </row>
    <row r="18" spans="1:16" x14ac:dyDescent="0.2">
      <c r="B18" s="25" t="s">
        <v>18</v>
      </c>
      <c r="C18" s="52">
        <v>10.896000000000001</v>
      </c>
      <c r="D18" s="53">
        <v>14.536</v>
      </c>
      <c r="E18" s="53">
        <v>23.593</v>
      </c>
      <c r="F18" s="53">
        <v>28.558</v>
      </c>
      <c r="G18" s="53">
        <v>24.940999999999999</v>
      </c>
      <c r="H18" s="53">
        <v>4.6639999999999997</v>
      </c>
      <c r="I18" s="54">
        <v>29.658000000000001</v>
      </c>
      <c r="J18" s="29">
        <v>0.54300000000000004</v>
      </c>
      <c r="K18" s="29">
        <v>4.0359999999999996</v>
      </c>
      <c r="L18" s="29">
        <v>1.472</v>
      </c>
      <c r="M18" s="29">
        <v>1.9630000000000001</v>
      </c>
      <c r="N18" s="29">
        <v>1.714</v>
      </c>
      <c r="O18" s="29">
        <v>0.36399999999999999</v>
      </c>
      <c r="P18" s="30">
        <v>0.60899999999999999</v>
      </c>
    </row>
    <row r="19" spans="1:16" x14ac:dyDescent="0.2">
      <c r="B19" s="25" t="s">
        <v>19</v>
      </c>
      <c r="C19" s="52">
        <v>7.1950000000000003</v>
      </c>
      <c r="D19" s="53">
        <v>6.9180000000000001</v>
      </c>
      <c r="E19" s="53">
        <v>4.6529999999999996</v>
      </c>
      <c r="F19" s="53">
        <v>5.3010000000000002</v>
      </c>
      <c r="G19" s="53">
        <v>4.7370000000000001</v>
      </c>
      <c r="H19" s="53">
        <v>8.1920000000000002</v>
      </c>
      <c r="I19" s="54">
        <v>42.875999999999998</v>
      </c>
      <c r="J19" s="29">
        <v>0.316</v>
      </c>
      <c r="K19" s="29">
        <v>2.3849999999999998</v>
      </c>
      <c r="L19" s="29">
        <v>0.58299999999999996</v>
      </c>
      <c r="M19" s="29">
        <v>0.75600000000000001</v>
      </c>
      <c r="N19" s="29">
        <v>0.749</v>
      </c>
      <c r="O19" s="29">
        <v>0.42899999999999999</v>
      </c>
      <c r="P19" s="30">
        <v>0.53</v>
      </c>
    </row>
    <row r="20" spans="1:16" x14ac:dyDescent="0.2">
      <c r="B20" s="25" t="s">
        <v>20</v>
      </c>
      <c r="C20" s="52">
        <v>9.0589999999999993</v>
      </c>
      <c r="D20" s="53">
        <v>6.944</v>
      </c>
      <c r="E20" s="53">
        <v>3.0760000000000001</v>
      </c>
      <c r="F20" s="53">
        <v>5.1589999999999998</v>
      </c>
      <c r="G20" s="53">
        <v>8.1790000000000003</v>
      </c>
      <c r="H20" s="53">
        <v>10.672000000000001</v>
      </c>
      <c r="I20" s="54">
        <v>47.33</v>
      </c>
      <c r="J20" s="29">
        <v>0.38200000000000001</v>
      </c>
      <c r="K20" s="29">
        <v>3.419</v>
      </c>
      <c r="L20" s="29">
        <v>0.47299999999999998</v>
      </c>
      <c r="M20" s="29">
        <v>0.74099999999999999</v>
      </c>
      <c r="N20" s="29">
        <v>1.147</v>
      </c>
      <c r="O20" s="29">
        <v>0.50700000000000001</v>
      </c>
      <c r="P20" s="30">
        <v>0.53300000000000003</v>
      </c>
    </row>
    <row r="21" spans="1:16" x14ac:dyDescent="0.2">
      <c r="B21" s="25" t="s">
        <v>21</v>
      </c>
      <c r="C21" s="52">
        <v>27.123999999999999</v>
      </c>
      <c r="D21" s="53">
        <v>39.155999999999999</v>
      </c>
      <c r="E21" s="53">
        <v>37.984999999999999</v>
      </c>
      <c r="F21" s="53">
        <v>35.14</v>
      </c>
      <c r="G21" s="53">
        <v>33.570999999999998</v>
      </c>
      <c r="H21" s="53">
        <v>23.318000000000001</v>
      </c>
      <c r="I21" s="54">
        <v>38.283999999999999</v>
      </c>
      <c r="J21" s="29">
        <v>0.72099999999999997</v>
      </c>
      <c r="K21" s="29">
        <v>5.2450000000000001</v>
      </c>
      <c r="L21" s="29">
        <v>1.5469999999999999</v>
      </c>
      <c r="M21" s="29">
        <v>1.833</v>
      </c>
      <c r="N21" s="29">
        <v>1.9470000000000001</v>
      </c>
      <c r="O21" s="29">
        <v>0.78600000000000003</v>
      </c>
      <c r="P21" s="30">
        <v>0.45</v>
      </c>
    </row>
    <row r="22" spans="1:16" x14ac:dyDescent="0.2">
      <c r="B22" s="25" t="s">
        <v>22</v>
      </c>
      <c r="C22" s="52">
        <v>0.161</v>
      </c>
      <c r="D22" s="53">
        <v>0</v>
      </c>
      <c r="E22" s="53">
        <v>0</v>
      </c>
      <c r="F22" s="53">
        <v>0</v>
      </c>
      <c r="G22" s="53">
        <v>0</v>
      </c>
      <c r="H22" s="53">
        <v>0.23100000000000001</v>
      </c>
      <c r="I22" s="54">
        <v>53.234000000000002</v>
      </c>
      <c r="J22" s="29">
        <v>3.5999999999999997E-2</v>
      </c>
      <c r="K22" s="29">
        <v>0</v>
      </c>
      <c r="L22" s="29">
        <v>0</v>
      </c>
      <c r="M22" s="29">
        <v>0</v>
      </c>
      <c r="N22" s="29">
        <v>0</v>
      </c>
      <c r="O22" s="29">
        <v>5.1999999999999998E-2</v>
      </c>
      <c r="P22" s="30">
        <v>3.2970000000000002</v>
      </c>
    </row>
    <row r="23" spans="1:16" s="31" customFormat="1" ht="15" x14ac:dyDescent="0.2">
      <c r="B23" s="32"/>
      <c r="C23" s="55"/>
      <c r="D23" s="56"/>
      <c r="E23" s="56"/>
      <c r="F23" s="56"/>
      <c r="G23" s="56"/>
      <c r="H23" s="57"/>
      <c r="I23" s="58"/>
      <c r="J23" s="33"/>
      <c r="K23" s="34"/>
      <c r="L23" s="35"/>
      <c r="M23" s="35"/>
      <c r="N23" s="35"/>
      <c r="O23" s="35"/>
      <c r="P23" s="36"/>
    </row>
    <row r="24" spans="1:16" ht="15" x14ac:dyDescent="0.2">
      <c r="A24" s="59"/>
      <c r="B24" s="45" t="s">
        <v>23</v>
      </c>
      <c r="C24" s="37"/>
      <c r="D24" s="38"/>
      <c r="E24" s="37"/>
      <c r="F24" s="37"/>
      <c r="G24" s="38"/>
      <c r="H24" s="2"/>
      <c r="I24" s="2"/>
      <c r="J24" s="2"/>
    </row>
    <row r="25" spans="1:16" s="40" customFormat="1" ht="15" x14ac:dyDescent="0.2">
      <c r="A25" s="60"/>
      <c r="B25" s="46"/>
      <c r="C25" s="39"/>
      <c r="D25" s="39"/>
      <c r="E25" s="39"/>
      <c r="F25" s="39"/>
      <c r="J25" s="16"/>
    </row>
    <row r="26" spans="1:16" s="40" customFormat="1" ht="15" x14ac:dyDescent="0.2">
      <c r="A26" s="60"/>
      <c r="B26" s="46" t="s">
        <v>24</v>
      </c>
      <c r="C26" s="39"/>
      <c r="D26" s="39"/>
      <c r="E26" s="39"/>
      <c r="F26" s="39"/>
      <c r="J26" s="16"/>
    </row>
    <row r="27" spans="1:16" s="40" customFormat="1" ht="15" x14ac:dyDescent="0.2">
      <c r="A27" s="60"/>
      <c r="B27" s="47" t="s">
        <v>25</v>
      </c>
      <c r="C27" s="39"/>
      <c r="D27" s="39"/>
      <c r="E27" s="39"/>
      <c r="F27" s="39"/>
      <c r="J27" s="16"/>
    </row>
    <row r="28" spans="1:16" s="40" customFormat="1" ht="15" x14ac:dyDescent="0.2">
      <c r="A28" s="60"/>
      <c r="B28" s="47" t="s">
        <v>26</v>
      </c>
      <c r="J28" s="16"/>
    </row>
    <row r="29" spans="1:16" x14ac:dyDescent="0.2">
      <c r="A29" s="60"/>
      <c r="B29" s="48" t="s">
        <v>27</v>
      </c>
      <c r="C29" s="41"/>
      <c r="D29" s="41"/>
      <c r="E29" s="41"/>
      <c r="F29" s="41"/>
      <c r="G29" s="41"/>
      <c r="H29" s="41"/>
      <c r="I29" s="41"/>
    </row>
  </sheetData>
  <mergeCells count="20">
    <mergeCell ref="F6:F7"/>
    <mergeCell ref="G6:G7"/>
    <mergeCell ref="H6:H7"/>
    <mergeCell ref="L6:L7"/>
    <mergeCell ref="M6:M7"/>
    <mergeCell ref="N6:N7"/>
    <mergeCell ref="O6:O7"/>
    <mergeCell ref="B2:P2"/>
    <mergeCell ref="B4:B7"/>
    <mergeCell ref="C4:I4"/>
    <mergeCell ref="J4:P4"/>
    <mergeCell ref="C5:C7"/>
    <mergeCell ref="D5:D7"/>
    <mergeCell ref="E5:H5"/>
    <mergeCell ref="I5:I7"/>
    <mergeCell ref="J5:J7"/>
    <mergeCell ref="K5:K7"/>
    <mergeCell ref="L5:O5"/>
    <mergeCell ref="P5:P7"/>
    <mergeCell ref="E6:E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Statistical Tab_8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De Jesus</dc:creator>
  <cp:lastModifiedBy>SOL LAZO</cp:lastModifiedBy>
  <dcterms:created xsi:type="dcterms:W3CDTF">2025-11-08T04:35:50Z</dcterms:created>
  <dcterms:modified xsi:type="dcterms:W3CDTF">2025-12-16T11:15:44Z</dcterms:modified>
</cp:coreProperties>
</file>