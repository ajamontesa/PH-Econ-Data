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 - LFS\Sol's works\A-SOL 2025\S - SPECIAL RELEASE\2024 FINAL RESULTS\FINAL STAT TABLES\06 - JUNE 2024\"/>
    </mc:Choice>
  </mc:AlternateContent>
  <xr:revisionPtr revIDLastSave="0" documentId="13_ncr:1_{52C8A3F2-D84E-4741-B5B3-8562ECCF8D9D}" xr6:coauthVersionLast="47" xr6:coauthVersionMax="47" xr10:uidLastSave="{00000000-0000-0000-0000-000000000000}"/>
  <bookViews>
    <workbookView xWindow="-120" yWindow="-120" windowWidth="29040" windowHeight="15720" xr2:uid="{EC62FD54-9BE0-41AF-9275-5BE38BFCA8E0}"/>
  </bookViews>
  <sheets>
    <sheet name="Statistical_Tab 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7" i="1" l="1"/>
  <c r="M37" i="1"/>
  <c r="L37" i="1"/>
  <c r="K37" i="1"/>
  <c r="J37" i="1"/>
  <c r="I37" i="1"/>
  <c r="H37" i="1"/>
  <c r="G37" i="1"/>
  <c r="F37" i="1"/>
  <c r="E37" i="1"/>
  <c r="D37" i="1"/>
  <c r="C37" i="1"/>
  <c r="N26" i="1"/>
  <c r="M26" i="1"/>
  <c r="L26" i="1"/>
  <c r="K26" i="1"/>
  <c r="J26" i="1"/>
  <c r="I26" i="1"/>
  <c r="H26" i="1"/>
  <c r="G26" i="1"/>
  <c r="F26" i="1"/>
  <c r="E26" i="1"/>
  <c r="D26" i="1"/>
  <c r="C26" i="1"/>
  <c r="N15" i="1"/>
  <c r="M15" i="1"/>
  <c r="L15" i="1"/>
  <c r="K15" i="1"/>
  <c r="J15" i="1"/>
  <c r="I15" i="1"/>
  <c r="H15" i="1"/>
  <c r="G15" i="1"/>
  <c r="F15" i="1"/>
  <c r="E15" i="1"/>
  <c r="D15" i="1"/>
  <c r="C15" i="1"/>
</calcChain>
</file>

<file path=xl/sharedStrings.xml><?xml version="1.0" encoding="utf-8"?>
<sst xmlns="http://schemas.openxmlformats.org/spreadsheetml/2006/main" count="72" uniqueCount="29">
  <si>
    <t>Sex and Age Group</t>
  </si>
  <si>
    <t>Estimates</t>
  </si>
  <si>
    <t>Standard Error</t>
  </si>
  <si>
    <t>Total</t>
  </si>
  <si>
    <t>H i g h e s t   G r a d e   C o m p l e t e d</t>
  </si>
  <si>
    <t>No Grade Completed</t>
  </si>
  <si>
    <t>Elementary</t>
  </si>
  <si>
    <t>Junior High school</t>
  </si>
  <si>
    <t>Senior High school</t>
  </si>
  <si>
    <t>Post secondary</t>
  </si>
  <si>
    <t>College</t>
  </si>
  <si>
    <t>Under-graduate</t>
  </si>
  <si>
    <t>Graduate</t>
  </si>
  <si>
    <t>Philippines</t>
  </si>
  <si>
    <t>Both Sexes</t>
  </si>
  <si>
    <t>Number (in thousands)</t>
  </si>
  <si>
    <t>15 - 24</t>
  </si>
  <si>
    <t>25 - 34</t>
  </si>
  <si>
    <t>35 - 44</t>
  </si>
  <si>
    <t>45 - 54</t>
  </si>
  <si>
    <t>55 - 64</t>
  </si>
  <si>
    <t>65 and over</t>
  </si>
  <si>
    <t>Male</t>
  </si>
  <si>
    <t>Female</t>
  </si>
  <si>
    <t>f - Estimates are final</t>
  </si>
  <si>
    <t xml:space="preserve"> Notes: "-" indicator equals to 0</t>
  </si>
  <si>
    <t xml:space="preserve">  Details may not add up to totals due to rounding.</t>
  </si>
  <si>
    <t xml:space="preserve"> Source:  Philippine Statistics Authority, June 2024 Labor Force Survey</t>
  </si>
  <si>
    <r>
      <t>TABLE 5  Percent Distribution of Employed Persons by Highest Grade Completed, Sex, and Age Group: June 2024</t>
    </r>
    <r>
      <rPr>
        <b/>
        <vertAlign val="superscript"/>
        <sz val="11"/>
        <rFont val="Arial"/>
        <family val="2"/>
      </rPr>
      <t>f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</si>
</sst>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(* #,##0_);_(* \(#,##0\);_(* &quot;-&quot;_);_(@_)"/>
    <numFmt numFmtId="165" formatCode="#,##0.0_);\(#,##0.0\)"/>
    <numFmt numFmtId="166" formatCode="_-* #,##0.0_-;\-* #,##0.0_-;_-* &quot;-&quot;??_-;_-@_-"/>
    <numFmt numFmtId="167" formatCode="_(* #,##0.0_);_(* \(#,##0.0\);_(* &quot;-&quot;??_);_(@_)"/>
    <numFmt numFmtId="168" formatCode="#,##0;[Red]#,##0"/>
    <numFmt numFmtId="169" formatCode="_(* #,##0_);_(* \(#,##0\);_(* &quot;-&quot;??_);_(@_)"/>
    <numFmt numFmtId="170" formatCode="_-* #,##0_-;\-* #,##0_-;_-* &quot;-&quot;??_-;_-@_-"/>
    <numFmt numFmtId="171" formatCode="#,##0.0;\-#,##0.0"/>
  </numFmts>
  <fonts count="12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name val="Courier"/>
      <family val="3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i/>
      <sz val="10"/>
      <name val="Arial"/>
      <family val="2"/>
    </font>
    <font>
      <b/>
      <i/>
      <sz val="1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37" fontId="3" fillId="0" borderId="0"/>
  </cellStyleXfs>
  <cellXfs count="64">
    <xf numFmtId="0" fontId="0" fillId="0" borderId="0" xfId="0"/>
    <xf numFmtId="37" fontId="6" fillId="0" borderId="0" xfId="2" applyFont="1" applyAlignment="1">
      <alignment vertical="center"/>
    </xf>
    <xf numFmtId="37" fontId="4" fillId="0" borderId="0" xfId="2" applyFont="1" applyAlignment="1">
      <alignment horizontal="center" vertical="center"/>
    </xf>
    <xf numFmtId="37" fontId="7" fillId="0" borderId="0" xfId="2" applyFont="1" applyAlignment="1">
      <alignment vertical="center"/>
    </xf>
    <xf numFmtId="37" fontId="4" fillId="0" borderId="3" xfId="2" applyFont="1" applyBorder="1" applyAlignment="1">
      <alignment horizontal="center" vertical="center"/>
    </xf>
    <xf numFmtId="37" fontId="7" fillId="0" borderId="4" xfId="2" applyFont="1" applyBorder="1" applyAlignment="1">
      <alignment vertical="center"/>
    </xf>
    <xf numFmtId="37" fontId="4" fillId="0" borderId="3" xfId="2" applyFont="1" applyBorder="1" applyAlignment="1">
      <alignment horizontal="left" vertical="center"/>
    </xf>
    <xf numFmtId="37" fontId="4" fillId="0" borderId="0" xfId="2" applyFont="1" applyAlignment="1">
      <alignment vertical="center"/>
    </xf>
    <xf numFmtId="37" fontId="4" fillId="0" borderId="4" xfId="2" applyFont="1" applyBorder="1" applyAlignment="1">
      <alignment vertical="center"/>
    </xf>
    <xf numFmtId="37" fontId="8" fillId="0" borderId="0" xfId="2" applyFont="1" applyAlignment="1">
      <alignment vertical="center"/>
    </xf>
    <xf numFmtId="37" fontId="4" fillId="0" borderId="3" xfId="2" applyFont="1" applyBorder="1" applyAlignment="1">
      <alignment vertical="center"/>
    </xf>
    <xf numFmtId="164" fontId="4" fillId="0" borderId="3" xfId="1" applyNumberFormat="1" applyFont="1" applyBorder="1"/>
    <xf numFmtId="164" fontId="4" fillId="0" borderId="0" xfId="1" applyNumberFormat="1" applyFont="1" applyBorder="1"/>
    <xf numFmtId="164" fontId="4" fillId="0" borderId="4" xfId="1" applyNumberFormat="1" applyFont="1" applyBorder="1"/>
    <xf numFmtId="37" fontId="7" fillId="0" borderId="3" xfId="2" applyFont="1" applyBorder="1" applyAlignment="1">
      <alignment vertical="center"/>
    </xf>
    <xf numFmtId="164" fontId="4" fillId="0" borderId="0" xfId="0" applyNumberFormat="1" applyFont="1" applyAlignment="1">
      <alignment vertical="center"/>
    </xf>
    <xf numFmtId="164" fontId="4" fillId="0" borderId="3" xfId="0" applyNumberFormat="1" applyFont="1" applyBorder="1" applyAlignment="1">
      <alignment vertical="center"/>
    </xf>
    <xf numFmtId="164" fontId="4" fillId="0" borderId="4" xfId="0" applyNumberFormat="1" applyFont="1" applyBorder="1" applyAlignment="1">
      <alignment vertical="center"/>
    </xf>
    <xf numFmtId="165" fontId="4" fillId="0" borderId="3" xfId="2" applyNumberFormat="1" applyFont="1" applyBorder="1" applyAlignment="1">
      <alignment horizontal="left" vertical="center"/>
    </xf>
    <xf numFmtId="166" fontId="2" fillId="0" borderId="0" xfId="1" applyNumberFormat="1" applyFont="1"/>
    <xf numFmtId="37" fontId="7" fillId="0" borderId="3" xfId="2" applyFont="1" applyBorder="1" applyAlignment="1">
      <alignment horizontal="left" vertical="center" indent="1"/>
    </xf>
    <xf numFmtId="166" fontId="1" fillId="0" borderId="0" xfId="1" applyNumberFormat="1" applyFont="1"/>
    <xf numFmtId="37" fontId="4" fillId="0" borderId="3" xfId="2" applyFont="1" applyBorder="1" applyAlignment="1">
      <alignment horizontal="left" vertical="center" indent="1"/>
    </xf>
    <xf numFmtId="164" fontId="4" fillId="0" borderId="0" xfId="1" applyNumberFormat="1" applyFont="1" applyBorder="1" applyAlignment="1">
      <alignment vertical="center"/>
    </xf>
    <xf numFmtId="164" fontId="4" fillId="0" borderId="3" xfId="1" applyNumberFormat="1" applyFont="1" applyBorder="1" applyAlignment="1">
      <alignment vertical="center"/>
    </xf>
    <xf numFmtId="164" fontId="4" fillId="0" borderId="4" xfId="1" applyNumberFormat="1" applyFont="1" applyBorder="1" applyAlignment="1">
      <alignment vertical="center"/>
    </xf>
    <xf numFmtId="37" fontId="7" fillId="0" borderId="5" xfId="2" applyFont="1" applyBorder="1" applyAlignment="1">
      <alignment vertical="center"/>
    </xf>
    <xf numFmtId="167" fontId="7" fillId="0" borderId="6" xfId="2" applyNumberFormat="1" applyFont="1" applyBorder="1" applyAlignment="1">
      <alignment vertical="center"/>
    </xf>
    <xf numFmtId="167" fontId="7" fillId="0" borderId="5" xfId="2" applyNumberFormat="1" applyFont="1" applyBorder="1" applyAlignment="1">
      <alignment vertical="center"/>
    </xf>
    <xf numFmtId="167" fontId="7" fillId="0" borderId="7" xfId="2" applyNumberFormat="1" applyFont="1" applyBorder="1" applyAlignment="1">
      <alignment vertical="center"/>
    </xf>
    <xf numFmtId="37" fontId="9" fillId="0" borderId="0" xfId="2" applyFont="1" applyAlignment="1">
      <alignment vertical="center"/>
    </xf>
    <xf numFmtId="167" fontId="7" fillId="0" borderId="0" xfId="2" applyNumberFormat="1" applyFont="1" applyAlignment="1">
      <alignment vertical="center"/>
    </xf>
    <xf numFmtId="0" fontId="7" fillId="0" borderId="0" xfId="0" applyFont="1"/>
    <xf numFmtId="0" fontId="1" fillId="0" borderId="0" xfId="0" applyFont="1"/>
    <xf numFmtId="0" fontId="7" fillId="0" borderId="0" xfId="0" applyFont="1" applyAlignment="1">
      <alignment vertical="center"/>
    </xf>
    <xf numFmtId="0" fontId="6" fillId="0" borderId="0" xfId="0" applyFont="1" applyAlignment="1" applyProtection="1">
      <alignment vertical="center"/>
      <protection locked="0"/>
    </xf>
    <xf numFmtId="3" fontId="7" fillId="0" borderId="0" xfId="0" applyNumberFormat="1" applyFont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37" fontId="10" fillId="0" borderId="0" xfId="2" applyFont="1" applyAlignment="1">
      <alignment vertical="center"/>
    </xf>
    <xf numFmtId="167" fontId="11" fillId="0" borderId="0" xfId="2" applyNumberFormat="1" applyFont="1" applyAlignment="1">
      <alignment vertical="center"/>
    </xf>
    <xf numFmtId="167" fontId="4" fillId="0" borderId="0" xfId="2" applyNumberFormat="1" applyFont="1" applyAlignment="1">
      <alignment vertical="center"/>
    </xf>
    <xf numFmtId="168" fontId="4" fillId="0" borderId="0" xfId="1" applyNumberFormat="1" applyFont="1"/>
    <xf numFmtId="169" fontId="4" fillId="0" borderId="0" xfId="0" applyNumberFormat="1" applyFont="1" applyAlignment="1">
      <alignment vertical="center"/>
    </xf>
    <xf numFmtId="166" fontId="4" fillId="0" borderId="0" xfId="1" applyNumberFormat="1" applyFont="1" applyAlignment="1">
      <alignment vertical="center"/>
    </xf>
    <xf numFmtId="166" fontId="4" fillId="0" borderId="0" xfId="1" applyNumberFormat="1" applyFont="1" applyBorder="1" applyAlignment="1">
      <alignment vertical="center"/>
    </xf>
    <xf numFmtId="170" fontId="2" fillId="0" borderId="0" xfId="1" applyNumberFormat="1" applyFont="1"/>
    <xf numFmtId="171" fontId="6" fillId="0" borderId="0" xfId="2" applyNumberFormat="1" applyFont="1" applyAlignment="1">
      <alignment vertical="center"/>
    </xf>
    <xf numFmtId="166" fontId="7" fillId="0" borderId="3" xfId="1" applyNumberFormat="1" applyFont="1" applyBorder="1" applyAlignment="1">
      <alignment vertical="center"/>
    </xf>
    <xf numFmtId="166" fontId="7" fillId="0" borderId="0" xfId="1" applyNumberFormat="1" applyFont="1" applyBorder="1" applyAlignment="1">
      <alignment vertical="center"/>
    </xf>
    <xf numFmtId="166" fontId="7" fillId="0" borderId="4" xfId="1" applyNumberFormat="1" applyFont="1" applyBorder="1" applyAlignment="1">
      <alignment vertical="center"/>
    </xf>
    <xf numFmtId="166" fontId="7" fillId="0" borderId="0" xfId="1" quotePrefix="1" applyNumberFormat="1" applyFont="1" applyAlignment="1">
      <alignment horizontal="right" vertical="center"/>
    </xf>
    <xf numFmtId="37" fontId="10" fillId="0" borderId="0" xfId="0" applyNumberFormat="1" applyFont="1" applyAlignment="1" applyProtection="1">
      <alignment vertical="center"/>
      <protection locked="0"/>
    </xf>
    <xf numFmtId="37" fontId="10" fillId="0" borderId="0" xfId="0" applyNumberFormat="1" applyFont="1" applyAlignment="1" applyProtection="1">
      <alignment horizontal="left" vertical="center" indent="4"/>
      <protection locked="0"/>
    </xf>
    <xf numFmtId="37" fontId="10" fillId="0" borderId="0" xfId="0" applyNumberFormat="1" applyFont="1" applyAlignment="1" applyProtection="1">
      <alignment horizontal="left" vertical="center"/>
      <protection locked="0"/>
    </xf>
    <xf numFmtId="37" fontId="4" fillId="0" borderId="1" xfId="2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37" fontId="4" fillId="0" borderId="1" xfId="2" applyFont="1" applyBorder="1" applyAlignment="1">
      <alignment horizontal="center" vertical="center"/>
    </xf>
    <xf numFmtId="37" fontId="4" fillId="0" borderId="2" xfId="2" applyFont="1" applyBorder="1" applyAlignment="1">
      <alignment horizontal="center" vertical="center"/>
    </xf>
    <xf numFmtId="37" fontId="4" fillId="0" borderId="2" xfId="2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37" fontId="4" fillId="0" borderId="0" xfId="2" applyFont="1" applyAlignment="1">
      <alignment horizontal="center" vertical="center" wrapText="1"/>
    </xf>
    <xf numFmtId="37" fontId="4" fillId="0" borderId="8" xfId="2" applyFont="1" applyBorder="1" applyAlignment="1">
      <alignment horizontal="center" vertical="center" wrapText="1"/>
    </xf>
    <xf numFmtId="37" fontId="4" fillId="0" borderId="9" xfId="2" applyFont="1" applyBorder="1" applyAlignment="1">
      <alignment horizontal="center" vertical="center" wrapText="1"/>
    </xf>
    <xf numFmtId="37" fontId="4" fillId="0" borderId="10" xfId="2" applyFont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_Jan06_tables" xfId="2" xr:uid="{DC953350-D41A-4566-9A97-5B9FEB4B75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1883C-4DA7-49ED-A8A0-3B93D5EE74D9}">
  <dimension ref="B2:AY52"/>
  <sheetViews>
    <sheetView showGridLines="0" tabSelected="1" zoomScale="90" zoomScaleNormal="90" workbookViewId="0">
      <selection activeCell="H26" sqref="H26"/>
    </sheetView>
  </sheetViews>
  <sheetFormatPr defaultColWidth="9.125" defaultRowHeight="12.75" x14ac:dyDescent="0.2"/>
  <cols>
    <col min="1" max="1" width="3.125" style="1" customWidth="1"/>
    <col min="2" max="2" width="27.875" style="1" customWidth="1"/>
    <col min="3" max="3" width="11.375" style="1" customWidth="1"/>
    <col min="4" max="4" width="12.5" style="1" customWidth="1"/>
    <col min="5" max="14" width="10.75" style="1" customWidth="1"/>
    <col min="15" max="15" width="11.375" style="1" customWidth="1"/>
    <col min="16" max="16" width="12.5" style="1" customWidth="1"/>
    <col min="17" max="26" width="11.125" style="1" customWidth="1"/>
    <col min="27" max="256" width="9.125" style="1"/>
    <col min="257" max="257" width="3.125" style="1" customWidth="1"/>
    <col min="258" max="258" width="10.875" style="1" customWidth="1"/>
    <col min="259" max="259" width="11.375" style="1" customWidth="1"/>
    <col min="260" max="260" width="12.5" style="1" customWidth="1"/>
    <col min="261" max="270" width="10.75" style="1" customWidth="1"/>
    <col min="271" max="271" width="11.375" style="1" customWidth="1"/>
    <col min="272" max="272" width="12.5" style="1" customWidth="1"/>
    <col min="273" max="282" width="11.125" style="1" customWidth="1"/>
    <col min="283" max="512" width="9.125" style="1"/>
    <col min="513" max="513" width="3.125" style="1" customWidth="1"/>
    <col min="514" max="514" width="10.875" style="1" customWidth="1"/>
    <col min="515" max="515" width="11.375" style="1" customWidth="1"/>
    <col min="516" max="516" width="12.5" style="1" customWidth="1"/>
    <col min="517" max="526" width="10.75" style="1" customWidth="1"/>
    <col min="527" max="527" width="11.375" style="1" customWidth="1"/>
    <col min="528" max="528" width="12.5" style="1" customWidth="1"/>
    <col min="529" max="538" width="11.125" style="1" customWidth="1"/>
    <col min="539" max="768" width="9.125" style="1"/>
    <col min="769" max="769" width="3.125" style="1" customWidth="1"/>
    <col min="770" max="770" width="10.875" style="1" customWidth="1"/>
    <col min="771" max="771" width="11.375" style="1" customWidth="1"/>
    <col min="772" max="772" width="12.5" style="1" customWidth="1"/>
    <col min="773" max="782" width="10.75" style="1" customWidth="1"/>
    <col min="783" max="783" width="11.375" style="1" customWidth="1"/>
    <col min="784" max="784" width="12.5" style="1" customWidth="1"/>
    <col min="785" max="794" width="11.125" style="1" customWidth="1"/>
    <col min="795" max="1024" width="9.125" style="1"/>
    <col min="1025" max="1025" width="3.125" style="1" customWidth="1"/>
    <col min="1026" max="1026" width="10.875" style="1" customWidth="1"/>
    <col min="1027" max="1027" width="11.375" style="1" customWidth="1"/>
    <col min="1028" max="1028" width="12.5" style="1" customWidth="1"/>
    <col min="1029" max="1038" width="10.75" style="1" customWidth="1"/>
    <col min="1039" max="1039" width="11.375" style="1" customWidth="1"/>
    <col min="1040" max="1040" width="12.5" style="1" customWidth="1"/>
    <col min="1041" max="1050" width="11.125" style="1" customWidth="1"/>
    <col min="1051" max="1280" width="9.125" style="1"/>
    <col min="1281" max="1281" width="3.125" style="1" customWidth="1"/>
    <col min="1282" max="1282" width="10.875" style="1" customWidth="1"/>
    <col min="1283" max="1283" width="11.375" style="1" customWidth="1"/>
    <col min="1284" max="1284" width="12.5" style="1" customWidth="1"/>
    <col min="1285" max="1294" width="10.75" style="1" customWidth="1"/>
    <col min="1295" max="1295" width="11.375" style="1" customWidth="1"/>
    <col min="1296" max="1296" width="12.5" style="1" customWidth="1"/>
    <col min="1297" max="1306" width="11.125" style="1" customWidth="1"/>
    <col min="1307" max="1536" width="9.125" style="1"/>
    <col min="1537" max="1537" width="3.125" style="1" customWidth="1"/>
    <col min="1538" max="1538" width="10.875" style="1" customWidth="1"/>
    <col min="1539" max="1539" width="11.375" style="1" customWidth="1"/>
    <col min="1540" max="1540" width="12.5" style="1" customWidth="1"/>
    <col min="1541" max="1550" width="10.75" style="1" customWidth="1"/>
    <col min="1551" max="1551" width="11.375" style="1" customWidth="1"/>
    <col min="1552" max="1552" width="12.5" style="1" customWidth="1"/>
    <col min="1553" max="1562" width="11.125" style="1" customWidth="1"/>
    <col min="1563" max="1792" width="9.125" style="1"/>
    <col min="1793" max="1793" width="3.125" style="1" customWidth="1"/>
    <col min="1794" max="1794" width="10.875" style="1" customWidth="1"/>
    <col min="1795" max="1795" width="11.375" style="1" customWidth="1"/>
    <col min="1796" max="1796" width="12.5" style="1" customWidth="1"/>
    <col min="1797" max="1806" width="10.75" style="1" customWidth="1"/>
    <col min="1807" max="1807" width="11.375" style="1" customWidth="1"/>
    <col min="1808" max="1808" width="12.5" style="1" customWidth="1"/>
    <col min="1809" max="1818" width="11.125" style="1" customWidth="1"/>
    <col min="1819" max="2048" width="9.125" style="1"/>
    <col min="2049" max="2049" width="3.125" style="1" customWidth="1"/>
    <col min="2050" max="2050" width="10.875" style="1" customWidth="1"/>
    <col min="2051" max="2051" width="11.375" style="1" customWidth="1"/>
    <col min="2052" max="2052" width="12.5" style="1" customWidth="1"/>
    <col min="2053" max="2062" width="10.75" style="1" customWidth="1"/>
    <col min="2063" max="2063" width="11.375" style="1" customWidth="1"/>
    <col min="2064" max="2064" width="12.5" style="1" customWidth="1"/>
    <col min="2065" max="2074" width="11.125" style="1" customWidth="1"/>
    <col min="2075" max="2304" width="9.125" style="1"/>
    <col min="2305" max="2305" width="3.125" style="1" customWidth="1"/>
    <col min="2306" max="2306" width="10.875" style="1" customWidth="1"/>
    <col min="2307" max="2307" width="11.375" style="1" customWidth="1"/>
    <col min="2308" max="2308" width="12.5" style="1" customWidth="1"/>
    <col min="2309" max="2318" width="10.75" style="1" customWidth="1"/>
    <col min="2319" max="2319" width="11.375" style="1" customWidth="1"/>
    <col min="2320" max="2320" width="12.5" style="1" customWidth="1"/>
    <col min="2321" max="2330" width="11.125" style="1" customWidth="1"/>
    <col min="2331" max="2560" width="9.125" style="1"/>
    <col min="2561" max="2561" width="3.125" style="1" customWidth="1"/>
    <col min="2562" max="2562" width="10.875" style="1" customWidth="1"/>
    <col min="2563" max="2563" width="11.375" style="1" customWidth="1"/>
    <col min="2564" max="2564" width="12.5" style="1" customWidth="1"/>
    <col min="2565" max="2574" width="10.75" style="1" customWidth="1"/>
    <col min="2575" max="2575" width="11.375" style="1" customWidth="1"/>
    <col min="2576" max="2576" width="12.5" style="1" customWidth="1"/>
    <col min="2577" max="2586" width="11.125" style="1" customWidth="1"/>
    <col min="2587" max="2816" width="9.125" style="1"/>
    <col min="2817" max="2817" width="3.125" style="1" customWidth="1"/>
    <col min="2818" max="2818" width="10.875" style="1" customWidth="1"/>
    <col min="2819" max="2819" width="11.375" style="1" customWidth="1"/>
    <col min="2820" max="2820" width="12.5" style="1" customWidth="1"/>
    <col min="2821" max="2830" width="10.75" style="1" customWidth="1"/>
    <col min="2831" max="2831" width="11.375" style="1" customWidth="1"/>
    <col min="2832" max="2832" width="12.5" style="1" customWidth="1"/>
    <col min="2833" max="2842" width="11.125" style="1" customWidth="1"/>
    <col min="2843" max="3072" width="9.125" style="1"/>
    <col min="3073" max="3073" width="3.125" style="1" customWidth="1"/>
    <col min="3074" max="3074" width="10.875" style="1" customWidth="1"/>
    <col min="3075" max="3075" width="11.375" style="1" customWidth="1"/>
    <col min="3076" max="3076" width="12.5" style="1" customWidth="1"/>
    <col min="3077" max="3086" width="10.75" style="1" customWidth="1"/>
    <col min="3087" max="3087" width="11.375" style="1" customWidth="1"/>
    <col min="3088" max="3088" width="12.5" style="1" customWidth="1"/>
    <col min="3089" max="3098" width="11.125" style="1" customWidth="1"/>
    <col min="3099" max="3328" width="9.125" style="1"/>
    <col min="3329" max="3329" width="3.125" style="1" customWidth="1"/>
    <col min="3330" max="3330" width="10.875" style="1" customWidth="1"/>
    <col min="3331" max="3331" width="11.375" style="1" customWidth="1"/>
    <col min="3332" max="3332" width="12.5" style="1" customWidth="1"/>
    <col min="3333" max="3342" width="10.75" style="1" customWidth="1"/>
    <col min="3343" max="3343" width="11.375" style="1" customWidth="1"/>
    <col min="3344" max="3344" width="12.5" style="1" customWidth="1"/>
    <col min="3345" max="3354" width="11.125" style="1" customWidth="1"/>
    <col min="3355" max="3584" width="9.125" style="1"/>
    <col min="3585" max="3585" width="3.125" style="1" customWidth="1"/>
    <col min="3586" max="3586" width="10.875" style="1" customWidth="1"/>
    <col min="3587" max="3587" width="11.375" style="1" customWidth="1"/>
    <col min="3588" max="3588" width="12.5" style="1" customWidth="1"/>
    <col min="3589" max="3598" width="10.75" style="1" customWidth="1"/>
    <col min="3599" max="3599" width="11.375" style="1" customWidth="1"/>
    <col min="3600" max="3600" width="12.5" style="1" customWidth="1"/>
    <col min="3601" max="3610" width="11.125" style="1" customWidth="1"/>
    <col min="3611" max="3840" width="9.125" style="1"/>
    <col min="3841" max="3841" width="3.125" style="1" customWidth="1"/>
    <col min="3842" max="3842" width="10.875" style="1" customWidth="1"/>
    <col min="3843" max="3843" width="11.375" style="1" customWidth="1"/>
    <col min="3844" max="3844" width="12.5" style="1" customWidth="1"/>
    <col min="3845" max="3854" width="10.75" style="1" customWidth="1"/>
    <col min="3855" max="3855" width="11.375" style="1" customWidth="1"/>
    <col min="3856" max="3856" width="12.5" style="1" customWidth="1"/>
    <col min="3857" max="3866" width="11.125" style="1" customWidth="1"/>
    <col min="3867" max="4096" width="9.125" style="1"/>
    <col min="4097" max="4097" width="3.125" style="1" customWidth="1"/>
    <col min="4098" max="4098" width="10.875" style="1" customWidth="1"/>
    <col min="4099" max="4099" width="11.375" style="1" customWidth="1"/>
    <col min="4100" max="4100" width="12.5" style="1" customWidth="1"/>
    <col min="4101" max="4110" width="10.75" style="1" customWidth="1"/>
    <col min="4111" max="4111" width="11.375" style="1" customWidth="1"/>
    <col min="4112" max="4112" width="12.5" style="1" customWidth="1"/>
    <col min="4113" max="4122" width="11.125" style="1" customWidth="1"/>
    <col min="4123" max="4352" width="9.125" style="1"/>
    <col min="4353" max="4353" width="3.125" style="1" customWidth="1"/>
    <col min="4354" max="4354" width="10.875" style="1" customWidth="1"/>
    <col min="4355" max="4355" width="11.375" style="1" customWidth="1"/>
    <col min="4356" max="4356" width="12.5" style="1" customWidth="1"/>
    <col min="4357" max="4366" width="10.75" style="1" customWidth="1"/>
    <col min="4367" max="4367" width="11.375" style="1" customWidth="1"/>
    <col min="4368" max="4368" width="12.5" style="1" customWidth="1"/>
    <col min="4369" max="4378" width="11.125" style="1" customWidth="1"/>
    <col min="4379" max="4608" width="9.125" style="1"/>
    <col min="4609" max="4609" width="3.125" style="1" customWidth="1"/>
    <col min="4610" max="4610" width="10.875" style="1" customWidth="1"/>
    <col min="4611" max="4611" width="11.375" style="1" customWidth="1"/>
    <col min="4612" max="4612" width="12.5" style="1" customWidth="1"/>
    <col min="4613" max="4622" width="10.75" style="1" customWidth="1"/>
    <col min="4623" max="4623" width="11.375" style="1" customWidth="1"/>
    <col min="4624" max="4624" width="12.5" style="1" customWidth="1"/>
    <col min="4625" max="4634" width="11.125" style="1" customWidth="1"/>
    <col min="4635" max="4864" width="9.125" style="1"/>
    <col min="4865" max="4865" width="3.125" style="1" customWidth="1"/>
    <col min="4866" max="4866" width="10.875" style="1" customWidth="1"/>
    <col min="4867" max="4867" width="11.375" style="1" customWidth="1"/>
    <col min="4868" max="4868" width="12.5" style="1" customWidth="1"/>
    <col min="4869" max="4878" width="10.75" style="1" customWidth="1"/>
    <col min="4879" max="4879" width="11.375" style="1" customWidth="1"/>
    <col min="4880" max="4880" width="12.5" style="1" customWidth="1"/>
    <col min="4881" max="4890" width="11.125" style="1" customWidth="1"/>
    <col min="4891" max="5120" width="9.125" style="1"/>
    <col min="5121" max="5121" width="3.125" style="1" customWidth="1"/>
    <col min="5122" max="5122" width="10.875" style="1" customWidth="1"/>
    <col min="5123" max="5123" width="11.375" style="1" customWidth="1"/>
    <col min="5124" max="5124" width="12.5" style="1" customWidth="1"/>
    <col min="5125" max="5134" width="10.75" style="1" customWidth="1"/>
    <col min="5135" max="5135" width="11.375" style="1" customWidth="1"/>
    <col min="5136" max="5136" width="12.5" style="1" customWidth="1"/>
    <col min="5137" max="5146" width="11.125" style="1" customWidth="1"/>
    <col min="5147" max="5376" width="9.125" style="1"/>
    <col min="5377" max="5377" width="3.125" style="1" customWidth="1"/>
    <col min="5378" max="5378" width="10.875" style="1" customWidth="1"/>
    <col min="5379" max="5379" width="11.375" style="1" customWidth="1"/>
    <col min="5380" max="5380" width="12.5" style="1" customWidth="1"/>
    <col min="5381" max="5390" width="10.75" style="1" customWidth="1"/>
    <col min="5391" max="5391" width="11.375" style="1" customWidth="1"/>
    <col min="5392" max="5392" width="12.5" style="1" customWidth="1"/>
    <col min="5393" max="5402" width="11.125" style="1" customWidth="1"/>
    <col min="5403" max="5632" width="9.125" style="1"/>
    <col min="5633" max="5633" width="3.125" style="1" customWidth="1"/>
    <col min="5634" max="5634" width="10.875" style="1" customWidth="1"/>
    <col min="5635" max="5635" width="11.375" style="1" customWidth="1"/>
    <col min="5636" max="5636" width="12.5" style="1" customWidth="1"/>
    <col min="5637" max="5646" width="10.75" style="1" customWidth="1"/>
    <col min="5647" max="5647" width="11.375" style="1" customWidth="1"/>
    <col min="5648" max="5648" width="12.5" style="1" customWidth="1"/>
    <col min="5649" max="5658" width="11.125" style="1" customWidth="1"/>
    <col min="5659" max="5888" width="9.125" style="1"/>
    <col min="5889" max="5889" width="3.125" style="1" customWidth="1"/>
    <col min="5890" max="5890" width="10.875" style="1" customWidth="1"/>
    <col min="5891" max="5891" width="11.375" style="1" customWidth="1"/>
    <col min="5892" max="5892" width="12.5" style="1" customWidth="1"/>
    <col min="5893" max="5902" width="10.75" style="1" customWidth="1"/>
    <col min="5903" max="5903" width="11.375" style="1" customWidth="1"/>
    <col min="5904" max="5904" width="12.5" style="1" customWidth="1"/>
    <col min="5905" max="5914" width="11.125" style="1" customWidth="1"/>
    <col min="5915" max="6144" width="9.125" style="1"/>
    <col min="6145" max="6145" width="3.125" style="1" customWidth="1"/>
    <col min="6146" max="6146" width="10.875" style="1" customWidth="1"/>
    <col min="6147" max="6147" width="11.375" style="1" customWidth="1"/>
    <col min="6148" max="6148" width="12.5" style="1" customWidth="1"/>
    <col min="6149" max="6158" width="10.75" style="1" customWidth="1"/>
    <col min="6159" max="6159" width="11.375" style="1" customWidth="1"/>
    <col min="6160" max="6160" width="12.5" style="1" customWidth="1"/>
    <col min="6161" max="6170" width="11.125" style="1" customWidth="1"/>
    <col min="6171" max="6400" width="9.125" style="1"/>
    <col min="6401" max="6401" width="3.125" style="1" customWidth="1"/>
    <col min="6402" max="6402" width="10.875" style="1" customWidth="1"/>
    <col min="6403" max="6403" width="11.375" style="1" customWidth="1"/>
    <col min="6404" max="6404" width="12.5" style="1" customWidth="1"/>
    <col min="6405" max="6414" width="10.75" style="1" customWidth="1"/>
    <col min="6415" max="6415" width="11.375" style="1" customWidth="1"/>
    <col min="6416" max="6416" width="12.5" style="1" customWidth="1"/>
    <col min="6417" max="6426" width="11.125" style="1" customWidth="1"/>
    <col min="6427" max="6656" width="9.125" style="1"/>
    <col min="6657" max="6657" width="3.125" style="1" customWidth="1"/>
    <col min="6658" max="6658" width="10.875" style="1" customWidth="1"/>
    <col min="6659" max="6659" width="11.375" style="1" customWidth="1"/>
    <col min="6660" max="6660" width="12.5" style="1" customWidth="1"/>
    <col min="6661" max="6670" width="10.75" style="1" customWidth="1"/>
    <col min="6671" max="6671" width="11.375" style="1" customWidth="1"/>
    <col min="6672" max="6672" width="12.5" style="1" customWidth="1"/>
    <col min="6673" max="6682" width="11.125" style="1" customWidth="1"/>
    <col min="6683" max="6912" width="9.125" style="1"/>
    <col min="6913" max="6913" width="3.125" style="1" customWidth="1"/>
    <col min="6914" max="6914" width="10.875" style="1" customWidth="1"/>
    <col min="6915" max="6915" width="11.375" style="1" customWidth="1"/>
    <col min="6916" max="6916" width="12.5" style="1" customWidth="1"/>
    <col min="6917" max="6926" width="10.75" style="1" customWidth="1"/>
    <col min="6927" max="6927" width="11.375" style="1" customWidth="1"/>
    <col min="6928" max="6928" width="12.5" style="1" customWidth="1"/>
    <col min="6929" max="6938" width="11.125" style="1" customWidth="1"/>
    <col min="6939" max="7168" width="9.125" style="1"/>
    <col min="7169" max="7169" width="3.125" style="1" customWidth="1"/>
    <col min="7170" max="7170" width="10.875" style="1" customWidth="1"/>
    <col min="7171" max="7171" width="11.375" style="1" customWidth="1"/>
    <col min="7172" max="7172" width="12.5" style="1" customWidth="1"/>
    <col min="7173" max="7182" width="10.75" style="1" customWidth="1"/>
    <col min="7183" max="7183" width="11.375" style="1" customWidth="1"/>
    <col min="7184" max="7184" width="12.5" style="1" customWidth="1"/>
    <col min="7185" max="7194" width="11.125" style="1" customWidth="1"/>
    <col min="7195" max="7424" width="9.125" style="1"/>
    <col min="7425" max="7425" width="3.125" style="1" customWidth="1"/>
    <col min="7426" max="7426" width="10.875" style="1" customWidth="1"/>
    <col min="7427" max="7427" width="11.375" style="1" customWidth="1"/>
    <col min="7428" max="7428" width="12.5" style="1" customWidth="1"/>
    <col min="7429" max="7438" width="10.75" style="1" customWidth="1"/>
    <col min="7439" max="7439" width="11.375" style="1" customWidth="1"/>
    <col min="7440" max="7440" width="12.5" style="1" customWidth="1"/>
    <col min="7441" max="7450" width="11.125" style="1" customWidth="1"/>
    <col min="7451" max="7680" width="9.125" style="1"/>
    <col min="7681" max="7681" width="3.125" style="1" customWidth="1"/>
    <col min="7682" max="7682" width="10.875" style="1" customWidth="1"/>
    <col min="7683" max="7683" width="11.375" style="1" customWidth="1"/>
    <col min="7684" max="7684" width="12.5" style="1" customWidth="1"/>
    <col min="7685" max="7694" width="10.75" style="1" customWidth="1"/>
    <col min="7695" max="7695" width="11.375" style="1" customWidth="1"/>
    <col min="7696" max="7696" width="12.5" style="1" customWidth="1"/>
    <col min="7697" max="7706" width="11.125" style="1" customWidth="1"/>
    <col min="7707" max="7936" width="9.125" style="1"/>
    <col min="7937" max="7937" width="3.125" style="1" customWidth="1"/>
    <col min="7938" max="7938" width="10.875" style="1" customWidth="1"/>
    <col min="7939" max="7939" width="11.375" style="1" customWidth="1"/>
    <col min="7940" max="7940" width="12.5" style="1" customWidth="1"/>
    <col min="7941" max="7950" width="10.75" style="1" customWidth="1"/>
    <col min="7951" max="7951" width="11.375" style="1" customWidth="1"/>
    <col min="7952" max="7952" width="12.5" style="1" customWidth="1"/>
    <col min="7953" max="7962" width="11.125" style="1" customWidth="1"/>
    <col min="7963" max="8192" width="9.125" style="1"/>
    <col min="8193" max="8193" width="3.125" style="1" customWidth="1"/>
    <col min="8194" max="8194" width="10.875" style="1" customWidth="1"/>
    <col min="8195" max="8195" width="11.375" style="1" customWidth="1"/>
    <col min="8196" max="8196" width="12.5" style="1" customWidth="1"/>
    <col min="8197" max="8206" width="10.75" style="1" customWidth="1"/>
    <col min="8207" max="8207" width="11.375" style="1" customWidth="1"/>
    <col min="8208" max="8208" width="12.5" style="1" customWidth="1"/>
    <col min="8209" max="8218" width="11.125" style="1" customWidth="1"/>
    <col min="8219" max="8448" width="9.125" style="1"/>
    <col min="8449" max="8449" width="3.125" style="1" customWidth="1"/>
    <col min="8450" max="8450" width="10.875" style="1" customWidth="1"/>
    <col min="8451" max="8451" width="11.375" style="1" customWidth="1"/>
    <col min="8452" max="8452" width="12.5" style="1" customWidth="1"/>
    <col min="8453" max="8462" width="10.75" style="1" customWidth="1"/>
    <col min="8463" max="8463" width="11.375" style="1" customWidth="1"/>
    <col min="8464" max="8464" width="12.5" style="1" customWidth="1"/>
    <col min="8465" max="8474" width="11.125" style="1" customWidth="1"/>
    <col min="8475" max="8704" width="9.125" style="1"/>
    <col min="8705" max="8705" width="3.125" style="1" customWidth="1"/>
    <col min="8706" max="8706" width="10.875" style="1" customWidth="1"/>
    <col min="8707" max="8707" width="11.375" style="1" customWidth="1"/>
    <col min="8708" max="8708" width="12.5" style="1" customWidth="1"/>
    <col min="8709" max="8718" width="10.75" style="1" customWidth="1"/>
    <col min="8719" max="8719" width="11.375" style="1" customWidth="1"/>
    <col min="8720" max="8720" width="12.5" style="1" customWidth="1"/>
    <col min="8721" max="8730" width="11.125" style="1" customWidth="1"/>
    <col min="8731" max="8960" width="9.125" style="1"/>
    <col min="8961" max="8961" width="3.125" style="1" customWidth="1"/>
    <col min="8962" max="8962" width="10.875" style="1" customWidth="1"/>
    <col min="8963" max="8963" width="11.375" style="1" customWidth="1"/>
    <col min="8964" max="8964" width="12.5" style="1" customWidth="1"/>
    <col min="8965" max="8974" width="10.75" style="1" customWidth="1"/>
    <col min="8975" max="8975" width="11.375" style="1" customWidth="1"/>
    <col min="8976" max="8976" width="12.5" style="1" customWidth="1"/>
    <col min="8977" max="8986" width="11.125" style="1" customWidth="1"/>
    <col min="8987" max="9216" width="9.125" style="1"/>
    <col min="9217" max="9217" width="3.125" style="1" customWidth="1"/>
    <col min="9218" max="9218" width="10.875" style="1" customWidth="1"/>
    <col min="9219" max="9219" width="11.375" style="1" customWidth="1"/>
    <col min="9220" max="9220" width="12.5" style="1" customWidth="1"/>
    <col min="9221" max="9230" width="10.75" style="1" customWidth="1"/>
    <col min="9231" max="9231" width="11.375" style="1" customWidth="1"/>
    <col min="9232" max="9232" width="12.5" style="1" customWidth="1"/>
    <col min="9233" max="9242" width="11.125" style="1" customWidth="1"/>
    <col min="9243" max="9472" width="9.125" style="1"/>
    <col min="9473" max="9473" width="3.125" style="1" customWidth="1"/>
    <col min="9474" max="9474" width="10.875" style="1" customWidth="1"/>
    <col min="9475" max="9475" width="11.375" style="1" customWidth="1"/>
    <col min="9476" max="9476" width="12.5" style="1" customWidth="1"/>
    <col min="9477" max="9486" width="10.75" style="1" customWidth="1"/>
    <col min="9487" max="9487" width="11.375" style="1" customWidth="1"/>
    <col min="9488" max="9488" width="12.5" style="1" customWidth="1"/>
    <col min="9489" max="9498" width="11.125" style="1" customWidth="1"/>
    <col min="9499" max="9728" width="9.125" style="1"/>
    <col min="9729" max="9729" width="3.125" style="1" customWidth="1"/>
    <col min="9730" max="9730" width="10.875" style="1" customWidth="1"/>
    <col min="9731" max="9731" width="11.375" style="1" customWidth="1"/>
    <col min="9732" max="9732" width="12.5" style="1" customWidth="1"/>
    <col min="9733" max="9742" width="10.75" style="1" customWidth="1"/>
    <col min="9743" max="9743" width="11.375" style="1" customWidth="1"/>
    <col min="9744" max="9744" width="12.5" style="1" customWidth="1"/>
    <col min="9745" max="9754" width="11.125" style="1" customWidth="1"/>
    <col min="9755" max="9984" width="9.125" style="1"/>
    <col min="9985" max="9985" width="3.125" style="1" customWidth="1"/>
    <col min="9986" max="9986" width="10.875" style="1" customWidth="1"/>
    <col min="9987" max="9987" width="11.375" style="1" customWidth="1"/>
    <col min="9988" max="9988" width="12.5" style="1" customWidth="1"/>
    <col min="9989" max="9998" width="10.75" style="1" customWidth="1"/>
    <col min="9999" max="9999" width="11.375" style="1" customWidth="1"/>
    <col min="10000" max="10000" width="12.5" style="1" customWidth="1"/>
    <col min="10001" max="10010" width="11.125" style="1" customWidth="1"/>
    <col min="10011" max="10240" width="9.125" style="1"/>
    <col min="10241" max="10241" width="3.125" style="1" customWidth="1"/>
    <col min="10242" max="10242" width="10.875" style="1" customWidth="1"/>
    <col min="10243" max="10243" width="11.375" style="1" customWidth="1"/>
    <col min="10244" max="10244" width="12.5" style="1" customWidth="1"/>
    <col min="10245" max="10254" width="10.75" style="1" customWidth="1"/>
    <col min="10255" max="10255" width="11.375" style="1" customWidth="1"/>
    <col min="10256" max="10256" width="12.5" style="1" customWidth="1"/>
    <col min="10257" max="10266" width="11.125" style="1" customWidth="1"/>
    <col min="10267" max="10496" width="9.125" style="1"/>
    <col min="10497" max="10497" width="3.125" style="1" customWidth="1"/>
    <col min="10498" max="10498" width="10.875" style="1" customWidth="1"/>
    <col min="10499" max="10499" width="11.375" style="1" customWidth="1"/>
    <col min="10500" max="10500" width="12.5" style="1" customWidth="1"/>
    <col min="10501" max="10510" width="10.75" style="1" customWidth="1"/>
    <col min="10511" max="10511" width="11.375" style="1" customWidth="1"/>
    <col min="10512" max="10512" width="12.5" style="1" customWidth="1"/>
    <col min="10513" max="10522" width="11.125" style="1" customWidth="1"/>
    <col min="10523" max="10752" width="9.125" style="1"/>
    <col min="10753" max="10753" width="3.125" style="1" customWidth="1"/>
    <col min="10754" max="10754" width="10.875" style="1" customWidth="1"/>
    <col min="10755" max="10755" width="11.375" style="1" customWidth="1"/>
    <col min="10756" max="10756" width="12.5" style="1" customWidth="1"/>
    <col min="10757" max="10766" width="10.75" style="1" customWidth="1"/>
    <col min="10767" max="10767" width="11.375" style="1" customWidth="1"/>
    <col min="10768" max="10768" width="12.5" style="1" customWidth="1"/>
    <col min="10769" max="10778" width="11.125" style="1" customWidth="1"/>
    <col min="10779" max="11008" width="9.125" style="1"/>
    <col min="11009" max="11009" width="3.125" style="1" customWidth="1"/>
    <col min="11010" max="11010" width="10.875" style="1" customWidth="1"/>
    <col min="11011" max="11011" width="11.375" style="1" customWidth="1"/>
    <col min="11012" max="11012" width="12.5" style="1" customWidth="1"/>
    <col min="11013" max="11022" width="10.75" style="1" customWidth="1"/>
    <col min="11023" max="11023" width="11.375" style="1" customWidth="1"/>
    <col min="11024" max="11024" width="12.5" style="1" customWidth="1"/>
    <col min="11025" max="11034" width="11.125" style="1" customWidth="1"/>
    <col min="11035" max="11264" width="9.125" style="1"/>
    <col min="11265" max="11265" width="3.125" style="1" customWidth="1"/>
    <col min="11266" max="11266" width="10.875" style="1" customWidth="1"/>
    <col min="11267" max="11267" width="11.375" style="1" customWidth="1"/>
    <col min="11268" max="11268" width="12.5" style="1" customWidth="1"/>
    <col min="11269" max="11278" width="10.75" style="1" customWidth="1"/>
    <col min="11279" max="11279" width="11.375" style="1" customWidth="1"/>
    <col min="11280" max="11280" width="12.5" style="1" customWidth="1"/>
    <col min="11281" max="11290" width="11.125" style="1" customWidth="1"/>
    <col min="11291" max="11520" width="9.125" style="1"/>
    <col min="11521" max="11521" width="3.125" style="1" customWidth="1"/>
    <col min="11522" max="11522" width="10.875" style="1" customWidth="1"/>
    <col min="11523" max="11523" width="11.375" style="1" customWidth="1"/>
    <col min="11524" max="11524" width="12.5" style="1" customWidth="1"/>
    <col min="11525" max="11534" width="10.75" style="1" customWidth="1"/>
    <col min="11535" max="11535" width="11.375" style="1" customWidth="1"/>
    <col min="11536" max="11536" width="12.5" style="1" customWidth="1"/>
    <col min="11537" max="11546" width="11.125" style="1" customWidth="1"/>
    <col min="11547" max="11776" width="9.125" style="1"/>
    <col min="11777" max="11777" width="3.125" style="1" customWidth="1"/>
    <col min="11778" max="11778" width="10.875" style="1" customWidth="1"/>
    <col min="11779" max="11779" width="11.375" style="1" customWidth="1"/>
    <col min="11780" max="11780" width="12.5" style="1" customWidth="1"/>
    <col min="11781" max="11790" width="10.75" style="1" customWidth="1"/>
    <col min="11791" max="11791" width="11.375" style="1" customWidth="1"/>
    <col min="11792" max="11792" width="12.5" style="1" customWidth="1"/>
    <col min="11793" max="11802" width="11.125" style="1" customWidth="1"/>
    <col min="11803" max="12032" width="9.125" style="1"/>
    <col min="12033" max="12033" width="3.125" style="1" customWidth="1"/>
    <col min="12034" max="12034" width="10.875" style="1" customWidth="1"/>
    <col min="12035" max="12035" width="11.375" style="1" customWidth="1"/>
    <col min="12036" max="12036" width="12.5" style="1" customWidth="1"/>
    <col min="12037" max="12046" width="10.75" style="1" customWidth="1"/>
    <col min="12047" max="12047" width="11.375" style="1" customWidth="1"/>
    <col min="12048" max="12048" width="12.5" style="1" customWidth="1"/>
    <col min="12049" max="12058" width="11.125" style="1" customWidth="1"/>
    <col min="12059" max="12288" width="9.125" style="1"/>
    <col min="12289" max="12289" width="3.125" style="1" customWidth="1"/>
    <col min="12290" max="12290" width="10.875" style="1" customWidth="1"/>
    <col min="12291" max="12291" width="11.375" style="1" customWidth="1"/>
    <col min="12292" max="12292" width="12.5" style="1" customWidth="1"/>
    <col min="12293" max="12302" width="10.75" style="1" customWidth="1"/>
    <col min="12303" max="12303" width="11.375" style="1" customWidth="1"/>
    <col min="12304" max="12304" width="12.5" style="1" customWidth="1"/>
    <col min="12305" max="12314" width="11.125" style="1" customWidth="1"/>
    <col min="12315" max="12544" width="9.125" style="1"/>
    <col min="12545" max="12545" width="3.125" style="1" customWidth="1"/>
    <col min="12546" max="12546" width="10.875" style="1" customWidth="1"/>
    <col min="12547" max="12547" width="11.375" style="1" customWidth="1"/>
    <col min="12548" max="12548" width="12.5" style="1" customWidth="1"/>
    <col min="12549" max="12558" width="10.75" style="1" customWidth="1"/>
    <col min="12559" max="12559" width="11.375" style="1" customWidth="1"/>
    <col min="12560" max="12560" width="12.5" style="1" customWidth="1"/>
    <col min="12561" max="12570" width="11.125" style="1" customWidth="1"/>
    <col min="12571" max="12800" width="9.125" style="1"/>
    <col min="12801" max="12801" width="3.125" style="1" customWidth="1"/>
    <col min="12802" max="12802" width="10.875" style="1" customWidth="1"/>
    <col min="12803" max="12803" width="11.375" style="1" customWidth="1"/>
    <col min="12804" max="12804" width="12.5" style="1" customWidth="1"/>
    <col min="12805" max="12814" width="10.75" style="1" customWidth="1"/>
    <col min="12815" max="12815" width="11.375" style="1" customWidth="1"/>
    <col min="12816" max="12816" width="12.5" style="1" customWidth="1"/>
    <col min="12817" max="12826" width="11.125" style="1" customWidth="1"/>
    <col min="12827" max="13056" width="9.125" style="1"/>
    <col min="13057" max="13057" width="3.125" style="1" customWidth="1"/>
    <col min="13058" max="13058" width="10.875" style="1" customWidth="1"/>
    <col min="13059" max="13059" width="11.375" style="1" customWidth="1"/>
    <col min="13060" max="13060" width="12.5" style="1" customWidth="1"/>
    <col min="13061" max="13070" width="10.75" style="1" customWidth="1"/>
    <col min="13071" max="13071" width="11.375" style="1" customWidth="1"/>
    <col min="13072" max="13072" width="12.5" style="1" customWidth="1"/>
    <col min="13073" max="13082" width="11.125" style="1" customWidth="1"/>
    <col min="13083" max="13312" width="9.125" style="1"/>
    <col min="13313" max="13313" width="3.125" style="1" customWidth="1"/>
    <col min="13314" max="13314" width="10.875" style="1" customWidth="1"/>
    <col min="13315" max="13315" width="11.375" style="1" customWidth="1"/>
    <col min="13316" max="13316" width="12.5" style="1" customWidth="1"/>
    <col min="13317" max="13326" width="10.75" style="1" customWidth="1"/>
    <col min="13327" max="13327" width="11.375" style="1" customWidth="1"/>
    <col min="13328" max="13328" width="12.5" style="1" customWidth="1"/>
    <col min="13329" max="13338" width="11.125" style="1" customWidth="1"/>
    <col min="13339" max="13568" width="9.125" style="1"/>
    <col min="13569" max="13569" width="3.125" style="1" customWidth="1"/>
    <col min="13570" max="13570" width="10.875" style="1" customWidth="1"/>
    <col min="13571" max="13571" width="11.375" style="1" customWidth="1"/>
    <col min="13572" max="13572" width="12.5" style="1" customWidth="1"/>
    <col min="13573" max="13582" width="10.75" style="1" customWidth="1"/>
    <col min="13583" max="13583" width="11.375" style="1" customWidth="1"/>
    <col min="13584" max="13584" width="12.5" style="1" customWidth="1"/>
    <col min="13585" max="13594" width="11.125" style="1" customWidth="1"/>
    <col min="13595" max="13824" width="9.125" style="1"/>
    <col min="13825" max="13825" width="3.125" style="1" customWidth="1"/>
    <col min="13826" max="13826" width="10.875" style="1" customWidth="1"/>
    <col min="13827" max="13827" width="11.375" style="1" customWidth="1"/>
    <col min="13828" max="13828" width="12.5" style="1" customWidth="1"/>
    <col min="13829" max="13838" width="10.75" style="1" customWidth="1"/>
    <col min="13839" max="13839" width="11.375" style="1" customWidth="1"/>
    <col min="13840" max="13840" width="12.5" style="1" customWidth="1"/>
    <col min="13841" max="13850" width="11.125" style="1" customWidth="1"/>
    <col min="13851" max="14080" width="9.125" style="1"/>
    <col min="14081" max="14081" width="3.125" style="1" customWidth="1"/>
    <col min="14082" max="14082" width="10.875" style="1" customWidth="1"/>
    <col min="14083" max="14083" width="11.375" style="1" customWidth="1"/>
    <col min="14084" max="14084" width="12.5" style="1" customWidth="1"/>
    <col min="14085" max="14094" width="10.75" style="1" customWidth="1"/>
    <col min="14095" max="14095" width="11.375" style="1" customWidth="1"/>
    <col min="14096" max="14096" width="12.5" style="1" customWidth="1"/>
    <col min="14097" max="14106" width="11.125" style="1" customWidth="1"/>
    <col min="14107" max="14336" width="9.125" style="1"/>
    <col min="14337" max="14337" width="3.125" style="1" customWidth="1"/>
    <col min="14338" max="14338" width="10.875" style="1" customWidth="1"/>
    <col min="14339" max="14339" width="11.375" style="1" customWidth="1"/>
    <col min="14340" max="14340" width="12.5" style="1" customWidth="1"/>
    <col min="14341" max="14350" width="10.75" style="1" customWidth="1"/>
    <col min="14351" max="14351" width="11.375" style="1" customWidth="1"/>
    <col min="14352" max="14352" width="12.5" style="1" customWidth="1"/>
    <col min="14353" max="14362" width="11.125" style="1" customWidth="1"/>
    <col min="14363" max="14592" width="9.125" style="1"/>
    <col min="14593" max="14593" width="3.125" style="1" customWidth="1"/>
    <col min="14594" max="14594" width="10.875" style="1" customWidth="1"/>
    <col min="14595" max="14595" width="11.375" style="1" customWidth="1"/>
    <col min="14596" max="14596" width="12.5" style="1" customWidth="1"/>
    <col min="14597" max="14606" width="10.75" style="1" customWidth="1"/>
    <col min="14607" max="14607" width="11.375" style="1" customWidth="1"/>
    <col min="14608" max="14608" width="12.5" style="1" customWidth="1"/>
    <col min="14609" max="14618" width="11.125" style="1" customWidth="1"/>
    <col min="14619" max="14848" width="9.125" style="1"/>
    <col min="14849" max="14849" width="3.125" style="1" customWidth="1"/>
    <col min="14850" max="14850" width="10.875" style="1" customWidth="1"/>
    <col min="14851" max="14851" width="11.375" style="1" customWidth="1"/>
    <col min="14852" max="14852" width="12.5" style="1" customWidth="1"/>
    <col min="14853" max="14862" width="10.75" style="1" customWidth="1"/>
    <col min="14863" max="14863" width="11.375" style="1" customWidth="1"/>
    <col min="14864" max="14864" width="12.5" style="1" customWidth="1"/>
    <col min="14865" max="14874" width="11.125" style="1" customWidth="1"/>
    <col min="14875" max="15104" width="9.125" style="1"/>
    <col min="15105" max="15105" width="3.125" style="1" customWidth="1"/>
    <col min="15106" max="15106" width="10.875" style="1" customWidth="1"/>
    <col min="15107" max="15107" width="11.375" style="1" customWidth="1"/>
    <col min="15108" max="15108" width="12.5" style="1" customWidth="1"/>
    <col min="15109" max="15118" width="10.75" style="1" customWidth="1"/>
    <col min="15119" max="15119" width="11.375" style="1" customWidth="1"/>
    <col min="15120" max="15120" width="12.5" style="1" customWidth="1"/>
    <col min="15121" max="15130" width="11.125" style="1" customWidth="1"/>
    <col min="15131" max="15360" width="9.125" style="1"/>
    <col min="15361" max="15361" width="3.125" style="1" customWidth="1"/>
    <col min="15362" max="15362" width="10.875" style="1" customWidth="1"/>
    <col min="15363" max="15363" width="11.375" style="1" customWidth="1"/>
    <col min="15364" max="15364" width="12.5" style="1" customWidth="1"/>
    <col min="15365" max="15374" width="10.75" style="1" customWidth="1"/>
    <col min="15375" max="15375" width="11.375" style="1" customWidth="1"/>
    <col min="15376" max="15376" width="12.5" style="1" customWidth="1"/>
    <col min="15377" max="15386" width="11.125" style="1" customWidth="1"/>
    <col min="15387" max="15616" width="9.125" style="1"/>
    <col min="15617" max="15617" width="3.125" style="1" customWidth="1"/>
    <col min="15618" max="15618" width="10.875" style="1" customWidth="1"/>
    <col min="15619" max="15619" width="11.375" style="1" customWidth="1"/>
    <col min="15620" max="15620" width="12.5" style="1" customWidth="1"/>
    <col min="15621" max="15630" width="10.75" style="1" customWidth="1"/>
    <col min="15631" max="15631" width="11.375" style="1" customWidth="1"/>
    <col min="15632" max="15632" width="12.5" style="1" customWidth="1"/>
    <col min="15633" max="15642" width="11.125" style="1" customWidth="1"/>
    <col min="15643" max="15872" width="9.125" style="1"/>
    <col min="15873" max="15873" width="3.125" style="1" customWidth="1"/>
    <col min="15874" max="15874" width="10.875" style="1" customWidth="1"/>
    <col min="15875" max="15875" width="11.375" style="1" customWidth="1"/>
    <col min="15876" max="15876" width="12.5" style="1" customWidth="1"/>
    <col min="15877" max="15886" width="10.75" style="1" customWidth="1"/>
    <col min="15887" max="15887" width="11.375" style="1" customWidth="1"/>
    <col min="15888" max="15888" width="12.5" style="1" customWidth="1"/>
    <col min="15889" max="15898" width="11.125" style="1" customWidth="1"/>
    <col min="15899" max="16128" width="9.125" style="1"/>
    <col min="16129" max="16129" width="3.125" style="1" customWidth="1"/>
    <col min="16130" max="16130" width="10.875" style="1" customWidth="1"/>
    <col min="16131" max="16131" width="11.375" style="1" customWidth="1"/>
    <col min="16132" max="16132" width="12.5" style="1" customWidth="1"/>
    <col min="16133" max="16142" width="10.75" style="1" customWidth="1"/>
    <col min="16143" max="16143" width="11.375" style="1" customWidth="1"/>
    <col min="16144" max="16144" width="12.5" style="1" customWidth="1"/>
    <col min="16145" max="16154" width="11.125" style="1" customWidth="1"/>
    <col min="16155" max="16384" width="9.125" style="1"/>
  </cols>
  <sheetData>
    <row r="2" spans="2:51" ht="15" x14ac:dyDescent="0.2">
      <c r="B2" s="60" t="s">
        <v>28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spans="2:51" ht="15" x14ac:dyDescent="0.2">
      <c r="B3" s="2"/>
      <c r="C3" s="2"/>
      <c r="D3" s="2"/>
      <c r="E3" s="2"/>
      <c r="F3" s="2"/>
      <c r="G3" s="2"/>
      <c r="H3" s="2"/>
      <c r="I3" s="3"/>
      <c r="J3" s="3"/>
      <c r="K3" s="3"/>
      <c r="L3" s="3"/>
      <c r="M3" s="3"/>
      <c r="N3" s="3"/>
      <c r="O3" s="2"/>
      <c r="P3" s="2"/>
      <c r="Q3" s="2"/>
      <c r="R3" s="2"/>
      <c r="S3" s="2"/>
      <c r="T3" s="2"/>
      <c r="U3" s="3"/>
      <c r="V3" s="3"/>
      <c r="W3" s="3"/>
      <c r="X3" s="3"/>
      <c r="Y3" s="3"/>
      <c r="Z3" s="3"/>
    </row>
    <row r="4" spans="2:51" ht="15" x14ac:dyDescent="0.2">
      <c r="B4" s="61" t="s">
        <v>0</v>
      </c>
      <c r="C4" s="56" t="s">
        <v>1</v>
      </c>
      <c r="D4" s="56"/>
      <c r="E4" s="56"/>
      <c r="F4" s="56"/>
      <c r="G4" s="56"/>
      <c r="H4" s="56"/>
      <c r="I4" s="56"/>
      <c r="J4" s="56"/>
      <c r="K4" s="56"/>
      <c r="L4" s="56"/>
      <c r="M4" s="56"/>
      <c r="N4" s="57"/>
      <c r="O4" s="56" t="s">
        <v>2</v>
      </c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 spans="2:51" ht="15" x14ac:dyDescent="0.2">
      <c r="B5" s="62"/>
      <c r="C5" s="56" t="s">
        <v>3</v>
      </c>
      <c r="D5" s="56" t="s">
        <v>4</v>
      </c>
      <c r="E5" s="56"/>
      <c r="F5" s="56"/>
      <c r="G5" s="56"/>
      <c r="H5" s="56"/>
      <c r="I5" s="56"/>
      <c r="J5" s="56"/>
      <c r="K5" s="56"/>
      <c r="L5" s="56"/>
      <c r="M5" s="56"/>
      <c r="N5" s="57"/>
      <c r="O5" s="56" t="s">
        <v>3</v>
      </c>
      <c r="P5" s="56" t="s">
        <v>4</v>
      </c>
      <c r="Q5" s="56"/>
      <c r="R5" s="56"/>
      <c r="S5" s="56"/>
      <c r="T5" s="56"/>
      <c r="U5" s="56"/>
      <c r="V5" s="56"/>
      <c r="W5" s="56"/>
      <c r="X5" s="56"/>
      <c r="Y5" s="56"/>
      <c r="Z5" s="56"/>
    </row>
    <row r="6" spans="2:51" ht="15" x14ac:dyDescent="0.2">
      <c r="B6" s="62"/>
      <c r="C6" s="56"/>
      <c r="D6" s="54" t="s">
        <v>5</v>
      </c>
      <c r="E6" s="56" t="s">
        <v>6</v>
      </c>
      <c r="F6" s="56"/>
      <c r="G6" s="56" t="s">
        <v>7</v>
      </c>
      <c r="H6" s="56"/>
      <c r="I6" s="56" t="s">
        <v>8</v>
      </c>
      <c r="J6" s="56"/>
      <c r="K6" s="56" t="s">
        <v>9</v>
      </c>
      <c r="L6" s="56"/>
      <c r="M6" s="56" t="s">
        <v>10</v>
      </c>
      <c r="N6" s="57"/>
      <c r="O6" s="56"/>
      <c r="P6" s="54" t="s">
        <v>5</v>
      </c>
      <c r="Q6" s="56" t="s">
        <v>6</v>
      </c>
      <c r="R6" s="56"/>
      <c r="S6" s="56" t="s">
        <v>7</v>
      </c>
      <c r="T6" s="56"/>
      <c r="U6" s="56" t="s">
        <v>8</v>
      </c>
      <c r="V6" s="56"/>
      <c r="W6" s="56" t="s">
        <v>9</v>
      </c>
      <c r="X6" s="56"/>
      <c r="Y6" s="56" t="s">
        <v>10</v>
      </c>
      <c r="Z6" s="56"/>
    </row>
    <row r="7" spans="2:51" x14ac:dyDescent="0.2">
      <c r="B7" s="62"/>
      <c r="C7" s="56"/>
      <c r="D7" s="54"/>
      <c r="E7" s="54" t="s">
        <v>11</v>
      </c>
      <c r="F7" s="54" t="s">
        <v>12</v>
      </c>
      <c r="G7" s="54" t="s">
        <v>11</v>
      </c>
      <c r="H7" s="54" t="s">
        <v>12</v>
      </c>
      <c r="I7" s="54" t="s">
        <v>11</v>
      </c>
      <c r="J7" s="54" t="s">
        <v>12</v>
      </c>
      <c r="K7" s="54" t="s">
        <v>11</v>
      </c>
      <c r="L7" s="54" t="s">
        <v>12</v>
      </c>
      <c r="M7" s="54" t="s">
        <v>11</v>
      </c>
      <c r="N7" s="58" t="s">
        <v>12</v>
      </c>
      <c r="O7" s="56"/>
      <c r="P7" s="54"/>
      <c r="Q7" s="54" t="s">
        <v>11</v>
      </c>
      <c r="R7" s="54" t="s">
        <v>12</v>
      </c>
      <c r="S7" s="54" t="s">
        <v>11</v>
      </c>
      <c r="T7" s="54" t="s">
        <v>12</v>
      </c>
      <c r="U7" s="54" t="s">
        <v>11</v>
      </c>
      <c r="V7" s="54" t="s">
        <v>12</v>
      </c>
      <c r="W7" s="54" t="s">
        <v>11</v>
      </c>
      <c r="X7" s="54" t="s">
        <v>12</v>
      </c>
      <c r="Y7" s="54" t="s">
        <v>11</v>
      </c>
      <c r="Z7" s="54" t="s">
        <v>12</v>
      </c>
    </row>
    <row r="8" spans="2:51" x14ac:dyDescent="0.2">
      <c r="B8" s="63"/>
      <c r="C8" s="56"/>
      <c r="D8" s="54"/>
      <c r="E8" s="54"/>
      <c r="F8" s="54"/>
      <c r="G8" s="54"/>
      <c r="H8" s="54"/>
      <c r="I8" s="55"/>
      <c r="J8" s="55"/>
      <c r="K8" s="55"/>
      <c r="L8" s="55"/>
      <c r="M8" s="55"/>
      <c r="N8" s="59"/>
      <c r="O8" s="56"/>
      <c r="P8" s="54"/>
      <c r="Q8" s="54"/>
      <c r="R8" s="54"/>
      <c r="S8" s="54"/>
      <c r="T8" s="54"/>
      <c r="U8" s="55"/>
      <c r="V8" s="55"/>
      <c r="W8" s="55"/>
      <c r="X8" s="55"/>
      <c r="Y8" s="55"/>
      <c r="Z8" s="55"/>
    </row>
    <row r="9" spans="2:51" ht="15" x14ac:dyDescent="0.2">
      <c r="B9" s="4"/>
      <c r="C9" s="2"/>
      <c r="D9" s="2"/>
      <c r="E9" s="2"/>
      <c r="F9" s="2"/>
      <c r="G9" s="2"/>
      <c r="H9" s="2"/>
      <c r="I9" s="3"/>
      <c r="J9" s="3"/>
      <c r="K9" s="3"/>
      <c r="L9" s="3"/>
      <c r="M9" s="3"/>
      <c r="N9" s="3"/>
      <c r="O9" s="4"/>
      <c r="P9" s="2"/>
      <c r="Q9" s="2"/>
      <c r="R9" s="2"/>
      <c r="S9" s="2"/>
      <c r="T9" s="2"/>
      <c r="U9" s="3"/>
      <c r="V9" s="3"/>
      <c r="W9" s="3"/>
      <c r="X9" s="3"/>
      <c r="Y9" s="3"/>
      <c r="Z9" s="5"/>
    </row>
    <row r="10" spans="2:51" s="9" customFormat="1" ht="15" x14ac:dyDescent="0.2">
      <c r="B10" s="6" t="s">
        <v>13</v>
      </c>
      <c r="C10" s="2"/>
      <c r="D10" s="2"/>
      <c r="E10" s="2"/>
      <c r="F10" s="2"/>
      <c r="G10" s="2"/>
      <c r="H10" s="7"/>
      <c r="I10" s="7"/>
      <c r="J10" s="7"/>
      <c r="K10" s="7"/>
      <c r="L10" s="7"/>
      <c r="M10" s="7"/>
      <c r="N10" s="7"/>
      <c r="O10" s="4"/>
      <c r="P10" s="2"/>
      <c r="Q10" s="2"/>
      <c r="R10" s="2"/>
      <c r="S10" s="2"/>
      <c r="T10" s="7"/>
      <c r="U10" s="7"/>
      <c r="V10" s="7"/>
      <c r="W10" s="7"/>
      <c r="X10" s="7"/>
      <c r="Y10" s="7"/>
      <c r="Z10" s="8"/>
    </row>
    <row r="11" spans="2:51" s="9" customFormat="1" ht="15" x14ac:dyDescent="0.2">
      <c r="B11" s="10"/>
      <c r="C11" s="2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4"/>
      <c r="P11" s="7"/>
      <c r="Q11" s="7"/>
      <c r="R11" s="7"/>
      <c r="S11" s="7"/>
      <c r="T11" s="7"/>
      <c r="U11" s="7"/>
      <c r="V11" s="7"/>
      <c r="W11" s="7"/>
      <c r="X11" s="7"/>
      <c r="Y11" s="7"/>
      <c r="Z11" s="8"/>
    </row>
    <row r="12" spans="2:51" s="9" customFormat="1" ht="15" x14ac:dyDescent="0.25">
      <c r="B12" s="10" t="s">
        <v>14</v>
      </c>
      <c r="C12" s="45">
        <v>50278.082000000002</v>
      </c>
      <c r="D12" s="45">
        <v>473.89699999999999</v>
      </c>
      <c r="E12" s="45">
        <v>4944.8850000000002</v>
      </c>
      <c r="F12" s="45">
        <v>5868.3860000000004</v>
      </c>
      <c r="G12" s="45">
        <v>5183.4390000000003</v>
      </c>
      <c r="H12" s="45">
        <v>15869.364</v>
      </c>
      <c r="I12" s="45">
        <v>437.2</v>
      </c>
      <c r="J12" s="45">
        <v>1431.7360000000001</v>
      </c>
      <c r="K12" s="45">
        <v>66.561000000000007</v>
      </c>
      <c r="L12" s="45">
        <v>1610.992</v>
      </c>
      <c r="M12" s="45">
        <v>4783.165</v>
      </c>
      <c r="N12" s="45">
        <v>9608.4590000000007</v>
      </c>
      <c r="O12" s="11">
        <v>1035.423</v>
      </c>
      <c r="P12" s="12">
        <v>59.713000000000001</v>
      </c>
      <c r="Q12" s="12">
        <v>249.09399999999999</v>
      </c>
      <c r="R12" s="12">
        <v>270.69499999999999</v>
      </c>
      <c r="S12" s="12">
        <v>223.977</v>
      </c>
      <c r="T12" s="12">
        <v>502.738</v>
      </c>
      <c r="U12" s="12">
        <v>45.154000000000003</v>
      </c>
      <c r="V12" s="12">
        <v>104.289</v>
      </c>
      <c r="W12" s="12">
        <v>23.896999999999998</v>
      </c>
      <c r="X12" s="12">
        <v>116.20399999999999</v>
      </c>
      <c r="Y12" s="12">
        <v>215.37899999999999</v>
      </c>
      <c r="Z12" s="13">
        <v>399.95100000000002</v>
      </c>
    </row>
    <row r="13" spans="2:51" s="9" customFormat="1" ht="15" x14ac:dyDescent="0.2">
      <c r="B13" s="14" t="s">
        <v>15</v>
      </c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16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7"/>
    </row>
    <row r="14" spans="2:51" ht="15" x14ac:dyDescent="0.2">
      <c r="B14" s="10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16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7"/>
    </row>
    <row r="15" spans="2:51" s="9" customFormat="1" ht="15" x14ac:dyDescent="0.25">
      <c r="B15" s="18" t="s">
        <v>3</v>
      </c>
      <c r="C15" s="19">
        <f>SUM(C16:C21)</f>
        <v>100.00000000000001</v>
      </c>
      <c r="D15" s="19">
        <f t="shared" ref="D15:N15" si="0">SUM(D16:D21)</f>
        <v>100</v>
      </c>
      <c r="E15" s="19">
        <f t="shared" si="0"/>
        <v>100.001</v>
      </c>
      <c r="F15" s="19">
        <f t="shared" si="0"/>
        <v>99.998999999999995</v>
      </c>
      <c r="G15" s="19">
        <f t="shared" si="0"/>
        <v>100.001</v>
      </c>
      <c r="H15" s="19">
        <f t="shared" si="0"/>
        <v>100</v>
      </c>
      <c r="I15" s="19">
        <f t="shared" si="0"/>
        <v>99.998999999999995</v>
      </c>
      <c r="J15" s="19">
        <f t="shared" si="0"/>
        <v>100</v>
      </c>
      <c r="K15" s="19">
        <f t="shared" si="0"/>
        <v>99.999999999999986</v>
      </c>
      <c r="L15" s="19">
        <f t="shared" si="0"/>
        <v>99.998999999999995</v>
      </c>
      <c r="M15" s="19">
        <f t="shared" si="0"/>
        <v>99.999999999999986</v>
      </c>
      <c r="N15" s="19">
        <f t="shared" si="0"/>
        <v>100</v>
      </c>
      <c r="O15" s="16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7"/>
    </row>
    <row r="16" spans="2:51" ht="14.25" x14ac:dyDescent="0.2">
      <c r="B16" s="20" t="s">
        <v>16</v>
      </c>
      <c r="C16" s="21">
        <v>12.347</v>
      </c>
      <c r="D16" s="21">
        <v>5.8739999999999997</v>
      </c>
      <c r="E16" s="21">
        <v>7.585</v>
      </c>
      <c r="F16" s="21">
        <v>5.5259999999999998</v>
      </c>
      <c r="G16" s="21">
        <v>16.286999999999999</v>
      </c>
      <c r="H16" s="21">
        <v>7.0540000000000003</v>
      </c>
      <c r="I16" s="21">
        <v>94.512</v>
      </c>
      <c r="J16" s="21">
        <v>96.724000000000004</v>
      </c>
      <c r="K16" s="21">
        <v>0</v>
      </c>
      <c r="L16" s="21">
        <v>1.8560000000000001</v>
      </c>
      <c r="M16" s="21">
        <v>19.337</v>
      </c>
      <c r="N16" s="21">
        <v>7.9560000000000004</v>
      </c>
      <c r="O16" s="47">
        <v>0.377</v>
      </c>
      <c r="P16" s="48">
        <v>1.9279999999999999</v>
      </c>
      <c r="Q16" s="48">
        <v>0.89600000000000002</v>
      </c>
      <c r="R16" s="48">
        <v>0.74</v>
      </c>
      <c r="S16" s="48">
        <v>1.1739999999999999</v>
      </c>
      <c r="T16" s="48">
        <v>0.53600000000000003</v>
      </c>
      <c r="U16" s="48">
        <v>2.5840000000000001</v>
      </c>
      <c r="V16" s="48">
        <v>0.97599999999999998</v>
      </c>
      <c r="W16" s="48">
        <v>0</v>
      </c>
      <c r="X16" s="48">
        <v>0.63900000000000001</v>
      </c>
      <c r="Y16" s="48">
        <v>1.407</v>
      </c>
      <c r="Z16" s="49">
        <v>0.73899999999999999</v>
      </c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</row>
    <row r="17" spans="2:50" ht="14.25" x14ac:dyDescent="0.2">
      <c r="B17" s="20" t="s">
        <v>17</v>
      </c>
      <c r="C17" s="21">
        <v>27.856000000000002</v>
      </c>
      <c r="D17" s="21">
        <v>15.2</v>
      </c>
      <c r="E17" s="21">
        <v>19.056000000000001</v>
      </c>
      <c r="F17" s="21">
        <v>19.867999999999999</v>
      </c>
      <c r="G17" s="21">
        <v>26.978000000000002</v>
      </c>
      <c r="H17" s="21">
        <v>28.452999999999999</v>
      </c>
      <c r="I17" s="21">
        <v>3.2669999999999999</v>
      </c>
      <c r="J17" s="21">
        <v>3.2759999999999998</v>
      </c>
      <c r="K17" s="21">
        <v>51.478000000000002</v>
      </c>
      <c r="L17" s="21">
        <v>26.986000000000001</v>
      </c>
      <c r="M17" s="21">
        <v>30.402999999999999</v>
      </c>
      <c r="N17" s="21">
        <v>40.869</v>
      </c>
      <c r="O17" s="47">
        <v>0.49299999999999999</v>
      </c>
      <c r="P17" s="48">
        <v>2.524</v>
      </c>
      <c r="Q17" s="48">
        <v>1.2</v>
      </c>
      <c r="R17" s="48">
        <v>1.206</v>
      </c>
      <c r="S17" s="48">
        <v>1.486</v>
      </c>
      <c r="T17" s="48">
        <v>0.83799999999999997</v>
      </c>
      <c r="U17" s="48">
        <v>1.44</v>
      </c>
      <c r="V17" s="50">
        <v>0.97599999999999998</v>
      </c>
      <c r="W17" s="48">
        <v>18.265000000000001</v>
      </c>
      <c r="X17" s="48">
        <v>2.306</v>
      </c>
      <c r="Y17" s="48">
        <v>1.766</v>
      </c>
      <c r="Z17" s="49">
        <v>1.415</v>
      </c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</row>
    <row r="18" spans="2:50" ht="14.25" x14ac:dyDescent="0.2">
      <c r="B18" s="20" t="s">
        <v>18</v>
      </c>
      <c r="C18" s="21">
        <v>23.12</v>
      </c>
      <c r="D18" s="21">
        <v>14.288</v>
      </c>
      <c r="E18" s="21">
        <v>18.425000000000001</v>
      </c>
      <c r="F18" s="21">
        <v>19.12</v>
      </c>
      <c r="G18" s="21">
        <v>23.515999999999998</v>
      </c>
      <c r="H18" s="21">
        <v>28.497</v>
      </c>
      <c r="I18" s="21">
        <v>2.2200000000000002</v>
      </c>
      <c r="J18" s="21">
        <v>0</v>
      </c>
      <c r="K18" s="21">
        <v>20.408000000000001</v>
      </c>
      <c r="L18" s="21">
        <v>28.706</v>
      </c>
      <c r="M18" s="21">
        <v>20.751000000000001</v>
      </c>
      <c r="N18" s="21">
        <v>23.978000000000002</v>
      </c>
      <c r="O18" s="47">
        <v>0.52800000000000002</v>
      </c>
      <c r="P18" s="48">
        <v>3.1669999999999998</v>
      </c>
      <c r="Q18" s="48">
        <v>1.1319999999999999</v>
      </c>
      <c r="R18" s="48">
        <v>1.1499999999999999</v>
      </c>
      <c r="S18" s="48">
        <v>1.421</v>
      </c>
      <c r="T18" s="48">
        <v>1.0089999999999999</v>
      </c>
      <c r="U18" s="50">
        <v>2.1909999999999998</v>
      </c>
      <c r="V18" s="48">
        <v>0</v>
      </c>
      <c r="W18" s="48">
        <v>12.664999999999999</v>
      </c>
      <c r="X18" s="48">
        <v>2.3370000000000002</v>
      </c>
      <c r="Y18" s="48">
        <v>1.6659999999999999</v>
      </c>
      <c r="Z18" s="49">
        <v>1.2070000000000001</v>
      </c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</row>
    <row r="19" spans="2:50" ht="14.25" x14ac:dyDescent="0.2">
      <c r="B19" s="20" t="s">
        <v>19</v>
      </c>
      <c r="C19" s="21">
        <v>18.829000000000001</v>
      </c>
      <c r="D19" s="21">
        <v>21.934000000000001</v>
      </c>
      <c r="E19" s="21">
        <v>20.548999999999999</v>
      </c>
      <c r="F19" s="21">
        <v>20.876999999999999</v>
      </c>
      <c r="G19" s="21">
        <v>16.949000000000002</v>
      </c>
      <c r="H19" s="21">
        <v>22.084</v>
      </c>
      <c r="I19" s="21">
        <v>0</v>
      </c>
      <c r="J19" s="21">
        <v>0</v>
      </c>
      <c r="K19" s="21">
        <v>0</v>
      </c>
      <c r="L19" s="21">
        <v>28.164999999999999</v>
      </c>
      <c r="M19" s="21">
        <v>16.091000000000001</v>
      </c>
      <c r="N19" s="21">
        <v>15.771000000000001</v>
      </c>
      <c r="O19" s="47">
        <v>0.38300000000000001</v>
      </c>
      <c r="P19" s="48">
        <v>3.766</v>
      </c>
      <c r="Q19" s="48">
        <v>1.0369999999999999</v>
      </c>
      <c r="R19" s="48">
        <v>0.92900000000000005</v>
      </c>
      <c r="S19" s="48">
        <v>1.397</v>
      </c>
      <c r="T19" s="48">
        <v>0.81799999999999995</v>
      </c>
      <c r="U19" s="50">
        <v>0</v>
      </c>
      <c r="V19" s="50">
        <v>0</v>
      </c>
      <c r="W19" s="48">
        <v>0</v>
      </c>
      <c r="X19" s="48">
        <v>2.4009999999999998</v>
      </c>
      <c r="Y19" s="48">
        <v>1.1279999999999999</v>
      </c>
      <c r="Z19" s="49">
        <v>0.93500000000000005</v>
      </c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</row>
    <row r="20" spans="2:50" ht="14.25" x14ac:dyDescent="0.2">
      <c r="B20" s="20" t="s">
        <v>20</v>
      </c>
      <c r="C20" s="21">
        <v>12.095000000000001</v>
      </c>
      <c r="D20" s="21">
        <v>18.837</v>
      </c>
      <c r="E20" s="21">
        <v>18.77</v>
      </c>
      <c r="F20" s="21">
        <v>21.122</v>
      </c>
      <c r="G20" s="21">
        <v>11.993</v>
      </c>
      <c r="H20" s="21">
        <v>10.688000000000001</v>
      </c>
      <c r="I20" s="21">
        <v>0</v>
      </c>
      <c r="J20" s="21">
        <v>0</v>
      </c>
      <c r="K20" s="21">
        <v>25.277999999999999</v>
      </c>
      <c r="L20" s="21">
        <v>11.368</v>
      </c>
      <c r="M20" s="21">
        <v>10.092000000000001</v>
      </c>
      <c r="N20" s="21">
        <v>8.5719999999999992</v>
      </c>
      <c r="O20" s="47">
        <v>0.33100000000000002</v>
      </c>
      <c r="P20" s="48">
        <v>3.887</v>
      </c>
      <c r="Q20" s="48">
        <v>1.1060000000000001</v>
      </c>
      <c r="R20" s="48">
        <v>1.256</v>
      </c>
      <c r="S20" s="48">
        <v>1.0309999999999999</v>
      </c>
      <c r="T20" s="48">
        <v>0.54700000000000004</v>
      </c>
      <c r="U20" s="50">
        <v>0</v>
      </c>
      <c r="V20" s="50">
        <v>0</v>
      </c>
      <c r="W20" s="48">
        <v>12.175000000000001</v>
      </c>
      <c r="X20" s="48">
        <v>1.8580000000000001</v>
      </c>
      <c r="Y20" s="48">
        <v>1</v>
      </c>
      <c r="Z20" s="49">
        <v>0.67200000000000004</v>
      </c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</row>
    <row r="21" spans="2:50" ht="14.25" x14ac:dyDescent="0.2">
      <c r="B21" s="20" t="s">
        <v>21</v>
      </c>
      <c r="C21" s="21">
        <v>5.7530000000000001</v>
      </c>
      <c r="D21" s="21">
        <v>23.867000000000001</v>
      </c>
      <c r="E21" s="21">
        <v>15.616</v>
      </c>
      <c r="F21" s="21">
        <v>13.486000000000001</v>
      </c>
      <c r="G21" s="21">
        <v>4.2779999999999996</v>
      </c>
      <c r="H21" s="21">
        <v>3.2240000000000002</v>
      </c>
      <c r="I21" s="21">
        <v>0</v>
      </c>
      <c r="J21" s="21">
        <v>0</v>
      </c>
      <c r="K21" s="21">
        <v>2.8359999999999999</v>
      </c>
      <c r="L21" s="21">
        <v>2.9180000000000001</v>
      </c>
      <c r="M21" s="21">
        <v>3.3260000000000001</v>
      </c>
      <c r="N21" s="21">
        <v>2.8540000000000001</v>
      </c>
      <c r="O21" s="47">
        <v>0.27800000000000002</v>
      </c>
      <c r="P21" s="48">
        <v>4.0010000000000003</v>
      </c>
      <c r="Q21" s="48">
        <v>1.425</v>
      </c>
      <c r="R21" s="48">
        <v>1.0309999999999999</v>
      </c>
      <c r="S21" s="48">
        <v>0.59499999999999997</v>
      </c>
      <c r="T21" s="48">
        <v>0.31</v>
      </c>
      <c r="U21" s="50">
        <v>0</v>
      </c>
      <c r="V21" s="50">
        <v>0</v>
      </c>
      <c r="W21" s="48">
        <v>2.8290000000000002</v>
      </c>
      <c r="X21" s="48">
        <v>0.622</v>
      </c>
      <c r="Y21" s="48">
        <v>0.68700000000000006</v>
      </c>
      <c r="Z21" s="49">
        <v>0.44</v>
      </c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</row>
    <row r="22" spans="2:50" ht="15" x14ac:dyDescent="0.2">
      <c r="B22" s="10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16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7"/>
    </row>
    <row r="23" spans="2:50" s="9" customFormat="1" ht="15" x14ac:dyDescent="0.25">
      <c r="B23" s="6" t="s">
        <v>22</v>
      </c>
      <c r="C23" s="45">
        <v>29229.57</v>
      </c>
      <c r="D23" s="45">
        <v>282.54700000000003</v>
      </c>
      <c r="E23" s="45">
        <v>3470.9949999999999</v>
      </c>
      <c r="F23" s="45">
        <v>3711.0920000000001</v>
      </c>
      <c r="G23" s="45">
        <v>3400.7089999999998</v>
      </c>
      <c r="H23" s="45">
        <v>9324.8670000000002</v>
      </c>
      <c r="I23" s="45">
        <v>287.99599999999998</v>
      </c>
      <c r="J23" s="45">
        <v>835.56</v>
      </c>
      <c r="K23" s="45">
        <v>38.494999999999997</v>
      </c>
      <c r="L23" s="45">
        <v>983.91399999999999</v>
      </c>
      <c r="M23" s="45">
        <v>2692.8310000000001</v>
      </c>
      <c r="N23" s="45">
        <v>4200.5640000000003</v>
      </c>
      <c r="O23" s="11">
        <v>611.13599999999997</v>
      </c>
      <c r="P23" s="12">
        <v>41.223999999999997</v>
      </c>
      <c r="Q23" s="12">
        <v>171.458</v>
      </c>
      <c r="R23" s="12">
        <v>193.69900000000001</v>
      </c>
      <c r="S23" s="12">
        <v>149.47399999999999</v>
      </c>
      <c r="T23" s="12">
        <v>320.29000000000002</v>
      </c>
      <c r="U23" s="12">
        <v>33.542000000000002</v>
      </c>
      <c r="V23" s="12">
        <v>64.311000000000007</v>
      </c>
      <c r="W23" s="12">
        <v>21.216999999999999</v>
      </c>
      <c r="X23" s="12">
        <v>84.403999999999996</v>
      </c>
      <c r="Y23" s="12">
        <v>157.983</v>
      </c>
      <c r="Z23" s="13">
        <v>208.125</v>
      </c>
    </row>
    <row r="24" spans="2:50" s="9" customFormat="1" ht="15" x14ac:dyDescent="0.2">
      <c r="B24" s="14" t="s">
        <v>15</v>
      </c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16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7"/>
    </row>
    <row r="25" spans="2:50" ht="15" x14ac:dyDescent="0.2">
      <c r="B25" s="22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16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7"/>
    </row>
    <row r="26" spans="2:50" s="9" customFormat="1" ht="15" x14ac:dyDescent="0.25">
      <c r="B26" s="18" t="s">
        <v>3</v>
      </c>
      <c r="C26" s="19">
        <f>SUM(C27:C32)</f>
        <v>100</v>
      </c>
      <c r="D26" s="19">
        <f t="shared" ref="D26" si="1">SUM(D27:D32)</f>
        <v>100</v>
      </c>
      <c r="E26" s="19">
        <f t="shared" ref="E26" si="2">SUM(E27:E32)</f>
        <v>99.998999999999995</v>
      </c>
      <c r="F26" s="19">
        <f t="shared" ref="F26" si="3">SUM(F27:F32)</f>
        <v>100</v>
      </c>
      <c r="G26" s="19">
        <f t="shared" ref="G26" si="4">SUM(G27:G32)</f>
        <v>99.998999999999995</v>
      </c>
      <c r="H26" s="19">
        <f t="shared" ref="H26" si="5">SUM(H27:H32)</f>
        <v>100</v>
      </c>
      <c r="I26" s="19">
        <f t="shared" ref="I26" si="6">SUM(I27:I32)</f>
        <v>100</v>
      </c>
      <c r="J26" s="19">
        <f t="shared" ref="J26" si="7">SUM(J27:J32)</f>
        <v>100</v>
      </c>
      <c r="K26" s="19">
        <f t="shared" ref="K26" si="8">SUM(K27:K32)</f>
        <v>100.001</v>
      </c>
      <c r="L26" s="19">
        <f t="shared" ref="L26" si="9">SUM(L27:L32)</f>
        <v>100</v>
      </c>
      <c r="M26" s="19">
        <f t="shared" ref="M26" si="10">SUM(M27:M32)</f>
        <v>100</v>
      </c>
      <c r="N26" s="19">
        <f t="shared" ref="N26" si="11">SUM(N27:N32)</f>
        <v>100.001</v>
      </c>
      <c r="O26" s="16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7"/>
    </row>
    <row r="27" spans="2:50" ht="14.25" x14ac:dyDescent="0.2">
      <c r="B27" s="20" t="s">
        <v>16</v>
      </c>
      <c r="C27" s="21">
        <v>13.053000000000001</v>
      </c>
      <c r="D27" s="21">
        <v>7.72</v>
      </c>
      <c r="E27" s="21">
        <v>9.2780000000000005</v>
      </c>
      <c r="F27" s="21">
        <v>5.8230000000000004</v>
      </c>
      <c r="G27" s="21">
        <v>17.741</v>
      </c>
      <c r="H27" s="21">
        <v>7.7789999999999999</v>
      </c>
      <c r="I27" s="21">
        <v>96.216999999999999</v>
      </c>
      <c r="J27" s="21">
        <v>96.597999999999999</v>
      </c>
      <c r="K27" s="21">
        <v>0</v>
      </c>
      <c r="L27" s="21">
        <v>2.11</v>
      </c>
      <c r="M27" s="21">
        <v>18.178000000000001</v>
      </c>
      <c r="N27" s="21">
        <v>7.9059999999999997</v>
      </c>
      <c r="O27" s="47">
        <v>0.44</v>
      </c>
      <c r="P27" s="48">
        <v>2.1960000000000002</v>
      </c>
      <c r="Q27" s="48">
        <v>1.127</v>
      </c>
      <c r="R27" s="48">
        <v>0.76100000000000001</v>
      </c>
      <c r="S27" s="48">
        <v>1.3380000000000001</v>
      </c>
      <c r="T27" s="48">
        <v>0.71199999999999997</v>
      </c>
      <c r="U27" s="48">
        <v>2.008</v>
      </c>
      <c r="V27" s="48">
        <v>1.1910000000000001</v>
      </c>
      <c r="W27" s="48">
        <v>0</v>
      </c>
      <c r="X27" s="48">
        <v>0.93200000000000005</v>
      </c>
      <c r="Y27" s="48">
        <v>1.6459999999999999</v>
      </c>
      <c r="Z27" s="49">
        <v>0.99199999999999999</v>
      </c>
    </row>
    <row r="28" spans="2:50" ht="14.25" x14ac:dyDescent="0.2">
      <c r="B28" s="20" t="s">
        <v>17</v>
      </c>
      <c r="C28" s="21">
        <v>28.8</v>
      </c>
      <c r="D28" s="21">
        <v>18.966999999999999</v>
      </c>
      <c r="E28" s="21">
        <v>21.073</v>
      </c>
      <c r="F28" s="21">
        <v>24.06</v>
      </c>
      <c r="G28" s="21">
        <v>29.427</v>
      </c>
      <c r="H28" s="21">
        <v>31.791</v>
      </c>
      <c r="I28" s="21">
        <v>3.7829999999999999</v>
      </c>
      <c r="J28" s="21">
        <v>3.4020000000000001</v>
      </c>
      <c r="K28" s="21">
        <v>53.106000000000002</v>
      </c>
      <c r="L28" s="21">
        <v>28.683</v>
      </c>
      <c r="M28" s="21">
        <v>29.966000000000001</v>
      </c>
      <c r="N28" s="21">
        <v>38.713000000000001</v>
      </c>
      <c r="O28" s="47">
        <v>0.59399999999999997</v>
      </c>
      <c r="P28" s="48">
        <v>3.9079999999999999</v>
      </c>
      <c r="Q28" s="48">
        <v>1.4119999999999999</v>
      </c>
      <c r="R28" s="48">
        <v>1.4890000000000001</v>
      </c>
      <c r="S28" s="48">
        <v>1.869</v>
      </c>
      <c r="T28" s="48">
        <v>1.0429999999999999</v>
      </c>
      <c r="U28" s="48">
        <v>2.008</v>
      </c>
      <c r="V28" s="50">
        <v>1.1910000000000001</v>
      </c>
      <c r="W28" s="48">
        <v>26.710999999999999</v>
      </c>
      <c r="X28" s="48">
        <v>3.3069999999999999</v>
      </c>
      <c r="Y28" s="48">
        <v>2.4620000000000002</v>
      </c>
      <c r="Z28" s="49">
        <v>1.921</v>
      </c>
    </row>
    <row r="29" spans="2:50" ht="14.25" x14ac:dyDescent="0.2">
      <c r="B29" s="20" t="s">
        <v>18</v>
      </c>
      <c r="C29" s="21">
        <v>23.021000000000001</v>
      </c>
      <c r="D29" s="21">
        <v>14.103</v>
      </c>
      <c r="E29" s="21">
        <v>19.350000000000001</v>
      </c>
      <c r="F29" s="21">
        <v>20.831</v>
      </c>
      <c r="G29" s="21">
        <v>24.864000000000001</v>
      </c>
      <c r="H29" s="21">
        <v>27.321000000000002</v>
      </c>
      <c r="I29" s="21">
        <v>0</v>
      </c>
      <c r="J29" s="21">
        <v>0</v>
      </c>
      <c r="K29" s="21">
        <v>35.287999999999997</v>
      </c>
      <c r="L29" s="21">
        <v>26.364000000000001</v>
      </c>
      <c r="M29" s="21">
        <v>21.100999999999999</v>
      </c>
      <c r="N29" s="21">
        <v>24.045000000000002</v>
      </c>
      <c r="O29" s="47">
        <v>0.59499999999999997</v>
      </c>
      <c r="P29" s="48">
        <v>3.5579999999999998</v>
      </c>
      <c r="Q29" s="48">
        <v>1.2549999999999999</v>
      </c>
      <c r="R29" s="48">
        <v>1.39</v>
      </c>
      <c r="S29" s="48">
        <v>1.5840000000000001</v>
      </c>
      <c r="T29" s="48">
        <v>1.27</v>
      </c>
      <c r="U29" s="50">
        <v>0</v>
      </c>
      <c r="V29" s="48">
        <v>0</v>
      </c>
      <c r="W29" s="48">
        <v>23.215</v>
      </c>
      <c r="X29" s="48">
        <v>3</v>
      </c>
      <c r="Y29" s="48">
        <v>2.0110000000000001</v>
      </c>
      <c r="Z29" s="49">
        <v>1.8009999999999999</v>
      </c>
    </row>
    <row r="30" spans="2:50" ht="14.25" x14ac:dyDescent="0.2">
      <c r="B30" s="20" t="s">
        <v>19</v>
      </c>
      <c r="C30" s="21">
        <v>18.254000000000001</v>
      </c>
      <c r="D30" s="21">
        <v>18.219000000000001</v>
      </c>
      <c r="E30" s="21">
        <v>20.608000000000001</v>
      </c>
      <c r="F30" s="21">
        <v>19.741</v>
      </c>
      <c r="G30" s="21">
        <v>14.552</v>
      </c>
      <c r="H30" s="21">
        <v>20.199000000000002</v>
      </c>
      <c r="I30" s="21">
        <v>0</v>
      </c>
      <c r="J30" s="21">
        <v>0</v>
      </c>
      <c r="K30" s="21">
        <v>0</v>
      </c>
      <c r="L30" s="21">
        <v>29.62</v>
      </c>
      <c r="M30" s="21">
        <v>16.481000000000002</v>
      </c>
      <c r="N30" s="21">
        <v>17.202999999999999</v>
      </c>
      <c r="O30" s="47">
        <v>0.45100000000000001</v>
      </c>
      <c r="P30" s="48">
        <v>3.8860000000000001</v>
      </c>
      <c r="Q30" s="48">
        <v>1.1519999999999999</v>
      </c>
      <c r="R30" s="48">
        <v>1.175</v>
      </c>
      <c r="S30" s="48">
        <v>1.5589999999999999</v>
      </c>
      <c r="T30" s="48">
        <v>0.94099999999999995</v>
      </c>
      <c r="U30" s="50">
        <v>0</v>
      </c>
      <c r="V30" s="50">
        <v>0</v>
      </c>
      <c r="W30" s="48">
        <v>0</v>
      </c>
      <c r="X30" s="48">
        <v>3.2949999999999999</v>
      </c>
      <c r="Y30" s="48">
        <v>1.7210000000000001</v>
      </c>
      <c r="Z30" s="49">
        <v>1.2130000000000001</v>
      </c>
    </row>
    <row r="31" spans="2:50" ht="14.25" x14ac:dyDescent="0.2">
      <c r="B31" s="20" t="s">
        <v>20</v>
      </c>
      <c r="C31" s="21">
        <v>11.502000000000001</v>
      </c>
      <c r="D31" s="21">
        <v>17.952999999999999</v>
      </c>
      <c r="E31" s="21">
        <v>17.571999999999999</v>
      </c>
      <c r="F31" s="21">
        <v>17.818999999999999</v>
      </c>
      <c r="G31" s="21">
        <v>9.9719999999999995</v>
      </c>
      <c r="H31" s="21">
        <v>10.224</v>
      </c>
      <c r="I31" s="21">
        <v>0</v>
      </c>
      <c r="J31" s="21">
        <v>0</v>
      </c>
      <c r="K31" s="21">
        <v>11.606999999999999</v>
      </c>
      <c r="L31" s="21">
        <v>11.516</v>
      </c>
      <c r="M31" s="21">
        <v>10.544</v>
      </c>
      <c r="N31" s="21">
        <v>8.2349999999999994</v>
      </c>
      <c r="O31" s="47">
        <v>0.39200000000000002</v>
      </c>
      <c r="P31" s="48">
        <v>4.375</v>
      </c>
      <c r="Q31" s="48">
        <v>1.1359999999999999</v>
      </c>
      <c r="R31" s="48">
        <v>1.575</v>
      </c>
      <c r="S31" s="48">
        <v>1.1319999999999999</v>
      </c>
      <c r="T31" s="48">
        <v>0.60199999999999998</v>
      </c>
      <c r="U31" s="50">
        <v>0</v>
      </c>
      <c r="V31" s="50">
        <v>0</v>
      </c>
      <c r="W31" s="48">
        <v>12.015000000000001</v>
      </c>
      <c r="X31" s="48">
        <v>2.411</v>
      </c>
      <c r="Y31" s="48">
        <v>1.242</v>
      </c>
      <c r="Z31" s="49">
        <v>1.016</v>
      </c>
    </row>
    <row r="32" spans="2:50" ht="14.25" x14ac:dyDescent="0.2">
      <c r="B32" s="20" t="s">
        <v>21</v>
      </c>
      <c r="C32" s="21">
        <v>5.37</v>
      </c>
      <c r="D32" s="21">
        <v>23.038</v>
      </c>
      <c r="E32" s="21">
        <v>12.118</v>
      </c>
      <c r="F32" s="21">
        <v>11.726000000000001</v>
      </c>
      <c r="G32" s="21">
        <v>3.4430000000000001</v>
      </c>
      <c r="H32" s="21">
        <v>2.6859999999999999</v>
      </c>
      <c r="I32" s="21">
        <v>0</v>
      </c>
      <c r="J32" s="21">
        <v>0</v>
      </c>
      <c r="K32" s="21">
        <v>0</v>
      </c>
      <c r="L32" s="21">
        <v>1.7070000000000001</v>
      </c>
      <c r="M32" s="21">
        <v>3.73</v>
      </c>
      <c r="N32" s="21">
        <v>3.899</v>
      </c>
      <c r="O32" s="47">
        <v>0.33500000000000002</v>
      </c>
      <c r="P32" s="48">
        <v>4.125</v>
      </c>
      <c r="Q32" s="48">
        <v>1.2789999999999999</v>
      </c>
      <c r="R32" s="48">
        <v>1.27</v>
      </c>
      <c r="S32" s="48">
        <v>0.60499999999999998</v>
      </c>
      <c r="T32" s="48">
        <v>0.378</v>
      </c>
      <c r="U32" s="50">
        <v>0</v>
      </c>
      <c r="V32" s="50">
        <v>0</v>
      </c>
      <c r="W32" s="48">
        <v>0</v>
      </c>
      <c r="X32" s="48">
        <v>0.60699999999999998</v>
      </c>
      <c r="Y32" s="48">
        <v>1.1339999999999999</v>
      </c>
      <c r="Z32" s="49">
        <v>0.75</v>
      </c>
    </row>
    <row r="33" spans="2:26" ht="15" x14ac:dyDescent="0.2">
      <c r="B33" s="22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24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5"/>
    </row>
    <row r="34" spans="2:26" s="9" customFormat="1" ht="15" x14ac:dyDescent="0.25">
      <c r="B34" s="6" t="s">
        <v>23</v>
      </c>
      <c r="C34" s="45">
        <v>21048.512999999999</v>
      </c>
      <c r="D34" s="45">
        <v>191.35</v>
      </c>
      <c r="E34" s="45">
        <v>1473.89</v>
      </c>
      <c r="F34" s="45">
        <v>2157.2939999999999</v>
      </c>
      <c r="G34" s="45">
        <v>1782.73</v>
      </c>
      <c r="H34" s="45">
        <v>6544.4970000000003</v>
      </c>
      <c r="I34" s="45">
        <v>149.20400000000001</v>
      </c>
      <c r="J34" s="45">
        <v>596.17499999999995</v>
      </c>
      <c r="K34" s="45">
        <v>28.065999999999999</v>
      </c>
      <c r="L34" s="45">
        <v>627.07799999999997</v>
      </c>
      <c r="M34" s="45">
        <v>2090.3339999999998</v>
      </c>
      <c r="N34" s="45">
        <v>5407.8950000000004</v>
      </c>
      <c r="O34" s="11">
        <v>498.38600000000002</v>
      </c>
      <c r="P34" s="12">
        <v>28.675000000000001</v>
      </c>
      <c r="Q34" s="12">
        <v>105.602</v>
      </c>
      <c r="R34" s="12">
        <v>114.663</v>
      </c>
      <c r="S34" s="12">
        <v>107.10599999999999</v>
      </c>
      <c r="T34" s="12">
        <v>249.161</v>
      </c>
      <c r="U34" s="12">
        <v>25.242999999999999</v>
      </c>
      <c r="V34" s="12">
        <v>73.195999999999998</v>
      </c>
      <c r="W34" s="12">
        <v>11.362</v>
      </c>
      <c r="X34" s="12">
        <v>59.146000000000001</v>
      </c>
      <c r="Y34" s="12">
        <v>112.081</v>
      </c>
      <c r="Z34" s="13">
        <v>233.125</v>
      </c>
    </row>
    <row r="35" spans="2:26" s="9" customFormat="1" ht="15" x14ac:dyDescent="0.2">
      <c r="B35" s="14" t="s">
        <v>15</v>
      </c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16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7"/>
    </row>
    <row r="36" spans="2:26" ht="15" x14ac:dyDescent="0.2">
      <c r="B36" s="22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16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7"/>
    </row>
    <row r="37" spans="2:26" s="9" customFormat="1" ht="15" x14ac:dyDescent="0.25">
      <c r="B37" s="18" t="s">
        <v>3</v>
      </c>
      <c r="C37" s="19">
        <f>SUM(C38:C43)</f>
        <v>100</v>
      </c>
      <c r="D37" s="19">
        <f t="shared" ref="D37" si="12">SUM(D38:D43)</f>
        <v>100.001</v>
      </c>
      <c r="E37" s="19">
        <f t="shared" ref="E37" si="13">SUM(E38:E43)</f>
        <v>99.998999999999995</v>
      </c>
      <c r="F37" s="19">
        <f t="shared" ref="F37" si="14">SUM(F38:F43)</f>
        <v>99.999999999999986</v>
      </c>
      <c r="G37" s="19">
        <f t="shared" ref="G37" si="15">SUM(G38:G43)</f>
        <v>99.999000000000009</v>
      </c>
      <c r="H37" s="19">
        <f t="shared" ref="H37" si="16">SUM(H38:H43)</f>
        <v>99.998999999999995</v>
      </c>
      <c r="I37" s="19">
        <f t="shared" ref="I37" si="17">SUM(I38:I43)</f>
        <v>100</v>
      </c>
      <c r="J37" s="19">
        <f t="shared" ref="J37" si="18">SUM(J38:J43)</f>
        <v>100</v>
      </c>
      <c r="K37" s="19">
        <f t="shared" ref="K37" si="19">SUM(K38:K43)</f>
        <v>100</v>
      </c>
      <c r="L37" s="19">
        <f t="shared" ref="L37" si="20">SUM(L38:L43)</f>
        <v>99.999000000000009</v>
      </c>
      <c r="M37" s="19">
        <f t="shared" ref="M37" si="21">SUM(M38:M43)</f>
        <v>99.999000000000009</v>
      </c>
      <c r="N37" s="19">
        <f t="shared" ref="N37" si="22">SUM(N38:N43)</f>
        <v>100</v>
      </c>
      <c r="O37" s="16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7"/>
    </row>
    <row r="38" spans="2:26" ht="14.25" x14ac:dyDescent="0.2">
      <c r="B38" s="20" t="s">
        <v>16</v>
      </c>
      <c r="C38" s="21">
        <v>11.368</v>
      </c>
      <c r="D38" s="21">
        <v>3.1480000000000001</v>
      </c>
      <c r="E38" s="21">
        <v>3.5960000000000001</v>
      </c>
      <c r="F38" s="21">
        <v>5.0140000000000002</v>
      </c>
      <c r="G38" s="21">
        <v>13.513</v>
      </c>
      <c r="H38" s="21">
        <v>6.0209999999999999</v>
      </c>
      <c r="I38" s="21">
        <v>91.221999999999994</v>
      </c>
      <c r="J38" s="21">
        <v>96.900999999999996</v>
      </c>
      <c r="K38" s="21">
        <v>0</v>
      </c>
      <c r="L38" s="21">
        <v>1.4590000000000001</v>
      </c>
      <c r="M38" s="21">
        <v>20.829000000000001</v>
      </c>
      <c r="N38" s="21">
        <v>7.9950000000000001</v>
      </c>
      <c r="O38" s="47">
        <v>0.52100000000000002</v>
      </c>
      <c r="P38" s="48">
        <v>1.857</v>
      </c>
      <c r="Q38" s="48">
        <v>1.1020000000000001</v>
      </c>
      <c r="R38" s="48">
        <v>1.2549999999999999</v>
      </c>
      <c r="S38" s="48">
        <v>1.68</v>
      </c>
      <c r="T38" s="48">
        <v>0.64700000000000002</v>
      </c>
      <c r="U38" s="48">
        <v>6.2640000000000002</v>
      </c>
      <c r="V38" s="48">
        <v>1.6559999999999999</v>
      </c>
      <c r="W38" s="48">
        <v>0</v>
      </c>
      <c r="X38" s="48">
        <v>0.72499999999999998</v>
      </c>
      <c r="Y38" s="48">
        <v>2.0179999999999998</v>
      </c>
      <c r="Z38" s="49">
        <v>0.92</v>
      </c>
    </row>
    <row r="39" spans="2:26" ht="14.25" x14ac:dyDescent="0.2">
      <c r="B39" s="20" t="s">
        <v>17</v>
      </c>
      <c r="C39" s="21">
        <v>26.544</v>
      </c>
      <c r="D39" s="21">
        <v>9.6379999999999999</v>
      </c>
      <c r="E39" s="21">
        <v>14.305999999999999</v>
      </c>
      <c r="F39" s="21">
        <v>12.657999999999999</v>
      </c>
      <c r="G39" s="21">
        <v>22.306000000000001</v>
      </c>
      <c r="H39" s="21">
        <v>23.696999999999999</v>
      </c>
      <c r="I39" s="21">
        <v>2.2709999999999999</v>
      </c>
      <c r="J39" s="21">
        <v>3.0990000000000002</v>
      </c>
      <c r="K39" s="21">
        <v>49.244999999999997</v>
      </c>
      <c r="L39" s="21">
        <v>24.324000000000002</v>
      </c>
      <c r="M39" s="21">
        <v>30.966000000000001</v>
      </c>
      <c r="N39" s="21">
        <v>42.543999999999997</v>
      </c>
      <c r="O39" s="47">
        <v>0.70699999999999996</v>
      </c>
      <c r="P39" s="48">
        <v>3.2149999999999999</v>
      </c>
      <c r="Q39" s="48">
        <v>1.7709999999999999</v>
      </c>
      <c r="R39" s="48">
        <v>1.631</v>
      </c>
      <c r="S39" s="48">
        <v>2.238</v>
      </c>
      <c r="T39" s="48">
        <v>1.321</v>
      </c>
      <c r="U39" s="48">
        <v>1.6160000000000001</v>
      </c>
      <c r="V39" s="50">
        <v>1.6559999999999999</v>
      </c>
      <c r="W39" s="48">
        <v>22.780999999999999</v>
      </c>
      <c r="X39" s="48">
        <v>3.6469999999999998</v>
      </c>
      <c r="Y39" s="48">
        <v>2.3570000000000002</v>
      </c>
      <c r="Z39" s="49">
        <v>1.6879999999999999</v>
      </c>
    </row>
    <row r="40" spans="2:26" ht="14.25" x14ac:dyDescent="0.2">
      <c r="B40" s="20" t="s">
        <v>18</v>
      </c>
      <c r="C40" s="21">
        <v>23.257000000000001</v>
      </c>
      <c r="D40" s="21">
        <v>14.561999999999999</v>
      </c>
      <c r="E40" s="21">
        <v>16.245000000000001</v>
      </c>
      <c r="F40" s="21">
        <v>16.175999999999998</v>
      </c>
      <c r="G40" s="21">
        <v>20.945</v>
      </c>
      <c r="H40" s="21">
        <v>30.172000000000001</v>
      </c>
      <c r="I40" s="21">
        <v>6.5069999999999997</v>
      </c>
      <c r="J40" s="21">
        <v>0</v>
      </c>
      <c r="K40" s="21">
        <v>0</v>
      </c>
      <c r="L40" s="21">
        <v>32.380000000000003</v>
      </c>
      <c r="M40" s="21">
        <v>20.3</v>
      </c>
      <c r="N40" s="21">
        <v>23.927</v>
      </c>
      <c r="O40" s="47">
        <v>0.72299999999999998</v>
      </c>
      <c r="P40" s="48">
        <v>3.8620000000000001</v>
      </c>
      <c r="Q40" s="48">
        <v>1.7989999999999999</v>
      </c>
      <c r="R40" s="48">
        <v>2.0329999999999999</v>
      </c>
      <c r="S40" s="48">
        <v>2.4279999999999999</v>
      </c>
      <c r="T40" s="48">
        <v>1.3029999999999999</v>
      </c>
      <c r="U40" s="50">
        <v>6.1680000000000001</v>
      </c>
      <c r="V40" s="48">
        <v>0</v>
      </c>
      <c r="W40" s="48">
        <v>0</v>
      </c>
      <c r="X40" s="48">
        <v>4.2729999999999997</v>
      </c>
      <c r="Y40" s="48">
        <v>2.2610000000000001</v>
      </c>
      <c r="Z40" s="49">
        <v>1.345</v>
      </c>
    </row>
    <row r="41" spans="2:26" ht="14.25" x14ac:dyDescent="0.2">
      <c r="B41" s="20" t="s">
        <v>19</v>
      </c>
      <c r="C41" s="21">
        <v>19.628</v>
      </c>
      <c r="D41" s="21">
        <v>27.419</v>
      </c>
      <c r="E41" s="21">
        <v>20.41</v>
      </c>
      <c r="F41" s="21">
        <v>22.832999999999998</v>
      </c>
      <c r="G41" s="21">
        <v>21.52</v>
      </c>
      <c r="H41" s="21">
        <v>24.768999999999998</v>
      </c>
      <c r="I41" s="21">
        <v>0</v>
      </c>
      <c r="J41" s="21">
        <v>0</v>
      </c>
      <c r="K41" s="21">
        <v>0</v>
      </c>
      <c r="L41" s="21">
        <v>25.881</v>
      </c>
      <c r="M41" s="21">
        <v>15.589</v>
      </c>
      <c r="N41" s="21">
        <v>14.659000000000001</v>
      </c>
      <c r="O41" s="47">
        <v>0.55700000000000005</v>
      </c>
      <c r="P41" s="48">
        <v>5.9240000000000004</v>
      </c>
      <c r="Q41" s="48">
        <v>2.1150000000000002</v>
      </c>
      <c r="R41" s="48">
        <v>1.7170000000000001</v>
      </c>
      <c r="S41" s="48">
        <v>2.0009999999999999</v>
      </c>
      <c r="T41" s="48">
        <v>1.1479999999999999</v>
      </c>
      <c r="U41" s="50">
        <v>0</v>
      </c>
      <c r="V41" s="50">
        <v>0</v>
      </c>
      <c r="W41" s="48">
        <v>0</v>
      </c>
      <c r="X41" s="48">
        <v>3.6579999999999999</v>
      </c>
      <c r="Y41" s="48">
        <v>1.5669999999999999</v>
      </c>
      <c r="Z41" s="49">
        <v>1.177</v>
      </c>
    </row>
    <row r="42" spans="2:26" ht="14.25" x14ac:dyDescent="0.2">
      <c r="B42" s="20" t="s">
        <v>20</v>
      </c>
      <c r="C42" s="21">
        <v>12.917999999999999</v>
      </c>
      <c r="D42" s="21">
        <v>20.143000000000001</v>
      </c>
      <c r="E42" s="21">
        <v>21.588999999999999</v>
      </c>
      <c r="F42" s="21">
        <v>26.805</v>
      </c>
      <c r="G42" s="21">
        <v>15.846</v>
      </c>
      <c r="H42" s="21">
        <v>11.349</v>
      </c>
      <c r="I42" s="21">
        <v>0</v>
      </c>
      <c r="J42" s="21">
        <v>0</v>
      </c>
      <c r="K42" s="21">
        <v>44.027999999999999</v>
      </c>
      <c r="L42" s="21">
        <v>11.135999999999999</v>
      </c>
      <c r="M42" s="21">
        <v>9.51</v>
      </c>
      <c r="N42" s="21">
        <v>8.8339999999999996</v>
      </c>
      <c r="O42" s="47">
        <v>0.47799999999999998</v>
      </c>
      <c r="P42" s="48">
        <v>4.7699999999999996</v>
      </c>
      <c r="Q42" s="48">
        <v>2.1709999999999998</v>
      </c>
      <c r="R42" s="48">
        <v>1.9970000000000001</v>
      </c>
      <c r="S42" s="48">
        <v>1.718</v>
      </c>
      <c r="T42" s="48">
        <v>0.86699999999999999</v>
      </c>
      <c r="U42" s="50">
        <v>0</v>
      </c>
      <c r="V42" s="50">
        <v>0</v>
      </c>
      <c r="W42" s="48">
        <v>19.809000000000001</v>
      </c>
      <c r="X42" s="48">
        <v>2.6739999999999999</v>
      </c>
      <c r="Y42" s="48">
        <v>1.496</v>
      </c>
      <c r="Z42" s="49">
        <v>0.79400000000000004</v>
      </c>
    </row>
    <row r="43" spans="2:26" ht="14.25" x14ac:dyDescent="0.2">
      <c r="B43" s="20" t="s">
        <v>21</v>
      </c>
      <c r="C43" s="21">
        <v>6.2850000000000001</v>
      </c>
      <c r="D43" s="21">
        <v>25.091000000000001</v>
      </c>
      <c r="E43" s="21">
        <v>23.853000000000002</v>
      </c>
      <c r="F43" s="21">
        <v>16.513999999999999</v>
      </c>
      <c r="G43" s="21">
        <v>5.8689999999999998</v>
      </c>
      <c r="H43" s="21">
        <v>3.9910000000000001</v>
      </c>
      <c r="I43" s="21">
        <v>0</v>
      </c>
      <c r="J43" s="21">
        <v>0</v>
      </c>
      <c r="K43" s="21">
        <v>6.7270000000000003</v>
      </c>
      <c r="L43" s="21">
        <v>4.819</v>
      </c>
      <c r="M43" s="21">
        <v>2.8050000000000002</v>
      </c>
      <c r="N43" s="21">
        <v>2.0409999999999999</v>
      </c>
      <c r="O43" s="47">
        <v>0.40400000000000003</v>
      </c>
      <c r="P43" s="48">
        <v>5.16</v>
      </c>
      <c r="Q43" s="48">
        <v>3.177</v>
      </c>
      <c r="R43" s="48">
        <v>1.5820000000000001</v>
      </c>
      <c r="S43" s="48">
        <v>1.256</v>
      </c>
      <c r="T43" s="48">
        <v>0.58399999999999996</v>
      </c>
      <c r="U43" s="50">
        <v>0</v>
      </c>
      <c r="V43" s="50">
        <v>0</v>
      </c>
      <c r="W43" s="48">
        <v>6.19</v>
      </c>
      <c r="X43" s="48">
        <v>1.23</v>
      </c>
      <c r="Y43" s="48">
        <v>0.66200000000000003</v>
      </c>
      <c r="Z43" s="49">
        <v>0.503</v>
      </c>
    </row>
    <row r="44" spans="2:26" ht="14.25" x14ac:dyDescent="0.2">
      <c r="B44" s="26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8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9"/>
    </row>
    <row r="45" spans="2:26" ht="14.25" x14ac:dyDescent="0.2">
      <c r="B45" s="38" t="s">
        <v>24</v>
      </c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spans="2:26" ht="14.25" x14ac:dyDescent="0.2">
      <c r="B46" s="38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spans="2:26" s="33" customFormat="1" ht="14.25" x14ac:dyDescent="0.2">
      <c r="B47" s="51" t="s">
        <v>25</v>
      </c>
      <c r="C47" s="1"/>
      <c r="D47" s="32"/>
      <c r="E47" s="32"/>
      <c r="F47" s="32"/>
      <c r="G47" s="32"/>
      <c r="H47" s="32"/>
      <c r="O47" s="1"/>
      <c r="P47" s="32"/>
      <c r="Q47" s="32"/>
      <c r="R47" s="32"/>
      <c r="S47" s="32"/>
      <c r="T47" s="32"/>
    </row>
    <row r="48" spans="2:26" s="33" customFormat="1" ht="14.25" x14ac:dyDescent="0.2">
      <c r="B48" s="52" t="s">
        <v>26</v>
      </c>
      <c r="C48" s="1"/>
      <c r="D48" s="32"/>
      <c r="E48" s="32"/>
      <c r="F48" s="32"/>
      <c r="G48" s="32"/>
      <c r="H48" s="32"/>
      <c r="O48" s="1"/>
      <c r="P48" s="32"/>
      <c r="Q48" s="32"/>
      <c r="R48" s="32"/>
      <c r="S48" s="32"/>
      <c r="T48" s="32"/>
    </row>
    <row r="49" spans="2:26" s="34" customFormat="1" ht="14.25" x14ac:dyDescent="0.2">
      <c r="B49" s="53" t="s">
        <v>27</v>
      </c>
      <c r="D49" s="35"/>
      <c r="E49" s="36"/>
      <c r="F49" s="37"/>
      <c r="G49" s="37"/>
      <c r="H49" s="37"/>
      <c r="I49" s="37"/>
      <c r="P49" s="35"/>
      <c r="Q49" s="36"/>
      <c r="R49" s="37"/>
      <c r="S49" s="37"/>
      <c r="T49" s="37"/>
      <c r="U49" s="37"/>
    </row>
    <row r="50" spans="2:26" s="38" customFormat="1" ht="14.25" x14ac:dyDescent="0.2">
      <c r="C50" s="39"/>
      <c r="D50" s="39"/>
      <c r="E50" s="39"/>
      <c r="F50" s="39"/>
      <c r="G50" s="39"/>
      <c r="H50" s="39"/>
      <c r="I50" s="30"/>
      <c r="J50" s="30"/>
      <c r="K50" s="30"/>
      <c r="L50" s="30"/>
      <c r="M50" s="30"/>
      <c r="N50" s="30"/>
      <c r="O50" s="39"/>
      <c r="P50" s="39"/>
      <c r="Q50" s="39"/>
      <c r="R50" s="39"/>
      <c r="S50" s="39"/>
      <c r="T50" s="39"/>
      <c r="U50" s="30"/>
      <c r="V50" s="30"/>
      <c r="W50" s="30"/>
      <c r="X50" s="30"/>
      <c r="Y50" s="30"/>
      <c r="Z50" s="30"/>
    </row>
    <row r="51" spans="2:26" ht="15" x14ac:dyDescent="0.25">
      <c r="B51" s="7"/>
      <c r="C51" s="40"/>
      <c r="D51" s="41"/>
      <c r="E51" s="41"/>
      <c r="F51" s="40"/>
      <c r="G51" s="40"/>
      <c r="H51" s="40"/>
      <c r="I51" s="3"/>
      <c r="J51" s="3"/>
      <c r="K51" s="3"/>
      <c r="L51" s="3"/>
      <c r="M51" s="3"/>
      <c r="N51" s="3"/>
      <c r="O51" s="40"/>
      <c r="P51" s="41"/>
      <c r="Q51" s="41"/>
      <c r="R51" s="40"/>
      <c r="S51" s="40"/>
      <c r="T51" s="40"/>
      <c r="U51" s="3"/>
      <c r="V51" s="3"/>
      <c r="W51" s="3"/>
      <c r="X51" s="3"/>
      <c r="Y51" s="3"/>
      <c r="Z51" s="3"/>
    </row>
    <row r="52" spans="2:26" ht="15" x14ac:dyDescent="0.2">
      <c r="C52" s="40"/>
      <c r="D52" s="42"/>
      <c r="E52" s="42"/>
      <c r="F52" s="40"/>
      <c r="G52" s="40"/>
      <c r="H52" s="40"/>
      <c r="I52" s="3"/>
      <c r="J52" s="3"/>
      <c r="K52" s="3"/>
      <c r="L52" s="3"/>
      <c r="M52" s="3"/>
      <c r="N52" s="3"/>
      <c r="O52" s="40"/>
      <c r="P52" s="42"/>
      <c r="Q52" s="42"/>
      <c r="R52" s="40"/>
      <c r="S52" s="40"/>
      <c r="T52" s="40"/>
      <c r="U52" s="3"/>
      <c r="V52" s="3"/>
      <c r="W52" s="3"/>
      <c r="X52" s="3"/>
      <c r="Y52" s="3"/>
      <c r="Z52" s="3"/>
    </row>
  </sheetData>
  <mergeCells count="40">
    <mergeCell ref="K7:K8"/>
    <mergeCell ref="L7:L8"/>
    <mergeCell ref="M7:M8"/>
    <mergeCell ref="N7:N8"/>
    <mergeCell ref="B2:Z2"/>
    <mergeCell ref="B4:B8"/>
    <mergeCell ref="C4:N4"/>
    <mergeCell ref="O4:Z4"/>
    <mergeCell ref="C5:C8"/>
    <mergeCell ref="D5:N5"/>
    <mergeCell ref="O5:O8"/>
    <mergeCell ref="P5:Z5"/>
    <mergeCell ref="D6:D8"/>
    <mergeCell ref="E6:F6"/>
    <mergeCell ref="S6:T6"/>
    <mergeCell ref="U6:V6"/>
    <mergeCell ref="W6:X6"/>
    <mergeCell ref="Y6:Z6"/>
    <mergeCell ref="E7:E8"/>
    <mergeCell ref="F7:F8"/>
    <mergeCell ref="G7:G8"/>
    <mergeCell ref="H7:H8"/>
    <mergeCell ref="I7:I8"/>
    <mergeCell ref="J7:J8"/>
    <mergeCell ref="G6:H6"/>
    <mergeCell ref="I6:J6"/>
    <mergeCell ref="K6:L6"/>
    <mergeCell ref="M6:N6"/>
    <mergeCell ref="P6:P8"/>
    <mergeCell ref="Q6:R6"/>
    <mergeCell ref="W7:W8"/>
    <mergeCell ref="X7:X8"/>
    <mergeCell ref="Y7:Y8"/>
    <mergeCell ref="Z7:Z8"/>
    <mergeCell ref="Q7:Q8"/>
    <mergeCell ref="R7:R8"/>
    <mergeCell ref="S7:S8"/>
    <mergeCell ref="T7:T8"/>
    <mergeCell ref="U7:U8"/>
    <mergeCell ref="V7:V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Statistical_Tab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De Jesus</dc:creator>
  <cp:lastModifiedBy>SOL LAZO</cp:lastModifiedBy>
  <dcterms:created xsi:type="dcterms:W3CDTF">2025-10-21T04:10:53Z</dcterms:created>
  <dcterms:modified xsi:type="dcterms:W3CDTF">2025-12-15T08:56:43Z</dcterms:modified>
</cp:coreProperties>
</file>