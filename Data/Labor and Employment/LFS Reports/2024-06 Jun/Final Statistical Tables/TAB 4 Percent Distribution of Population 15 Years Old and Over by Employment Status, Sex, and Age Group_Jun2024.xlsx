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083C41A7-5921-4D1E-8EA3-9ABF7EAFB31B}" xr6:coauthVersionLast="47" xr6:coauthVersionMax="47" xr10:uidLastSave="{00000000-0000-0000-0000-000000000000}"/>
  <bookViews>
    <workbookView xWindow="-120" yWindow="-120" windowWidth="29040" windowHeight="15720" xr2:uid="{B768EFA3-BB0F-489C-AA6D-6457956933DC}"/>
  </bookViews>
  <sheets>
    <sheet name="Statistical_Tab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G34" i="1"/>
  <c r="F34" i="1"/>
  <c r="E34" i="1"/>
  <c r="D34" i="1"/>
  <c r="C34" i="1"/>
  <c r="H23" i="1"/>
  <c r="G23" i="1"/>
  <c r="F23" i="1"/>
  <c r="E23" i="1"/>
  <c r="D23" i="1"/>
  <c r="C23" i="1"/>
  <c r="H12" i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<sst xmlns="http://schemas.openxmlformats.org/spreadsheetml/2006/main" count="47" uniqueCount="25">
  <si>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</si>
  <si>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</si>
  <si>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</si>
  <si>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</si>
  <si>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</si>
  <si>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</si>
  <si>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</si>
  <si>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</si>
  <si>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</si>
  <si>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Philippines</t>
  </si>
  <si>
    <t>Both Sexes</t>
  </si>
  <si>
    <t>Number (in thousands)</t>
  </si>
  <si>
    <t>Total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</si>
  <si>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</si>
  <si>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</si>
  <si>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</si>
  <si>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</si>
  <si>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</si>
  <si>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</si>
  <si>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</si>
  <si>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</si>
  <si>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</si>
  <si>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>Note: Details may not add up to totals due to rounding.</t>
  </si>
  <si>
    <t>Source:  Philippine Statistics Authority, June 2024 Labor Force Survey</t>
  </si>
  <si>
    <r>
      <t xml:space="preserve">          TABLE 4  Percent Distribution of Population 15 Years Old and Over by Employment Status, Sex, and Age Group: June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</si>
</sst>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_);_(* \(#,##0\);_(* &quot;-&quot;??_);_(@_)"/>
    <numFmt numFmtId="165" formatCode="#,##0;[Red]#,##0"/>
    <numFmt numFmtId="166" formatCode="_-* #,##0.0_-;\-* #,##0.0_-;_-* &quot;-&quot;??_-;_-@_-"/>
    <numFmt numFmtId="167" formatCode="0.0"/>
    <numFmt numFmtId="168" formatCode="#,##0.0;[Red]#,##0.0"/>
    <numFmt numFmtId="169" formatCode="#,##0.0"/>
    <numFmt numFmtId="170" formatCode="_-* #,##0.000_-;\-* #,##0.000_-;_-* &quot;-&quot;??_-;_-@_-"/>
    <numFmt numFmtId="171" formatCode="_-* #,##0_-;\-* #,##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Tahoma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name val="Tahoma"/>
      <family val="2"/>
    </font>
    <font>
      <sz val="10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3" fillId="0" borderId="0"/>
  </cellStyleXfs>
  <cellXfs count="64">
    <xf numFmtId="0" fontId="0" fillId="0" borderId="0" xfId="0"/>
    <xf numFmtId="0" fontId="2" fillId="0" borderId="0" xfId="0" applyFont="1"/>
    <xf numFmtId="37" fontId="4" fillId="0" borderId="0" xfId="2" applyFont="1" applyAlignment="1">
      <alignment vertical="center"/>
    </xf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0" fillId="0" borderId="6" xfId="0" applyBorder="1"/>
    <xf numFmtId="37" fontId="4" fillId="0" borderId="5" xfId="2" applyFont="1" applyBorder="1" applyAlignment="1">
      <alignment horizontal="left" vertical="center"/>
    </xf>
    <xf numFmtId="164" fontId="4" fillId="0" borderId="0" xfId="1" applyNumberFormat="1" applyFont="1" applyBorder="1"/>
    <xf numFmtId="164" fontId="4" fillId="0" borderId="6" xfId="1" applyNumberFormat="1" applyFont="1" applyBorder="1"/>
    <xf numFmtId="164" fontId="0" fillId="0" borderId="0" xfId="0" applyNumberFormat="1"/>
    <xf numFmtId="37" fontId="4" fillId="0" borderId="5" xfId="2" applyFont="1" applyBorder="1" applyAlignment="1">
      <alignment vertical="center"/>
    </xf>
    <xf numFmtId="165" fontId="4" fillId="0" borderId="0" xfId="0" applyNumberFormat="1" applyFont="1"/>
    <xf numFmtId="165" fontId="4" fillId="0" borderId="6" xfId="0" applyNumberFormat="1" applyFont="1" applyBorder="1"/>
    <xf numFmtId="165" fontId="0" fillId="0" borderId="0" xfId="0" applyNumberFormat="1"/>
    <xf numFmtId="37" fontId="6" fillId="0" borderId="5" xfId="2" applyFont="1" applyBorder="1" applyAlignment="1">
      <alignment vertical="center"/>
    </xf>
    <xf numFmtId="167" fontId="7" fillId="0" borderId="0" xfId="0" applyNumberFormat="1" applyFont="1"/>
    <xf numFmtId="168" fontId="4" fillId="0" borderId="0" xfId="0" applyNumberFormat="1" applyFont="1"/>
    <xf numFmtId="167" fontId="4" fillId="0" borderId="6" xfId="0" applyNumberFormat="1" applyFont="1" applyBorder="1"/>
    <xf numFmtId="0" fontId="7" fillId="0" borderId="0" xfId="0" applyFont="1"/>
    <xf numFmtId="37" fontId="6" fillId="0" borderId="5" xfId="2" applyFont="1" applyBorder="1" applyAlignment="1">
      <alignment horizontal="left" vertical="center" indent="1"/>
    </xf>
    <xf numFmtId="169" fontId="6" fillId="0" borderId="0" xfId="0" applyNumberFormat="1" applyFont="1"/>
    <xf numFmtId="37" fontId="6" fillId="0" borderId="5" xfId="2" applyFont="1" applyBorder="1" applyAlignment="1">
      <alignment horizontal="left" vertical="center"/>
    </xf>
    <xf numFmtId="37" fontId="4" fillId="0" borderId="5" xfId="2" applyFont="1" applyBorder="1" applyAlignment="1">
      <alignment horizontal="left" vertical="center" indent="1"/>
    </xf>
    <xf numFmtId="37" fontId="4" fillId="0" borderId="7" xfId="2" applyFont="1" applyBorder="1" applyAlignment="1">
      <alignment vertical="center"/>
    </xf>
    <xf numFmtId="37" fontId="4" fillId="0" borderId="8" xfId="2" applyFont="1" applyBorder="1" applyAlignment="1">
      <alignment vertical="center"/>
    </xf>
    <xf numFmtId="169" fontId="6" fillId="0" borderId="8" xfId="0" applyNumberFormat="1" applyFont="1" applyBorder="1"/>
    <xf numFmtId="0" fontId="0" fillId="0" borderId="8" xfId="0" applyBorder="1"/>
    <xf numFmtId="0" fontId="0" fillId="0" borderId="9" xfId="0" applyBorder="1"/>
    <xf numFmtId="0" fontId="8" fillId="0" borderId="0" xfId="0" applyFont="1"/>
    <xf numFmtId="0" fontId="9" fillId="0" borderId="0" xfId="0" applyFont="1"/>
    <xf numFmtId="43" fontId="9" fillId="0" borderId="0" xfId="0" applyNumberFormat="1" applyFont="1"/>
    <xf numFmtId="166" fontId="10" fillId="0" borderId="0" xfId="1" applyNumberFormat="1" applyFont="1" applyBorder="1"/>
    <xf numFmtId="166" fontId="10" fillId="0" borderId="6" xfId="1" applyNumberFormat="1" applyFont="1" applyBorder="1"/>
    <xf numFmtId="166" fontId="11" fillId="0" borderId="0" xfId="1" applyNumberFormat="1" applyFont="1" applyBorder="1"/>
    <xf numFmtId="166" fontId="11" fillId="0" borderId="6" xfId="1" applyNumberFormat="1" applyFont="1" applyBorder="1"/>
    <xf numFmtId="170" fontId="6" fillId="0" borderId="0" xfId="0" applyNumberFormat="1" applyFont="1"/>
    <xf numFmtId="170" fontId="6" fillId="0" borderId="6" xfId="0" applyNumberFormat="1" applyFont="1" applyBorder="1"/>
    <xf numFmtId="170" fontId="4" fillId="0" borderId="8" xfId="2" applyNumberFormat="1" applyFont="1" applyBorder="1" applyAlignment="1">
      <alignment vertical="center"/>
    </xf>
    <xf numFmtId="170" fontId="4" fillId="0" borderId="9" xfId="2" applyNumberFormat="1" applyFont="1" applyBorder="1" applyAlignment="1">
      <alignment vertical="center"/>
    </xf>
    <xf numFmtId="170" fontId="0" fillId="0" borderId="0" xfId="0" applyNumberFormat="1"/>
    <xf numFmtId="166" fontId="6" fillId="0" borderId="0" xfId="1" applyNumberFormat="1" applyFont="1"/>
    <xf numFmtId="166" fontId="6" fillId="0" borderId="6" xfId="1" applyNumberFormat="1" applyFont="1" applyBorder="1"/>
    <xf numFmtId="171" fontId="4" fillId="0" borderId="0" xfId="1" applyNumberFormat="1" applyFont="1" applyBorder="1"/>
    <xf numFmtId="171" fontId="4" fillId="0" borderId="0" xfId="0" applyNumberFormat="1" applyFont="1"/>
    <xf numFmtId="171" fontId="4" fillId="0" borderId="6" xfId="0" applyNumberFormat="1" applyFont="1" applyBorder="1"/>
    <xf numFmtId="37" fontId="12" fillId="0" borderId="0" xfId="2" applyFont="1" applyAlignment="1">
      <alignment vertical="center"/>
    </xf>
    <xf numFmtId="37" fontId="13" fillId="0" borderId="0" xfId="2" applyFont="1" applyAlignment="1">
      <alignment vertical="center"/>
    </xf>
    <xf numFmtId="37" fontId="12" fillId="0" borderId="0" xfId="0" applyNumberFormat="1" applyFont="1" applyAlignment="1" applyProtection="1">
      <alignment vertical="center"/>
      <protection locked="0"/>
    </xf>
    <xf numFmtId="37" fontId="12" fillId="0" borderId="0" xfId="0" applyNumberFormat="1" applyFont="1" applyAlignment="1" applyProtection="1">
      <alignment horizontal="left" vertical="center"/>
      <protection locked="0"/>
    </xf>
    <xf numFmtId="37" fontId="4" fillId="0" borderId="0" xfId="2" applyFont="1" applyAlignment="1">
      <alignment horizontal="center" vertical="center"/>
    </xf>
    <xf numFmtId="37" fontId="4" fillId="0" borderId="1" xfId="2" applyFont="1" applyBorder="1" applyAlignment="1">
      <alignment horizontal="center" vertical="center"/>
    </xf>
    <xf numFmtId="37" fontId="4" fillId="0" borderId="2" xfId="2" applyFont="1" applyBorder="1" applyAlignment="1">
      <alignment horizontal="center" vertical="center"/>
    </xf>
    <xf numFmtId="37" fontId="4" fillId="0" borderId="3" xfId="2" applyFont="1" applyBorder="1" applyAlignment="1">
      <alignment horizontal="center" vertical="center"/>
    </xf>
    <xf numFmtId="37" fontId="4" fillId="0" borderId="4" xfId="2" applyFont="1" applyBorder="1" applyAlignment="1">
      <alignment horizontal="center" vertical="center"/>
    </xf>
    <xf numFmtId="37" fontId="4" fillId="0" borderId="7" xfId="2" applyFont="1" applyBorder="1" applyAlignment="1">
      <alignment horizontal="center" vertical="center"/>
    </xf>
    <xf numFmtId="37" fontId="4" fillId="0" borderId="8" xfId="2" applyFont="1" applyBorder="1" applyAlignment="1">
      <alignment horizontal="center" vertical="center" wrapText="1"/>
    </xf>
    <xf numFmtId="37" fontId="4" fillId="0" borderId="9" xfId="2" applyFont="1" applyBorder="1" applyAlignment="1">
      <alignment horizontal="center" vertical="center" wrapText="1"/>
    </xf>
    <xf numFmtId="37" fontId="4" fillId="0" borderId="5" xfId="2" applyFont="1" applyBorder="1" applyAlignment="1">
      <alignment horizontal="center" vertical="center" wrapText="1"/>
    </xf>
    <xf numFmtId="0" fontId="6" fillId="0" borderId="0" xfId="0" applyFont="1" applyBorder="1"/>
    <xf numFmtId="43" fontId="6" fillId="0" borderId="0" xfId="0" applyNumberFormat="1" applyFont="1" applyBorder="1"/>
    <xf numFmtId="165" fontId="4" fillId="0" borderId="0" xfId="0" applyNumberFormat="1" applyFont="1" applyBorder="1"/>
    <xf numFmtId="170" fontId="6" fillId="0" borderId="0" xfId="0" applyNumberFormat="1" applyFont="1" applyBorder="1"/>
    <xf numFmtId="0" fontId="6" fillId="0" borderId="10" xfId="0" applyFont="1" applyBorder="1"/>
  </cellXfs>
  <cellStyles count="3">
    <cellStyle name="Comma" xfId="1" builtinId="3"/>
    <cellStyle name="Normal" xfId="0" builtinId="0"/>
    <cellStyle name="Normal_Jan06_tables" xfId="2" xr:uid="{60AA5069-33B0-4CA7-8A47-EAB3318C7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13A4-77B8-41CA-806B-E9B8C28FBC7F}">
  <dimension ref="B1:AA51"/>
  <sheetViews>
    <sheetView showGridLines="0" tabSelected="1" topLeftCell="A15" zoomScale="90" zoomScaleNormal="90" workbookViewId="0">
      <selection activeCell="N39" sqref="G36:N39"/>
    </sheetView>
  </sheetViews>
  <sheetFormatPr defaultRowHeight="15" x14ac:dyDescent="0.25"/>
  <cols>
    <col min="1" max="1" width="3" customWidth="1"/>
    <col min="2" max="2" width="30.7109375" style="30" customWidth="1"/>
    <col min="3" max="3" width="16.85546875" style="30" customWidth="1"/>
    <col min="4" max="4" width="14.42578125" style="30" customWidth="1"/>
    <col min="5" max="6" width="12.85546875" style="30" customWidth="1"/>
    <col min="7" max="7" width="16.140625" style="30" customWidth="1"/>
    <col min="8" max="8" width="13.5703125" style="30" customWidth="1"/>
    <col min="9" max="11" width="16.85546875" customWidth="1"/>
    <col min="12" max="12" width="12.85546875" style="30" customWidth="1"/>
    <col min="13" max="14" width="16.85546875" customWidth="1"/>
    <col min="257" max="257" width="3" customWidth="1"/>
    <col min="258" max="258" width="16.28515625" customWidth="1"/>
    <col min="259" max="259" width="16.85546875" customWidth="1"/>
    <col min="260" max="260" width="14.42578125" customWidth="1"/>
    <col min="261" max="262" width="12.85546875" customWidth="1"/>
    <col min="263" max="263" width="16.140625" customWidth="1"/>
    <col min="264" max="264" width="13.5703125" customWidth="1"/>
    <col min="265" max="267" width="16.85546875" customWidth="1"/>
    <col min="268" max="268" width="12.85546875" customWidth="1"/>
    <col min="269" max="270" width="16.85546875" customWidth="1"/>
    <col min="513" max="513" width="3" customWidth="1"/>
    <col min="514" max="514" width="16.28515625" customWidth="1"/>
    <col min="515" max="515" width="16.85546875" customWidth="1"/>
    <col min="516" max="516" width="14.42578125" customWidth="1"/>
    <col min="517" max="518" width="12.85546875" customWidth="1"/>
    <col min="519" max="519" width="16.140625" customWidth="1"/>
    <col min="520" max="520" width="13.5703125" customWidth="1"/>
    <col min="521" max="523" width="16.85546875" customWidth="1"/>
    <col min="524" max="524" width="12.85546875" customWidth="1"/>
    <col min="525" max="526" width="16.85546875" customWidth="1"/>
    <col min="769" max="769" width="3" customWidth="1"/>
    <col min="770" max="770" width="16.28515625" customWidth="1"/>
    <col min="771" max="771" width="16.85546875" customWidth="1"/>
    <col min="772" max="772" width="14.42578125" customWidth="1"/>
    <col min="773" max="774" width="12.85546875" customWidth="1"/>
    <col min="775" max="775" width="16.140625" customWidth="1"/>
    <col min="776" max="776" width="13.5703125" customWidth="1"/>
    <col min="777" max="779" width="16.85546875" customWidth="1"/>
    <col min="780" max="780" width="12.85546875" customWidth="1"/>
    <col min="781" max="782" width="16.85546875" customWidth="1"/>
    <col min="1025" max="1025" width="3" customWidth="1"/>
    <col min="1026" max="1026" width="16.28515625" customWidth="1"/>
    <col min="1027" max="1027" width="16.85546875" customWidth="1"/>
    <col min="1028" max="1028" width="14.42578125" customWidth="1"/>
    <col min="1029" max="1030" width="12.85546875" customWidth="1"/>
    <col min="1031" max="1031" width="16.140625" customWidth="1"/>
    <col min="1032" max="1032" width="13.5703125" customWidth="1"/>
    <col min="1033" max="1035" width="16.85546875" customWidth="1"/>
    <col min="1036" max="1036" width="12.85546875" customWidth="1"/>
    <col min="1037" max="1038" width="16.85546875" customWidth="1"/>
    <col min="1281" max="1281" width="3" customWidth="1"/>
    <col min="1282" max="1282" width="16.28515625" customWidth="1"/>
    <col min="1283" max="1283" width="16.85546875" customWidth="1"/>
    <col min="1284" max="1284" width="14.42578125" customWidth="1"/>
    <col min="1285" max="1286" width="12.85546875" customWidth="1"/>
    <col min="1287" max="1287" width="16.140625" customWidth="1"/>
    <col min="1288" max="1288" width="13.5703125" customWidth="1"/>
    <col min="1289" max="1291" width="16.85546875" customWidth="1"/>
    <col min="1292" max="1292" width="12.85546875" customWidth="1"/>
    <col min="1293" max="1294" width="16.85546875" customWidth="1"/>
    <col min="1537" max="1537" width="3" customWidth="1"/>
    <col min="1538" max="1538" width="16.28515625" customWidth="1"/>
    <col min="1539" max="1539" width="16.85546875" customWidth="1"/>
    <col min="1540" max="1540" width="14.42578125" customWidth="1"/>
    <col min="1541" max="1542" width="12.85546875" customWidth="1"/>
    <col min="1543" max="1543" width="16.140625" customWidth="1"/>
    <col min="1544" max="1544" width="13.5703125" customWidth="1"/>
    <col min="1545" max="1547" width="16.85546875" customWidth="1"/>
    <col min="1548" max="1548" width="12.85546875" customWidth="1"/>
    <col min="1549" max="1550" width="16.85546875" customWidth="1"/>
    <col min="1793" max="1793" width="3" customWidth="1"/>
    <col min="1794" max="1794" width="16.28515625" customWidth="1"/>
    <col min="1795" max="1795" width="16.85546875" customWidth="1"/>
    <col min="1796" max="1796" width="14.42578125" customWidth="1"/>
    <col min="1797" max="1798" width="12.85546875" customWidth="1"/>
    <col min="1799" max="1799" width="16.140625" customWidth="1"/>
    <col min="1800" max="1800" width="13.5703125" customWidth="1"/>
    <col min="1801" max="1803" width="16.85546875" customWidth="1"/>
    <col min="1804" max="1804" width="12.85546875" customWidth="1"/>
    <col min="1805" max="1806" width="16.85546875" customWidth="1"/>
    <col min="2049" max="2049" width="3" customWidth="1"/>
    <col min="2050" max="2050" width="16.28515625" customWidth="1"/>
    <col min="2051" max="2051" width="16.85546875" customWidth="1"/>
    <col min="2052" max="2052" width="14.42578125" customWidth="1"/>
    <col min="2053" max="2054" width="12.85546875" customWidth="1"/>
    <col min="2055" max="2055" width="16.140625" customWidth="1"/>
    <col min="2056" max="2056" width="13.5703125" customWidth="1"/>
    <col min="2057" max="2059" width="16.85546875" customWidth="1"/>
    <col min="2060" max="2060" width="12.85546875" customWidth="1"/>
    <col min="2061" max="2062" width="16.85546875" customWidth="1"/>
    <col min="2305" max="2305" width="3" customWidth="1"/>
    <col min="2306" max="2306" width="16.28515625" customWidth="1"/>
    <col min="2307" max="2307" width="16.85546875" customWidth="1"/>
    <col min="2308" max="2308" width="14.42578125" customWidth="1"/>
    <col min="2309" max="2310" width="12.85546875" customWidth="1"/>
    <col min="2311" max="2311" width="16.140625" customWidth="1"/>
    <col min="2312" max="2312" width="13.5703125" customWidth="1"/>
    <col min="2313" max="2315" width="16.85546875" customWidth="1"/>
    <col min="2316" max="2316" width="12.85546875" customWidth="1"/>
    <col min="2317" max="2318" width="16.85546875" customWidth="1"/>
    <col min="2561" max="2561" width="3" customWidth="1"/>
    <col min="2562" max="2562" width="16.28515625" customWidth="1"/>
    <col min="2563" max="2563" width="16.85546875" customWidth="1"/>
    <col min="2564" max="2564" width="14.42578125" customWidth="1"/>
    <col min="2565" max="2566" width="12.85546875" customWidth="1"/>
    <col min="2567" max="2567" width="16.140625" customWidth="1"/>
    <col min="2568" max="2568" width="13.5703125" customWidth="1"/>
    <col min="2569" max="2571" width="16.85546875" customWidth="1"/>
    <col min="2572" max="2572" width="12.85546875" customWidth="1"/>
    <col min="2573" max="2574" width="16.85546875" customWidth="1"/>
    <col min="2817" max="2817" width="3" customWidth="1"/>
    <col min="2818" max="2818" width="16.28515625" customWidth="1"/>
    <col min="2819" max="2819" width="16.85546875" customWidth="1"/>
    <col min="2820" max="2820" width="14.42578125" customWidth="1"/>
    <col min="2821" max="2822" width="12.85546875" customWidth="1"/>
    <col min="2823" max="2823" width="16.140625" customWidth="1"/>
    <col min="2824" max="2824" width="13.5703125" customWidth="1"/>
    <col min="2825" max="2827" width="16.85546875" customWidth="1"/>
    <col min="2828" max="2828" width="12.85546875" customWidth="1"/>
    <col min="2829" max="2830" width="16.85546875" customWidth="1"/>
    <col min="3073" max="3073" width="3" customWidth="1"/>
    <col min="3074" max="3074" width="16.28515625" customWidth="1"/>
    <col min="3075" max="3075" width="16.85546875" customWidth="1"/>
    <col min="3076" max="3076" width="14.42578125" customWidth="1"/>
    <col min="3077" max="3078" width="12.85546875" customWidth="1"/>
    <col min="3079" max="3079" width="16.140625" customWidth="1"/>
    <col min="3080" max="3080" width="13.5703125" customWidth="1"/>
    <col min="3081" max="3083" width="16.85546875" customWidth="1"/>
    <col min="3084" max="3084" width="12.85546875" customWidth="1"/>
    <col min="3085" max="3086" width="16.85546875" customWidth="1"/>
    <col min="3329" max="3329" width="3" customWidth="1"/>
    <col min="3330" max="3330" width="16.28515625" customWidth="1"/>
    <col min="3331" max="3331" width="16.85546875" customWidth="1"/>
    <col min="3332" max="3332" width="14.42578125" customWidth="1"/>
    <col min="3333" max="3334" width="12.85546875" customWidth="1"/>
    <col min="3335" max="3335" width="16.140625" customWidth="1"/>
    <col min="3336" max="3336" width="13.5703125" customWidth="1"/>
    <col min="3337" max="3339" width="16.85546875" customWidth="1"/>
    <col min="3340" max="3340" width="12.85546875" customWidth="1"/>
    <col min="3341" max="3342" width="16.85546875" customWidth="1"/>
    <col min="3585" max="3585" width="3" customWidth="1"/>
    <col min="3586" max="3586" width="16.28515625" customWidth="1"/>
    <col min="3587" max="3587" width="16.85546875" customWidth="1"/>
    <col min="3588" max="3588" width="14.42578125" customWidth="1"/>
    <col min="3589" max="3590" width="12.85546875" customWidth="1"/>
    <col min="3591" max="3591" width="16.140625" customWidth="1"/>
    <col min="3592" max="3592" width="13.5703125" customWidth="1"/>
    <col min="3593" max="3595" width="16.85546875" customWidth="1"/>
    <col min="3596" max="3596" width="12.85546875" customWidth="1"/>
    <col min="3597" max="3598" width="16.85546875" customWidth="1"/>
    <col min="3841" max="3841" width="3" customWidth="1"/>
    <col min="3842" max="3842" width="16.28515625" customWidth="1"/>
    <col min="3843" max="3843" width="16.85546875" customWidth="1"/>
    <col min="3844" max="3844" width="14.42578125" customWidth="1"/>
    <col min="3845" max="3846" width="12.85546875" customWidth="1"/>
    <col min="3847" max="3847" width="16.140625" customWidth="1"/>
    <col min="3848" max="3848" width="13.5703125" customWidth="1"/>
    <col min="3849" max="3851" width="16.85546875" customWidth="1"/>
    <col min="3852" max="3852" width="12.85546875" customWidth="1"/>
    <col min="3853" max="3854" width="16.85546875" customWidth="1"/>
    <col min="4097" max="4097" width="3" customWidth="1"/>
    <col min="4098" max="4098" width="16.28515625" customWidth="1"/>
    <col min="4099" max="4099" width="16.85546875" customWidth="1"/>
    <col min="4100" max="4100" width="14.42578125" customWidth="1"/>
    <col min="4101" max="4102" width="12.85546875" customWidth="1"/>
    <col min="4103" max="4103" width="16.140625" customWidth="1"/>
    <col min="4104" max="4104" width="13.5703125" customWidth="1"/>
    <col min="4105" max="4107" width="16.85546875" customWidth="1"/>
    <col min="4108" max="4108" width="12.85546875" customWidth="1"/>
    <col min="4109" max="4110" width="16.85546875" customWidth="1"/>
    <col min="4353" max="4353" width="3" customWidth="1"/>
    <col min="4354" max="4354" width="16.28515625" customWidth="1"/>
    <col min="4355" max="4355" width="16.85546875" customWidth="1"/>
    <col min="4356" max="4356" width="14.42578125" customWidth="1"/>
    <col min="4357" max="4358" width="12.85546875" customWidth="1"/>
    <col min="4359" max="4359" width="16.140625" customWidth="1"/>
    <col min="4360" max="4360" width="13.5703125" customWidth="1"/>
    <col min="4361" max="4363" width="16.85546875" customWidth="1"/>
    <col min="4364" max="4364" width="12.85546875" customWidth="1"/>
    <col min="4365" max="4366" width="16.85546875" customWidth="1"/>
    <col min="4609" max="4609" width="3" customWidth="1"/>
    <col min="4610" max="4610" width="16.28515625" customWidth="1"/>
    <col min="4611" max="4611" width="16.85546875" customWidth="1"/>
    <col min="4612" max="4612" width="14.42578125" customWidth="1"/>
    <col min="4613" max="4614" width="12.85546875" customWidth="1"/>
    <col min="4615" max="4615" width="16.140625" customWidth="1"/>
    <col min="4616" max="4616" width="13.5703125" customWidth="1"/>
    <col min="4617" max="4619" width="16.85546875" customWidth="1"/>
    <col min="4620" max="4620" width="12.85546875" customWidth="1"/>
    <col min="4621" max="4622" width="16.85546875" customWidth="1"/>
    <col min="4865" max="4865" width="3" customWidth="1"/>
    <col min="4866" max="4866" width="16.28515625" customWidth="1"/>
    <col min="4867" max="4867" width="16.85546875" customWidth="1"/>
    <col min="4868" max="4868" width="14.42578125" customWidth="1"/>
    <col min="4869" max="4870" width="12.85546875" customWidth="1"/>
    <col min="4871" max="4871" width="16.140625" customWidth="1"/>
    <col min="4872" max="4872" width="13.5703125" customWidth="1"/>
    <col min="4873" max="4875" width="16.85546875" customWidth="1"/>
    <col min="4876" max="4876" width="12.85546875" customWidth="1"/>
    <col min="4877" max="4878" width="16.85546875" customWidth="1"/>
    <col min="5121" max="5121" width="3" customWidth="1"/>
    <col min="5122" max="5122" width="16.28515625" customWidth="1"/>
    <col min="5123" max="5123" width="16.85546875" customWidth="1"/>
    <col min="5124" max="5124" width="14.42578125" customWidth="1"/>
    <col min="5125" max="5126" width="12.85546875" customWidth="1"/>
    <col min="5127" max="5127" width="16.140625" customWidth="1"/>
    <col min="5128" max="5128" width="13.5703125" customWidth="1"/>
    <col min="5129" max="5131" width="16.85546875" customWidth="1"/>
    <col min="5132" max="5132" width="12.85546875" customWidth="1"/>
    <col min="5133" max="5134" width="16.85546875" customWidth="1"/>
    <col min="5377" max="5377" width="3" customWidth="1"/>
    <col min="5378" max="5378" width="16.28515625" customWidth="1"/>
    <col min="5379" max="5379" width="16.85546875" customWidth="1"/>
    <col min="5380" max="5380" width="14.42578125" customWidth="1"/>
    <col min="5381" max="5382" width="12.85546875" customWidth="1"/>
    <col min="5383" max="5383" width="16.140625" customWidth="1"/>
    <col min="5384" max="5384" width="13.5703125" customWidth="1"/>
    <col min="5385" max="5387" width="16.85546875" customWidth="1"/>
    <col min="5388" max="5388" width="12.85546875" customWidth="1"/>
    <col min="5389" max="5390" width="16.85546875" customWidth="1"/>
    <col min="5633" max="5633" width="3" customWidth="1"/>
    <col min="5634" max="5634" width="16.28515625" customWidth="1"/>
    <col min="5635" max="5635" width="16.85546875" customWidth="1"/>
    <col min="5636" max="5636" width="14.42578125" customWidth="1"/>
    <col min="5637" max="5638" width="12.85546875" customWidth="1"/>
    <col min="5639" max="5639" width="16.140625" customWidth="1"/>
    <col min="5640" max="5640" width="13.5703125" customWidth="1"/>
    <col min="5641" max="5643" width="16.85546875" customWidth="1"/>
    <col min="5644" max="5644" width="12.85546875" customWidth="1"/>
    <col min="5645" max="5646" width="16.85546875" customWidth="1"/>
    <col min="5889" max="5889" width="3" customWidth="1"/>
    <col min="5890" max="5890" width="16.28515625" customWidth="1"/>
    <col min="5891" max="5891" width="16.85546875" customWidth="1"/>
    <col min="5892" max="5892" width="14.42578125" customWidth="1"/>
    <col min="5893" max="5894" width="12.85546875" customWidth="1"/>
    <col min="5895" max="5895" width="16.140625" customWidth="1"/>
    <col min="5896" max="5896" width="13.5703125" customWidth="1"/>
    <col min="5897" max="5899" width="16.85546875" customWidth="1"/>
    <col min="5900" max="5900" width="12.85546875" customWidth="1"/>
    <col min="5901" max="5902" width="16.85546875" customWidth="1"/>
    <col min="6145" max="6145" width="3" customWidth="1"/>
    <col min="6146" max="6146" width="16.28515625" customWidth="1"/>
    <col min="6147" max="6147" width="16.85546875" customWidth="1"/>
    <col min="6148" max="6148" width="14.42578125" customWidth="1"/>
    <col min="6149" max="6150" width="12.85546875" customWidth="1"/>
    <col min="6151" max="6151" width="16.140625" customWidth="1"/>
    <col min="6152" max="6152" width="13.5703125" customWidth="1"/>
    <col min="6153" max="6155" width="16.85546875" customWidth="1"/>
    <col min="6156" max="6156" width="12.85546875" customWidth="1"/>
    <col min="6157" max="6158" width="16.85546875" customWidth="1"/>
    <col min="6401" max="6401" width="3" customWidth="1"/>
    <col min="6402" max="6402" width="16.28515625" customWidth="1"/>
    <col min="6403" max="6403" width="16.85546875" customWidth="1"/>
    <col min="6404" max="6404" width="14.42578125" customWidth="1"/>
    <col min="6405" max="6406" width="12.85546875" customWidth="1"/>
    <col min="6407" max="6407" width="16.140625" customWidth="1"/>
    <col min="6408" max="6408" width="13.5703125" customWidth="1"/>
    <col min="6409" max="6411" width="16.85546875" customWidth="1"/>
    <col min="6412" max="6412" width="12.85546875" customWidth="1"/>
    <col min="6413" max="6414" width="16.85546875" customWidth="1"/>
    <col min="6657" max="6657" width="3" customWidth="1"/>
    <col min="6658" max="6658" width="16.28515625" customWidth="1"/>
    <col min="6659" max="6659" width="16.85546875" customWidth="1"/>
    <col min="6660" max="6660" width="14.42578125" customWidth="1"/>
    <col min="6661" max="6662" width="12.85546875" customWidth="1"/>
    <col min="6663" max="6663" width="16.140625" customWidth="1"/>
    <col min="6664" max="6664" width="13.5703125" customWidth="1"/>
    <col min="6665" max="6667" width="16.85546875" customWidth="1"/>
    <col min="6668" max="6668" width="12.85546875" customWidth="1"/>
    <col min="6669" max="6670" width="16.85546875" customWidth="1"/>
    <col min="6913" max="6913" width="3" customWidth="1"/>
    <col min="6914" max="6914" width="16.28515625" customWidth="1"/>
    <col min="6915" max="6915" width="16.85546875" customWidth="1"/>
    <col min="6916" max="6916" width="14.42578125" customWidth="1"/>
    <col min="6917" max="6918" width="12.85546875" customWidth="1"/>
    <col min="6919" max="6919" width="16.140625" customWidth="1"/>
    <col min="6920" max="6920" width="13.5703125" customWidth="1"/>
    <col min="6921" max="6923" width="16.85546875" customWidth="1"/>
    <col min="6924" max="6924" width="12.85546875" customWidth="1"/>
    <col min="6925" max="6926" width="16.85546875" customWidth="1"/>
    <col min="7169" max="7169" width="3" customWidth="1"/>
    <col min="7170" max="7170" width="16.28515625" customWidth="1"/>
    <col min="7171" max="7171" width="16.85546875" customWidth="1"/>
    <col min="7172" max="7172" width="14.42578125" customWidth="1"/>
    <col min="7173" max="7174" width="12.85546875" customWidth="1"/>
    <col min="7175" max="7175" width="16.140625" customWidth="1"/>
    <col min="7176" max="7176" width="13.5703125" customWidth="1"/>
    <col min="7177" max="7179" width="16.85546875" customWidth="1"/>
    <col min="7180" max="7180" width="12.85546875" customWidth="1"/>
    <col min="7181" max="7182" width="16.85546875" customWidth="1"/>
    <col min="7425" max="7425" width="3" customWidth="1"/>
    <col min="7426" max="7426" width="16.28515625" customWidth="1"/>
    <col min="7427" max="7427" width="16.85546875" customWidth="1"/>
    <col min="7428" max="7428" width="14.42578125" customWidth="1"/>
    <col min="7429" max="7430" width="12.85546875" customWidth="1"/>
    <col min="7431" max="7431" width="16.140625" customWidth="1"/>
    <col min="7432" max="7432" width="13.5703125" customWidth="1"/>
    <col min="7433" max="7435" width="16.85546875" customWidth="1"/>
    <col min="7436" max="7436" width="12.85546875" customWidth="1"/>
    <col min="7437" max="7438" width="16.85546875" customWidth="1"/>
    <col min="7681" max="7681" width="3" customWidth="1"/>
    <col min="7682" max="7682" width="16.28515625" customWidth="1"/>
    <col min="7683" max="7683" width="16.85546875" customWidth="1"/>
    <col min="7684" max="7684" width="14.42578125" customWidth="1"/>
    <col min="7685" max="7686" width="12.85546875" customWidth="1"/>
    <col min="7687" max="7687" width="16.140625" customWidth="1"/>
    <col min="7688" max="7688" width="13.5703125" customWidth="1"/>
    <col min="7689" max="7691" width="16.85546875" customWidth="1"/>
    <col min="7692" max="7692" width="12.85546875" customWidth="1"/>
    <col min="7693" max="7694" width="16.85546875" customWidth="1"/>
    <col min="7937" max="7937" width="3" customWidth="1"/>
    <col min="7938" max="7938" width="16.28515625" customWidth="1"/>
    <col min="7939" max="7939" width="16.85546875" customWidth="1"/>
    <col min="7940" max="7940" width="14.42578125" customWidth="1"/>
    <col min="7941" max="7942" width="12.85546875" customWidth="1"/>
    <col min="7943" max="7943" width="16.140625" customWidth="1"/>
    <col min="7944" max="7944" width="13.5703125" customWidth="1"/>
    <col min="7945" max="7947" width="16.85546875" customWidth="1"/>
    <col min="7948" max="7948" width="12.85546875" customWidth="1"/>
    <col min="7949" max="7950" width="16.85546875" customWidth="1"/>
    <col min="8193" max="8193" width="3" customWidth="1"/>
    <col min="8194" max="8194" width="16.28515625" customWidth="1"/>
    <col min="8195" max="8195" width="16.85546875" customWidth="1"/>
    <col min="8196" max="8196" width="14.42578125" customWidth="1"/>
    <col min="8197" max="8198" width="12.85546875" customWidth="1"/>
    <col min="8199" max="8199" width="16.140625" customWidth="1"/>
    <col min="8200" max="8200" width="13.5703125" customWidth="1"/>
    <col min="8201" max="8203" width="16.85546875" customWidth="1"/>
    <col min="8204" max="8204" width="12.85546875" customWidth="1"/>
    <col min="8205" max="8206" width="16.85546875" customWidth="1"/>
    <col min="8449" max="8449" width="3" customWidth="1"/>
    <col min="8450" max="8450" width="16.28515625" customWidth="1"/>
    <col min="8451" max="8451" width="16.85546875" customWidth="1"/>
    <col min="8452" max="8452" width="14.42578125" customWidth="1"/>
    <col min="8453" max="8454" width="12.85546875" customWidth="1"/>
    <col min="8455" max="8455" width="16.140625" customWidth="1"/>
    <col min="8456" max="8456" width="13.5703125" customWidth="1"/>
    <col min="8457" max="8459" width="16.85546875" customWidth="1"/>
    <col min="8460" max="8460" width="12.85546875" customWidth="1"/>
    <col min="8461" max="8462" width="16.85546875" customWidth="1"/>
    <col min="8705" max="8705" width="3" customWidth="1"/>
    <col min="8706" max="8706" width="16.28515625" customWidth="1"/>
    <col min="8707" max="8707" width="16.85546875" customWidth="1"/>
    <col min="8708" max="8708" width="14.42578125" customWidth="1"/>
    <col min="8709" max="8710" width="12.85546875" customWidth="1"/>
    <col min="8711" max="8711" width="16.140625" customWidth="1"/>
    <col min="8712" max="8712" width="13.5703125" customWidth="1"/>
    <col min="8713" max="8715" width="16.85546875" customWidth="1"/>
    <col min="8716" max="8716" width="12.85546875" customWidth="1"/>
    <col min="8717" max="8718" width="16.85546875" customWidth="1"/>
    <col min="8961" max="8961" width="3" customWidth="1"/>
    <col min="8962" max="8962" width="16.28515625" customWidth="1"/>
    <col min="8963" max="8963" width="16.85546875" customWidth="1"/>
    <col min="8964" max="8964" width="14.42578125" customWidth="1"/>
    <col min="8965" max="8966" width="12.85546875" customWidth="1"/>
    <col min="8967" max="8967" width="16.140625" customWidth="1"/>
    <col min="8968" max="8968" width="13.5703125" customWidth="1"/>
    <col min="8969" max="8971" width="16.85546875" customWidth="1"/>
    <col min="8972" max="8972" width="12.85546875" customWidth="1"/>
    <col min="8973" max="8974" width="16.85546875" customWidth="1"/>
    <col min="9217" max="9217" width="3" customWidth="1"/>
    <col min="9218" max="9218" width="16.28515625" customWidth="1"/>
    <col min="9219" max="9219" width="16.85546875" customWidth="1"/>
    <col min="9220" max="9220" width="14.42578125" customWidth="1"/>
    <col min="9221" max="9222" width="12.85546875" customWidth="1"/>
    <col min="9223" max="9223" width="16.140625" customWidth="1"/>
    <col min="9224" max="9224" width="13.5703125" customWidth="1"/>
    <col min="9225" max="9227" width="16.85546875" customWidth="1"/>
    <col min="9228" max="9228" width="12.85546875" customWidth="1"/>
    <col min="9229" max="9230" width="16.85546875" customWidth="1"/>
    <col min="9473" max="9473" width="3" customWidth="1"/>
    <col min="9474" max="9474" width="16.28515625" customWidth="1"/>
    <col min="9475" max="9475" width="16.85546875" customWidth="1"/>
    <col min="9476" max="9476" width="14.42578125" customWidth="1"/>
    <col min="9477" max="9478" width="12.85546875" customWidth="1"/>
    <col min="9479" max="9479" width="16.140625" customWidth="1"/>
    <col min="9480" max="9480" width="13.5703125" customWidth="1"/>
    <col min="9481" max="9483" width="16.85546875" customWidth="1"/>
    <col min="9484" max="9484" width="12.85546875" customWidth="1"/>
    <col min="9485" max="9486" width="16.85546875" customWidth="1"/>
    <col min="9729" max="9729" width="3" customWidth="1"/>
    <col min="9730" max="9730" width="16.28515625" customWidth="1"/>
    <col min="9731" max="9731" width="16.85546875" customWidth="1"/>
    <col min="9732" max="9732" width="14.42578125" customWidth="1"/>
    <col min="9733" max="9734" width="12.85546875" customWidth="1"/>
    <col min="9735" max="9735" width="16.140625" customWidth="1"/>
    <col min="9736" max="9736" width="13.5703125" customWidth="1"/>
    <col min="9737" max="9739" width="16.85546875" customWidth="1"/>
    <col min="9740" max="9740" width="12.85546875" customWidth="1"/>
    <col min="9741" max="9742" width="16.85546875" customWidth="1"/>
    <col min="9985" max="9985" width="3" customWidth="1"/>
    <col min="9986" max="9986" width="16.28515625" customWidth="1"/>
    <col min="9987" max="9987" width="16.85546875" customWidth="1"/>
    <col min="9988" max="9988" width="14.42578125" customWidth="1"/>
    <col min="9989" max="9990" width="12.85546875" customWidth="1"/>
    <col min="9991" max="9991" width="16.140625" customWidth="1"/>
    <col min="9992" max="9992" width="13.5703125" customWidth="1"/>
    <col min="9993" max="9995" width="16.85546875" customWidth="1"/>
    <col min="9996" max="9996" width="12.85546875" customWidth="1"/>
    <col min="9997" max="9998" width="16.85546875" customWidth="1"/>
    <col min="10241" max="10241" width="3" customWidth="1"/>
    <col min="10242" max="10242" width="16.28515625" customWidth="1"/>
    <col min="10243" max="10243" width="16.85546875" customWidth="1"/>
    <col min="10244" max="10244" width="14.42578125" customWidth="1"/>
    <col min="10245" max="10246" width="12.85546875" customWidth="1"/>
    <col min="10247" max="10247" width="16.140625" customWidth="1"/>
    <col min="10248" max="10248" width="13.5703125" customWidth="1"/>
    <col min="10249" max="10251" width="16.85546875" customWidth="1"/>
    <col min="10252" max="10252" width="12.85546875" customWidth="1"/>
    <col min="10253" max="10254" width="16.85546875" customWidth="1"/>
    <col min="10497" max="10497" width="3" customWidth="1"/>
    <col min="10498" max="10498" width="16.28515625" customWidth="1"/>
    <col min="10499" max="10499" width="16.85546875" customWidth="1"/>
    <col min="10500" max="10500" width="14.42578125" customWidth="1"/>
    <col min="10501" max="10502" width="12.85546875" customWidth="1"/>
    <col min="10503" max="10503" width="16.140625" customWidth="1"/>
    <col min="10504" max="10504" width="13.5703125" customWidth="1"/>
    <col min="10505" max="10507" width="16.85546875" customWidth="1"/>
    <col min="10508" max="10508" width="12.85546875" customWidth="1"/>
    <col min="10509" max="10510" width="16.85546875" customWidth="1"/>
    <col min="10753" max="10753" width="3" customWidth="1"/>
    <col min="10754" max="10754" width="16.28515625" customWidth="1"/>
    <col min="10755" max="10755" width="16.85546875" customWidth="1"/>
    <col min="10756" max="10756" width="14.42578125" customWidth="1"/>
    <col min="10757" max="10758" width="12.85546875" customWidth="1"/>
    <col min="10759" max="10759" width="16.140625" customWidth="1"/>
    <col min="10760" max="10760" width="13.5703125" customWidth="1"/>
    <col min="10761" max="10763" width="16.85546875" customWidth="1"/>
    <col min="10764" max="10764" width="12.85546875" customWidth="1"/>
    <col min="10765" max="10766" width="16.85546875" customWidth="1"/>
    <col min="11009" max="11009" width="3" customWidth="1"/>
    <col min="11010" max="11010" width="16.28515625" customWidth="1"/>
    <col min="11011" max="11011" width="16.85546875" customWidth="1"/>
    <col min="11012" max="11012" width="14.42578125" customWidth="1"/>
    <col min="11013" max="11014" width="12.85546875" customWidth="1"/>
    <col min="11015" max="11015" width="16.140625" customWidth="1"/>
    <col min="11016" max="11016" width="13.5703125" customWidth="1"/>
    <col min="11017" max="11019" width="16.85546875" customWidth="1"/>
    <col min="11020" max="11020" width="12.85546875" customWidth="1"/>
    <col min="11021" max="11022" width="16.85546875" customWidth="1"/>
    <col min="11265" max="11265" width="3" customWidth="1"/>
    <col min="11266" max="11266" width="16.28515625" customWidth="1"/>
    <col min="11267" max="11267" width="16.85546875" customWidth="1"/>
    <col min="11268" max="11268" width="14.42578125" customWidth="1"/>
    <col min="11269" max="11270" width="12.85546875" customWidth="1"/>
    <col min="11271" max="11271" width="16.140625" customWidth="1"/>
    <col min="11272" max="11272" width="13.5703125" customWidth="1"/>
    <col min="11273" max="11275" width="16.85546875" customWidth="1"/>
    <col min="11276" max="11276" width="12.85546875" customWidth="1"/>
    <col min="11277" max="11278" width="16.85546875" customWidth="1"/>
    <col min="11521" max="11521" width="3" customWidth="1"/>
    <col min="11522" max="11522" width="16.28515625" customWidth="1"/>
    <col min="11523" max="11523" width="16.85546875" customWidth="1"/>
    <col min="11524" max="11524" width="14.42578125" customWidth="1"/>
    <col min="11525" max="11526" width="12.85546875" customWidth="1"/>
    <col min="11527" max="11527" width="16.140625" customWidth="1"/>
    <col min="11528" max="11528" width="13.5703125" customWidth="1"/>
    <col min="11529" max="11531" width="16.85546875" customWidth="1"/>
    <col min="11532" max="11532" width="12.85546875" customWidth="1"/>
    <col min="11533" max="11534" width="16.85546875" customWidth="1"/>
    <col min="11777" max="11777" width="3" customWidth="1"/>
    <col min="11778" max="11778" width="16.28515625" customWidth="1"/>
    <col min="11779" max="11779" width="16.85546875" customWidth="1"/>
    <col min="11780" max="11780" width="14.42578125" customWidth="1"/>
    <col min="11781" max="11782" width="12.85546875" customWidth="1"/>
    <col min="11783" max="11783" width="16.140625" customWidth="1"/>
    <col min="11784" max="11784" width="13.5703125" customWidth="1"/>
    <col min="11785" max="11787" width="16.85546875" customWidth="1"/>
    <col min="11788" max="11788" width="12.85546875" customWidth="1"/>
    <col min="11789" max="11790" width="16.85546875" customWidth="1"/>
    <col min="12033" max="12033" width="3" customWidth="1"/>
    <col min="12034" max="12034" width="16.28515625" customWidth="1"/>
    <col min="12035" max="12035" width="16.85546875" customWidth="1"/>
    <col min="12036" max="12036" width="14.42578125" customWidth="1"/>
    <col min="12037" max="12038" width="12.85546875" customWidth="1"/>
    <col min="12039" max="12039" width="16.140625" customWidth="1"/>
    <col min="12040" max="12040" width="13.5703125" customWidth="1"/>
    <col min="12041" max="12043" width="16.85546875" customWidth="1"/>
    <col min="12044" max="12044" width="12.85546875" customWidth="1"/>
    <col min="12045" max="12046" width="16.85546875" customWidth="1"/>
    <col min="12289" max="12289" width="3" customWidth="1"/>
    <col min="12290" max="12290" width="16.28515625" customWidth="1"/>
    <col min="12291" max="12291" width="16.85546875" customWidth="1"/>
    <col min="12292" max="12292" width="14.42578125" customWidth="1"/>
    <col min="12293" max="12294" width="12.85546875" customWidth="1"/>
    <col min="12295" max="12295" width="16.140625" customWidth="1"/>
    <col min="12296" max="12296" width="13.5703125" customWidth="1"/>
    <col min="12297" max="12299" width="16.85546875" customWidth="1"/>
    <col min="12300" max="12300" width="12.85546875" customWidth="1"/>
    <col min="12301" max="12302" width="16.85546875" customWidth="1"/>
    <col min="12545" max="12545" width="3" customWidth="1"/>
    <col min="12546" max="12546" width="16.28515625" customWidth="1"/>
    <col min="12547" max="12547" width="16.85546875" customWidth="1"/>
    <col min="12548" max="12548" width="14.42578125" customWidth="1"/>
    <col min="12549" max="12550" width="12.85546875" customWidth="1"/>
    <col min="12551" max="12551" width="16.140625" customWidth="1"/>
    <col min="12552" max="12552" width="13.5703125" customWidth="1"/>
    <col min="12553" max="12555" width="16.85546875" customWidth="1"/>
    <col min="12556" max="12556" width="12.85546875" customWidth="1"/>
    <col min="12557" max="12558" width="16.85546875" customWidth="1"/>
    <col min="12801" max="12801" width="3" customWidth="1"/>
    <col min="12802" max="12802" width="16.28515625" customWidth="1"/>
    <col min="12803" max="12803" width="16.85546875" customWidth="1"/>
    <col min="12804" max="12804" width="14.42578125" customWidth="1"/>
    <col min="12805" max="12806" width="12.85546875" customWidth="1"/>
    <col min="12807" max="12807" width="16.140625" customWidth="1"/>
    <col min="12808" max="12808" width="13.5703125" customWidth="1"/>
    <col min="12809" max="12811" width="16.85546875" customWidth="1"/>
    <col min="12812" max="12812" width="12.85546875" customWidth="1"/>
    <col min="12813" max="12814" width="16.85546875" customWidth="1"/>
    <col min="13057" max="13057" width="3" customWidth="1"/>
    <col min="13058" max="13058" width="16.28515625" customWidth="1"/>
    <col min="13059" max="13059" width="16.85546875" customWidth="1"/>
    <col min="13060" max="13060" width="14.42578125" customWidth="1"/>
    <col min="13061" max="13062" width="12.85546875" customWidth="1"/>
    <col min="13063" max="13063" width="16.140625" customWidth="1"/>
    <col min="13064" max="13064" width="13.5703125" customWidth="1"/>
    <col min="13065" max="13067" width="16.85546875" customWidth="1"/>
    <col min="13068" max="13068" width="12.85546875" customWidth="1"/>
    <col min="13069" max="13070" width="16.85546875" customWidth="1"/>
    <col min="13313" max="13313" width="3" customWidth="1"/>
    <col min="13314" max="13314" width="16.28515625" customWidth="1"/>
    <col min="13315" max="13315" width="16.85546875" customWidth="1"/>
    <col min="13316" max="13316" width="14.42578125" customWidth="1"/>
    <col min="13317" max="13318" width="12.85546875" customWidth="1"/>
    <col min="13319" max="13319" width="16.140625" customWidth="1"/>
    <col min="13320" max="13320" width="13.5703125" customWidth="1"/>
    <col min="13321" max="13323" width="16.85546875" customWidth="1"/>
    <col min="13324" max="13324" width="12.85546875" customWidth="1"/>
    <col min="13325" max="13326" width="16.85546875" customWidth="1"/>
    <col min="13569" max="13569" width="3" customWidth="1"/>
    <col min="13570" max="13570" width="16.28515625" customWidth="1"/>
    <col min="13571" max="13571" width="16.85546875" customWidth="1"/>
    <col min="13572" max="13572" width="14.42578125" customWidth="1"/>
    <col min="13573" max="13574" width="12.85546875" customWidth="1"/>
    <col min="13575" max="13575" width="16.140625" customWidth="1"/>
    <col min="13576" max="13576" width="13.5703125" customWidth="1"/>
    <col min="13577" max="13579" width="16.85546875" customWidth="1"/>
    <col min="13580" max="13580" width="12.85546875" customWidth="1"/>
    <col min="13581" max="13582" width="16.85546875" customWidth="1"/>
    <col min="13825" max="13825" width="3" customWidth="1"/>
    <col min="13826" max="13826" width="16.28515625" customWidth="1"/>
    <col min="13827" max="13827" width="16.85546875" customWidth="1"/>
    <col min="13828" max="13828" width="14.42578125" customWidth="1"/>
    <col min="13829" max="13830" width="12.85546875" customWidth="1"/>
    <col min="13831" max="13831" width="16.140625" customWidth="1"/>
    <col min="13832" max="13832" width="13.5703125" customWidth="1"/>
    <col min="13833" max="13835" width="16.85546875" customWidth="1"/>
    <col min="13836" max="13836" width="12.85546875" customWidth="1"/>
    <col min="13837" max="13838" width="16.85546875" customWidth="1"/>
    <col min="14081" max="14081" width="3" customWidth="1"/>
    <col min="14082" max="14082" width="16.28515625" customWidth="1"/>
    <col min="14083" max="14083" width="16.85546875" customWidth="1"/>
    <col min="14084" max="14084" width="14.42578125" customWidth="1"/>
    <col min="14085" max="14086" width="12.85546875" customWidth="1"/>
    <col min="14087" max="14087" width="16.140625" customWidth="1"/>
    <col min="14088" max="14088" width="13.5703125" customWidth="1"/>
    <col min="14089" max="14091" width="16.85546875" customWidth="1"/>
    <col min="14092" max="14092" width="12.85546875" customWidth="1"/>
    <col min="14093" max="14094" width="16.85546875" customWidth="1"/>
    <col min="14337" max="14337" width="3" customWidth="1"/>
    <col min="14338" max="14338" width="16.28515625" customWidth="1"/>
    <col min="14339" max="14339" width="16.85546875" customWidth="1"/>
    <col min="14340" max="14340" width="14.42578125" customWidth="1"/>
    <col min="14341" max="14342" width="12.85546875" customWidth="1"/>
    <col min="14343" max="14343" width="16.140625" customWidth="1"/>
    <col min="14344" max="14344" width="13.5703125" customWidth="1"/>
    <col min="14345" max="14347" width="16.85546875" customWidth="1"/>
    <col min="14348" max="14348" width="12.85546875" customWidth="1"/>
    <col min="14349" max="14350" width="16.85546875" customWidth="1"/>
    <col min="14593" max="14593" width="3" customWidth="1"/>
    <col min="14594" max="14594" width="16.28515625" customWidth="1"/>
    <col min="14595" max="14595" width="16.85546875" customWidth="1"/>
    <col min="14596" max="14596" width="14.42578125" customWidth="1"/>
    <col min="14597" max="14598" width="12.85546875" customWidth="1"/>
    <col min="14599" max="14599" width="16.140625" customWidth="1"/>
    <col min="14600" max="14600" width="13.5703125" customWidth="1"/>
    <col min="14601" max="14603" width="16.85546875" customWidth="1"/>
    <col min="14604" max="14604" width="12.85546875" customWidth="1"/>
    <col min="14605" max="14606" width="16.85546875" customWidth="1"/>
    <col min="14849" max="14849" width="3" customWidth="1"/>
    <col min="14850" max="14850" width="16.28515625" customWidth="1"/>
    <col min="14851" max="14851" width="16.85546875" customWidth="1"/>
    <col min="14852" max="14852" width="14.42578125" customWidth="1"/>
    <col min="14853" max="14854" width="12.85546875" customWidth="1"/>
    <col min="14855" max="14855" width="16.140625" customWidth="1"/>
    <col min="14856" max="14856" width="13.5703125" customWidth="1"/>
    <col min="14857" max="14859" width="16.85546875" customWidth="1"/>
    <col min="14860" max="14860" width="12.85546875" customWidth="1"/>
    <col min="14861" max="14862" width="16.85546875" customWidth="1"/>
    <col min="15105" max="15105" width="3" customWidth="1"/>
    <col min="15106" max="15106" width="16.28515625" customWidth="1"/>
    <col min="15107" max="15107" width="16.85546875" customWidth="1"/>
    <col min="15108" max="15108" width="14.42578125" customWidth="1"/>
    <col min="15109" max="15110" width="12.85546875" customWidth="1"/>
    <col min="15111" max="15111" width="16.140625" customWidth="1"/>
    <col min="15112" max="15112" width="13.5703125" customWidth="1"/>
    <col min="15113" max="15115" width="16.85546875" customWidth="1"/>
    <col min="15116" max="15116" width="12.85546875" customWidth="1"/>
    <col min="15117" max="15118" width="16.85546875" customWidth="1"/>
    <col min="15361" max="15361" width="3" customWidth="1"/>
    <col min="15362" max="15362" width="16.28515625" customWidth="1"/>
    <col min="15363" max="15363" width="16.85546875" customWidth="1"/>
    <col min="15364" max="15364" width="14.42578125" customWidth="1"/>
    <col min="15365" max="15366" width="12.85546875" customWidth="1"/>
    <col min="15367" max="15367" width="16.140625" customWidth="1"/>
    <col min="15368" max="15368" width="13.5703125" customWidth="1"/>
    <col min="15369" max="15371" width="16.85546875" customWidth="1"/>
    <col min="15372" max="15372" width="12.85546875" customWidth="1"/>
    <col min="15373" max="15374" width="16.85546875" customWidth="1"/>
    <col min="15617" max="15617" width="3" customWidth="1"/>
    <col min="15618" max="15618" width="16.28515625" customWidth="1"/>
    <col min="15619" max="15619" width="16.85546875" customWidth="1"/>
    <col min="15620" max="15620" width="14.42578125" customWidth="1"/>
    <col min="15621" max="15622" width="12.85546875" customWidth="1"/>
    <col min="15623" max="15623" width="16.140625" customWidth="1"/>
    <col min="15624" max="15624" width="13.5703125" customWidth="1"/>
    <col min="15625" max="15627" width="16.85546875" customWidth="1"/>
    <col min="15628" max="15628" width="12.85546875" customWidth="1"/>
    <col min="15629" max="15630" width="16.85546875" customWidth="1"/>
    <col min="15873" max="15873" width="3" customWidth="1"/>
    <col min="15874" max="15874" width="16.28515625" customWidth="1"/>
    <col min="15875" max="15875" width="16.85546875" customWidth="1"/>
    <col min="15876" max="15876" width="14.42578125" customWidth="1"/>
    <col min="15877" max="15878" width="12.85546875" customWidth="1"/>
    <col min="15879" max="15879" width="16.140625" customWidth="1"/>
    <col min="15880" max="15880" width="13.5703125" customWidth="1"/>
    <col min="15881" max="15883" width="16.85546875" customWidth="1"/>
    <col min="15884" max="15884" width="12.85546875" customWidth="1"/>
    <col min="15885" max="15886" width="16.85546875" customWidth="1"/>
    <col min="16129" max="16129" width="3" customWidth="1"/>
    <col min="16130" max="16130" width="16.28515625" customWidth="1"/>
    <col min="16131" max="16131" width="16.85546875" customWidth="1"/>
    <col min="16132" max="16132" width="14.42578125" customWidth="1"/>
    <col min="16133" max="16134" width="12.85546875" customWidth="1"/>
    <col min="16135" max="16135" width="16.140625" customWidth="1"/>
    <col min="16136" max="16136" width="13.5703125" customWidth="1"/>
    <col min="16137" max="16139" width="16.85546875" customWidth="1"/>
    <col min="16140" max="16140" width="12.85546875" customWidth="1"/>
    <col min="16141" max="16142" width="16.85546875" customWidth="1"/>
  </cols>
  <sheetData>
    <row r="1" spans="2:27" x14ac:dyDescent="0.25">
      <c r="B1" s="1"/>
      <c r="C1" s="1"/>
      <c r="D1" s="1"/>
      <c r="E1" s="1"/>
      <c r="F1" s="1"/>
      <c r="G1" s="1"/>
      <c r="H1" s="1"/>
      <c r="L1" s="1"/>
    </row>
    <row r="2" spans="2:27" ht="17.25" x14ac:dyDescent="0.25">
      <c r="B2" s="50" t="s">
        <v>24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2:27" x14ac:dyDescent="0.25">
      <c r="B3" s="2"/>
      <c r="C3" s="2"/>
      <c r="D3" s="2"/>
      <c r="E3" s="2"/>
      <c r="F3" s="2"/>
      <c r="G3" s="2"/>
      <c r="H3" s="2"/>
      <c r="L3" s="2"/>
    </row>
    <row r="4" spans="2:27" x14ac:dyDescent="0.25">
      <c r="B4" s="51" t="s">
        <v>0</v>
      </c>
      <c r="C4" s="52" t="s">
        <v>1</v>
      </c>
      <c r="D4" s="53"/>
      <c r="E4" s="53"/>
      <c r="F4" s="53"/>
      <c r="G4" s="53"/>
      <c r="H4" s="54"/>
      <c r="I4" s="53" t="s">
        <v>2</v>
      </c>
      <c r="J4" s="53"/>
      <c r="K4" s="53"/>
      <c r="L4" s="53"/>
      <c r="M4" s="53"/>
      <c r="N4" s="54"/>
    </row>
    <row r="5" spans="2:27" ht="60" x14ac:dyDescent="0.25">
      <c r="B5" s="55"/>
      <c r="C5" s="58" t="s">
        <v>3</v>
      </c>
      <c r="D5" s="56" t="s">
        <v>4</v>
      </c>
      <c r="E5" s="56" t="s">
        <v>5</v>
      </c>
      <c r="F5" s="56" t="s">
        <v>6</v>
      </c>
      <c r="G5" s="56" t="s">
        <v>7</v>
      </c>
      <c r="H5" s="57" t="s">
        <v>8</v>
      </c>
      <c r="I5" s="56" t="s">
        <v>3</v>
      </c>
      <c r="J5" s="56" t="s">
        <v>4</v>
      </c>
      <c r="K5" s="56" t="s">
        <v>5</v>
      </c>
      <c r="L5" s="56" t="s">
        <v>6</v>
      </c>
      <c r="M5" s="56" t="s">
        <v>7</v>
      </c>
      <c r="N5" s="57" t="s">
        <v>8</v>
      </c>
    </row>
    <row r="6" spans="2:27" x14ac:dyDescent="0.25">
      <c r="B6" s="3"/>
      <c r="C6" s="63"/>
      <c r="D6" s="4"/>
      <c r="E6" s="4"/>
      <c r="F6" s="4"/>
      <c r="G6" s="4"/>
      <c r="H6" s="5"/>
      <c r="L6" s="4"/>
      <c r="N6" s="6"/>
    </row>
    <row r="7" spans="2:27" x14ac:dyDescent="0.25">
      <c r="B7" s="7" t="s">
        <v>9</v>
      </c>
      <c r="C7" s="8">
        <v>78638.547999999995</v>
      </c>
      <c r="D7" s="8">
        <v>51897.953999999998</v>
      </c>
      <c r="E7" s="8">
        <v>50278.082000000002</v>
      </c>
      <c r="F7" s="8">
        <v>6082.8710000000001</v>
      </c>
      <c r="G7" s="8">
        <v>1619.8720000000001</v>
      </c>
      <c r="H7" s="9">
        <v>26740.594000000001</v>
      </c>
      <c r="I7" s="8">
        <v>1568.1130000000001</v>
      </c>
      <c r="J7" s="8">
        <v>51897.953999999998</v>
      </c>
      <c r="K7" s="8">
        <v>1035.423</v>
      </c>
      <c r="L7" s="8">
        <v>454.142</v>
      </c>
      <c r="M7" s="8">
        <v>109.443</v>
      </c>
      <c r="N7" s="9">
        <v>677.21799999999996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2:27" x14ac:dyDescent="0.25">
      <c r="B8" s="11"/>
      <c r="C8" s="60"/>
      <c r="D8" s="4"/>
      <c r="E8" s="4"/>
      <c r="F8" s="4"/>
      <c r="G8" s="4"/>
      <c r="H8" s="5"/>
      <c r="L8" s="4"/>
      <c r="N8" s="5"/>
    </row>
    <row r="9" spans="2:27" x14ac:dyDescent="0.25">
      <c r="B9" s="11" t="s">
        <v>10</v>
      </c>
      <c r="C9" s="61"/>
      <c r="D9" s="12"/>
      <c r="E9" s="12"/>
      <c r="F9" s="12"/>
      <c r="G9" s="12"/>
      <c r="H9" s="13"/>
      <c r="I9" s="12"/>
      <c r="J9" s="12"/>
      <c r="K9" s="12"/>
      <c r="L9" s="12"/>
      <c r="M9" s="12"/>
      <c r="N9" s="13"/>
      <c r="O9" s="14"/>
      <c r="P9" s="14"/>
      <c r="Q9" s="14"/>
    </row>
    <row r="10" spans="2:27" x14ac:dyDescent="0.25">
      <c r="B10" s="15" t="s">
        <v>11</v>
      </c>
      <c r="C10" s="59"/>
      <c r="D10" s="4"/>
      <c r="E10" s="4"/>
      <c r="F10" s="4"/>
      <c r="G10" s="4"/>
      <c r="H10" s="5"/>
      <c r="L10" s="4"/>
      <c r="N10" s="5"/>
    </row>
    <row r="11" spans="2:27" x14ac:dyDescent="0.25">
      <c r="B11" s="11"/>
      <c r="C11" s="59"/>
      <c r="D11" s="4"/>
      <c r="E11" s="4"/>
      <c r="F11" s="4"/>
      <c r="G11" s="4"/>
      <c r="H11" s="5"/>
      <c r="L11" s="4"/>
      <c r="N11" s="5"/>
    </row>
    <row r="12" spans="2:27" s="19" customFormat="1" x14ac:dyDescent="0.25">
      <c r="B12" s="7" t="s">
        <v>12</v>
      </c>
      <c r="C12" s="32">
        <f>SUM(C13:C18)</f>
        <v>100</v>
      </c>
      <c r="D12" s="32">
        <f t="shared" ref="D12:H12" si="0">SUM(D13:D18)</f>
        <v>100</v>
      </c>
      <c r="E12" s="32">
        <f t="shared" si="0"/>
        <v>100.00000000000001</v>
      </c>
      <c r="F12" s="32">
        <f t="shared" si="0"/>
        <v>100.00100000000002</v>
      </c>
      <c r="G12" s="32">
        <f t="shared" si="0"/>
        <v>100</v>
      </c>
      <c r="H12" s="33">
        <f t="shared" si="0"/>
        <v>100</v>
      </c>
      <c r="I12" s="16"/>
      <c r="J12" s="16"/>
      <c r="K12" s="16"/>
      <c r="L12" s="17"/>
      <c r="M12" s="16"/>
      <c r="N12" s="18"/>
    </row>
    <row r="13" spans="2:27" x14ac:dyDescent="0.25">
      <c r="B13" s="20" t="s">
        <v>13</v>
      </c>
      <c r="C13" s="34">
        <v>25.616</v>
      </c>
      <c r="D13" s="34">
        <v>13.084</v>
      </c>
      <c r="E13" s="34">
        <v>12.347</v>
      </c>
      <c r="F13" s="34">
        <v>13.19</v>
      </c>
      <c r="G13" s="34">
        <v>35.936999999999998</v>
      </c>
      <c r="H13" s="35">
        <v>49.939</v>
      </c>
      <c r="I13" s="41">
        <v>0.39300000000000002</v>
      </c>
      <c r="J13" s="41">
        <v>0.38100000000000001</v>
      </c>
      <c r="K13" s="41">
        <v>0.377</v>
      </c>
      <c r="L13" s="41">
        <v>0.88100000000000001</v>
      </c>
      <c r="M13" s="41">
        <v>2.2559999999999998</v>
      </c>
      <c r="N13" s="42">
        <v>0.8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2:27" x14ac:dyDescent="0.25">
      <c r="B14" s="20" t="s">
        <v>14</v>
      </c>
      <c r="C14" s="34">
        <v>22.63</v>
      </c>
      <c r="D14" s="34">
        <v>28.084</v>
      </c>
      <c r="E14" s="34">
        <v>27.856000000000002</v>
      </c>
      <c r="F14" s="34">
        <v>29.17</v>
      </c>
      <c r="G14" s="34">
        <v>35.173999999999999</v>
      </c>
      <c r="H14" s="35">
        <v>12.045</v>
      </c>
      <c r="I14" s="41">
        <v>0.39400000000000002</v>
      </c>
      <c r="J14" s="41">
        <v>0.48899999999999999</v>
      </c>
      <c r="K14" s="41">
        <v>0.49299999999999999</v>
      </c>
      <c r="L14" s="41">
        <v>1.5269999999999999</v>
      </c>
      <c r="M14" s="41">
        <v>2.524</v>
      </c>
      <c r="N14" s="42">
        <v>0.50900000000000001</v>
      </c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spans="2:27" x14ac:dyDescent="0.25">
      <c r="B15" s="20" t="s">
        <v>15</v>
      </c>
      <c r="C15" s="34">
        <v>17.606999999999999</v>
      </c>
      <c r="D15" s="34">
        <v>22.841000000000001</v>
      </c>
      <c r="E15" s="34">
        <v>23.12</v>
      </c>
      <c r="F15" s="34">
        <v>22.123000000000001</v>
      </c>
      <c r="G15" s="34">
        <v>14.19</v>
      </c>
      <c r="H15" s="35">
        <v>7.4489999999999998</v>
      </c>
      <c r="I15" s="41">
        <v>0.39400000000000002</v>
      </c>
      <c r="J15" s="41">
        <v>0.51600000000000001</v>
      </c>
      <c r="K15" s="41">
        <v>0.52800000000000002</v>
      </c>
      <c r="L15" s="41">
        <v>1.3740000000000001</v>
      </c>
      <c r="M15" s="41">
        <v>1.8080000000000001</v>
      </c>
      <c r="N15" s="42">
        <v>0.41899999999999998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spans="2:27" x14ac:dyDescent="0.25">
      <c r="B16" s="20" t="s">
        <v>16</v>
      </c>
      <c r="C16" s="34">
        <v>14.275</v>
      </c>
      <c r="D16" s="34">
        <v>18.536000000000001</v>
      </c>
      <c r="E16" s="34">
        <v>18.829000000000001</v>
      </c>
      <c r="F16" s="34">
        <v>19.605</v>
      </c>
      <c r="G16" s="34">
        <v>9.4120000000000008</v>
      </c>
      <c r="H16" s="35">
        <v>6.0049999999999999</v>
      </c>
      <c r="I16" s="41">
        <v>0.252</v>
      </c>
      <c r="J16" s="41">
        <v>0.377</v>
      </c>
      <c r="K16" s="41">
        <v>0.38300000000000001</v>
      </c>
      <c r="L16" s="41">
        <v>0.94399999999999995</v>
      </c>
      <c r="M16" s="41">
        <v>1.5529999999999999</v>
      </c>
      <c r="N16" s="42">
        <v>0.28100000000000003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spans="2:27" x14ac:dyDescent="0.25">
      <c r="B17" s="20" t="s">
        <v>17</v>
      </c>
      <c r="C17" s="34">
        <v>10.715999999999999</v>
      </c>
      <c r="D17" s="34">
        <v>11.849</v>
      </c>
      <c r="E17" s="34">
        <v>12.095000000000001</v>
      </c>
      <c r="F17" s="34">
        <v>11.632</v>
      </c>
      <c r="G17" s="34">
        <v>4.2270000000000003</v>
      </c>
      <c r="H17" s="35">
        <v>8.5169999999999995</v>
      </c>
      <c r="I17" s="41">
        <v>0.25600000000000001</v>
      </c>
      <c r="J17" s="41">
        <v>0.317</v>
      </c>
      <c r="K17" s="41">
        <v>0.33100000000000002</v>
      </c>
      <c r="L17" s="41">
        <v>0.93799999999999994</v>
      </c>
      <c r="M17" s="41">
        <v>1.1259999999999999</v>
      </c>
      <c r="N17" s="42">
        <v>0.47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spans="2:27" x14ac:dyDescent="0.25">
      <c r="B18" s="20" t="s">
        <v>18</v>
      </c>
      <c r="C18" s="34">
        <v>9.1560000000000006</v>
      </c>
      <c r="D18" s="34">
        <v>5.6059999999999999</v>
      </c>
      <c r="E18" s="34">
        <v>5.7530000000000001</v>
      </c>
      <c r="F18" s="34">
        <v>4.2809999999999997</v>
      </c>
      <c r="G18" s="34">
        <v>1.06</v>
      </c>
      <c r="H18" s="35">
        <v>16.045000000000002</v>
      </c>
      <c r="I18" s="41">
        <v>0.317</v>
      </c>
      <c r="J18" s="41">
        <v>0.27</v>
      </c>
      <c r="K18" s="41">
        <v>0.27800000000000002</v>
      </c>
      <c r="L18" s="41">
        <v>0.63100000000000001</v>
      </c>
      <c r="M18" s="41">
        <v>0.51300000000000001</v>
      </c>
      <c r="N18" s="42">
        <v>0.73099999999999998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spans="2:27" x14ac:dyDescent="0.25">
      <c r="B19" s="11"/>
      <c r="C19" s="62"/>
      <c r="D19" s="36"/>
      <c r="E19" s="36"/>
      <c r="F19" s="36"/>
      <c r="G19" s="36"/>
      <c r="H19" s="37"/>
      <c r="I19" s="21"/>
      <c r="J19" s="21"/>
      <c r="K19" s="21"/>
      <c r="L19" s="4"/>
      <c r="M19" s="21"/>
      <c r="N19" s="5"/>
    </row>
    <row r="20" spans="2:27" x14ac:dyDescent="0.25">
      <c r="B20" s="7" t="s">
        <v>19</v>
      </c>
      <c r="C20" s="43">
        <v>39506.934999999998</v>
      </c>
      <c r="D20" s="43">
        <v>30043.445</v>
      </c>
      <c r="E20" s="43">
        <v>29229.57</v>
      </c>
      <c r="F20" s="44">
        <v>3912.451</v>
      </c>
      <c r="G20" s="43">
        <v>813.875</v>
      </c>
      <c r="H20" s="45">
        <v>9463.49</v>
      </c>
      <c r="I20" s="8">
        <v>847.04100000000005</v>
      </c>
      <c r="J20" s="8">
        <v>629.15099999999995</v>
      </c>
      <c r="K20" s="8">
        <v>611.13599999999997</v>
      </c>
      <c r="L20" s="12">
        <v>278.95800000000003</v>
      </c>
      <c r="M20" s="8">
        <v>68.307000000000002</v>
      </c>
      <c r="N20" s="13">
        <v>352.97199999999998</v>
      </c>
    </row>
    <row r="21" spans="2:27" x14ac:dyDescent="0.25">
      <c r="B21" s="22" t="s">
        <v>11</v>
      </c>
      <c r="C21" s="62"/>
      <c r="D21" s="36"/>
      <c r="E21" s="36"/>
      <c r="F21" s="36"/>
      <c r="G21" s="36"/>
      <c r="H21" s="37"/>
      <c r="I21" s="12"/>
      <c r="J21" s="12"/>
      <c r="K21" s="12"/>
      <c r="L21" s="4"/>
      <c r="M21" s="12"/>
      <c r="N21" s="5"/>
    </row>
    <row r="22" spans="2:27" x14ac:dyDescent="0.25">
      <c r="B22" s="23"/>
      <c r="C22" s="62"/>
      <c r="D22" s="36"/>
      <c r="E22" s="36"/>
      <c r="F22" s="36"/>
      <c r="G22" s="36"/>
      <c r="H22" s="37"/>
      <c r="I22" s="4"/>
      <c r="J22" s="4"/>
      <c r="K22" s="4"/>
      <c r="L22" s="4"/>
      <c r="M22" s="4"/>
      <c r="N22" s="5"/>
    </row>
    <row r="23" spans="2:27" s="19" customFormat="1" x14ac:dyDescent="0.25">
      <c r="B23" s="7" t="s">
        <v>12</v>
      </c>
      <c r="C23" s="32">
        <f>SUM(C24:C29)</f>
        <v>100</v>
      </c>
      <c r="D23" s="32">
        <f t="shared" ref="D23" si="1">SUM(D24:D29)</f>
        <v>100.00099999999999</v>
      </c>
      <c r="E23" s="32">
        <f t="shared" ref="E23" si="2">SUM(E24:E29)</f>
        <v>100</v>
      </c>
      <c r="F23" s="32">
        <f t="shared" ref="F23" si="3">SUM(F24:F29)</f>
        <v>99.998999999999995</v>
      </c>
      <c r="G23" s="32">
        <f t="shared" ref="G23" si="4">SUM(G24:G29)</f>
        <v>99.999999999999986</v>
      </c>
      <c r="H23" s="33">
        <f t="shared" ref="H23" si="5">SUM(H24:H29)</f>
        <v>100</v>
      </c>
      <c r="I23" s="16"/>
      <c r="J23" s="16"/>
      <c r="K23" s="16"/>
      <c r="L23" s="17"/>
      <c r="M23" s="16"/>
      <c r="N23" s="18"/>
    </row>
    <row r="24" spans="2:27" x14ac:dyDescent="0.25">
      <c r="B24" s="20" t="s">
        <v>13</v>
      </c>
      <c r="C24" s="34">
        <v>26.140999999999998</v>
      </c>
      <c r="D24" s="34">
        <v>13.675000000000001</v>
      </c>
      <c r="E24" s="34">
        <v>13.053000000000001</v>
      </c>
      <c r="F24" s="34">
        <v>14.321</v>
      </c>
      <c r="G24" s="34">
        <v>36.020000000000003</v>
      </c>
      <c r="H24" s="35">
        <v>65.715999999999994</v>
      </c>
      <c r="I24" s="41">
        <v>0.501</v>
      </c>
      <c r="J24" s="41">
        <v>0.435</v>
      </c>
      <c r="K24" s="41">
        <v>0.44</v>
      </c>
      <c r="L24" s="41">
        <v>1.0680000000000001</v>
      </c>
      <c r="M24" s="41">
        <v>3.464</v>
      </c>
      <c r="N24" s="42">
        <v>1.538</v>
      </c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spans="2:27" x14ac:dyDescent="0.25">
      <c r="B25" s="20" t="s">
        <v>14</v>
      </c>
      <c r="C25" s="34">
        <v>23.265000000000001</v>
      </c>
      <c r="D25" s="34">
        <v>28.914999999999999</v>
      </c>
      <c r="E25" s="34">
        <v>28.8</v>
      </c>
      <c r="F25" s="34">
        <v>29.481999999999999</v>
      </c>
      <c r="G25" s="34">
        <v>33.033000000000001</v>
      </c>
      <c r="H25" s="35">
        <v>5.3289999999999997</v>
      </c>
      <c r="I25" s="41">
        <v>0.51400000000000001</v>
      </c>
      <c r="J25" s="41">
        <v>0.59599999999999997</v>
      </c>
      <c r="K25" s="41">
        <v>0.59399999999999997</v>
      </c>
      <c r="L25" s="41">
        <v>1.6930000000000001</v>
      </c>
      <c r="M25" s="41">
        <v>3.2690000000000001</v>
      </c>
      <c r="N25" s="42">
        <v>0.627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spans="2:27" x14ac:dyDescent="0.25">
      <c r="B26" s="20" t="s">
        <v>15</v>
      </c>
      <c r="C26" s="34">
        <v>17.936</v>
      </c>
      <c r="D26" s="34">
        <v>22.814</v>
      </c>
      <c r="E26" s="34">
        <v>23.021000000000001</v>
      </c>
      <c r="F26" s="34">
        <v>22.632999999999999</v>
      </c>
      <c r="G26" s="34">
        <v>15.382999999999999</v>
      </c>
      <c r="H26" s="35">
        <v>2.4500000000000002</v>
      </c>
      <c r="I26" s="41">
        <v>0.48699999999999999</v>
      </c>
      <c r="J26" s="41">
        <v>0.59299999999999997</v>
      </c>
      <c r="K26" s="41">
        <v>0.59499999999999997</v>
      </c>
      <c r="L26" s="41">
        <v>1.6060000000000001</v>
      </c>
      <c r="M26" s="41">
        <v>2.1</v>
      </c>
      <c r="N26" s="42">
        <v>0.38800000000000001</v>
      </c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spans="2:27" x14ac:dyDescent="0.25">
      <c r="B27" s="20" t="s">
        <v>16</v>
      </c>
      <c r="C27" s="34">
        <v>14.282</v>
      </c>
      <c r="D27" s="34">
        <v>18</v>
      </c>
      <c r="E27" s="34">
        <v>18.254000000000001</v>
      </c>
      <c r="F27" s="34">
        <v>19.044</v>
      </c>
      <c r="G27" s="34">
        <v>8.86</v>
      </c>
      <c r="H27" s="35">
        <v>2.48</v>
      </c>
      <c r="I27" s="41">
        <v>0.33100000000000002</v>
      </c>
      <c r="J27" s="41">
        <v>0.438</v>
      </c>
      <c r="K27" s="41">
        <v>0.45100000000000001</v>
      </c>
      <c r="L27" s="41">
        <v>1.1519999999999999</v>
      </c>
      <c r="M27" s="41">
        <v>1.877</v>
      </c>
      <c r="N27" s="42">
        <v>0.35099999999999998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spans="2:27" x14ac:dyDescent="0.25">
      <c r="B28" s="20" t="s">
        <v>17</v>
      </c>
      <c r="C28" s="34">
        <v>10.441000000000001</v>
      </c>
      <c r="D28" s="34">
        <v>11.332000000000001</v>
      </c>
      <c r="E28" s="34">
        <v>11.502000000000001</v>
      </c>
      <c r="F28" s="34">
        <v>10.781000000000001</v>
      </c>
      <c r="G28" s="34">
        <v>5.2140000000000004</v>
      </c>
      <c r="H28" s="35">
        <v>7.6130000000000004</v>
      </c>
      <c r="I28" s="41">
        <v>0.33300000000000002</v>
      </c>
      <c r="J28" s="41">
        <v>0.377</v>
      </c>
      <c r="K28" s="41">
        <v>0.39200000000000002</v>
      </c>
      <c r="L28" s="41">
        <v>0.92500000000000004</v>
      </c>
      <c r="M28" s="41">
        <v>1.978</v>
      </c>
      <c r="N28" s="42">
        <v>0.90300000000000002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spans="2:27" x14ac:dyDescent="0.25">
      <c r="B29" s="20" t="s">
        <v>18</v>
      </c>
      <c r="C29" s="34">
        <v>7.9349999999999996</v>
      </c>
      <c r="D29" s="34">
        <v>5.2649999999999997</v>
      </c>
      <c r="E29" s="34">
        <v>5.37</v>
      </c>
      <c r="F29" s="34">
        <v>3.738</v>
      </c>
      <c r="G29" s="34">
        <v>1.49</v>
      </c>
      <c r="H29" s="35">
        <v>16.411999999999999</v>
      </c>
      <c r="I29" s="41">
        <v>0.442</v>
      </c>
      <c r="J29" s="41">
        <v>0.32700000000000001</v>
      </c>
      <c r="K29" s="41">
        <v>0.33500000000000002</v>
      </c>
      <c r="L29" s="41">
        <v>0.65</v>
      </c>
      <c r="M29" s="41">
        <v>0.91300000000000003</v>
      </c>
      <c r="N29" s="42">
        <v>1.4359999999999999</v>
      </c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2:27" x14ac:dyDescent="0.25">
      <c r="B30" s="23"/>
      <c r="C30" s="62"/>
      <c r="D30" s="36"/>
      <c r="E30" s="36"/>
      <c r="F30" s="36"/>
      <c r="G30" s="36"/>
      <c r="H30" s="37"/>
      <c r="I30" s="21"/>
      <c r="J30" s="21"/>
      <c r="K30" s="21"/>
      <c r="L30" s="4"/>
      <c r="M30" s="21"/>
      <c r="N30" s="5"/>
    </row>
    <row r="31" spans="2:27" x14ac:dyDescent="0.25">
      <c r="B31" s="7" t="s">
        <v>20</v>
      </c>
      <c r="C31" s="43">
        <v>39131.612999999998</v>
      </c>
      <c r="D31" s="43">
        <v>21854.51</v>
      </c>
      <c r="E31" s="43">
        <v>21048.512999999999</v>
      </c>
      <c r="F31" s="44">
        <v>2170.42</v>
      </c>
      <c r="G31" s="43">
        <v>805.99699999999996</v>
      </c>
      <c r="H31" s="45">
        <v>17277.103999999999</v>
      </c>
      <c r="I31" s="8">
        <v>805.84400000000005</v>
      </c>
      <c r="J31" s="8">
        <v>509.23</v>
      </c>
      <c r="K31" s="8">
        <v>498.38600000000002</v>
      </c>
      <c r="L31" s="12">
        <v>199.13900000000001</v>
      </c>
      <c r="M31" s="8">
        <v>70.447999999999993</v>
      </c>
      <c r="N31" s="13">
        <v>436.01299999999998</v>
      </c>
    </row>
    <row r="32" spans="2:27" x14ac:dyDescent="0.25">
      <c r="B32" s="22" t="s">
        <v>11</v>
      </c>
      <c r="C32" s="62"/>
      <c r="D32" s="36"/>
      <c r="E32" s="36"/>
      <c r="F32" s="36"/>
      <c r="G32" s="36"/>
      <c r="H32" s="37"/>
      <c r="I32" s="12"/>
      <c r="J32" s="12"/>
      <c r="K32" s="12"/>
      <c r="L32" s="4"/>
      <c r="M32" s="12"/>
      <c r="N32" s="5"/>
    </row>
    <row r="33" spans="2:27" x14ac:dyDescent="0.25">
      <c r="B33" s="7"/>
      <c r="C33" s="62"/>
      <c r="D33" s="36"/>
      <c r="E33" s="36"/>
      <c r="F33" s="36"/>
      <c r="G33" s="36"/>
      <c r="H33" s="37"/>
      <c r="I33" s="4"/>
      <c r="J33" s="4"/>
      <c r="K33" s="4"/>
      <c r="L33" s="4"/>
      <c r="M33" s="4"/>
      <c r="N33" s="5"/>
    </row>
    <row r="34" spans="2:27" s="19" customFormat="1" x14ac:dyDescent="0.25">
      <c r="B34" s="7" t="s">
        <v>12</v>
      </c>
      <c r="C34" s="32">
        <f>SUM(C35:C40)</f>
        <v>99.998999999999995</v>
      </c>
      <c r="D34" s="32">
        <f t="shared" ref="D34" si="6">SUM(D35:D40)</f>
        <v>100</v>
      </c>
      <c r="E34" s="32">
        <f t="shared" ref="E34" si="7">SUM(E35:E40)</f>
        <v>100</v>
      </c>
      <c r="F34" s="32">
        <f t="shared" ref="F34" si="8">SUM(F35:F40)</f>
        <v>100.001</v>
      </c>
      <c r="G34" s="32">
        <f t="shared" ref="G34" si="9">SUM(G35:G40)</f>
        <v>99.999999999999986</v>
      </c>
      <c r="H34" s="33">
        <f t="shared" ref="H34" si="10">SUM(H35:H40)</f>
        <v>100.00000000000001</v>
      </c>
      <c r="I34" s="16"/>
      <c r="J34" s="16"/>
      <c r="K34" s="16"/>
      <c r="L34" s="17"/>
      <c r="M34" s="16"/>
      <c r="N34" s="18"/>
    </row>
    <row r="35" spans="2:27" x14ac:dyDescent="0.25">
      <c r="B35" s="20" t="s">
        <v>13</v>
      </c>
      <c r="C35" s="34">
        <v>25.085999999999999</v>
      </c>
      <c r="D35" s="34">
        <v>12.271000000000001</v>
      </c>
      <c r="E35" s="34">
        <v>11.368</v>
      </c>
      <c r="F35" s="34">
        <v>11.15</v>
      </c>
      <c r="G35" s="34">
        <v>35.853999999999999</v>
      </c>
      <c r="H35" s="35">
        <v>41.296999999999997</v>
      </c>
      <c r="I35" s="41">
        <v>0.51800000000000002</v>
      </c>
      <c r="J35" s="41">
        <v>0.52800000000000002</v>
      </c>
      <c r="K35" s="41">
        <v>0.52100000000000002</v>
      </c>
      <c r="L35" s="41">
        <v>1.4319999999999999</v>
      </c>
      <c r="M35" s="41">
        <v>2.7029999999999998</v>
      </c>
      <c r="N35" s="42">
        <v>0.90700000000000003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spans="2:27" x14ac:dyDescent="0.25">
      <c r="B36" s="20" t="s">
        <v>14</v>
      </c>
      <c r="C36" s="34">
        <v>21.989000000000001</v>
      </c>
      <c r="D36" s="34">
        <v>26.942</v>
      </c>
      <c r="E36" s="34">
        <v>26.544</v>
      </c>
      <c r="F36" s="34">
        <v>28.608000000000001</v>
      </c>
      <c r="G36" s="34">
        <v>37.335000000000001</v>
      </c>
      <c r="H36" s="35">
        <v>15.723000000000001</v>
      </c>
      <c r="I36" s="41">
        <v>0.46899999999999997</v>
      </c>
      <c r="J36" s="41">
        <v>0.69799999999999995</v>
      </c>
      <c r="K36" s="41">
        <v>0.70699999999999996</v>
      </c>
      <c r="L36" s="41">
        <v>2.407</v>
      </c>
      <c r="M36" s="41">
        <v>3.468</v>
      </c>
      <c r="N36" s="42">
        <v>0.72499999999999998</v>
      </c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spans="2:27" x14ac:dyDescent="0.25">
      <c r="B37" s="20" t="s">
        <v>15</v>
      </c>
      <c r="C37" s="34">
        <v>17.274999999999999</v>
      </c>
      <c r="D37" s="34">
        <v>22.879000000000001</v>
      </c>
      <c r="E37" s="34">
        <v>23.257000000000001</v>
      </c>
      <c r="F37" s="34">
        <v>21.204999999999998</v>
      </c>
      <c r="G37" s="34">
        <v>12.986000000000001</v>
      </c>
      <c r="H37" s="35">
        <v>10.188000000000001</v>
      </c>
      <c r="I37" s="41">
        <v>0.438</v>
      </c>
      <c r="J37" s="41">
        <v>0.69199999999999995</v>
      </c>
      <c r="K37" s="41">
        <v>0.72299999999999998</v>
      </c>
      <c r="L37" s="41">
        <v>1.968</v>
      </c>
      <c r="M37" s="41">
        <v>2.4569999999999999</v>
      </c>
      <c r="N37" s="42">
        <v>0.58599999999999997</v>
      </c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spans="2:27" x14ac:dyDescent="0.25">
      <c r="B38" s="20" t="s">
        <v>16</v>
      </c>
      <c r="C38" s="34">
        <v>14.266999999999999</v>
      </c>
      <c r="D38" s="34">
        <v>19.271999999999998</v>
      </c>
      <c r="E38" s="34">
        <v>19.628</v>
      </c>
      <c r="F38" s="34">
        <v>20.614999999999998</v>
      </c>
      <c r="G38" s="34">
        <v>9.9689999999999994</v>
      </c>
      <c r="H38" s="35">
        <v>7.9359999999999999</v>
      </c>
      <c r="I38" s="41">
        <v>0.34100000000000003</v>
      </c>
      <c r="J38" s="41">
        <v>0.54800000000000004</v>
      </c>
      <c r="K38" s="41">
        <v>0.55700000000000005</v>
      </c>
      <c r="L38" s="41">
        <v>1.851</v>
      </c>
      <c r="M38" s="41">
        <v>2.323</v>
      </c>
      <c r="N38" s="42">
        <v>0.40100000000000002</v>
      </c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spans="2:27" x14ac:dyDescent="0.25">
      <c r="B39" s="20" t="s">
        <v>17</v>
      </c>
      <c r="C39" s="34">
        <v>10.994</v>
      </c>
      <c r="D39" s="34">
        <v>12.56</v>
      </c>
      <c r="E39" s="34">
        <v>12.917999999999999</v>
      </c>
      <c r="F39" s="34">
        <v>13.164</v>
      </c>
      <c r="G39" s="34">
        <v>3.2309999999999999</v>
      </c>
      <c r="H39" s="35">
        <v>9.0129999999999999</v>
      </c>
      <c r="I39" s="41">
        <v>0.30299999999999999</v>
      </c>
      <c r="J39" s="41">
        <v>0.46700000000000003</v>
      </c>
      <c r="K39" s="41">
        <v>0.47799999999999998</v>
      </c>
      <c r="L39" s="41">
        <v>1.754</v>
      </c>
      <c r="M39" s="41">
        <v>0.79400000000000004</v>
      </c>
      <c r="N39" s="42">
        <v>0.48</v>
      </c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spans="2:27" x14ac:dyDescent="0.25">
      <c r="B40" s="20" t="s">
        <v>18</v>
      </c>
      <c r="C40" s="34">
        <v>10.388</v>
      </c>
      <c r="D40" s="34">
        <v>6.0759999999999996</v>
      </c>
      <c r="E40" s="34">
        <v>6.2850000000000001</v>
      </c>
      <c r="F40" s="34">
        <v>5.2590000000000003</v>
      </c>
      <c r="G40" s="34">
        <v>0.625</v>
      </c>
      <c r="H40" s="35">
        <v>15.843</v>
      </c>
      <c r="I40" s="41">
        <v>0.36199999999999999</v>
      </c>
      <c r="J40" s="41">
        <v>0.39100000000000001</v>
      </c>
      <c r="K40" s="41">
        <v>0.40400000000000003</v>
      </c>
      <c r="L40" s="41">
        <v>1.21</v>
      </c>
      <c r="M40" s="41">
        <v>0.20599999999999999</v>
      </c>
      <c r="N40" s="42">
        <v>0.74299999999999999</v>
      </c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spans="2:27" x14ac:dyDescent="0.25">
      <c r="B41" s="24"/>
      <c r="C41" s="38"/>
      <c r="D41" s="38"/>
      <c r="E41" s="38"/>
      <c r="F41" s="38"/>
      <c r="G41" s="38"/>
      <c r="H41" s="39"/>
      <c r="I41" s="26"/>
      <c r="J41" s="27"/>
      <c r="K41" s="27"/>
      <c r="L41" s="25"/>
      <c r="M41" s="27"/>
      <c r="N41" s="28"/>
    </row>
    <row r="42" spans="2:27" x14ac:dyDescent="0.25">
      <c r="B42" s="46" t="s">
        <v>21</v>
      </c>
      <c r="C42" s="2"/>
      <c r="D42" s="2"/>
      <c r="E42" s="2"/>
      <c r="F42" s="2"/>
      <c r="G42" s="2"/>
      <c r="H42" s="2"/>
      <c r="I42" s="21"/>
      <c r="L42" s="2"/>
    </row>
    <row r="43" spans="2:27" x14ac:dyDescent="0.25">
      <c r="B43" s="47"/>
      <c r="C43" s="2"/>
      <c r="D43" s="2"/>
      <c r="E43" s="2"/>
      <c r="F43" s="2"/>
      <c r="G43" s="2"/>
      <c r="H43" s="2"/>
      <c r="I43" s="21"/>
      <c r="L43" s="2"/>
    </row>
    <row r="44" spans="2:27" x14ac:dyDescent="0.25">
      <c r="B44" s="48" t="s">
        <v>22</v>
      </c>
      <c r="C44" s="4"/>
      <c r="D44" s="4"/>
      <c r="E44" s="4"/>
      <c r="F44" s="4"/>
      <c r="G44" s="4"/>
      <c r="H44" s="4"/>
      <c r="L44" s="4"/>
    </row>
    <row r="45" spans="2:27" x14ac:dyDescent="0.25">
      <c r="B45" s="49" t="s">
        <v>23</v>
      </c>
      <c r="C45" s="4"/>
      <c r="D45" s="4"/>
      <c r="E45" s="4"/>
      <c r="F45" s="4"/>
      <c r="G45" s="4"/>
      <c r="H45" s="4"/>
      <c r="L45" s="4"/>
    </row>
    <row r="46" spans="2:27" x14ac:dyDescent="0.25">
      <c r="B46" s="29"/>
      <c r="C46" s="29"/>
      <c r="D46" s="29"/>
      <c r="E46" s="29"/>
      <c r="F46" s="29"/>
      <c r="G46" s="29"/>
      <c r="H46" s="29"/>
      <c r="L46" s="29"/>
    </row>
    <row r="51" spans="4:4" x14ac:dyDescent="0.25">
      <c r="D51" s="31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2025-10-21T11:04:50Z</dcterms:created>
  <dcterms:modified xsi:type="dcterms:W3CDTF">2025-12-15T08:52:19Z</dcterms:modified>
</cp:coreProperties>
</file>