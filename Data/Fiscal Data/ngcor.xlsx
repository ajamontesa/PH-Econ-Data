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Fiscal Data\"/>
    </mc:Choice>
  </mc:AlternateContent>
  <xr:revisionPtr revIDLastSave="0" documentId="13_ncr:1_{FDED97CA-6160-40B9-B387-77626AF2DEC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ngcor" sheetId="1" r:id="rId1"/>
    <sheet name="Annual" sheetId="2" r:id="rId2"/>
    <sheet name="annual_psy" sheetId="4" r:id="rId3"/>
    <sheet name="annual_cbp" sheetId="5" r:id="rId4"/>
    <sheet name="metadat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8" i="2" l="1"/>
  <c r="I7" i="5"/>
  <c r="I8" i="5" s="1"/>
  <c r="I6" i="5"/>
  <c r="I5" i="5"/>
  <c r="I2" i="5"/>
  <c r="I4" i="5"/>
  <c r="I3" i="5"/>
  <c r="V8" i="5"/>
  <c r="W7" i="5"/>
  <c r="W8" i="5" s="1"/>
  <c r="V7" i="5"/>
  <c r="T8" i="5"/>
  <c r="U7" i="5"/>
  <c r="U8" i="5" s="1"/>
  <c r="T7" i="5"/>
  <c r="S8" i="5"/>
  <c r="S7" i="5"/>
  <c r="R7" i="5"/>
  <c r="R8" i="5" s="1"/>
  <c r="Q7" i="5"/>
  <c r="Q8" i="5" s="1"/>
  <c r="P7" i="5"/>
  <c r="P8" i="5" s="1"/>
  <c r="O7" i="5"/>
  <c r="O8" i="5" s="1"/>
  <c r="N7" i="5"/>
  <c r="N8" i="5" s="1"/>
  <c r="M7" i="5"/>
  <c r="M8" i="5" s="1"/>
  <c r="L8" i="5"/>
  <c r="L7" i="5"/>
  <c r="L2" i="5"/>
  <c r="L5" i="5"/>
  <c r="K8" i="5"/>
  <c r="J8" i="5"/>
  <c r="J6" i="5"/>
  <c r="J7" i="5"/>
  <c r="K7" i="5"/>
  <c r="J5" i="5"/>
  <c r="J2" i="5"/>
  <c r="H8" i="5"/>
  <c r="E8" i="5"/>
  <c r="B8" i="5"/>
  <c r="H7" i="5"/>
  <c r="G7" i="5"/>
  <c r="G8" i="5" s="1"/>
  <c r="F7" i="5"/>
  <c r="F8" i="5" s="1"/>
  <c r="E7" i="5"/>
  <c r="D7" i="5"/>
  <c r="D8" i="5" s="1"/>
  <c r="C7" i="5"/>
  <c r="C8" i="5" s="1"/>
  <c r="B7" i="5"/>
  <c r="Q8" i="4"/>
  <c r="R8" i="4"/>
  <c r="C4" i="4"/>
  <c r="D4" i="4"/>
  <c r="P7" i="4"/>
  <c r="P8" i="4" s="1"/>
  <c r="Q7" i="4"/>
  <c r="R7" i="4"/>
  <c r="S7" i="4"/>
  <c r="S8" i="4" s="1"/>
  <c r="T7" i="4"/>
  <c r="T8" i="4" s="1"/>
  <c r="U7" i="4"/>
  <c r="U8" i="4" s="1"/>
  <c r="V7" i="4"/>
  <c r="V8" i="4" s="1"/>
  <c r="W7" i="4"/>
  <c r="W8" i="4" s="1"/>
  <c r="O7" i="4"/>
  <c r="O8" i="4" s="1"/>
  <c r="N7" i="4"/>
  <c r="N8" i="4" s="1"/>
  <c r="M7" i="4"/>
  <c r="M8" i="4" s="1"/>
  <c r="L7" i="4"/>
  <c r="L8" i="4" s="1"/>
  <c r="C7" i="4"/>
  <c r="D7" i="4"/>
  <c r="E7" i="4"/>
  <c r="F7" i="4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O8" i="2"/>
</calcChain>
</file>

<file path=xl/sharedStrings.xml><?xml version="1.0" encoding="utf-8"?>
<sst xmlns="http://schemas.openxmlformats.org/spreadsheetml/2006/main" count="594" uniqueCount="552">
  <si>
    <t>Particulars</t>
  </si>
  <si>
    <t>January 1986</t>
  </si>
  <si>
    <t>February 1986</t>
  </si>
  <si>
    <t>March 1986</t>
  </si>
  <si>
    <t>April 1986</t>
  </si>
  <si>
    <t>May 1986</t>
  </si>
  <si>
    <t>June 1986</t>
  </si>
  <si>
    <t>July 1986</t>
  </si>
  <si>
    <t>August 1986</t>
  </si>
  <si>
    <t>September 1986</t>
  </si>
  <si>
    <t>October 1986</t>
  </si>
  <si>
    <t>November 1986</t>
  </si>
  <si>
    <t>December 1986</t>
  </si>
  <si>
    <t>January 1987</t>
  </si>
  <si>
    <t>February 1987</t>
  </si>
  <si>
    <t>March 1987</t>
  </si>
  <si>
    <t>April 1987</t>
  </si>
  <si>
    <t>May 1987</t>
  </si>
  <si>
    <t>June 1987</t>
  </si>
  <si>
    <t>July 1987</t>
  </si>
  <si>
    <t>August 1987</t>
  </si>
  <si>
    <t>September 1987</t>
  </si>
  <si>
    <t>October 1987</t>
  </si>
  <si>
    <t>November 1987</t>
  </si>
  <si>
    <t>December 1987</t>
  </si>
  <si>
    <t>January 1988</t>
  </si>
  <si>
    <t>February 1988</t>
  </si>
  <si>
    <t>March 1988</t>
  </si>
  <si>
    <t>April 1988</t>
  </si>
  <si>
    <t>May 1988</t>
  </si>
  <si>
    <t>June 1988</t>
  </si>
  <si>
    <t>July 1988</t>
  </si>
  <si>
    <t>August 1988</t>
  </si>
  <si>
    <t>September 1988</t>
  </si>
  <si>
    <t>October 1988</t>
  </si>
  <si>
    <t>November 1988</t>
  </si>
  <si>
    <t>December 1988</t>
  </si>
  <si>
    <t>January 1989</t>
  </si>
  <si>
    <t>February 1989</t>
  </si>
  <si>
    <t>March 1989</t>
  </si>
  <si>
    <t>April 1989</t>
  </si>
  <si>
    <t>May 1989</t>
  </si>
  <si>
    <t>June 1989</t>
  </si>
  <si>
    <t>July 1989</t>
  </si>
  <si>
    <t>August 1989</t>
  </si>
  <si>
    <t>September 1989</t>
  </si>
  <si>
    <t>October 1989</t>
  </si>
  <si>
    <t>November 1989</t>
  </si>
  <si>
    <t>December 1989</t>
  </si>
  <si>
    <t>January 1990</t>
  </si>
  <si>
    <t>February 1990</t>
  </si>
  <si>
    <t>March 1990</t>
  </si>
  <si>
    <t>April 1990</t>
  </si>
  <si>
    <t>May 1990</t>
  </si>
  <si>
    <t>June 1990</t>
  </si>
  <si>
    <t>July 1990</t>
  </si>
  <si>
    <t>August 1990</t>
  </si>
  <si>
    <t>September 1990</t>
  </si>
  <si>
    <t>October 1990</t>
  </si>
  <si>
    <t>November 1990</t>
  </si>
  <si>
    <t>December 1990</t>
  </si>
  <si>
    <t>January 1991</t>
  </si>
  <si>
    <t>February 1991</t>
  </si>
  <si>
    <t>March 1991</t>
  </si>
  <si>
    <t>April 1991</t>
  </si>
  <si>
    <t>May 1991</t>
  </si>
  <si>
    <t>June 1991</t>
  </si>
  <si>
    <t>July 1991</t>
  </si>
  <si>
    <t>August 1991</t>
  </si>
  <si>
    <t>September 1991</t>
  </si>
  <si>
    <t>October 1991</t>
  </si>
  <si>
    <t>November 1991</t>
  </si>
  <si>
    <t>December 1991</t>
  </si>
  <si>
    <t>January 1992</t>
  </si>
  <si>
    <t>February 1992</t>
  </si>
  <si>
    <t>March 1992</t>
  </si>
  <si>
    <t>April 1992</t>
  </si>
  <si>
    <t>May 1992</t>
  </si>
  <si>
    <t>June 1992</t>
  </si>
  <si>
    <t>July 1992</t>
  </si>
  <si>
    <t>August 1992</t>
  </si>
  <si>
    <t>September 1992</t>
  </si>
  <si>
    <t>October 1992</t>
  </si>
  <si>
    <t>November 1992</t>
  </si>
  <si>
    <t>December 1992</t>
  </si>
  <si>
    <t>January 1993</t>
  </si>
  <si>
    <t>February 1993</t>
  </si>
  <si>
    <t>March 1993</t>
  </si>
  <si>
    <t>April 1993</t>
  </si>
  <si>
    <t>May 1993</t>
  </si>
  <si>
    <t>June 1993</t>
  </si>
  <si>
    <t>July 1993</t>
  </si>
  <si>
    <t>August 1993</t>
  </si>
  <si>
    <t>September 1993</t>
  </si>
  <si>
    <t>October 1993</t>
  </si>
  <si>
    <t>November 1993</t>
  </si>
  <si>
    <t>December 1993</t>
  </si>
  <si>
    <t>January 1994</t>
  </si>
  <si>
    <t>February 1994</t>
  </si>
  <si>
    <t>March 1994</t>
  </si>
  <si>
    <t>April 1994</t>
  </si>
  <si>
    <t>May 1994</t>
  </si>
  <si>
    <t>June 1994</t>
  </si>
  <si>
    <t>July 1994</t>
  </si>
  <si>
    <t>August 1994</t>
  </si>
  <si>
    <t>September 1994</t>
  </si>
  <si>
    <t>October 1994</t>
  </si>
  <si>
    <t>November 1994</t>
  </si>
  <si>
    <t>December 1994</t>
  </si>
  <si>
    <t>January 1995</t>
  </si>
  <si>
    <t>February 1995</t>
  </si>
  <si>
    <t>March 1995</t>
  </si>
  <si>
    <t>April 1995</t>
  </si>
  <si>
    <t>May 1995</t>
  </si>
  <si>
    <t>June 1995</t>
  </si>
  <si>
    <t>July 1995</t>
  </si>
  <si>
    <t>August 1995</t>
  </si>
  <si>
    <t>September 1995</t>
  </si>
  <si>
    <t>October 1995</t>
  </si>
  <si>
    <t>November 1995</t>
  </si>
  <si>
    <t>December 1995</t>
  </si>
  <si>
    <t>January 1996</t>
  </si>
  <si>
    <t>February 1996</t>
  </si>
  <si>
    <t>March 1996</t>
  </si>
  <si>
    <t>April 1996</t>
  </si>
  <si>
    <t>May 1996</t>
  </si>
  <si>
    <t>June 1996</t>
  </si>
  <si>
    <t>July 1996</t>
  </si>
  <si>
    <t>August 1996</t>
  </si>
  <si>
    <t>September 1996</t>
  </si>
  <si>
    <t>October 1996</t>
  </si>
  <si>
    <t>November 1996</t>
  </si>
  <si>
    <t>December 1996</t>
  </si>
  <si>
    <t>January 1997</t>
  </si>
  <si>
    <t>February 1997</t>
  </si>
  <si>
    <t>March 1997</t>
  </si>
  <si>
    <t>April 1997</t>
  </si>
  <si>
    <t>May 1997</t>
  </si>
  <si>
    <t>June 1997</t>
  </si>
  <si>
    <t>July 1997</t>
  </si>
  <si>
    <t>August 1997</t>
  </si>
  <si>
    <t>September 1997</t>
  </si>
  <si>
    <t>October 1997</t>
  </si>
  <si>
    <t>November 1997</t>
  </si>
  <si>
    <t>December 1997</t>
  </si>
  <si>
    <t>January 1998</t>
  </si>
  <si>
    <t>February 1998</t>
  </si>
  <si>
    <t>March 1998</t>
  </si>
  <si>
    <t>April 1998</t>
  </si>
  <si>
    <t>May 1998</t>
  </si>
  <si>
    <t>June 1998</t>
  </si>
  <si>
    <t>July 1998</t>
  </si>
  <si>
    <t>August 1998</t>
  </si>
  <si>
    <t>September 1998</t>
  </si>
  <si>
    <t>October 1998</t>
  </si>
  <si>
    <t>November 1998</t>
  </si>
  <si>
    <t>December 1998</t>
  </si>
  <si>
    <t>January 1999</t>
  </si>
  <si>
    <t>February 1999</t>
  </si>
  <si>
    <t>March 1999</t>
  </si>
  <si>
    <t>April 1999</t>
  </si>
  <si>
    <t>May 1999</t>
  </si>
  <si>
    <t>June 1999</t>
  </si>
  <si>
    <t>July 1999</t>
  </si>
  <si>
    <t>August 1999</t>
  </si>
  <si>
    <t>September 1999</t>
  </si>
  <si>
    <t>October 1999</t>
  </si>
  <si>
    <t>November 1999</t>
  </si>
  <si>
    <t>December 1999</t>
  </si>
  <si>
    <t>January 2000</t>
  </si>
  <si>
    <t>February 2000</t>
  </si>
  <si>
    <t>March 2000</t>
  </si>
  <si>
    <t>April 2000</t>
  </si>
  <si>
    <t>May 2000</t>
  </si>
  <si>
    <t>June 2000</t>
  </si>
  <si>
    <t>July 2000</t>
  </si>
  <si>
    <t>August 2000</t>
  </si>
  <si>
    <t>September 2000</t>
  </si>
  <si>
    <t>October 2000</t>
  </si>
  <si>
    <t>November 2000</t>
  </si>
  <si>
    <t>December 2000</t>
  </si>
  <si>
    <t>January 2001</t>
  </si>
  <si>
    <t>February 2001</t>
  </si>
  <si>
    <t>March 2001</t>
  </si>
  <si>
    <t>April 2001</t>
  </si>
  <si>
    <t>May 2001</t>
  </si>
  <si>
    <t>June 2001</t>
  </si>
  <si>
    <t>July 2001</t>
  </si>
  <si>
    <t>August 2001</t>
  </si>
  <si>
    <t>September 2001</t>
  </si>
  <si>
    <t>October 2001</t>
  </si>
  <si>
    <t>November 2001</t>
  </si>
  <si>
    <t>December 2001</t>
  </si>
  <si>
    <t>January 2002</t>
  </si>
  <si>
    <t>February 2002</t>
  </si>
  <si>
    <t>March 2002</t>
  </si>
  <si>
    <t>April 2002</t>
  </si>
  <si>
    <t>May 2002</t>
  </si>
  <si>
    <t>June 2002</t>
  </si>
  <si>
    <t>July 2002</t>
  </si>
  <si>
    <t>August 2002</t>
  </si>
  <si>
    <t>September 2002</t>
  </si>
  <si>
    <t>October 2002</t>
  </si>
  <si>
    <t>November 2002</t>
  </si>
  <si>
    <t>December 2002</t>
  </si>
  <si>
    <t>January 2003</t>
  </si>
  <si>
    <t>February 2003</t>
  </si>
  <si>
    <t>March 2003</t>
  </si>
  <si>
    <t>April 2003</t>
  </si>
  <si>
    <t>May 2003</t>
  </si>
  <si>
    <t>June 2003</t>
  </si>
  <si>
    <t>July 2003</t>
  </si>
  <si>
    <t>August 2003</t>
  </si>
  <si>
    <t>September 2003</t>
  </si>
  <si>
    <t>October 2003</t>
  </si>
  <si>
    <t>November 2003</t>
  </si>
  <si>
    <t>December 2003</t>
  </si>
  <si>
    <t>January 2004</t>
  </si>
  <si>
    <t>February 2004</t>
  </si>
  <si>
    <t>March 2004</t>
  </si>
  <si>
    <t>April 2004</t>
  </si>
  <si>
    <t>May 2004</t>
  </si>
  <si>
    <t>June 2004</t>
  </si>
  <si>
    <t>July 2004</t>
  </si>
  <si>
    <t>August 2004</t>
  </si>
  <si>
    <t>September 2004</t>
  </si>
  <si>
    <t>October 2004</t>
  </si>
  <si>
    <t>November 2004</t>
  </si>
  <si>
    <t>December 2004</t>
  </si>
  <si>
    <t>January 2005</t>
  </si>
  <si>
    <t>February 2005</t>
  </si>
  <si>
    <t>March 2005</t>
  </si>
  <si>
    <t>April 2005</t>
  </si>
  <si>
    <t>May 2005</t>
  </si>
  <si>
    <t>June 2005</t>
  </si>
  <si>
    <t>July 2005</t>
  </si>
  <si>
    <t>August 2005</t>
  </si>
  <si>
    <t>September 2005</t>
  </si>
  <si>
    <t>October 2005</t>
  </si>
  <si>
    <t>November 2005</t>
  </si>
  <si>
    <t>December 2005</t>
  </si>
  <si>
    <t>January 2006</t>
  </si>
  <si>
    <t>February 2006</t>
  </si>
  <si>
    <t>March 2006</t>
  </si>
  <si>
    <t>April 2006</t>
  </si>
  <si>
    <t>May 2006</t>
  </si>
  <si>
    <t>June 2006</t>
  </si>
  <si>
    <t>July 2006</t>
  </si>
  <si>
    <t>August 2006</t>
  </si>
  <si>
    <t>September 2006</t>
  </si>
  <si>
    <t>October 2006</t>
  </si>
  <si>
    <t>November 2006</t>
  </si>
  <si>
    <t>December 2006</t>
  </si>
  <si>
    <t>January 2007</t>
  </si>
  <si>
    <t>February 2007</t>
  </si>
  <si>
    <t>March 2007</t>
  </si>
  <si>
    <t>April 2007</t>
  </si>
  <si>
    <t>May 2007</t>
  </si>
  <si>
    <t>June 2007</t>
  </si>
  <si>
    <t>July 2007</t>
  </si>
  <si>
    <t>August 2007</t>
  </si>
  <si>
    <t>September 2007</t>
  </si>
  <si>
    <t>October 2007</t>
  </si>
  <si>
    <t>November 2007</t>
  </si>
  <si>
    <t>December 2007</t>
  </si>
  <si>
    <t>January 2008</t>
  </si>
  <si>
    <t>February 2008</t>
  </si>
  <si>
    <t>March 2008</t>
  </si>
  <si>
    <t>April 2008</t>
  </si>
  <si>
    <t>May 2008</t>
  </si>
  <si>
    <t>June 2008</t>
  </si>
  <si>
    <t>July 2008</t>
  </si>
  <si>
    <t>August 2008</t>
  </si>
  <si>
    <t>September 2008</t>
  </si>
  <si>
    <t>October 2008</t>
  </si>
  <si>
    <t>November 2008</t>
  </si>
  <si>
    <t>December 2008</t>
  </si>
  <si>
    <t>January 2009</t>
  </si>
  <si>
    <t>February 2009</t>
  </si>
  <si>
    <t>March 2009</t>
  </si>
  <si>
    <t>April 2009</t>
  </si>
  <si>
    <t>May 2009</t>
  </si>
  <si>
    <t>June 2009</t>
  </si>
  <si>
    <t>July 2009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</si>
  <si>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</si>
  <si>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</si>
  <si>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</si>
  <si>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</si>
  <si>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</si>
  <si>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</si>
  <si>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</si>
  <si>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</si>
  <si>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</si>
  <si>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</si>
  <si>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</si>
  <si>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</si>
  <si>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</si>
  <si>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</si>
  <si>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</si>
  <si>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</si>
  <si>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</si>
  <si>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</si>
  <si>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</si>
  <si>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</si>
  <si>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</si>
  <si>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</si>
  <si>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</si>
  <si>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</si>
  <si>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</si>
  <si>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</si>
  <si>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</si>
  <si>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</si>
  <si>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</si>
  <si>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</si>
  <si>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</si>
  <si>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</si>
  <si>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</si>
  <si>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</si>
  <si>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</si>
  <si>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</si>
  <si>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</si>
  <si>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</si>
  <si>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</si>
  <si>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</si>
  <si>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</si>
  <si>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</si>
  <si>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</si>
  <si>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</si>
  <si>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</si>
  <si>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</si>
  <si>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</si>
  <si>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</si>
  <si>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</si>
  <si>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</si>
  <si>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</si>
  <si>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</si>
  <si>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</si>
  <si>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</si>
  <si>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</si>
  <si>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</si>
  <si>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</si>
  <si>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</si>
  <si>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</si>
  <si>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</si>
  <si>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</si>
  <si>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</si>
  <si>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</si>
  <si>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</si>
  <si>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</si>
  <si>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</si>
  <si>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</si>
  <si>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</si>
  <si>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</si>
  <si>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</si>
  <si>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</si>
  <si>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</si>
  <si>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</si>
  <si>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</si>
  <si>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</si>
  <si>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</si>
  <si>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</si>
  <si>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</si>
  <si>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</si>
  <si>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</si>
  <si>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</si>
  <si>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</si>
  <si>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</si>
  <si>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</si>
  <si>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</si>
  <si>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</si>
  <si>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</si>
  <si>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</si>
  <si>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</si>
  <si>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</si>
  <si>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</si>
  <si>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</si>
  <si>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</si>
  <si>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</si>
  <si>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</si>
  <si>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</si>
  <si>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</si>
  <si>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</si>
  <si>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</si>
  <si>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</si>
  <si>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</si>
  <si>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</si>
  <si>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</si>
  <si>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</si>
  <si>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</si>
  <si>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</si>
  <si>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</si>
  <si>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</si>
  <si>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</si>
  <si>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</si>
  <si>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</si>
  <si>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</si>
  <si>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</si>
  <si>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</si>
  <si>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</si>
  <si>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</si>
  <si>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</si>
  <si>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</si>
  <si>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</si>
  <si>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</si>
  <si>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</si>
  <si>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</si>
  <si>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</si>
  <si>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</si>
  <si>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</si>
  <si>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</si>
  <si>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</si>
  <si>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</si>
  <si>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</si>
  <si>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</si>
  <si>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</si>
  <si>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</si>
  <si>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</si>
  <si>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</si>
  <si>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</si>
  <si>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</si>
  <si>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</si>
  <si>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</si>
  <si>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</si>
  <si>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</si>
  <si>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</si>
  <si>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</si>
  <si>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</si>
  <si>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</si>
  <si>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</si>
  <si>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</si>
  <si>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</si>
  <si>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</si>
  <si>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</si>
  <si>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</si>
  <si>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</si>
  <si>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</si>
  <si>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</si>
  <si>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</si>
  <si>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</si>
  <si>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</si>
  <si>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</si>
  <si>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</si>
  <si>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</si>
  <si>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</si>
  <si>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</si>
  <si>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</si>
  <si>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</si>
  <si>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</si>
  <si>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</si>
  <si>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</si>
  <si>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</si>
  <si>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</si>
  <si>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</si>
  <si>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</si>
  <si>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</si>
  <si>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</si>
  <si>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</si>
  <si>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Revenues</t>
  </si>
  <si>
    <t>Tax Revenues</t>
  </si>
  <si>
    <t>BIR Revenues</t>
  </si>
  <si>
    <t>BOC Revenues</t>
  </si>
  <si>
    <t>Other Offices Revenues</t>
  </si>
  <si>
    <t>Non-tax Revenues</t>
  </si>
  <si>
    <t>Grants</t>
  </si>
  <si>
    <t>Expenditures</t>
  </si>
  <si>
    <t>Allotment to LGUs</t>
  </si>
  <si>
    <t>Interest Payments</t>
  </si>
  <si>
    <t>NG Disbursements / Others</t>
  </si>
  <si>
    <t>Surplus / (Deficit)</t>
  </si>
  <si>
    <t>Description</t>
  </si>
  <si>
    <t>National Government Cash Operations</t>
  </si>
  <si>
    <t>Source</t>
  </si>
  <si>
    <t>Bureau of Treasury</t>
  </si>
  <si>
    <t>URL</t>
  </si>
  <si>
    <t>https://www.treasury.gov.ph/?page_id=4221</t>
  </si>
  <si>
    <t>https://www.foi.gov.ph/requests/aglzfmVmb2ktcGhyHQsSB0NvbnRlbnQiEEJUci0wNTk2NDY1MjcwNTMM</t>
  </si>
  <si>
    <t>Units</t>
  </si>
  <si>
    <t>Million Pesos</t>
  </si>
  <si>
    <t>Latest Data</t>
  </si>
  <si>
    <t>Availability</t>
  </si>
  <si>
    <t xml:space="preserve">  Tax Revenues</t>
  </si>
  <si>
    <t xml:space="preserve">    BIR</t>
  </si>
  <si>
    <t xml:space="preserve">      Documentary Stamp</t>
  </si>
  <si>
    <t>2002-2021</t>
  </si>
  <si>
    <t xml:space="preserve">      Tax Expenditures</t>
  </si>
  <si>
    <t>2004-2021</t>
  </si>
  <si>
    <t xml:space="preserve">    BOC</t>
  </si>
  <si>
    <t>2001-2021</t>
  </si>
  <si>
    <t xml:space="preserve">    Other Offices</t>
  </si>
  <si>
    <t xml:space="preserve">  Non-tax Revenues</t>
  </si>
  <si>
    <t xml:space="preserve">    BTr Income</t>
  </si>
  <si>
    <t>1986-2021</t>
  </si>
  <si>
    <t xml:space="preserve">    Fees and Charges</t>
  </si>
  <si>
    <t xml:space="preserve">    Privatization / Sale of Assets</t>
  </si>
  <si>
    <t>1987-2021</t>
  </si>
  <si>
    <t xml:space="preserve">    Income from Malampaya</t>
  </si>
  <si>
    <t>2015-2021</t>
  </si>
  <si>
    <t xml:space="preserve">    Economic Support Fund</t>
  </si>
  <si>
    <t>1986-1993</t>
  </si>
  <si>
    <t xml:space="preserve">    CARP</t>
  </si>
  <si>
    <t>1998-2003</t>
  </si>
  <si>
    <t xml:space="preserve">  Grants</t>
  </si>
  <si>
    <t xml:space="preserve">    Allotment to LGUs</t>
  </si>
  <si>
    <t xml:space="preserve">    Interest Payments</t>
  </si>
  <si>
    <t xml:space="preserve">    Tax Expenditures</t>
  </si>
  <si>
    <t xml:space="preserve">    Subsidy</t>
  </si>
  <si>
    <t xml:space="preserve">    Equity</t>
  </si>
  <si>
    <t xml:space="preserve">    Net Lending</t>
  </si>
  <si>
    <t xml:space="preserve">    NG Disbursements / Others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</si>
  <si>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</si>
  <si>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</si>
  <si>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</si>
  <si>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</si>
  <si>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</si>
  <si>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</si>
  <si>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</si>
  <si>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</si>
  <si>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</si>
  <si>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</si>
  <si>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</si>
  <si>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</si>
  <si>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</si>
  <si>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</si>
  <si>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</si>
  <si>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</si>
  <si>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</si>
  <si>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</si>
  <si>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</si>
  <si>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</si>
  <si>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</si>
  <si>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</si>
  <si>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</si>
  <si>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</si>
  <si>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Primary Balance</t>
  </si>
  <si>
    <t>PSY1990</t>
  </si>
  <si>
    <t>PSY1987</t>
  </si>
  <si>
    <t>PSY1981,1980</t>
  </si>
  <si>
    <t>PSY1971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</si>
  <si>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</si>
  <si>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</si>
  <si>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</si>
  <si>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</si>
  <si>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</si>
  <si>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</si>
  <si>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</si>
  <si>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</si>
  <si>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</si>
  <si>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</si>
  <si>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</si>
  <si>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</si>
  <si>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1986-2025</t>
  </si>
  <si>
    <t>2000-2025 (Residual calculated for 1986-99)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</si>
</sst>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Protection="0"/>
    <xf numFmtId="0" fontId="7" fillId="0" borderId="0"/>
    <xf numFmtId="0" fontId="4" fillId="0" borderId="0"/>
  </cellStyleXfs>
  <cellXfs count="13">
    <xf numFmtId="0" fontId="0" fillId="0" borderId="0" xfId="0"/>
    <xf numFmtId="49" fontId="0" fillId="0" borderId="0" xfId="0" applyNumberFormat="1"/>
    <xf numFmtId="3" fontId="0" fillId="0" borderId="0" xfId="0" applyNumberFormat="1"/>
    <xf numFmtId="0" fontId="5" fillId="0" borderId="0" xfId="0" applyFont="1"/>
    <xf numFmtId="0" fontId="3" fillId="0" borderId="0" xfId="1"/>
    <xf numFmtId="0" fontId="6" fillId="0" borderId="0" xfId="0" applyFont="1"/>
    <xf numFmtId="0" fontId="5" fillId="2" borderId="0" xfId="0" applyFont="1" applyFill="1"/>
    <xf numFmtId="0" fontId="0" fillId="2" borderId="0" xfId="0" applyFill="1"/>
    <xf numFmtId="0" fontId="2" fillId="0" borderId="0" xfId="0" applyFont="1"/>
    <xf numFmtId="3" fontId="8" fillId="0" borderId="0" xfId="0" applyNumberFormat="1" applyFont="1"/>
    <xf numFmtId="0" fontId="1" fillId="0" borderId="0" xfId="0" applyFont="1"/>
    <xf numFmtId="3" fontId="9" fillId="0" borderId="0" xfId="0" applyNumberFormat="1" applyFont="1"/>
    <xf numFmtId="3" fontId="0" fillId="3" borderId="0" xfId="0" applyNumberFormat="1" applyFill="1"/>
  </cellXfs>
  <cellStyles count="4">
    <cellStyle name="Hyperlink" xfId="1" builtinId="8"/>
    <cellStyle name="Normal" xfId="0" builtinId="0"/>
    <cellStyle name="Normal 11" xfId="2" xr:uid="{00000000-0005-0000-0000-000002000000}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easury.gov.ph/?page_id=4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Y13"/>
  <sheetViews>
    <sheetView tabSelected="1" zoomScale="90" workbookViewId="0">
      <pane xSplit="1" ySplit="1" topLeftCell="RM5" activePane="bottomRight" state="frozen"/>
      <selection activeCell="QF14" sqref="QF14"/>
      <selection pane="topRight"/>
      <selection pane="bottomLeft"/>
      <selection pane="bottomRight" activeCell="RT7" sqref="RT7"/>
    </sheetView>
  </sheetViews>
  <sheetFormatPr defaultRowHeight="15" x14ac:dyDescent="0.25"/>
  <cols>
    <col min="1" max="1" width="18.28515625" customWidth="1"/>
  </cols>
  <sheetData>
    <row r="1" spans="1:49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509</v>
      </c>
      <c r="QQ1" s="1" t="s">
        <v>510</v>
      </c>
      <c r="QR1" s="1" t="s">
        <v>511</v>
      </c>
      <c r="QS1" s="1" t="s">
        <v>512</v>
      </c>
      <c r="QT1" s="1" t="s">
        <v>513</v>
      </c>
      <c r="QU1" s="1" t="s">
        <v>514</v>
      </c>
      <c r="QV1" s="1" t="s">
        <v>515</v>
      </c>
      <c r="QW1" s="1" t="s">
        <v>516</v>
      </c>
      <c r="QX1" s="1" t="s">
        <v>517</v>
      </c>
      <c r="QY1" s="1" t="s">
        <v>518</v>
      </c>
      <c r="QZ1" s="1" t="s">
        <v>519</v>
      </c>
      <c r="RA1" s="1" t="s">
        <v>520</v>
      </c>
      <c r="RB1" s="1" t="s">
        <v>521</v>
      </c>
      <c r="RC1" s="1" t="s">
        <v>522</v>
      </c>
      <c r="RD1" s="1" t="s">
        <v>523</v>
      </c>
      <c r="RE1" s="1" t="s">
        <v>524</v>
      </c>
      <c r="RF1" s="1" t="s">
        <v>525</v>
      </c>
      <c r="RG1" s="1" t="s">
        <v>526</v>
      </c>
      <c r="RH1" s="1" t="s">
        <v>527</v>
      </c>
      <c r="RI1" s="1" t="s">
        <v>528</v>
      </c>
      <c r="RJ1" s="1" t="s">
        <v>529</v>
      </c>
      <c r="RK1" s="1" t="s">
        <v>530</v>
      </c>
      <c r="RL1" s="1" t="s">
        <v>531</v>
      </c>
      <c r="RM1" s="1" t="s">
        <v>532</v>
      </c>
      <c r="RN1" s="1" t="s">
        <v>538</v>
      </c>
      <c r="RO1" s="1" t="s">
        <v>539</v>
      </c>
      <c r="RP1" s="1" t="s">
        <v>540</v>
      </c>
      <c r="RQ1" s="1" t="s">
        <v>541</v>
      </c>
      <c r="RR1" s="1" t="s">
        <v>542</v>
      </c>
      <c r="RS1" s="1" t="s">
        <v>543</v>
      </c>
      <c r="RT1" s="1" t="s">
        <v>544</v>
      </c>
      <c r="RU1" s="1" t="s">
        <v>545</v>
      </c>
      <c r="RV1" s="1" t="s">
        <v>546</v>
      </c>
      <c r="RW1" s="1" t="s">
        <v>547</v>
      </c>
      <c r="RX1" s="1" t="s">
        <v>548</v>
      </c>
      <c r="RY1" s="1" t="s">
        <v>549</v>
      </c>
    </row>
    <row r="2" spans="1:493" x14ac:dyDescent="0.25">
      <c r="A2" t="s">
        <v>457</v>
      </c>
      <c r="B2" s="2">
        <v>6540</v>
      </c>
      <c r="C2" s="2">
        <v>3565</v>
      </c>
      <c r="D2" s="2">
        <v>5575</v>
      </c>
      <c r="E2" s="2">
        <v>8725</v>
      </c>
      <c r="F2" s="2">
        <v>5265</v>
      </c>
      <c r="G2" s="2">
        <v>8915</v>
      </c>
      <c r="H2" s="2">
        <v>7375</v>
      </c>
      <c r="I2" s="2">
        <v>5268</v>
      </c>
      <c r="J2" s="2">
        <v>7376</v>
      </c>
      <c r="K2" s="2">
        <v>7687</v>
      </c>
      <c r="L2" s="2">
        <v>5610</v>
      </c>
      <c r="M2" s="2">
        <v>7344</v>
      </c>
      <c r="N2" s="2">
        <v>8097</v>
      </c>
      <c r="O2" s="2">
        <v>5521</v>
      </c>
      <c r="P2" s="2">
        <v>7582</v>
      </c>
      <c r="Q2" s="2">
        <v>10930</v>
      </c>
      <c r="R2" s="2">
        <v>6282</v>
      </c>
      <c r="S2" s="2">
        <v>9978</v>
      </c>
      <c r="T2" s="2">
        <v>9747</v>
      </c>
      <c r="U2" s="2">
        <v>7751</v>
      </c>
      <c r="V2" s="2">
        <v>7807</v>
      </c>
      <c r="W2" s="2">
        <v>11475</v>
      </c>
      <c r="X2" s="2">
        <v>6649</v>
      </c>
      <c r="Y2" s="2">
        <v>11395</v>
      </c>
      <c r="Z2" s="2">
        <v>9208</v>
      </c>
      <c r="AA2" s="2">
        <v>7496</v>
      </c>
      <c r="AB2" s="2">
        <v>7265</v>
      </c>
      <c r="AC2" s="2">
        <v>12668</v>
      </c>
      <c r="AD2" s="2">
        <v>9373</v>
      </c>
      <c r="AE2" s="2">
        <v>8323</v>
      </c>
      <c r="AF2" s="2">
        <v>10011</v>
      </c>
      <c r="AG2" s="2">
        <v>9184</v>
      </c>
      <c r="AH2" s="2">
        <v>8153</v>
      </c>
      <c r="AI2" s="2">
        <v>10007</v>
      </c>
      <c r="AJ2" s="2">
        <v>10736</v>
      </c>
      <c r="AK2" s="2">
        <v>10437</v>
      </c>
      <c r="AL2" s="2">
        <v>11036</v>
      </c>
      <c r="AM2" s="2">
        <v>8225</v>
      </c>
      <c r="AN2" s="2">
        <v>8845</v>
      </c>
      <c r="AO2" s="2">
        <v>16873</v>
      </c>
      <c r="AP2" s="2">
        <v>11428</v>
      </c>
      <c r="AQ2" s="2">
        <v>10831</v>
      </c>
      <c r="AR2" s="2">
        <v>15033</v>
      </c>
      <c r="AS2" s="2">
        <v>14987</v>
      </c>
      <c r="AT2" s="2">
        <v>13076</v>
      </c>
      <c r="AU2" s="2">
        <v>15666</v>
      </c>
      <c r="AV2" s="2">
        <v>12200</v>
      </c>
      <c r="AW2" s="2">
        <v>14210</v>
      </c>
      <c r="AX2" s="2">
        <v>16002</v>
      </c>
      <c r="AY2" s="2">
        <v>10598</v>
      </c>
      <c r="AZ2" s="2">
        <v>12962</v>
      </c>
      <c r="BA2" s="2">
        <v>19416</v>
      </c>
      <c r="BB2" s="2">
        <v>14317</v>
      </c>
      <c r="BC2" s="2">
        <v>12601</v>
      </c>
      <c r="BD2" s="2">
        <v>16650</v>
      </c>
      <c r="BE2" s="2">
        <v>14383</v>
      </c>
      <c r="BF2" s="2">
        <v>13181</v>
      </c>
      <c r="BG2" s="2">
        <v>19650</v>
      </c>
      <c r="BH2" s="2">
        <v>14605</v>
      </c>
      <c r="BI2" s="2">
        <v>16537</v>
      </c>
      <c r="BJ2" s="2">
        <v>23105</v>
      </c>
      <c r="BK2" s="2">
        <v>12947</v>
      </c>
      <c r="BL2" s="2">
        <v>12394</v>
      </c>
      <c r="BM2" s="2">
        <v>26293</v>
      </c>
      <c r="BN2" s="2">
        <v>16943</v>
      </c>
      <c r="BO2" s="2">
        <v>12599</v>
      </c>
      <c r="BP2" s="2">
        <v>23537</v>
      </c>
      <c r="BQ2" s="2">
        <v>16140</v>
      </c>
      <c r="BR2" s="2">
        <v>13929</v>
      </c>
      <c r="BS2" s="2">
        <v>20536</v>
      </c>
      <c r="BT2" s="2">
        <v>17299</v>
      </c>
      <c r="BU2" s="2">
        <v>25065</v>
      </c>
      <c r="BV2" s="2">
        <v>24629</v>
      </c>
      <c r="BW2" s="2">
        <v>15953</v>
      </c>
      <c r="BX2" s="2">
        <v>20930</v>
      </c>
      <c r="BY2" s="2">
        <v>26630</v>
      </c>
      <c r="BZ2" s="2">
        <v>15539</v>
      </c>
      <c r="CA2" s="2">
        <v>18116</v>
      </c>
      <c r="CB2" s="2">
        <v>23079</v>
      </c>
      <c r="CC2" s="2">
        <v>19227</v>
      </c>
      <c r="CD2" s="2">
        <v>16068</v>
      </c>
      <c r="CE2" s="2">
        <v>21892</v>
      </c>
      <c r="CF2" s="2">
        <v>15073</v>
      </c>
      <c r="CG2" s="2">
        <v>25578</v>
      </c>
      <c r="CH2" s="2">
        <v>25380</v>
      </c>
      <c r="CI2" s="2">
        <v>14461</v>
      </c>
      <c r="CJ2" s="2">
        <v>18227</v>
      </c>
      <c r="CK2" s="2">
        <v>26940</v>
      </c>
      <c r="CL2" s="2">
        <v>20059</v>
      </c>
      <c r="CM2" s="2">
        <v>19315</v>
      </c>
      <c r="CN2" s="2">
        <v>25040</v>
      </c>
      <c r="CO2" s="2">
        <v>20828</v>
      </c>
      <c r="CP2" s="2">
        <v>18759</v>
      </c>
      <c r="CQ2" s="2">
        <v>24324</v>
      </c>
      <c r="CR2" s="2">
        <v>23472</v>
      </c>
      <c r="CS2" s="2">
        <v>23600</v>
      </c>
      <c r="CT2" s="2">
        <v>26889</v>
      </c>
      <c r="CU2" s="2">
        <v>18770</v>
      </c>
      <c r="CV2" s="2">
        <v>32472</v>
      </c>
      <c r="CW2" s="2">
        <v>37323</v>
      </c>
      <c r="CX2" s="2">
        <v>25342</v>
      </c>
      <c r="CY2" s="2">
        <v>22151</v>
      </c>
      <c r="CZ2" s="2">
        <v>25100</v>
      </c>
      <c r="DA2" s="2">
        <v>26395</v>
      </c>
      <c r="DB2" s="2">
        <v>23929</v>
      </c>
      <c r="DC2" s="2">
        <v>33542</v>
      </c>
      <c r="DD2" s="2">
        <v>39551</v>
      </c>
      <c r="DE2" s="2">
        <v>24696</v>
      </c>
      <c r="DF2" s="2">
        <v>27348</v>
      </c>
      <c r="DG2" s="2">
        <v>30834</v>
      </c>
      <c r="DH2" s="2">
        <v>34574</v>
      </c>
      <c r="DI2" s="2">
        <v>38415</v>
      </c>
      <c r="DJ2" s="2">
        <v>27038</v>
      </c>
      <c r="DK2" s="2">
        <v>25920</v>
      </c>
      <c r="DL2" s="2">
        <v>30762</v>
      </c>
      <c r="DM2" s="2">
        <v>30354</v>
      </c>
      <c r="DN2" s="2">
        <v>25758</v>
      </c>
      <c r="DO2" s="2">
        <v>31494</v>
      </c>
      <c r="DP2" s="2">
        <v>27853</v>
      </c>
      <c r="DQ2" s="2">
        <v>30870</v>
      </c>
      <c r="DR2" s="2">
        <v>37796</v>
      </c>
      <c r="DS2" s="2">
        <v>24430</v>
      </c>
      <c r="DT2" s="2">
        <v>30792</v>
      </c>
      <c r="DU2" s="2">
        <v>51789</v>
      </c>
      <c r="DV2" s="2">
        <v>32624</v>
      </c>
      <c r="DW2" s="2">
        <v>25556</v>
      </c>
      <c r="DX2" s="2">
        <v>36458</v>
      </c>
      <c r="DY2" s="2">
        <v>34863</v>
      </c>
      <c r="DZ2" s="2">
        <v>29083</v>
      </c>
      <c r="EA2" s="2">
        <v>37966</v>
      </c>
      <c r="EB2" s="2">
        <v>38178</v>
      </c>
      <c r="EC2" s="2">
        <v>30914</v>
      </c>
      <c r="ED2" s="2">
        <v>37439</v>
      </c>
      <c r="EE2" s="2">
        <v>26717</v>
      </c>
      <c r="EF2" s="2">
        <v>32444</v>
      </c>
      <c r="EG2" s="2">
        <v>54833</v>
      </c>
      <c r="EH2" s="2">
        <v>28345</v>
      </c>
      <c r="EI2" s="2">
        <v>35773</v>
      </c>
      <c r="EJ2" s="2">
        <v>43887</v>
      </c>
      <c r="EK2" s="2">
        <v>38452</v>
      </c>
      <c r="EL2" s="2">
        <v>41861</v>
      </c>
      <c r="EM2" s="2">
        <v>42100</v>
      </c>
      <c r="EN2" s="2">
        <v>35545</v>
      </c>
      <c r="EO2" s="2">
        <v>54447</v>
      </c>
      <c r="EP2" s="2">
        <v>44190</v>
      </c>
      <c r="EQ2" s="2">
        <v>27490</v>
      </c>
      <c r="ER2" s="2">
        <v>31979</v>
      </c>
      <c r="ES2" s="2">
        <v>55553</v>
      </c>
      <c r="ET2" s="2">
        <v>28227</v>
      </c>
      <c r="EU2" s="2">
        <v>31665</v>
      </c>
      <c r="EV2" s="2">
        <v>52921</v>
      </c>
      <c r="EW2" s="2">
        <v>33834</v>
      </c>
      <c r="EX2" s="2">
        <v>38058</v>
      </c>
      <c r="EY2" s="2">
        <v>44392</v>
      </c>
      <c r="EZ2" s="2">
        <v>33899</v>
      </c>
      <c r="FA2" s="2">
        <v>40307</v>
      </c>
      <c r="FB2" s="2">
        <v>43400</v>
      </c>
      <c r="FC2" s="2">
        <v>27614</v>
      </c>
      <c r="FD2" s="2">
        <v>34108</v>
      </c>
      <c r="FE2" s="2">
        <v>58998</v>
      </c>
      <c r="FF2" s="2">
        <v>36892</v>
      </c>
      <c r="FG2" s="2">
        <v>43729</v>
      </c>
      <c r="FH2" s="2">
        <v>43676</v>
      </c>
      <c r="FI2" s="2">
        <v>36621</v>
      </c>
      <c r="FJ2" s="2">
        <v>32338</v>
      </c>
      <c r="FK2" s="2">
        <v>40995</v>
      </c>
      <c r="FL2" s="2">
        <v>34479</v>
      </c>
      <c r="FM2" s="2">
        <v>45652</v>
      </c>
      <c r="FN2" s="2">
        <v>44114</v>
      </c>
      <c r="FO2" s="2">
        <v>31068</v>
      </c>
      <c r="FP2" s="2">
        <v>39351</v>
      </c>
      <c r="FQ2" s="2">
        <v>58060</v>
      </c>
      <c r="FR2" s="2">
        <v>40515</v>
      </c>
      <c r="FS2" s="2">
        <v>37249</v>
      </c>
      <c r="FT2" s="2">
        <v>45886</v>
      </c>
      <c r="FU2" s="2">
        <v>45577</v>
      </c>
      <c r="FV2" s="2">
        <v>34639</v>
      </c>
      <c r="FW2" s="2">
        <v>46802</v>
      </c>
      <c r="FX2" s="2">
        <v>41246</v>
      </c>
      <c r="FY2" s="2">
        <v>50255</v>
      </c>
      <c r="FZ2" s="2">
        <v>49856</v>
      </c>
      <c r="GA2" s="2">
        <v>30291</v>
      </c>
      <c r="GB2" s="2">
        <v>41183</v>
      </c>
      <c r="GC2" s="2">
        <v>66165</v>
      </c>
      <c r="GD2" s="2">
        <v>42534</v>
      </c>
      <c r="GE2" s="2">
        <v>38823</v>
      </c>
      <c r="GF2" s="2">
        <v>53993</v>
      </c>
      <c r="GG2" s="2">
        <v>45172</v>
      </c>
      <c r="GH2" s="2">
        <v>40419</v>
      </c>
      <c r="GI2" s="2">
        <v>53121</v>
      </c>
      <c r="GJ2" s="2">
        <v>50088</v>
      </c>
      <c r="GK2" s="2">
        <v>55836</v>
      </c>
      <c r="GL2" s="2">
        <v>47300</v>
      </c>
      <c r="GM2" s="2">
        <v>44048</v>
      </c>
      <c r="GN2" s="2">
        <v>39941</v>
      </c>
      <c r="GO2" s="2">
        <v>55990</v>
      </c>
      <c r="GP2" s="2">
        <v>44983</v>
      </c>
      <c r="GQ2" s="2">
        <v>43087</v>
      </c>
      <c r="GR2" s="2">
        <v>47046</v>
      </c>
      <c r="GS2" s="2">
        <v>50380</v>
      </c>
      <c r="GT2" s="2">
        <v>46937</v>
      </c>
      <c r="GU2" s="2">
        <v>43629</v>
      </c>
      <c r="GV2" s="2">
        <v>53845</v>
      </c>
      <c r="GW2" s="2">
        <v>61220</v>
      </c>
      <c r="GX2" s="2">
        <v>50926</v>
      </c>
      <c r="GY2" s="2">
        <v>50235</v>
      </c>
      <c r="GZ2" s="2">
        <v>45448</v>
      </c>
      <c r="HA2" s="2">
        <v>65945</v>
      </c>
      <c r="HB2" s="2">
        <v>54871</v>
      </c>
      <c r="HC2" s="2">
        <v>49040</v>
      </c>
      <c r="HD2" s="2">
        <v>51855</v>
      </c>
      <c r="HE2" s="2">
        <v>51521</v>
      </c>
      <c r="HF2" s="2">
        <v>48467</v>
      </c>
      <c r="HG2" s="2">
        <v>56328</v>
      </c>
      <c r="HH2" s="2">
        <v>57180</v>
      </c>
      <c r="HI2" s="2">
        <v>57921</v>
      </c>
      <c r="HJ2" s="2">
        <v>53132</v>
      </c>
      <c r="HK2" s="2">
        <v>44612</v>
      </c>
      <c r="HL2" s="2">
        <v>55168</v>
      </c>
      <c r="HM2" s="2">
        <v>76453</v>
      </c>
      <c r="HN2" s="2">
        <v>60630</v>
      </c>
      <c r="HO2" s="2">
        <v>54642</v>
      </c>
      <c r="HP2" s="2">
        <v>59543</v>
      </c>
      <c r="HQ2" s="2">
        <v>59988</v>
      </c>
      <c r="HR2" s="2">
        <v>55884</v>
      </c>
      <c r="HS2" s="2">
        <v>60938</v>
      </c>
      <c r="HT2" s="2">
        <v>60798</v>
      </c>
      <c r="HU2" s="2">
        <v>64930</v>
      </c>
      <c r="HV2" s="2">
        <v>64341</v>
      </c>
      <c r="HW2" s="2">
        <v>48709</v>
      </c>
      <c r="HX2" s="2">
        <v>58607</v>
      </c>
      <c r="HY2" s="2">
        <v>86705</v>
      </c>
      <c r="HZ2" s="2">
        <v>68404</v>
      </c>
      <c r="IA2" s="2">
        <v>62244</v>
      </c>
      <c r="IB2" s="2">
        <v>66176</v>
      </c>
      <c r="IC2" s="2">
        <v>81755</v>
      </c>
      <c r="ID2" s="2">
        <v>61827</v>
      </c>
      <c r="IE2" s="2">
        <v>72295</v>
      </c>
      <c r="IF2" s="2">
        <v>72987</v>
      </c>
      <c r="IG2" s="2">
        <v>72109</v>
      </c>
      <c r="IH2" s="2">
        <v>72633</v>
      </c>
      <c r="II2" s="2">
        <v>64290</v>
      </c>
      <c r="IJ2" s="2">
        <v>68074</v>
      </c>
      <c r="IK2" s="2">
        <v>95026</v>
      </c>
      <c r="IL2" s="2">
        <v>89732</v>
      </c>
      <c r="IM2" s="2">
        <v>81298</v>
      </c>
      <c r="IN2" s="2">
        <v>73667</v>
      </c>
      <c r="IO2" s="2">
        <v>97521</v>
      </c>
      <c r="IP2" s="2">
        <v>73648</v>
      </c>
      <c r="IQ2" s="2">
        <v>79856</v>
      </c>
      <c r="IR2" s="2">
        <v>86690</v>
      </c>
      <c r="IS2" s="2">
        <v>97203</v>
      </c>
      <c r="IT2" s="2">
        <v>72651</v>
      </c>
      <c r="IU2" s="2">
        <v>89615</v>
      </c>
      <c r="IV2" s="2">
        <v>75037</v>
      </c>
      <c r="IW2" s="2">
        <v>101155</v>
      </c>
      <c r="IX2" s="2">
        <v>94133</v>
      </c>
      <c r="IY2" s="2">
        <v>77688</v>
      </c>
      <c r="IZ2" s="2">
        <v>103973</v>
      </c>
      <c r="JA2" s="2">
        <v>117115</v>
      </c>
      <c r="JB2" s="2">
        <v>80890</v>
      </c>
      <c r="JC2" s="2">
        <v>83699</v>
      </c>
      <c r="JD2" s="2">
        <v>148342</v>
      </c>
      <c r="JE2" s="2">
        <v>92262</v>
      </c>
      <c r="JF2" s="2">
        <v>86991</v>
      </c>
      <c r="JG2" s="2">
        <v>81762</v>
      </c>
      <c r="JH2" s="2">
        <v>84763</v>
      </c>
      <c r="JI2" s="2">
        <v>122030</v>
      </c>
      <c r="JJ2" s="2">
        <v>106879</v>
      </c>
      <c r="JK2" s="2">
        <v>87564</v>
      </c>
      <c r="JL2" s="2">
        <v>101417</v>
      </c>
      <c r="JM2" s="2">
        <v>118877</v>
      </c>
      <c r="JN2" s="2">
        <v>89637</v>
      </c>
      <c r="JO2" s="2">
        <v>92634</v>
      </c>
      <c r="JP2" s="2">
        <v>109040</v>
      </c>
      <c r="JQ2" s="2">
        <v>121311</v>
      </c>
      <c r="JR2" s="2">
        <v>78466</v>
      </c>
      <c r="JS2" s="2">
        <v>80965</v>
      </c>
      <c r="JT2" s="2">
        <v>75928</v>
      </c>
      <c r="JU2" s="2">
        <v>116581</v>
      </c>
      <c r="JV2" s="2">
        <v>104212</v>
      </c>
      <c r="JW2" s="2">
        <v>89550</v>
      </c>
      <c r="JX2" s="2">
        <v>98398</v>
      </c>
      <c r="JY2" s="2">
        <v>95012</v>
      </c>
      <c r="JZ2" s="2">
        <v>100695</v>
      </c>
      <c r="KA2" s="2">
        <v>85581</v>
      </c>
      <c r="KB2" s="2">
        <v>96282</v>
      </c>
      <c r="KC2" s="2">
        <v>101541</v>
      </c>
      <c r="KD2" s="2">
        <v>92265</v>
      </c>
      <c r="KE2" s="2">
        <v>76699</v>
      </c>
      <c r="KF2" s="2">
        <v>96860</v>
      </c>
      <c r="KG2" s="2">
        <v>124468</v>
      </c>
      <c r="KH2" s="2">
        <v>109717</v>
      </c>
      <c r="KI2" s="2">
        <v>92095</v>
      </c>
      <c r="KJ2" s="2">
        <v>102908</v>
      </c>
      <c r="KK2" s="2">
        <v>107806</v>
      </c>
      <c r="KL2" s="2">
        <v>91898</v>
      </c>
      <c r="KM2" s="2">
        <v>98503</v>
      </c>
      <c r="KN2" s="2">
        <v>111535</v>
      </c>
      <c r="KO2" s="2">
        <v>103172</v>
      </c>
      <c r="KP2" s="2">
        <v>135911</v>
      </c>
      <c r="KQ2" s="2">
        <v>80015</v>
      </c>
      <c r="KR2" s="2">
        <v>107152</v>
      </c>
      <c r="KS2" s="2">
        <v>138335</v>
      </c>
      <c r="KT2" s="2">
        <v>120088</v>
      </c>
      <c r="KU2" s="2">
        <v>100139</v>
      </c>
      <c r="KV2" s="2">
        <v>106963</v>
      </c>
      <c r="KW2" s="2">
        <v>124148</v>
      </c>
      <c r="KX2" s="2">
        <v>104337</v>
      </c>
      <c r="KY2" s="2">
        <v>103939</v>
      </c>
      <c r="KZ2" s="2">
        <v>128745</v>
      </c>
      <c r="LA2" s="2">
        <v>110170</v>
      </c>
      <c r="LB2" s="2">
        <v>126354</v>
      </c>
      <c r="LC2" s="2">
        <v>119189</v>
      </c>
      <c r="LD2" s="2">
        <v>115431</v>
      </c>
      <c r="LE2" s="2">
        <v>153268</v>
      </c>
      <c r="LF2" s="2">
        <v>131403</v>
      </c>
      <c r="LG2" s="2">
        <v>115276</v>
      </c>
      <c r="LH2" s="2">
        <v>123309</v>
      </c>
      <c r="LI2" s="2">
        <v>129408</v>
      </c>
      <c r="LJ2" s="2">
        <v>105309</v>
      </c>
      <c r="LK2" s="2">
        <v>134320</v>
      </c>
      <c r="LL2" s="2">
        <v>155308</v>
      </c>
      <c r="LM2" s="2">
        <v>126357</v>
      </c>
      <c r="LN2" s="2">
        <v>138368</v>
      </c>
      <c r="LO2" s="2">
        <v>112348</v>
      </c>
      <c r="LP2" s="2">
        <v>113609</v>
      </c>
      <c r="LQ2" s="2">
        <v>190010</v>
      </c>
      <c r="LR2" s="2">
        <v>154039</v>
      </c>
      <c r="LS2" s="2">
        <v>131089</v>
      </c>
      <c r="LT2" s="2">
        <v>144622</v>
      </c>
      <c r="LU2" s="2">
        <v>155139</v>
      </c>
      <c r="LV2" s="2">
        <v>127336</v>
      </c>
      <c r="LW2" s="2">
        <v>134309</v>
      </c>
      <c r="LX2" s="2">
        <v>164996</v>
      </c>
      <c r="LY2" s="2">
        <v>150228</v>
      </c>
      <c r="LZ2" s="2">
        <v>148822</v>
      </c>
      <c r="MA2" s="2">
        <v>120286</v>
      </c>
      <c r="MB2" s="2">
        <v>129303</v>
      </c>
      <c r="MC2" s="2">
        <v>224449</v>
      </c>
      <c r="MD2" s="2">
        <v>172234</v>
      </c>
      <c r="ME2" s="2">
        <v>138640</v>
      </c>
      <c r="MF2" s="2">
        <v>166730</v>
      </c>
      <c r="MG2" s="2">
        <v>169980</v>
      </c>
      <c r="MH2" s="2">
        <v>154566</v>
      </c>
      <c r="MI2" s="2">
        <v>152263</v>
      </c>
      <c r="MJ2" s="2">
        <v>158221</v>
      </c>
      <c r="MK2" s="2">
        <v>173033</v>
      </c>
      <c r="ML2" s="2">
        <v>166652</v>
      </c>
      <c r="MM2" s="2">
        <v>132772</v>
      </c>
      <c r="MN2" s="2">
        <v>171106</v>
      </c>
      <c r="MO2" s="2">
        <v>209104</v>
      </c>
      <c r="MP2" s="2">
        <v>242525</v>
      </c>
      <c r="MQ2" s="2">
        <v>163576</v>
      </c>
      <c r="MR2" s="2">
        <v>178474</v>
      </c>
      <c r="MS2" s="2">
        <v>176656</v>
      </c>
      <c r="MT2" s="2">
        <v>164112</v>
      </c>
      <c r="MU2" s="2">
        <v>163015</v>
      </c>
      <c r="MV2" s="2">
        <v>177451</v>
      </c>
      <c r="MW2" s="2">
        <v>163513</v>
      </c>
      <c r="MX2" s="2">
        <v>182226</v>
      </c>
      <c r="MY2" s="2">
        <v>138952</v>
      </c>
      <c r="MZ2" s="2">
        <v>157800</v>
      </c>
      <c r="NA2" s="2">
        <v>246633</v>
      </c>
      <c r="NB2" s="2">
        <v>199759</v>
      </c>
      <c r="NC2" s="2">
        <v>175585</v>
      </c>
      <c r="ND2" s="2">
        <v>170250</v>
      </c>
      <c r="NE2" s="2">
        <v>209569</v>
      </c>
      <c r="NF2" s="2">
        <v>165960</v>
      </c>
      <c r="NG2" s="2">
        <v>174642</v>
      </c>
      <c r="NH2" s="2">
        <v>209212</v>
      </c>
      <c r="NI2" s="2">
        <v>165326</v>
      </c>
      <c r="NJ2" s="2">
        <v>200314</v>
      </c>
      <c r="NK2" s="2">
        <v>151838</v>
      </c>
      <c r="NL2" s="2">
        <v>180237</v>
      </c>
      <c r="NM2" s="2">
        <v>235876</v>
      </c>
      <c r="NN2" s="2">
        <v>228251</v>
      </c>
      <c r="NO2" s="2">
        <v>179844</v>
      </c>
      <c r="NP2" s="2">
        <v>194621</v>
      </c>
      <c r="NQ2" s="2">
        <v>230408</v>
      </c>
      <c r="NR2" s="2">
        <v>200091</v>
      </c>
      <c r="NS2" s="2">
        <v>205068</v>
      </c>
      <c r="NT2" s="2">
        <v>243492</v>
      </c>
      <c r="NU2" s="2">
        <v>223092</v>
      </c>
      <c r="NV2" s="2">
        <v>238898.13</v>
      </c>
      <c r="NW2" s="2">
        <v>178535</v>
      </c>
      <c r="NX2" s="2">
        <v>202360</v>
      </c>
      <c r="NY2" s="2">
        <v>307558</v>
      </c>
      <c r="NZ2" s="2">
        <v>258992</v>
      </c>
      <c r="OA2" s="2">
        <v>224199</v>
      </c>
      <c r="OB2" s="2">
        <v>241743</v>
      </c>
      <c r="OC2" s="2">
        <v>256875</v>
      </c>
      <c r="OD2" s="2">
        <v>202351</v>
      </c>
      <c r="OE2" s="2">
        <v>246762</v>
      </c>
      <c r="OF2" s="2">
        <v>259702</v>
      </c>
      <c r="OG2" s="2">
        <v>232209</v>
      </c>
      <c r="OH2" s="2">
        <v>256742</v>
      </c>
      <c r="OI2" s="2">
        <v>202085.35</v>
      </c>
      <c r="OJ2" s="2">
        <v>228918</v>
      </c>
      <c r="OK2" s="2">
        <v>308676</v>
      </c>
      <c r="OL2" s="2">
        <v>317236</v>
      </c>
      <c r="OM2" s="2">
        <v>233886</v>
      </c>
      <c r="ON2" s="2">
        <v>264094</v>
      </c>
      <c r="OO2" s="2">
        <v>279745</v>
      </c>
      <c r="OP2" s="2">
        <v>236528</v>
      </c>
      <c r="OQ2" s="2">
        <v>261553</v>
      </c>
      <c r="OR2" s="2">
        <v>304749</v>
      </c>
      <c r="OS2" s="2">
        <v>243286</v>
      </c>
      <c r="OT2" s="2">
        <v>294638</v>
      </c>
      <c r="OU2" s="2">
        <v>206835</v>
      </c>
      <c r="OV2" s="2">
        <v>261599</v>
      </c>
      <c r="OW2" s="2">
        <v>187776</v>
      </c>
      <c r="OX2" s="2">
        <v>151493</v>
      </c>
      <c r="OY2" s="2">
        <v>350977</v>
      </c>
      <c r="OZ2" s="2">
        <v>234468</v>
      </c>
      <c r="PA2" s="2">
        <v>243232</v>
      </c>
      <c r="PB2" s="2">
        <v>212414.83</v>
      </c>
      <c r="PC2" s="2">
        <v>228206</v>
      </c>
      <c r="PD2" s="2">
        <v>245772</v>
      </c>
      <c r="PE2" s="2">
        <v>238548</v>
      </c>
      <c r="PF2" s="2">
        <v>260732</v>
      </c>
      <c r="PG2" s="2">
        <v>219562</v>
      </c>
      <c r="PH2" s="2">
        <v>216161</v>
      </c>
      <c r="PI2" s="2">
        <v>291920</v>
      </c>
      <c r="PJ2" s="2">
        <v>256414.52</v>
      </c>
      <c r="PK2" s="2">
        <v>245568</v>
      </c>
      <c r="PL2" s="2">
        <v>256071</v>
      </c>
      <c r="PM2" s="2">
        <v>259252</v>
      </c>
      <c r="PN2" s="2">
        <v>231445</v>
      </c>
      <c r="PO2" s="2">
        <v>253089</v>
      </c>
      <c r="PP2" s="2">
        <v>284014</v>
      </c>
      <c r="PQ2" s="2">
        <v>231310</v>
      </c>
      <c r="PR2" s="2">
        <v>278075</v>
      </c>
      <c r="PS2" s="2">
        <v>212402</v>
      </c>
      <c r="PT2" s="2">
        <v>293883</v>
      </c>
      <c r="PU2" s="2">
        <v>347948.68</v>
      </c>
      <c r="PV2" s="2">
        <v>304915</v>
      </c>
      <c r="PW2" s="2">
        <v>290268</v>
      </c>
      <c r="PX2" s="2">
        <v>308632</v>
      </c>
      <c r="PY2" s="2">
        <v>332440</v>
      </c>
      <c r="PZ2" s="2">
        <v>288814</v>
      </c>
      <c r="QA2" s="2">
        <v>288873</v>
      </c>
      <c r="QB2" s="2">
        <v>331061</v>
      </c>
      <c r="QC2" s="2">
        <v>268193</v>
      </c>
      <c r="QD2" s="2">
        <v>348167.25</v>
      </c>
      <c r="QE2" s="2">
        <v>211868</v>
      </c>
      <c r="QF2" s="2">
        <v>258650</v>
      </c>
      <c r="QG2" s="2">
        <v>440696.81</v>
      </c>
      <c r="QH2" s="2">
        <v>333437</v>
      </c>
      <c r="QI2" s="2">
        <v>267315</v>
      </c>
      <c r="QJ2" s="2">
        <v>411729</v>
      </c>
      <c r="QK2" s="2">
        <v>310553</v>
      </c>
      <c r="QL2" s="2">
        <v>255408</v>
      </c>
      <c r="QM2" s="2">
        <v>385808</v>
      </c>
      <c r="QN2" s="2">
        <v>340395</v>
      </c>
      <c r="QO2" s="2">
        <v>260078</v>
      </c>
      <c r="QP2" s="2">
        <v>421801</v>
      </c>
      <c r="QQ2" s="2">
        <v>224016</v>
      </c>
      <c r="QR2" s="2">
        <v>287923</v>
      </c>
      <c r="QS2" s="2">
        <v>537196</v>
      </c>
      <c r="QT2" s="2">
        <v>382089</v>
      </c>
      <c r="QU2" s="2">
        <v>296524</v>
      </c>
      <c r="QV2" s="2">
        <v>457374</v>
      </c>
      <c r="QW2" s="2">
        <v>386337</v>
      </c>
      <c r="QX2" s="2">
        <v>299653</v>
      </c>
      <c r="QY2" s="2">
        <v>473124</v>
      </c>
      <c r="QZ2" s="2">
        <v>338312</v>
      </c>
      <c r="RA2" s="2">
        <v>314674</v>
      </c>
      <c r="RB2" s="2">
        <v>467146.87</v>
      </c>
      <c r="RC2" s="2">
        <v>251767.37000000002</v>
      </c>
      <c r="RD2" s="2">
        <v>279252.58999999997</v>
      </c>
      <c r="RE2" s="2">
        <v>522055.11200000002</v>
      </c>
      <c r="RF2" s="2">
        <v>433089.88444883999</v>
      </c>
      <c r="RG2" s="2">
        <v>306906.3751533</v>
      </c>
      <c r="RH2" s="2">
        <v>472276.04406167998</v>
      </c>
      <c r="RI2" s="2">
        <v>352514.72500000009</v>
      </c>
      <c r="RJ2" s="2">
        <v>281715.815</v>
      </c>
      <c r="RK2" s="2">
        <v>441714.25999999995</v>
      </c>
      <c r="RL2" s="2">
        <v>340740.04999999993</v>
      </c>
      <c r="RM2" s="2">
        <v>304253</v>
      </c>
      <c r="RN2" s="2">
        <v>468851</v>
      </c>
      <c r="RO2" s="2">
        <v>361331.23</v>
      </c>
      <c r="RP2" s="2">
        <v>305088</v>
      </c>
      <c r="RQ2" s="2">
        <v>536845</v>
      </c>
      <c r="RR2" s="2">
        <v>401745</v>
      </c>
      <c r="RS2" s="2">
        <v>314456</v>
      </c>
      <c r="RT2" s="2"/>
      <c r="RU2" s="2"/>
      <c r="RV2" s="2"/>
      <c r="RW2" s="2"/>
      <c r="RX2" s="2"/>
      <c r="RY2" s="2"/>
    </row>
    <row r="3" spans="1:493" x14ac:dyDescent="0.25">
      <c r="A3" t="s">
        <v>458</v>
      </c>
      <c r="B3" s="2">
        <v>5993</v>
      </c>
      <c r="C3" s="2">
        <v>3156</v>
      </c>
      <c r="D3" s="2">
        <v>5293</v>
      </c>
      <c r="E3" s="2">
        <v>8163</v>
      </c>
      <c r="F3" s="2">
        <v>4828</v>
      </c>
      <c r="G3" s="2">
        <v>4343</v>
      </c>
      <c r="H3" s="2">
        <v>6614</v>
      </c>
      <c r="I3" s="2">
        <v>4677</v>
      </c>
      <c r="J3" s="2">
        <v>4178</v>
      </c>
      <c r="K3" s="2">
        <v>7012</v>
      </c>
      <c r="L3" s="2">
        <v>5230</v>
      </c>
      <c r="M3" s="2">
        <v>6004</v>
      </c>
      <c r="N3" s="2">
        <v>7310</v>
      </c>
      <c r="O3" s="2">
        <v>4995</v>
      </c>
      <c r="P3" s="2">
        <v>6066</v>
      </c>
      <c r="Q3" s="2">
        <v>9737</v>
      </c>
      <c r="R3" s="2">
        <v>5814</v>
      </c>
      <c r="S3" s="2">
        <v>7673</v>
      </c>
      <c r="T3" s="2">
        <v>8902</v>
      </c>
      <c r="U3" s="2">
        <v>7176</v>
      </c>
      <c r="V3" s="2">
        <v>6165</v>
      </c>
      <c r="W3" s="2">
        <v>8345</v>
      </c>
      <c r="X3" s="2">
        <v>5515</v>
      </c>
      <c r="Y3" s="2">
        <v>8225</v>
      </c>
      <c r="Z3" s="2">
        <v>7685</v>
      </c>
      <c r="AA3" s="2">
        <v>6083</v>
      </c>
      <c r="AB3" s="2">
        <v>5971</v>
      </c>
      <c r="AC3" s="2">
        <v>10671</v>
      </c>
      <c r="AD3" s="2">
        <v>7818</v>
      </c>
      <c r="AE3" s="2">
        <v>6060</v>
      </c>
      <c r="AF3" s="2">
        <v>8470</v>
      </c>
      <c r="AG3" s="2">
        <v>7849</v>
      </c>
      <c r="AH3" s="2">
        <v>5955</v>
      </c>
      <c r="AI3" s="2">
        <v>8276</v>
      </c>
      <c r="AJ3" s="2">
        <v>7930</v>
      </c>
      <c r="AK3" s="2">
        <v>7584</v>
      </c>
      <c r="AL3" s="2">
        <v>9564</v>
      </c>
      <c r="AM3" s="2">
        <v>6827</v>
      </c>
      <c r="AN3" s="2">
        <v>7510</v>
      </c>
      <c r="AO3" s="2">
        <v>13922</v>
      </c>
      <c r="AP3" s="2">
        <v>10588</v>
      </c>
      <c r="AQ3" s="2">
        <v>8806</v>
      </c>
      <c r="AR3" s="2">
        <v>12598</v>
      </c>
      <c r="AS3" s="2">
        <v>11018</v>
      </c>
      <c r="AT3" s="2">
        <v>9029</v>
      </c>
      <c r="AU3" s="2">
        <v>12264</v>
      </c>
      <c r="AV3" s="2">
        <v>10228</v>
      </c>
      <c r="AW3" s="2">
        <v>10108</v>
      </c>
      <c r="AX3" s="2">
        <v>13575</v>
      </c>
      <c r="AY3" s="2">
        <v>9230</v>
      </c>
      <c r="AZ3" s="2">
        <v>11400</v>
      </c>
      <c r="BA3" s="2">
        <v>16765</v>
      </c>
      <c r="BB3" s="2">
        <v>12930</v>
      </c>
      <c r="BC3" s="2">
        <v>10777</v>
      </c>
      <c r="BD3" s="2">
        <v>14881</v>
      </c>
      <c r="BE3" s="2">
        <v>12302</v>
      </c>
      <c r="BF3" s="2">
        <v>9613</v>
      </c>
      <c r="BG3" s="2">
        <v>15660</v>
      </c>
      <c r="BH3" s="2">
        <v>13185</v>
      </c>
      <c r="BI3" s="2">
        <v>11382</v>
      </c>
      <c r="BJ3" s="2">
        <v>17580</v>
      </c>
      <c r="BK3" s="2">
        <v>11800</v>
      </c>
      <c r="BL3" s="2">
        <v>11127</v>
      </c>
      <c r="BM3" s="2">
        <v>22874</v>
      </c>
      <c r="BN3" s="2">
        <v>14685</v>
      </c>
      <c r="BO3" s="2">
        <v>10730</v>
      </c>
      <c r="BP3" s="2">
        <v>19547</v>
      </c>
      <c r="BQ3" s="2">
        <v>14599</v>
      </c>
      <c r="BR3" s="2">
        <v>11524</v>
      </c>
      <c r="BS3" s="2">
        <v>18407</v>
      </c>
      <c r="BT3" s="2">
        <v>14607</v>
      </c>
      <c r="BU3" s="2">
        <v>14795</v>
      </c>
      <c r="BV3" s="2">
        <v>22121</v>
      </c>
      <c r="BW3" s="2">
        <v>13640</v>
      </c>
      <c r="BX3" s="2">
        <v>16018</v>
      </c>
      <c r="BY3" s="2">
        <v>25189</v>
      </c>
      <c r="BZ3" s="2">
        <v>12914</v>
      </c>
      <c r="CA3" s="2">
        <v>15642</v>
      </c>
      <c r="CB3" s="2">
        <v>20034</v>
      </c>
      <c r="CC3" s="2">
        <v>16249</v>
      </c>
      <c r="CD3" s="2">
        <v>12806</v>
      </c>
      <c r="CE3" s="2">
        <v>19542</v>
      </c>
      <c r="CF3" s="2">
        <v>13995</v>
      </c>
      <c r="CG3" s="2">
        <v>20555</v>
      </c>
      <c r="CH3" s="2">
        <v>21152</v>
      </c>
      <c r="CI3" s="2">
        <v>12486</v>
      </c>
      <c r="CJ3" s="2">
        <v>17007</v>
      </c>
      <c r="CK3" s="2">
        <v>25023</v>
      </c>
      <c r="CL3" s="2">
        <v>17494</v>
      </c>
      <c r="CM3" s="2">
        <v>16568</v>
      </c>
      <c r="CN3" s="2">
        <v>20497</v>
      </c>
      <c r="CO3" s="2">
        <v>19348</v>
      </c>
      <c r="CP3" s="2">
        <v>16268</v>
      </c>
      <c r="CQ3" s="2">
        <v>21672</v>
      </c>
      <c r="CR3" s="2">
        <v>21710</v>
      </c>
      <c r="CS3" s="2">
        <v>20945</v>
      </c>
      <c r="CT3" s="2">
        <v>24549</v>
      </c>
      <c r="CU3" s="2">
        <v>14698</v>
      </c>
      <c r="CV3" s="2">
        <v>21711</v>
      </c>
      <c r="CW3" s="2">
        <v>33029</v>
      </c>
      <c r="CX3" s="2">
        <v>21041</v>
      </c>
      <c r="CY3" s="2">
        <v>19243</v>
      </c>
      <c r="CZ3" s="2">
        <v>22541</v>
      </c>
      <c r="DA3" s="2">
        <v>22378</v>
      </c>
      <c r="DB3" s="2">
        <v>17157</v>
      </c>
      <c r="DC3" s="2">
        <v>26393</v>
      </c>
      <c r="DD3" s="2">
        <v>26404</v>
      </c>
      <c r="DE3" s="2">
        <v>22161</v>
      </c>
      <c r="DF3" s="2">
        <v>25252</v>
      </c>
      <c r="DG3" s="2">
        <v>18982</v>
      </c>
      <c r="DH3" s="2">
        <v>21030</v>
      </c>
      <c r="DI3" s="2">
        <v>36033</v>
      </c>
      <c r="DJ3" s="2">
        <v>25508</v>
      </c>
      <c r="DK3" s="2">
        <v>23427</v>
      </c>
      <c r="DL3" s="2">
        <v>28931</v>
      </c>
      <c r="DM3" s="2">
        <v>27073</v>
      </c>
      <c r="DN3" s="2">
        <v>22035</v>
      </c>
      <c r="DO3" s="2">
        <v>29491</v>
      </c>
      <c r="DP3" s="2">
        <v>26915</v>
      </c>
      <c r="DQ3" s="2">
        <v>25840</v>
      </c>
      <c r="DR3" s="2">
        <v>31098</v>
      </c>
      <c r="DS3" s="2">
        <v>22145</v>
      </c>
      <c r="DT3" s="2">
        <v>24552</v>
      </c>
      <c r="DU3" s="2">
        <v>44947</v>
      </c>
      <c r="DV3" s="2">
        <v>31147</v>
      </c>
      <c r="DW3" s="2">
        <v>23175</v>
      </c>
      <c r="DX3" s="2">
        <v>34620</v>
      </c>
      <c r="DY3" s="2">
        <v>31696</v>
      </c>
      <c r="DZ3" s="2">
        <v>24479</v>
      </c>
      <c r="EA3" s="2">
        <v>36659</v>
      </c>
      <c r="EB3" s="2">
        <v>36422</v>
      </c>
      <c r="EC3" s="2">
        <v>26954</v>
      </c>
      <c r="ED3" s="2">
        <v>35261</v>
      </c>
      <c r="EE3" s="2">
        <v>24203</v>
      </c>
      <c r="EF3" s="2">
        <v>26041</v>
      </c>
      <c r="EG3" s="2">
        <v>52624</v>
      </c>
      <c r="EH3" s="2">
        <v>26847</v>
      </c>
      <c r="EI3" s="2">
        <v>32167</v>
      </c>
      <c r="EJ3" s="2">
        <v>36960</v>
      </c>
      <c r="EK3" s="2">
        <v>36634</v>
      </c>
      <c r="EL3" s="2">
        <v>31875</v>
      </c>
      <c r="EM3" s="2">
        <v>38494</v>
      </c>
      <c r="EN3" s="2">
        <v>29876</v>
      </c>
      <c r="EO3" s="2">
        <v>41183</v>
      </c>
      <c r="EP3" s="2">
        <v>42393</v>
      </c>
      <c r="EQ3" s="2">
        <v>25063</v>
      </c>
      <c r="ER3" s="2">
        <v>27776</v>
      </c>
      <c r="ES3" s="2">
        <v>52265</v>
      </c>
      <c r="ET3" s="2">
        <v>25527</v>
      </c>
      <c r="EU3" s="2">
        <v>29246</v>
      </c>
      <c r="EV3" s="2">
        <v>42731</v>
      </c>
      <c r="EW3" s="2">
        <v>28878</v>
      </c>
      <c r="EX3" s="2">
        <v>33949</v>
      </c>
      <c r="EY3" s="2">
        <v>40914</v>
      </c>
      <c r="EZ3" s="2">
        <v>33653</v>
      </c>
      <c r="FA3" s="2">
        <v>34190</v>
      </c>
      <c r="FB3" s="2">
        <v>40566</v>
      </c>
      <c r="FC3" s="2">
        <v>24635</v>
      </c>
      <c r="FD3" s="2">
        <v>28465</v>
      </c>
      <c r="FE3" s="2">
        <v>56525</v>
      </c>
      <c r="FF3" s="2">
        <v>33857</v>
      </c>
      <c r="FG3" s="2">
        <v>31906</v>
      </c>
      <c r="FH3" s="2">
        <v>39881</v>
      </c>
      <c r="FI3" s="2">
        <v>33371</v>
      </c>
      <c r="FJ3" s="2">
        <v>29274</v>
      </c>
      <c r="FK3" s="2">
        <v>38411</v>
      </c>
      <c r="FL3" s="2">
        <v>32773</v>
      </c>
      <c r="FM3" s="2">
        <v>42022</v>
      </c>
      <c r="FN3" s="2">
        <v>42682</v>
      </c>
      <c r="FO3" s="2">
        <v>29218</v>
      </c>
      <c r="FP3" s="2">
        <v>31509</v>
      </c>
      <c r="FQ3" s="2">
        <v>53546</v>
      </c>
      <c r="FR3" s="2">
        <v>37752</v>
      </c>
      <c r="FS3" s="2">
        <v>33406</v>
      </c>
      <c r="FT3" s="2">
        <v>41171</v>
      </c>
      <c r="FU3" s="2">
        <v>40146</v>
      </c>
      <c r="FV3" s="2">
        <v>28238</v>
      </c>
      <c r="FW3" s="2">
        <v>43250</v>
      </c>
      <c r="FX3" s="2">
        <v>35954</v>
      </c>
      <c r="FY3" s="2">
        <v>43162</v>
      </c>
      <c r="FZ3" s="2">
        <v>46062</v>
      </c>
      <c r="GA3" s="2">
        <v>26772</v>
      </c>
      <c r="GB3" s="2">
        <v>34226</v>
      </c>
      <c r="GC3" s="2">
        <v>62076</v>
      </c>
      <c r="GD3" s="2">
        <v>38269</v>
      </c>
      <c r="GE3" s="2">
        <v>34174</v>
      </c>
      <c r="GF3" s="2">
        <v>48117</v>
      </c>
      <c r="GG3" s="2">
        <v>38113</v>
      </c>
      <c r="GH3" s="2">
        <v>33637</v>
      </c>
      <c r="GI3" s="2">
        <v>46931</v>
      </c>
      <c r="GJ3" s="2">
        <v>42603</v>
      </c>
      <c r="GK3" s="2">
        <v>42628</v>
      </c>
      <c r="GL3" s="2">
        <v>42342</v>
      </c>
      <c r="GM3" s="2">
        <v>38236</v>
      </c>
      <c r="GN3" s="2">
        <v>34105</v>
      </c>
      <c r="GO3" s="2">
        <v>51666</v>
      </c>
      <c r="GP3" s="2">
        <v>41037</v>
      </c>
      <c r="GQ3" s="2">
        <v>37161</v>
      </c>
      <c r="GR3" s="2">
        <v>39104</v>
      </c>
      <c r="GS3" s="2">
        <v>43907</v>
      </c>
      <c r="GT3" s="2">
        <v>41774</v>
      </c>
      <c r="GU3" s="2">
        <v>39237</v>
      </c>
      <c r="GV3" s="2">
        <v>49596</v>
      </c>
      <c r="GW3" s="2">
        <v>49472</v>
      </c>
      <c r="GX3" s="2">
        <v>44395</v>
      </c>
      <c r="GY3" s="2">
        <v>45397</v>
      </c>
      <c r="GZ3" s="2">
        <v>38552</v>
      </c>
      <c r="HA3" s="2">
        <v>60027</v>
      </c>
      <c r="HB3" s="2">
        <v>45786</v>
      </c>
      <c r="HC3" s="2">
        <v>42142</v>
      </c>
      <c r="HD3" s="2">
        <v>43649</v>
      </c>
      <c r="HE3" s="2">
        <v>47310</v>
      </c>
      <c r="HF3" s="2">
        <v>38625</v>
      </c>
      <c r="HG3" s="2">
        <v>45137</v>
      </c>
      <c r="HH3" s="2">
        <v>51871</v>
      </c>
      <c r="HI3" s="2">
        <v>47577</v>
      </c>
      <c r="HJ3" s="2">
        <v>46705</v>
      </c>
      <c r="HK3" s="2">
        <v>38086</v>
      </c>
      <c r="HL3" s="2">
        <v>45667</v>
      </c>
      <c r="HM3" s="2">
        <v>64908</v>
      </c>
      <c r="HN3" s="2">
        <v>52626</v>
      </c>
      <c r="HO3" s="2">
        <v>47280</v>
      </c>
      <c r="HP3" s="2">
        <v>50212</v>
      </c>
      <c r="HQ3" s="2">
        <v>54172</v>
      </c>
      <c r="HR3" s="2">
        <v>45910</v>
      </c>
      <c r="HS3" s="2">
        <v>50876</v>
      </c>
      <c r="HT3" s="2">
        <v>54716</v>
      </c>
      <c r="HU3" s="2">
        <v>53806</v>
      </c>
      <c r="HV3" s="2">
        <v>53262</v>
      </c>
      <c r="HW3" s="2">
        <v>41612</v>
      </c>
      <c r="HX3" s="2">
        <v>48445</v>
      </c>
      <c r="HY3" s="2">
        <v>79925</v>
      </c>
      <c r="HZ3" s="2">
        <v>61923</v>
      </c>
      <c r="IA3" s="2">
        <v>52272</v>
      </c>
      <c r="IB3" s="2">
        <v>52458</v>
      </c>
      <c r="IC3" s="2">
        <v>68767</v>
      </c>
      <c r="ID3" s="2">
        <v>53400</v>
      </c>
      <c r="IE3" s="2">
        <v>62597</v>
      </c>
      <c r="IF3" s="2">
        <v>65316</v>
      </c>
      <c r="IG3" s="2">
        <v>65638</v>
      </c>
      <c r="IH3" s="2">
        <v>63148</v>
      </c>
      <c r="II3" s="2">
        <v>55002</v>
      </c>
      <c r="IJ3" s="2">
        <v>61279</v>
      </c>
      <c r="IK3" s="2">
        <v>88372</v>
      </c>
      <c r="IL3" s="2">
        <v>80082</v>
      </c>
      <c r="IM3" s="2">
        <v>69784</v>
      </c>
      <c r="IN3" s="2">
        <v>66136</v>
      </c>
      <c r="IO3" s="2">
        <v>90104</v>
      </c>
      <c r="IP3" s="2">
        <v>59966</v>
      </c>
      <c r="IQ3" s="2">
        <v>71985</v>
      </c>
      <c r="IR3" s="2">
        <v>77899</v>
      </c>
      <c r="IS3" s="2">
        <v>76100</v>
      </c>
      <c r="IT3" s="2">
        <v>62237</v>
      </c>
      <c r="IU3" s="2">
        <v>55470</v>
      </c>
      <c r="IV3" s="2">
        <v>68367</v>
      </c>
      <c r="IW3" s="2">
        <v>93726</v>
      </c>
      <c r="IX3" s="2">
        <v>85438</v>
      </c>
      <c r="IY3" s="2">
        <v>67199</v>
      </c>
      <c r="IZ3" s="2">
        <v>80331</v>
      </c>
      <c r="JA3" s="2">
        <v>101271</v>
      </c>
      <c r="JB3" s="2">
        <v>68936</v>
      </c>
      <c r="JC3" s="2">
        <v>73048</v>
      </c>
      <c r="JD3" s="2">
        <v>93060</v>
      </c>
      <c r="JE3" s="2">
        <v>83854</v>
      </c>
      <c r="JF3" s="2">
        <v>72117</v>
      </c>
      <c r="JG3" s="2">
        <v>67303</v>
      </c>
      <c r="JH3" s="2">
        <v>78495</v>
      </c>
      <c r="JI3" s="2">
        <v>113999</v>
      </c>
      <c r="JJ3" s="2">
        <v>100140</v>
      </c>
      <c r="JK3" s="2">
        <v>80358</v>
      </c>
      <c r="JL3" s="2">
        <v>89277</v>
      </c>
      <c r="JM3" s="2">
        <v>105243</v>
      </c>
      <c r="JN3" s="2">
        <v>82471</v>
      </c>
      <c r="JO3" s="2">
        <v>82906</v>
      </c>
      <c r="JP3" s="2">
        <v>100498</v>
      </c>
      <c r="JQ3" s="2">
        <v>76372</v>
      </c>
      <c r="JR3" s="2">
        <v>70259</v>
      </c>
      <c r="JS3" s="2">
        <v>62328</v>
      </c>
      <c r="JT3" s="2">
        <v>68157</v>
      </c>
      <c r="JU3" s="2">
        <v>109544</v>
      </c>
      <c r="JV3" s="2">
        <v>94462</v>
      </c>
      <c r="JW3" s="2">
        <v>81649</v>
      </c>
      <c r="JX3" s="2">
        <v>82771</v>
      </c>
      <c r="JY3" s="2">
        <v>86963</v>
      </c>
      <c r="JZ3" s="2">
        <v>75440</v>
      </c>
      <c r="KA3" s="2">
        <v>74369</v>
      </c>
      <c r="KB3" s="2">
        <v>87880</v>
      </c>
      <c r="KC3" s="2">
        <v>87809</v>
      </c>
      <c r="KD3" s="2">
        <v>82953</v>
      </c>
      <c r="KE3" s="2">
        <v>70209</v>
      </c>
      <c r="KF3" s="2">
        <v>84227</v>
      </c>
      <c r="KG3" s="2">
        <v>114850</v>
      </c>
      <c r="KH3" s="2">
        <v>104080</v>
      </c>
      <c r="KI3" s="2">
        <v>83942</v>
      </c>
      <c r="KJ3" s="2">
        <v>87139</v>
      </c>
      <c r="KK3" s="2">
        <v>98164</v>
      </c>
      <c r="KL3" s="2">
        <v>82224</v>
      </c>
      <c r="KM3" s="2">
        <v>87076</v>
      </c>
      <c r="KN3" s="2">
        <v>103413</v>
      </c>
      <c r="KO3" s="2">
        <v>95366</v>
      </c>
      <c r="KP3" s="2">
        <v>96020</v>
      </c>
      <c r="KQ3" s="2">
        <v>72987</v>
      </c>
      <c r="KR3" s="2">
        <v>96645</v>
      </c>
      <c r="KS3" s="2">
        <v>126782</v>
      </c>
      <c r="KT3" s="2">
        <v>111085</v>
      </c>
      <c r="KU3" s="2">
        <v>89921</v>
      </c>
      <c r="KV3" s="2">
        <v>96164</v>
      </c>
      <c r="KW3" s="2">
        <v>111108</v>
      </c>
      <c r="KX3" s="2">
        <v>90648</v>
      </c>
      <c r="KY3" s="2">
        <v>94365</v>
      </c>
      <c r="KZ3" s="2">
        <v>119238</v>
      </c>
      <c r="LA3" s="2">
        <v>97103</v>
      </c>
      <c r="LB3" s="2">
        <v>108032</v>
      </c>
      <c r="LC3" s="2">
        <v>92404</v>
      </c>
      <c r="LD3" s="2">
        <v>101823</v>
      </c>
      <c r="LE3" s="2">
        <v>142560</v>
      </c>
      <c r="LF3" s="2">
        <v>121374</v>
      </c>
      <c r="LG3" s="2">
        <v>105723</v>
      </c>
      <c r="LH3" s="2">
        <v>108999</v>
      </c>
      <c r="LI3" s="2">
        <v>120446</v>
      </c>
      <c r="LJ3" s="2">
        <v>95417</v>
      </c>
      <c r="LK3" s="2">
        <v>114762</v>
      </c>
      <c r="LL3" s="2">
        <v>135242</v>
      </c>
      <c r="LM3" s="2">
        <v>114299</v>
      </c>
      <c r="LN3" s="2">
        <v>120439</v>
      </c>
      <c r="LO3" s="2">
        <v>98156</v>
      </c>
      <c r="LP3" s="2">
        <v>98131</v>
      </c>
      <c r="LQ3" s="2">
        <v>177290</v>
      </c>
      <c r="LR3" s="2">
        <v>138978</v>
      </c>
      <c r="LS3" s="2">
        <v>113321</v>
      </c>
      <c r="LT3" s="2">
        <v>129161</v>
      </c>
      <c r="LU3" s="2">
        <v>145728</v>
      </c>
      <c r="LV3" s="2">
        <v>112858</v>
      </c>
      <c r="LW3" s="2">
        <v>124688</v>
      </c>
      <c r="LX3" s="2">
        <v>155334</v>
      </c>
      <c r="LY3" s="2">
        <v>121614</v>
      </c>
      <c r="LZ3" s="2">
        <v>135092</v>
      </c>
      <c r="MA3" s="2">
        <v>107102</v>
      </c>
      <c r="MB3" s="2">
        <v>113200</v>
      </c>
      <c r="MC3" s="2">
        <v>187959</v>
      </c>
      <c r="MD3" s="2">
        <v>158299</v>
      </c>
      <c r="ME3" s="2">
        <v>122797</v>
      </c>
      <c r="MF3" s="2">
        <v>151640</v>
      </c>
      <c r="MG3" s="2">
        <v>158420</v>
      </c>
      <c r="MH3" s="2">
        <v>139812</v>
      </c>
      <c r="MI3" s="2">
        <v>137407</v>
      </c>
      <c r="MJ3" s="2">
        <v>147585</v>
      </c>
      <c r="MK3" s="2">
        <v>159673</v>
      </c>
      <c r="ML3" s="2">
        <v>151565</v>
      </c>
      <c r="MM3" s="2">
        <v>117505</v>
      </c>
      <c r="MN3" s="2">
        <v>134593</v>
      </c>
      <c r="MO3" s="2">
        <v>190119</v>
      </c>
      <c r="MP3" s="2">
        <v>156924</v>
      </c>
      <c r="MQ3" s="2">
        <v>142325</v>
      </c>
      <c r="MR3" s="2">
        <v>149378</v>
      </c>
      <c r="MS3" s="2">
        <v>167115</v>
      </c>
      <c r="MT3" s="2">
        <v>146189</v>
      </c>
      <c r="MU3" s="2">
        <v>149327</v>
      </c>
      <c r="MV3" s="2">
        <v>165959</v>
      </c>
      <c r="MW3" s="2">
        <v>144476</v>
      </c>
      <c r="MX3" s="2">
        <v>161896</v>
      </c>
      <c r="MY3" s="2">
        <v>123936</v>
      </c>
      <c r="MZ3" s="2">
        <v>139503</v>
      </c>
      <c r="NA3" s="2">
        <v>211765</v>
      </c>
      <c r="NB3" s="2">
        <v>185077</v>
      </c>
      <c r="NC3" s="2">
        <v>160759</v>
      </c>
      <c r="ND3" s="2">
        <v>149963</v>
      </c>
      <c r="NE3" s="2">
        <v>191975</v>
      </c>
      <c r="NF3" s="2">
        <v>147772</v>
      </c>
      <c r="NG3" s="2">
        <v>157378</v>
      </c>
      <c r="NH3" s="2">
        <v>197758</v>
      </c>
      <c r="NI3" s="2">
        <v>152608</v>
      </c>
      <c r="NJ3" s="2">
        <v>184663</v>
      </c>
      <c r="NK3" s="2">
        <v>138977</v>
      </c>
      <c r="NL3" s="2">
        <v>156313</v>
      </c>
      <c r="NM3" s="2">
        <v>220077</v>
      </c>
      <c r="NN3" s="2">
        <v>200736</v>
      </c>
      <c r="NO3" s="2">
        <v>168137</v>
      </c>
      <c r="NP3" s="2">
        <v>174656</v>
      </c>
      <c r="NQ3" s="2">
        <v>212211</v>
      </c>
      <c r="NR3" s="2">
        <v>183154</v>
      </c>
      <c r="NS3" s="2">
        <v>186493</v>
      </c>
      <c r="NT3" s="2">
        <v>228254</v>
      </c>
      <c r="NU3" s="2">
        <v>197007</v>
      </c>
      <c r="NV3" s="2">
        <v>218070</v>
      </c>
      <c r="NW3" s="2">
        <v>162882</v>
      </c>
      <c r="NX3" s="2">
        <v>177710</v>
      </c>
      <c r="NY3" s="2">
        <v>280947</v>
      </c>
      <c r="NZ3" s="2">
        <v>226893</v>
      </c>
      <c r="OA3" s="2">
        <v>188235</v>
      </c>
      <c r="OB3" s="2">
        <v>217700</v>
      </c>
      <c r="OC3" s="2">
        <v>239620</v>
      </c>
      <c r="OD3" s="2">
        <v>183237</v>
      </c>
      <c r="OE3" s="2">
        <v>222373</v>
      </c>
      <c r="OF3" s="2">
        <v>242228</v>
      </c>
      <c r="OG3" s="2">
        <v>205977</v>
      </c>
      <c r="OH3" s="2">
        <v>235238</v>
      </c>
      <c r="OI3" s="2">
        <v>182500</v>
      </c>
      <c r="OJ3" s="2">
        <v>198296</v>
      </c>
      <c r="OK3" s="2">
        <v>288787</v>
      </c>
      <c r="OL3" s="2">
        <v>265615</v>
      </c>
      <c r="OM3" s="2">
        <v>210548</v>
      </c>
      <c r="ON3" s="2">
        <v>236786</v>
      </c>
      <c r="OO3" s="2">
        <v>261764</v>
      </c>
      <c r="OP3" s="2">
        <v>210965</v>
      </c>
      <c r="OQ3" s="2">
        <v>237562</v>
      </c>
      <c r="OR3" s="2">
        <v>284250</v>
      </c>
      <c r="OS3" s="2">
        <v>215530</v>
      </c>
      <c r="OT3" s="2">
        <v>253758</v>
      </c>
      <c r="OU3" s="2">
        <v>189410</v>
      </c>
      <c r="OV3" s="2">
        <v>177487</v>
      </c>
      <c r="OW3" s="2">
        <v>124934</v>
      </c>
      <c r="OX3" s="2">
        <v>145515</v>
      </c>
      <c r="OY3" s="2">
        <v>326559</v>
      </c>
      <c r="OZ3" s="2">
        <v>210384</v>
      </c>
      <c r="PA3" s="2">
        <v>233381</v>
      </c>
      <c r="PB3" s="2">
        <v>192776</v>
      </c>
      <c r="PC3" s="2">
        <v>204331</v>
      </c>
      <c r="PD3" s="2">
        <v>236537</v>
      </c>
      <c r="PE3" s="2">
        <v>209349</v>
      </c>
      <c r="PF3" s="2">
        <v>231038</v>
      </c>
      <c r="PG3" s="2">
        <v>203007</v>
      </c>
      <c r="PH3" s="2">
        <v>189675</v>
      </c>
      <c r="PI3" s="2">
        <v>271706</v>
      </c>
      <c r="PJ3" s="2">
        <v>234357</v>
      </c>
      <c r="PK3" s="2">
        <v>213671</v>
      </c>
      <c r="PL3" s="2">
        <v>230611</v>
      </c>
      <c r="PM3" s="2">
        <v>242356</v>
      </c>
      <c r="PN3" s="2">
        <v>213506</v>
      </c>
      <c r="PO3" s="2">
        <v>219387</v>
      </c>
      <c r="PP3" s="2">
        <v>269925</v>
      </c>
      <c r="PQ3" s="2">
        <v>223445</v>
      </c>
      <c r="PR3" s="2">
        <v>255626</v>
      </c>
      <c r="PS3" s="2">
        <v>198253</v>
      </c>
      <c r="PT3" s="2">
        <v>243819</v>
      </c>
      <c r="PU3" s="2">
        <v>307083</v>
      </c>
      <c r="PV3" s="2">
        <v>284792</v>
      </c>
      <c r="PW3" s="2">
        <v>251760</v>
      </c>
      <c r="PX3" s="2">
        <v>282919</v>
      </c>
      <c r="PY3" s="2">
        <v>309735</v>
      </c>
      <c r="PZ3" s="2">
        <v>254993</v>
      </c>
      <c r="QA3" s="2">
        <v>263472</v>
      </c>
      <c r="QB3" s="2">
        <v>313974</v>
      </c>
      <c r="QC3" s="2">
        <v>253889</v>
      </c>
      <c r="QD3" s="2">
        <v>308042</v>
      </c>
      <c r="QE3" s="2">
        <v>194642</v>
      </c>
      <c r="QF3" s="2">
        <v>224386</v>
      </c>
      <c r="QG3" s="2">
        <v>405411</v>
      </c>
      <c r="QH3" s="2">
        <v>294048</v>
      </c>
      <c r="QI3" s="2">
        <v>241172</v>
      </c>
      <c r="QJ3" s="2">
        <v>348881</v>
      </c>
      <c r="QK3" s="2">
        <v>291726</v>
      </c>
      <c r="QL3" s="2">
        <v>233532</v>
      </c>
      <c r="QM3" s="2">
        <v>354763</v>
      </c>
      <c r="QN3" s="2">
        <v>286063</v>
      </c>
      <c r="QO3" s="2">
        <v>246626</v>
      </c>
      <c r="QP3" s="2">
        <v>385170</v>
      </c>
      <c r="QQ3" s="2">
        <v>211311</v>
      </c>
      <c r="QR3" s="2">
        <v>223885</v>
      </c>
      <c r="QS3" s="2">
        <v>461780</v>
      </c>
      <c r="QT3" s="2">
        <v>303908</v>
      </c>
      <c r="QU3" s="2">
        <v>249316</v>
      </c>
      <c r="QV3" s="2">
        <v>402832</v>
      </c>
      <c r="QW3" s="2">
        <v>320218</v>
      </c>
      <c r="QX3" s="2">
        <v>253449</v>
      </c>
      <c r="QY3" s="2">
        <v>414856</v>
      </c>
      <c r="QZ3" s="2">
        <v>322381</v>
      </c>
      <c r="RA3" s="2">
        <v>251587</v>
      </c>
      <c r="RB3" s="2">
        <v>437537.87</v>
      </c>
      <c r="RC3" s="2">
        <v>234345.37000000002</v>
      </c>
      <c r="RD3" s="2">
        <v>259636.59</v>
      </c>
      <c r="RE3" s="2">
        <v>497983.11200000002</v>
      </c>
      <c r="RF3" s="2">
        <v>322895.17444883997</v>
      </c>
      <c r="RG3" s="2">
        <v>280115.3751533</v>
      </c>
      <c r="RH3" s="2">
        <v>422996.04406167998</v>
      </c>
      <c r="RI3" s="2">
        <v>331239.72500000009</v>
      </c>
      <c r="RJ3" s="2">
        <v>265903.815</v>
      </c>
      <c r="RK3" s="2">
        <v>414501.35</v>
      </c>
      <c r="RL3" s="2">
        <v>331434.04999999993</v>
      </c>
      <c r="RM3" s="2">
        <v>278582</v>
      </c>
      <c r="RN3" s="2">
        <v>442820</v>
      </c>
      <c r="RO3" s="2">
        <v>249791</v>
      </c>
      <c r="RP3" s="2">
        <v>276539</v>
      </c>
      <c r="RQ3" s="2">
        <v>511012</v>
      </c>
      <c r="RR3" s="2">
        <v>362315</v>
      </c>
      <c r="RS3" s="2">
        <v>299326</v>
      </c>
      <c r="RT3" s="2"/>
      <c r="RU3" s="2"/>
      <c r="RV3" s="2"/>
      <c r="RW3" s="2"/>
      <c r="RX3" s="2"/>
      <c r="RY3" s="2"/>
    </row>
    <row r="4" spans="1:493" x14ac:dyDescent="0.25">
      <c r="A4" t="s">
        <v>459</v>
      </c>
      <c r="B4" s="2">
        <v>4146</v>
      </c>
      <c r="C4" s="2">
        <v>2231</v>
      </c>
      <c r="D4" s="2">
        <v>3351</v>
      </c>
      <c r="E4" s="2">
        <v>6483</v>
      </c>
      <c r="F4" s="2">
        <v>3384</v>
      </c>
      <c r="G4" s="2">
        <v>2834</v>
      </c>
      <c r="H4" s="2">
        <v>5050</v>
      </c>
      <c r="I4" s="2">
        <v>3207</v>
      </c>
      <c r="J4" s="2">
        <v>2697</v>
      </c>
      <c r="K4" s="2">
        <v>5322</v>
      </c>
      <c r="L4" s="2">
        <v>3918</v>
      </c>
      <c r="M4" s="2">
        <v>4181</v>
      </c>
      <c r="N4" s="2">
        <v>5743</v>
      </c>
      <c r="O4" s="2">
        <v>2969</v>
      </c>
      <c r="P4" s="2">
        <v>3771</v>
      </c>
      <c r="Q4" s="2">
        <v>7524</v>
      </c>
      <c r="R4" s="2">
        <v>4074</v>
      </c>
      <c r="S4" s="2">
        <v>5184</v>
      </c>
      <c r="T4" s="2">
        <v>6334</v>
      </c>
      <c r="U4" s="2">
        <v>4980</v>
      </c>
      <c r="V4" s="2">
        <v>3498</v>
      </c>
      <c r="W4" s="2">
        <v>5840</v>
      </c>
      <c r="X4" s="2">
        <v>3437</v>
      </c>
      <c r="Y4" s="2">
        <v>5246</v>
      </c>
      <c r="Z4" s="2">
        <v>6005</v>
      </c>
      <c r="AA4" s="2">
        <v>3961</v>
      </c>
      <c r="AB4" s="2">
        <v>3558</v>
      </c>
      <c r="AC4" s="2">
        <v>8629</v>
      </c>
      <c r="AD4" s="2">
        <v>5659</v>
      </c>
      <c r="AE4" s="2">
        <v>3808</v>
      </c>
      <c r="AF4" s="2">
        <v>6344</v>
      </c>
      <c r="AG4" s="2">
        <v>5644</v>
      </c>
      <c r="AH4" s="2">
        <v>3645</v>
      </c>
      <c r="AI4" s="2">
        <v>6099</v>
      </c>
      <c r="AJ4" s="2">
        <v>5524</v>
      </c>
      <c r="AK4" s="2">
        <v>4845</v>
      </c>
      <c r="AL4" s="2">
        <v>7182</v>
      </c>
      <c r="AM4" s="2">
        <v>4404</v>
      </c>
      <c r="AN4" s="2">
        <v>4527</v>
      </c>
      <c r="AO4" s="2">
        <v>10623</v>
      </c>
      <c r="AP4" s="2">
        <v>7244</v>
      </c>
      <c r="AQ4" s="2">
        <v>5237</v>
      </c>
      <c r="AR4" s="2">
        <v>8720</v>
      </c>
      <c r="AS4" s="2">
        <v>7226</v>
      </c>
      <c r="AT4" s="2">
        <v>4743</v>
      </c>
      <c r="AU4" s="2">
        <v>8865</v>
      </c>
      <c r="AV4" s="2">
        <v>7305</v>
      </c>
      <c r="AW4" s="2">
        <v>5925</v>
      </c>
      <c r="AX4" s="2">
        <v>10265</v>
      </c>
      <c r="AY4" s="2">
        <v>5906</v>
      </c>
      <c r="AZ4" s="2">
        <v>6756</v>
      </c>
      <c r="BA4" s="2">
        <v>13239</v>
      </c>
      <c r="BB4" s="2">
        <v>8993</v>
      </c>
      <c r="BC4" s="2">
        <v>6272</v>
      </c>
      <c r="BD4" s="2">
        <v>11132</v>
      </c>
      <c r="BE4" s="2">
        <v>8299</v>
      </c>
      <c r="BF4" s="2">
        <v>5763</v>
      </c>
      <c r="BG4" s="2">
        <v>11721</v>
      </c>
      <c r="BH4" s="2">
        <v>8928</v>
      </c>
      <c r="BI4" s="2">
        <v>6711</v>
      </c>
      <c r="BJ4" s="2">
        <v>12816</v>
      </c>
      <c r="BK4" s="2">
        <v>5988</v>
      </c>
      <c r="BL4" s="2">
        <v>5924</v>
      </c>
      <c r="BM4" s="2">
        <v>17489</v>
      </c>
      <c r="BN4" s="2">
        <v>9806</v>
      </c>
      <c r="BO4" s="2">
        <v>6225</v>
      </c>
      <c r="BP4" s="2">
        <v>12702</v>
      </c>
      <c r="BQ4" s="2">
        <v>9227</v>
      </c>
      <c r="BR4" s="2">
        <v>5919</v>
      </c>
      <c r="BS4" s="2">
        <v>12564</v>
      </c>
      <c r="BT4" s="2">
        <v>9238</v>
      </c>
      <c r="BU4" s="2">
        <v>8358</v>
      </c>
      <c r="BV4" s="2">
        <v>15661</v>
      </c>
      <c r="BW4" s="2">
        <v>7731</v>
      </c>
      <c r="BX4" s="2">
        <v>7975</v>
      </c>
      <c r="BY4" s="2">
        <v>19322</v>
      </c>
      <c r="BZ4" s="2">
        <v>7625</v>
      </c>
      <c r="CA4" s="2">
        <v>9624</v>
      </c>
      <c r="CB4" s="2">
        <v>14245</v>
      </c>
      <c r="CC4" s="2">
        <v>10541</v>
      </c>
      <c r="CD4" s="2">
        <v>7592</v>
      </c>
      <c r="CE4" s="2">
        <v>13651</v>
      </c>
      <c r="CF4" s="2">
        <v>7868</v>
      </c>
      <c r="CG4" s="2">
        <v>12069</v>
      </c>
      <c r="CH4" s="2">
        <v>16077</v>
      </c>
      <c r="CI4" s="2">
        <v>7318</v>
      </c>
      <c r="CJ4" s="2">
        <v>10230</v>
      </c>
      <c r="CK4" s="2">
        <v>18780</v>
      </c>
      <c r="CL4" s="2">
        <v>10999</v>
      </c>
      <c r="CM4" s="2">
        <v>9382</v>
      </c>
      <c r="CN4" s="2">
        <v>13104</v>
      </c>
      <c r="CO4" s="2">
        <v>12156</v>
      </c>
      <c r="CP4" s="2">
        <v>9204</v>
      </c>
      <c r="CQ4" s="2">
        <v>14331</v>
      </c>
      <c r="CR4" s="2">
        <v>13832</v>
      </c>
      <c r="CS4" s="2">
        <v>10514</v>
      </c>
      <c r="CT4" s="2">
        <v>17585</v>
      </c>
      <c r="CU4" s="2">
        <v>9349</v>
      </c>
      <c r="CV4" s="2">
        <v>13698</v>
      </c>
      <c r="CW4" s="2">
        <v>25599</v>
      </c>
      <c r="CX4" s="2">
        <v>15144</v>
      </c>
      <c r="CY4" s="2">
        <v>11905</v>
      </c>
      <c r="CZ4" s="2">
        <v>17356</v>
      </c>
      <c r="DA4" s="2">
        <v>16317</v>
      </c>
      <c r="DB4" s="2">
        <v>11735</v>
      </c>
      <c r="DC4" s="2">
        <v>18164</v>
      </c>
      <c r="DD4" s="2">
        <v>17224</v>
      </c>
      <c r="DE4" s="2">
        <v>13369</v>
      </c>
      <c r="DF4" s="2">
        <v>18240</v>
      </c>
      <c r="DG4" s="2">
        <v>11835</v>
      </c>
      <c r="DH4" s="2">
        <v>12402</v>
      </c>
      <c r="DI4" s="2">
        <v>29046</v>
      </c>
      <c r="DJ4" s="2">
        <v>17880</v>
      </c>
      <c r="DK4" s="2">
        <v>14165</v>
      </c>
      <c r="DL4" s="2">
        <v>20065</v>
      </c>
      <c r="DM4" s="2">
        <v>19467</v>
      </c>
      <c r="DN4" s="2">
        <v>12248</v>
      </c>
      <c r="DO4" s="2">
        <v>19701</v>
      </c>
      <c r="DP4" s="2">
        <v>18804</v>
      </c>
      <c r="DQ4" s="2">
        <v>16342</v>
      </c>
      <c r="DR4" s="2">
        <v>23547</v>
      </c>
      <c r="DS4" s="2">
        <v>13663</v>
      </c>
      <c r="DT4" s="2">
        <v>14915</v>
      </c>
      <c r="DU4" s="2">
        <v>36447</v>
      </c>
      <c r="DV4" s="2">
        <v>21426</v>
      </c>
      <c r="DW4" s="2">
        <v>15151</v>
      </c>
      <c r="DX4" s="2">
        <v>24676</v>
      </c>
      <c r="DY4" s="2">
        <v>22947</v>
      </c>
      <c r="DZ4" s="2">
        <v>15775</v>
      </c>
      <c r="EA4" s="2">
        <v>27578</v>
      </c>
      <c r="EB4" s="2">
        <v>24627</v>
      </c>
      <c r="EC4" s="2">
        <v>20022</v>
      </c>
      <c r="ED4" s="2">
        <v>28601</v>
      </c>
      <c r="EE4" s="2">
        <v>17405</v>
      </c>
      <c r="EF4" s="2">
        <v>18791</v>
      </c>
      <c r="EG4" s="2">
        <v>44940</v>
      </c>
      <c r="EH4" s="2">
        <v>19933</v>
      </c>
      <c r="EI4" s="2">
        <v>24948</v>
      </c>
      <c r="EJ4" s="2">
        <v>28857</v>
      </c>
      <c r="EK4" s="2">
        <v>28984</v>
      </c>
      <c r="EL4" s="2">
        <v>21689</v>
      </c>
      <c r="EM4" s="2">
        <v>29790</v>
      </c>
      <c r="EN4" s="2">
        <v>21857</v>
      </c>
      <c r="EO4" s="2">
        <v>28902</v>
      </c>
      <c r="EP4" s="2">
        <v>35086</v>
      </c>
      <c r="EQ4" s="2">
        <v>19304</v>
      </c>
      <c r="ER4" s="2">
        <v>21154</v>
      </c>
      <c r="ES4" s="2">
        <v>46473</v>
      </c>
      <c r="ET4" s="2">
        <v>19760</v>
      </c>
      <c r="EU4" s="2">
        <v>24275</v>
      </c>
      <c r="EV4" s="2">
        <v>34132</v>
      </c>
      <c r="EW4" s="2">
        <v>21545</v>
      </c>
      <c r="EX4" s="2">
        <v>26793</v>
      </c>
      <c r="EY4" s="2">
        <v>33553</v>
      </c>
      <c r="EZ4" s="2">
        <v>26766</v>
      </c>
      <c r="FA4" s="2">
        <v>28334</v>
      </c>
      <c r="FB4" s="2">
        <v>35100</v>
      </c>
      <c r="FC4" s="2">
        <v>18874</v>
      </c>
      <c r="FD4" s="2">
        <v>21994</v>
      </c>
      <c r="FE4" s="2">
        <v>50000</v>
      </c>
      <c r="FF4" s="2">
        <v>25767</v>
      </c>
      <c r="FG4" s="2">
        <v>24238</v>
      </c>
      <c r="FH4" s="2">
        <v>31760</v>
      </c>
      <c r="FI4" s="2">
        <v>25980</v>
      </c>
      <c r="FJ4" s="2">
        <v>21888</v>
      </c>
      <c r="FK4" s="2">
        <v>30353</v>
      </c>
      <c r="FL4" s="2">
        <v>24957</v>
      </c>
      <c r="FM4" s="2">
        <v>30408</v>
      </c>
      <c r="FN4" s="2">
        <v>35867</v>
      </c>
      <c r="FO4" s="2">
        <v>22378</v>
      </c>
      <c r="FP4" s="2">
        <v>23860</v>
      </c>
      <c r="FQ4" s="2">
        <v>45563</v>
      </c>
      <c r="FR4" s="2">
        <v>29036</v>
      </c>
      <c r="FS4" s="2">
        <v>24365</v>
      </c>
      <c r="FT4" s="2">
        <v>32570</v>
      </c>
      <c r="FU4" s="2">
        <v>31197</v>
      </c>
      <c r="FV4" s="2">
        <v>20424</v>
      </c>
      <c r="FW4" s="2">
        <v>34126</v>
      </c>
      <c r="FX4" s="2">
        <v>28005</v>
      </c>
      <c r="FY4" s="2">
        <v>33411</v>
      </c>
      <c r="FZ4" s="2">
        <v>39294</v>
      </c>
      <c r="GA4" s="2">
        <v>20360</v>
      </c>
      <c r="GB4" s="2">
        <v>25458</v>
      </c>
      <c r="GC4" s="2">
        <v>53592</v>
      </c>
      <c r="GD4" s="2">
        <v>28439</v>
      </c>
      <c r="GE4" s="2">
        <v>23934</v>
      </c>
      <c r="GF4" s="2">
        <v>38599</v>
      </c>
      <c r="GG4" s="2">
        <v>28558</v>
      </c>
      <c r="GH4" s="2">
        <v>24662</v>
      </c>
      <c r="GI4" s="2">
        <v>37307</v>
      </c>
      <c r="GJ4" s="2">
        <v>34719</v>
      </c>
      <c r="GK4" s="2">
        <v>33757</v>
      </c>
      <c r="GL4" s="2">
        <v>35037</v>
      </c>
      <c r="GM4" s="2">
        <v>31001</v>
      </c>
      <c r="GN4" s="2">
        <v>26734</v>
      </c>
      <c r="GO4" s="2">
        <v>42867</v>
      </c>
      <c r="GP4" s="2">
        <v>30887</v>
      </c>
      <c r="GQ4" s="2">
        <v>29091</v>
      </c>
      <c r="GR4" s="2">
        <v>30724</v>
      </c>
      <c r="GS4" s="2">
        <v>34176</v>
      </c>
      <c r="GT4" s="2">
        <v>32876</v>
      </c>
      <c r="GU4" s="2">
        <v>30465</v>
      </c>
      <c r="GV4" s="2">
        <v>40997</v>
      </c>
      <c r="GW4" s="2">
        <v>37887</v>
      </c>
      <c r="GX4" s="2">
        <v>34357</v>
      </c>
      <c r="GY4" s="2">
        <v>27092</v>
      </c>
      <c r="GZ4" s="2">
        <v>28744</v>
      </c>
      <c r="HA4" s="2">
        <v>50572</v>
      </c>
      <c r="HB4" s="2">
        <v>37049</v>
      </c>
      <c r="HC4" s="2">
        <v>32221</v>
      </c>
      <c r="HD4" s="2">
        <v>33884</v>
      </c>
      <c r="HE4" s="2">
        <v>38733</v>
      </c>
      <c r="HF4" s="2">
        <v>29743</v>
      </c>
      <c r="HG4" s="2">
        <v>35435</v>
      </c>
      <c r="HH4" s="2">
        <v>42446</v>
      </c>
      <c r="HI4" s="2">
        <v>37074</v>
      </c>
      <c r="HJ4" s="2">
        <v>36537</v>
      </c>
      <c r="HK4" s="2">
        <v>28833</v>
      </c>
      <c r="HL4" s="2">
        <v>33906</v>
      </c>
      <c r="HM4" s="2">
        <v>53265</v>
      </c>
      <c r="HN4" s="2">
        <v>41436</v>
      </c>
      <c r="HO4" s="2">
        <v>36087</v>
      </c>
      <c r="HP4" s="2">
        <v>39048</v>
      </c>
      <c r="HQ4" s="2">
        <v>43359</v>
      </c>
      <c r="HR4" s="2">
        <v>32769</v>
      </c>
      <c r="HS4" s="2">
        <v>39599</v>
      </c>
      <c r="HT4" s="2">
        <v>44131</v>
      </c>
      <c r="HU4" s="2">
        <v>41359</v>
      </c>
      <c r="HV4" s="2">
        <v>42025</v>
      </c>
      <c r="HW4" s="2">
        <v>31669</v>
      </c>
      <c r="HX4" s="2">
        <v>36328</v>
      </c>
      <c r="HY4" s="2">
        <v>63145</v>
      </c>
      <c r="HZ4" s="2">
        <v>48958</v>
      </c>
      <c r="IA4" s="2">
        <v>38743</v>
      </c>
      <c r="IB4" s="2">
        <v>40997</v>
      </c>
      <c r="IC4" s="2">
        <v>55847</v>
      </c>
      <c r="ID4" s="2">
        <v>40725</v>
      </c>
      <c r="IE4" s="2">
        <v>48086</v>
      </c>
      <c r="IF4" s="2">
        <v>51387</v>
      </c>
      <c r="IG4" s="2">
        <v>44787</v>
      </c>
      <c r="IH4" s="2">
        <v>49498</v>
      </c>
      <c r="II4" s="2">
        <v>41719</v>
      </c>
      <c r="IJ4" s="2">
        <v>43740</v>
      </c>
      <c r="IK4" s="2">
        <v>71368</v>
      </c>
      <c r="IL4" s="2">
        <v>61698</v>
      </c>
      <c r="IM4" s="2">
        <v>50368</v>
      </c>
      <c r="IN4" s="2">
        <v>48878</v>
      </c>
      <c r="IO4" s="2">
        <v>70720</v>
      </c>
      <c r="IP4" s="2">
        <v>42766</v>
      </c>
      <c r="IQ4" s="2">
        <v>52063</v>
      </c>
      <c r="IR4" s="2">
        <v>61257</v>
      </c>
      <c r="IS4" s="2">
        <v>58659</v>
      </c>
      <c r="IT4" s="2">
        <v>49735</v>
      </c>
      <c r="IU4" s="2">
        <v>41243</v>
      </c>
      <c r="IV4" s="2">
        <v>52130</v>
      </c>
      <c r="IW4" s="2">
        <v>75771</v>
      </c>
      <c r="IX4" s="2">
        <v>66708</v>
      </c>
      <c r="IY4" s="2">
        <v>49131</v>
      </c>
      <c r="IZ4" s="2">
        <v>58695</v>
      </c>
      <c r="JA4" s="2">
        <v>79578</v>
      </c>
      <c r="JB4" s="2">
        <v>48929</v>
      </c>
      <c r="JC4" s="2">
        <v>53518</v>
      </c>
      <c r="JD4" s="2">
        <v>72252</v>
      </c>
      <c r="JE4" s="2">
        <v>65915</v>
      </c>
      <c r="JF4" s="2">
        <v>56710</v>
      </c>
      <c r="JG4" s="2">
        <v>50878</v>
      </c>
      <c r="JH4" s="2">
        <v>59024</v>
      </c>
      <c r="JI4" s="2">
        <v>91345</v>
      </c>
      <c r="JJ4" s="2">
        <v>77713</v>
      </c>
      <c r="JK4" s="2">
        <v>54088</v>
      </c>
      <c r="JL4" s="2">
        <v>63435</v>
      </c>
      <c r="JM4" s="2">
        <v>78905</v>
      </c>
      <c r="JN4" s="2">
        <v>55768</v>
      </c>
      <c r="JO4" s="2">
        <v>56945</v>
      </c>
      <c r="JP4" s="2">
        <v>76745</v>
      </c>
      <c r="JQ4" s="2">
        <v>57015</v>
      </c>
      <c r="JR4" s="2">
        <v>55230</v>
      </c>
      <c r="JS4" s="2">
        <v>47405</v>
      </c>
      <c r="JT4" s="2">
        <v>52136</v>
      </c>
      <c r="JU4" s="2">
        <v>87076</v>
      </c>
      <c r="JV4" s="2">
        <v>73338</v>
      </c>
      <c r="JW4" s="2">
        <v>60427</v>
      </c>
      <c r="JX4" s="2">
        <v>57606</v>
      </c>
      <c r="JY4" s="2">
        <v>67580</v>
      </c>
      <c r="JZ4" s="2">
        <v>56237</v>
      </c>
      <c r="KA4" s="2">
        <v>54920</v>
      </c>
      <c r="KB4" s="2">
        <v>69958</v>
      </c>
      <c r="KC4" s="2">
        <v>68374</v>
      </c>
      <c r="KD4" s="2">
        <v>64606</v>
      </c>
      <c r="KE4" s="2">
        <v>50975</v>
      </c>
      <c r="KF4" s="2">
        <v>58311</v>
      </c>
      <c r="KG4" s="2">
        <v>91162</v>
      </c>
      <c r="KH4" s="2">
        <v>79049</v>
      </c>
      <c r="KI4" s="2">
        <v>59366</v>
      </c>
      <c r="KJ4" s="2">
        <v>63813</v>
      </c>
      <c r="KK4" s="2">
        <v>79090</v>
      </c>
      <c r="KL4" s="2">
        <v>60958</v>
      </c>
      <c r="KM4" s="2">
        <v>63565</v>
      </c>
      <c r="KN4" s="2">
        <v>82430</v>
      </c>
      <c r="KO4" s="2">
        <v>69298</v>
      </c>
      <c r="KP4" s="2">
        <v>74569</v>
      </c>
      <c r="KQ4" s="2">
        <v>53418</v>
      </c>
      <c r="KR4" s="2">
        <v>71562</v>
      </c>
      <c r="KS4" s="2">
        <v>103393</v>
      </c>
      <c r="KT4" s="2">
        <v>88150</v>
      </c>
      <c r="KU4" s="2">
        <v>66904</v>
      </c>
      <c r="KV4" s="2">
        <v>73789</v>
      </c>
      <c r="KW4" s="2">
        <v>87928</v>
      </c>
      <c r="KX4" s="2">
        <v>66547</v>
      </c>
      <c r="KY4" s="2">
        <v>70504</v>
      </c>
      <c r="KZ4" s="2">
        <v>92751</v>
      </c>
      <c r="LA4" s="2">
        <v>74631</v>
      </c>
      <c r="LB4" s="2">
        <v>85147</v>
      </c>
      <c r="LC4" s="2">
        <v>68694</v>
      </c>
      <c r="LD4" s="2">
        <v>75203</v>
      </c>
      <c r="LE4" s="2">
        <v>116221</v>
      </c>
      <c r="LF4" s="2">
        <v>94551</v>
      </c>
      <c r="LG4" s="2">
        <v>81343</v>
      </c>
      <c r="LH4" s="2">
        <v>83517</v>
      </c>
      <c r="LI4" s="2">
        <v>96756</v>
      </c>
      <c r="LJ4" s="2">
        <v>71036</v>
      </c>
      <c r="LK4" s="2">
        <v>86105</v>
      </c>
      <c r="LL4" s="2">
        <v>110767</v>
      </c>
      <c r="LM4" s="2">
        <v>88576</v>
      </c>
      <c r="LN4" s="2">
        <v>94718</v>
      </c>
      <c r="LO4" s="2">
        <v>74519</v>
      </c>
      <c r="LP4" s="2">
        <v>74825</v>
      </c>
      <c r="LQ4" s="2">
        <v>148989</v>
      </c>
      <c r="LR4" s="2">
        <v>111899</v>
      </c>
      <c r="LS4" s="2">
        <v>88761</v>
      </c>
      <c r="LT4" s="2">
        <v>100098</v>
      </c>
      <c r="LU4" s="2">
        <v>118110</v>
      </c>
      <c r="LV4" s="2">
        <v>86034</v>
      </c>
      <c r="LW4" s="2">
        <v>95587</v>
      </c>
      <c r="LX4" s="2">
        <v>126462</v>
      </c>
      <c r="LY4" s="2">
        <v>96659</v>
      </c>
      <c r="LZ4" s="2">
        <v>104151</v>
      </c>
      <c r="MA4" s="2">
        <v>78378</v>
      </c>
      <c r="MB4" s="2">
        <v>82176</v>
      </c>
      <c r="MC4" s="2">
        <v>156111</v>
      </c>
      <c r="MD4" s="2">
        <v>128273</v>
      </c>
      <c r="ME4" s="2">
        <v>94120</v>
      </c>
      <c r="MF4" s="2">
        <v>119942</v>
      </c>
      <c r="MG4" s="2">
        <v>127565</v>
      </c>
      <c r="MH4" s="2">
        <v>105708</v>
      </c>
      <c r="MI4" s="2">
        <v>101801</v>
      </c>
      <c r="MJ4" s="2">
        <v>121889</v>
      </c>
      <c r="MK4" s="2">
        <v>114648</v>
      </c>
      <c r="ML4" s="2">
        <v>121134</v>
      </c>
      <c r="MM4" s="2">
        <v>88891</v>
      </c>
      <c r="MN4" s="2">
        <v>97063</v>
      </c>
      <c r="MO4" s="2">
        <v>160777</v>
      </c>
      <c r="MP4" s="2">
        <v>128454</v>
      </c>
      <c r="MQ4" s="2">
        <v>109550</v>
      </c>
      <c r="MR4" s="2">
        <v>118193</v>
      </c>
      <c r="MS4" s="2">
        <v>138529</v>
      </c>
      <c r="MT4" s="2">
        <v>112268</v>
      </c>
      <c r="MU4" s="2">
        <v>115761</v>
      </c>
      <c r="MV4" s="2">
        <v>136368</v>
      </c>
      <c r="MW4" s="2">
        <v>106314</v>
      </c>
      <c r="MX4" s="2">
        <v>129652</v>
      </c>
      <c r="MY4" s="2">
        <v>94837</v>
      </c>
      <c r="MZ4" s="2">
        <v>105683</v>
      </c>
      <c r="NA4" s="2">
        <v>177656</v>
      </c>
      <c r="NB4" s="2">
        <v>151575</v>
      </c>
      <c r="NC4" s="2">
        <v>124018</v>
      </c>
      <c r="ND4" s="2">
        <v>117448</v>
      </c>
      <c r="NE4" s="2">
        <v>157468</v>
      </c>
      <c r="NF4" s="2">
        <v>112996</v>
      </c>
      <c r="NG4" s="2">
        <v>121893</v>
      </c>
      <c r="NH4" s="2">
        <v>156772</v>
      </c>
      <c r="NI4" s="2">
        <v>117216</v>
      </c>
      <c r="NJ4" s="2">
        <v>147393</v>
      </c>
      <c r="NK4" s="2">
        <v>105862</v>
      </c>
      <c r="NL4" s="2">
        <v>117149</v>
      </c>
      <c r="NM4" s="2">
        <v>187670</v>
      </c>
      <c r="NN4" s="2">
        <v>158694</v>
      </c>
      <c r="NO4" s="2">
        <v>131245</v>
      </c>
      <c r="NP4" s="2">
        <v>138080</v>
      </c>
      <c r="NQ4" s="2">
        <v>171654</v>
      </c>
      <c r="NR4" s="2">
        <v>141431</v>
      </c>
      <c r="NS4" s="2">
        <v>142542</v>
      </c>
      <c r="NT4" s="2">
        <v>179355</v>
      </c>
      <c r="NU4" s="2">
        <v>151246</v>
      </c>
      <c r="NV4" s="2">
        <v>175612</v>
      </c>
      <c r="NW4" s="2">
        <v>116641</v>
      </c>
      <c r="NX4" s="2">
        <v>130827</v>
      </c>
      <c r="NY4" s="2">
        <v>232618</v>
      </c>
      <c r="NZ4" s="2">
        <v>172032</v>
      </c>
      <c r="OA4" s="2">
        <v>136780</v>
      </c>
      <c r="OB4" s="2">
        <v>163999</v>
      </c>
      <c r="OC4" s="2">
        <v>185091</v>
      </c>
      <c r="OD4" s="2">
        <v>130573</v>
      </c>
      <c r="OE4" s="2">
        <v>164792</v>
      </c>
      <c r="OF4" s="2">
        <v>192048</v>
      </c>
      <c r="OG4" s="2">
        <v>150837</v>
      </c>
      <c r="OH4" s="2">
        <v>185088</v>
      </c>
      <c r="OI4" s="2">
        <v>135720</v>
      </c>
      <c r="OJ4" s="2">
        <v>147411</v>
      </c>
      <c r="OK4" s="2">
        <v>235461</v>
      </c>
      <c r="OL4" s="2">
        <v>204838</v>
      </c>
      <c r="OM4" s="2">
        <v>157829</v>
      </c>
      <c r="ON4" s="2">
        <v>180341</v>
      </c>
      <c r="OO4" s="2">
        <v>205587</v>
      </c>
      <c r="OP4" s="2">
        <v>150475</v>
      </c>
      <c r="OQ4" s="2">
        <v>178122</v>
      </c>
      <c r="OR4" s="2">
        <v>232059</v>
      </c>
      <c r="OS4" s="2">
        <v>162575</v>
      </c>
      <c r="OT4" s="2">
        <v>194889</v>
      </c>
      <c r="OU4" s="2">
        <v>142216</v>
      </c>
      <c r="OV4" s="2">
        <v>131687</v>
      </c>
      <c r="OW4" s="2">
        <v>90505</v>
      </c>
      <c r="OX4" s="2">
        <v>114434</v>
      </c>
      <c r="OY4" s="2">
        <v>282666</v>
      </c>
      <c r="OZ4" s="2">
        <v>158991</v>
      </c>
      <c r="PA4" s="2">
        <v>187932</v>
      </c>
      <c r="PB4" s="2">
        <v>140605</v>
      </c>
      <c r="PC4" s="2">
        <v>152072</v>
      </c>
      <c r="PD4" s="2">
        <v>191672</v>
      </c>
      <c r="PE4" s="2">
        <v>163354</v>
      </c>
      <c r="PF4" s="2">
        <v>182150</v>
      </c>
      <c r="PG4" s="2">
        <v>154141</v>
      </c>
      <c r="PH4" s="2">
        <v>133367</v>
      </c>
      <c r="PI4" s="2">
        <v>219045</v>
      </c>
      <c r="PJ4" s="2">
        <v>183711</v>
      </c>
      <c r="PK4" s="2">
        <v>159364</v>
      </c>
      <c r="PL4" s="2">
        <v>170833</v>
      </c>
      <c r="PM4" s="2">
        <v>186077</v>
      </c>
      <c r="PN4" s="2">
        <v>154228</v>
      </c>
      <c r="PO4" s="2">
        <v>162115</v>
      </c>
      <c r="PP4" s="2">
        <v>210746</v>
      </c>
      <c r="PQ4" s="2">
        <v>162331</v>
      </c>
      <c r="PR4" s="2">
        <v>195775</v>
      </c>
      <c r="PS4" s="2">
        <v>136607</v>
      </c>
      <c r="PT4" s="2">
        <v>170384</v>
      </c>
      <c r="PU4" s="2">
        <v>239604</v>
      </c>
      <c r="PV4" s="2">
        <v>216618</v>
      </c>
      <c r="PW4" s="2">
        <v>173540</v>
      </c>
      <c r="PX4" s="2">
        <v>197390</v>
      </c>
      <c r="PY4" s="2">
        <v>228938</v>
      </c>
      <c r="PZ4" s="2">
        <v>173629</v>
      </c>
      <c r="QA4" s="2">
        <v>186759</v>
      </c>
      <c r="QB4" s="2">
        <v>237143</v>
      </c>
      <c r="QC4" s="2">
        <v>179287</v>
      </c>
      <c r="QD4" s="2">
        <v>234819</v>
      </c>
      <c r="QE4" s="2">
        <v>129378</v>
      </c>
      <c r="QF4" s="2">
        <v>140962</v>
      </c>
      <c r="QG4" s="2">
        <v>336020</v>
      </c>
      <c r="QH4" s="2">
        <v>213273</v>
      </c>
      <c r="QI4" s="2">
        <v>164736</v>
      </c>
      <c r="QJ4" s="2">
        <v>273134</v>
      </c>
      <c r="QK4" s="2">
        <v>213536</v>
      </c>
      <c r="QL4" s="2">
        <v>152171</v>
      </c>
      <c r="QM4" s="2">
        <v>274429</v>
      </c>
      <c r="QN4" s="2">
        <v>210242</v>
      </c>
      <c r="QO4" s="2">
        <v>174286</v>
      </c>
      <c r="QP4" s="2">
        <v>308435</v>
      </c>
      <c r="QQ4" s="2">
        <v>137988</v>
      </c>
      <c r="QR4" s="2">
        <v>145346</v>
      </c>
      <c r="QS4" s="2">
        <v>378521</v>
      </c>
      <c r="QT4" s="2">
        <v>219228</v>
      </c>
      <c r="QU4" s="2">
        <v>172503</v>
      </c>
      <c r="QV4" s="2">
        <v>319814</v>
      </c>
      <c r="QW4" s="2">
        <v>238120</v>
      </c>
      <c r="QX4" s="2">
        <v>174679</v>
      </c>
      <c r="QY4" s="2">
        <v>325536</v>
      </c>
      <c r="QZ4" s="2">
        <v>247594</v>
      </c>
      <c r="RA4" s="2">
        <v>183839</v>
      </c>
      <c r="RB4" s="2">
        <v>355095.87</v>
      </c>
      <c r="RC4" s="2">
        <v>159653.37000000002</v>
      </c>
      <c r="RD4" s="2">
        <v>175659.59</v>
      </c>
      <c r="RE4" s="2">
        <v>420527.11200000002</v>
      </c>
      <c r="RF4" s="2">
        <v>242704.17444884</v>
      </c>
      <c r="RG4" s="2">
        <v>200524.37515329997</v>
      </c>
      <c r="RH4" s="2">
        <v>335254.04406167998</v>
      </c>
      <c r="RI4" s="2">
        <v>250111.72500000006</v>
      </c>
      <c r="RJ4" s="2">
        <v>182960.815</v>
      </c>
      <c r="RK4" s="2">
        <v>328842.34999999998</v>
      </c>
      <c r="RL4" s="2">
        <v>254285.04999999996</v>
      </c>
      <c r="RM4" s="2">
        <v>204210</v>
      </c>
      <c r="RN4" s="2">
        <v>358671</v>
      </c>
      <c r="RO4" s="2">
        <v>173235</v>
      </c>
      <c r="RP4" s="2">
        <v>187259</v>
      </c>
      <c r="RQ4" s="2">
        <v>422243</v>
      </c>
      <c r="RR4" s="2">
        <v>279134</v>
      </c>
      <c r="RS4" s="2">
        <v>210693</v>
      </c>
      <c r="RT4" s="2"/>
      <c r="RU4" s="2"/>
      <c r="RV4" s="2"/>
      <c r="RW4" s="2"/>
      <c r="RX4" s="2"/>
      <c r="RY4" s="2"/>
    </row>
    <row r="5" spans="1:493" x14ac:dyDescent="0.25">
      <c r="A5" t="s">
        <v>460</v>
      </c>
      <c r="B5" s="2">
        <v>1791</v>
      </c>
      <c r="C5" s="2">
        <v>849</v>
      </c>
      <c r="D5" s="2">
        <v>1805</v>
      </c>
      <c r="E5" s="2">
        <v>1578</v>
      </c>
      <c r="F5" s="2">
        <v>1333</v>
      </c>
      <c r="G5" s="2">
        <v>1402</v>
      </c>
      <c r="H5" s="2">
        <v>1428</v>
      </c>
      <c r="I5" s="2">
        <v>1360</v>
      </c>
      <c r="J5" s="2">
        <v>1379</v>
      </c>
      <c r="K5" s="2">
        <v>1553</v>
      </c>
      <c r="L5" s="2">
        <v>1241</v>
      </c>
      <c r="M5" s="2">
        <v>1777</v>
      </c>
      <c r="N5" s="2">
        <v>1467</v>
      </c>
      <c r="O5" s="2">
        <v>1925</v>
      </c>
      <c r="P5" s="2">
        <v>2174</v>
      </c>
      <c r="Q5" s="2">
        <v>2080</v>
      </c>
      <c r="R5" s="2">
        <v>1638</v>
      </c>
      <c r="S5" s="2">
        <v>2340</v>
      </c>
      <c r="T5" s="2">
        <v>2429</v>
      </c>
      <c r="U5" s="2">
        <v>2062</v>
      </c>
      <c r="V5" s="2">
        <v>2549</v>
      </c>
      <c r="W5" s="2">
        <v>2392</v>
      </c>
      <c r="X5" s="2">
        <v>1998</v>
      </c>
      <c r="Y5" s="2">
        <v>2938</v>
      </c>
      <c r="Z5" s="2">
        <v>1590</v>
      </c>
      <c r="AA5" s="2">
        <v>1990</v>
      </c>
      <c r="AB5" s="2">
        <v>2263</v>
      </c>
      <c r="AC5" s="2">
        <v>1890</v>
      </c>
      <c r="AD5" s="2">
        <v>2014</v>
      </c>
      <c r="AE5" s="2">
        <v>2054</v>
      </c>
      <c r="AF5" s="2">
        <v>1992</v>
      </c>
      <c r="AG5" s="2">
        <v>2089</v>
      </c>
      <c r="AH5" s="2">
        <v>2201</v>
      </c>
      <c r="AI5" s="2">
        <v>2017</v>
      </c>
      <c r="AJ5" s="2">
        <v>2306</v>
      </c>
      <c r="AK5" s="2">
        <v>2608</v>
      </c>
      <c r="AL5" s="2">
        <v>2243</v>
      </c>
      <c r="AM5" s="2">
        <v>2281</v>
      </c>
      <c r="AN5" s="2">
        <v>2839</v>
      </c>
      <c r="AO5" s="2">
        <v>3121</v>
      </c>
      <c r="AP5" s="2">
        <v>3103</v>
      </c>
      <c r="AQ5" s="2">
        <v>3367</v>
      </c>
      <c r="AR5" s="2">
        <v>3597</v>
      </c>
      <c r="AS5" s="2">
        <v>3605</v>
      </c>
      <c r="AT5" s="2">
        <v>4114</v>
      </c>
      <c r="AU5" s="2">
        <v>3221</v>
      </c>
      <c r="AV5" s="2">
        <v>2787</v>
      </c>
      <c r="AW5" s="2">
        <v>4097</v>
      </c>
      <c r="AX5" s="2">
        <v>3153</v>
      </c>
      <c r="AY5" s="2">
        <v>3164</v>
      </c>
      <c r="AZ5" s="2">
        <v>4471</v>
      </c>
      <c r="BA5" s="2">
        <v>3366</v>
      </c>
      <c r="BB5" s="2">
        <v>3787</v>
      </c>
      <c r="BC5" s="2">
        <v>4352</v>
      </c>
      <c r="BD5" s="2">
        <v>3596</v>
      </c>
      <c r="BE5" s="2">
        <v>3846</v>
      </c>
      <c r="BF5" s="2">
        <v>3707</v>
      </c>
      <c r="BG5" s="2">
        <v>3739</v>
      </c>
      <c r="BH5" s="2">
        <v>4155</v>
      </c>
      <c r="BI5" s="2">
        <v>4612</v>
      </c>
      <c r="BJ5" s="2">
        <v>4642</v>
      </c>
      <c r="BK5" s="2">
        <v>5673</v>
      </c>
      <c r="BL5" s="2">
        <v>5072</v>
      </c>
      <c r="BM5" s="2">
        <v>5213</v>
      </c>
      <c r="BN5" s="2">
        <v>4703</v>
      </c>
      <c r="BO5" s="2">
        <v>4376</v>
      </c>
      <c r="BP5" s="2">
        <v>6680</v>
      </c>
      <c r="BQ5" s="2">
        <v>5240</v>
      </c>
      <c r="BR5" s="2">
        <v>5463</v>
      </c>
      <c r="BS5" s="2">
        <v>5678</v>
      </c>
      <c r="BT5" s="2">
        <v>5282</v>
      </c>
      <c r="BU5" s="2">
        <v>6369</v>
      </c>
      <c r="BV5" s="2">
        <v>6286</v>
      </c>
      <c r="BW5" s="2">
        <v>5757</v>
      </c>
      <c r="BX5" s="2">
        <v>7872</v>
      </c>
      <c r="BY5" s="2">
        <v>5724</v>
      </c>
      <c r="BZ5" s="2">
        <v>5153</v>
      </c>
      <c r="CA5" s="2">
        <v>5934</v>
      </c>
      <c r="CB5" s="2">
        <v>5632</v>
      </c>
      <c r="CC5" s="2">
        <v>5498</v>
      </c>
      <c r="CD5" s="2">
        <v>5069</v>
      </c>
      <c r="CE5" s="2">
        <v>5730</v>
      </c>
      <c r="CF5" s="2">
        <v>5986</v>
      </c>
      <c r="CG5" s="2">
        <v>8229</v>
      </c>
      <c r="CH5" s="2">
        <v>5033</v>
      </c>
      <c r="CI5" s="2">
        <v>5026</v>
      </c>
      <c r="CJ5" s="2">
        <v>6612</v>
      </c>
      <c r="CK5" s="2">
        <v>5924</v>
      </c>
      <c r="CL5" s="2">
        <v>6222</v>
      </c>
      <c r="CM5" s="2">
        <v>7030</v>
      </c>
      <c r="CN5" s="2">
        <v>7170</v>
      </c>
      <c r="CO5" s="2">
        <v>6993</v>
      </c>
      <c r="CP5" s="2">
        <v>6817</v>
      </c>
      <c r="CQ5" s="2">
        <v>7192</v>
      </c>
      <c r="CR5" s="2">
        <v>7673</v>
      </c>
      <c r="CS5" s="2">
        <v>10279</v>
      </c>
      <c r="CT5" s="2">
        <v>6823</v>
      </c>
      <c r="CU5" s="2">
        <v>5217</v>
      </c>
      <c r="CV5" s="2">
        <v>7745</v>
      </c>
      <c r="CW5" s="2">
        <v>7231</v>
      </c>
      <c r="CX5" s="2">
        <v>5701</v>
      </c>
      <c r="CY5" s="2">
        <v>7159</v>
      </c>
      <c r="CZ5" s="2">
        <v>5016</v>
      </c>
      <c r="DA5" s="2">
        <v>5758</v>
      </c>
      <c r="DB5" s="2">
        <v>5231</v>
      </c>
      <c r="DC5" s="2">
        <v>8019</v>
      </c>
      <c r="DD5" s="2">
        <v>9037</v>
      </c>
      <c r="DE5" s="2">
        <v>8673</v>
      </c>
      <c r="DF5" s="2">
        <v>6812</v>
      </c>
      <c r="DG5" s="2">
        <v>6893</v>
      </c>
      <c r="DH5" s="2">
        <v>8350</v>
      </c>
      <c r="DI5" s="2">
        <v>6778</v>
      </c>
      <c r="DJ5" s="2">
        <v>7505</v>
      </c>
      <c r="DK5" s="2">
        <v>9007</v>
      </c>
      <c r="DL5" s="2">
        <v>8620</v>
      </c>
      <c r="DM5" s="2">
        <v>7335</v>
      </c>
      <c r="DN5" s="2">
        <v>9544</v>
      </c>
      <c r="DO5" s="2">
        <v>9481</v>
      </c>
      <c r="DP5" s="2">
        <v>7912</v>
      </c>
      <c r="DQ5" s="2">
        <v>9364</v>
      </c>
      <c r="DR5" s="2">
        <v>7406</v>
      </c>
      <c r="DS5" s="2">
        <v>8232</v>
      </c>
      <c r="DT5" s="2">
        <v>9380</v>
      </c>
      <c r="DU5" s="2">
        <v>8285</v>
      </c>
      <c r="DV5" s="2">
        <v>9445</v>
      </c>
      <c r="DW5" s="2">
        <v>7773</v>
      </c>
      <c r="DX5" s="2">
        <v>9743</v>
      </c>
      <c r="DY5" s="2">
        <v>8654</v>
      </c>
      <c r="DZ5" s="2">
        <v>8416</v>
      </c>
      <c r="EA5" s="2">
        <v>8790</v>
      </c>
      <c r="EB5" s="2">
        <v>11671</v>
      </c>
      <c r="EC5" s="2">
        <v>6771</v>
      </c>
      <c r="ED5" s="2">
        <v>6489</v>
      </c>
      <c r="EE5" s="2">
        <v>6604</v>
      </c>
      <c r="EF5" s="2">
        <v>7060</v>
      </c>
      <c r="EG5" s="2">
        <v>7512</v>
      </c>
      <c r="EH5" s="2">
        <v>6780</v>
      </c>
      <c r="EI5" s="2">
        <v>7013</v>
      </c>
      <c r="EJ5" s="2">
        <v>7912</v>
      </c>
      <c r="EK5" s="2">
        <v>7566</v>
      </c>
      <c r="EL5" s="2">
        <v>9737</v>
      </c>
      <c r="EM5" s="2">
        <v>8400</v>
      </c>
      <c r="EN5" s="2">
        <v>7735</v>
      </c>
      <c r="EO5" s="2">
        <v>11992</v>
      </c>
      <c r="EP5" s="2">
        <v>7133</v>
      </c>
      <c r="EQ5" s="2">
        <v>5462</v>
      </c>
      <c r="ER5" s="2">
        <v>6353</v>
      </c>
      <c r="ES5" s="2">
        <v>5503</v>
      </c>
      <c r="ET5" s="2">
        <v>5469</v>
      </c>
      <c r="EU5" s="2">
        <v>4825</v>
      </c>
      <c r="EV5" s="2">
        <v>8324</v>
      </c>
      <c r="EW5" s="2">
        <v>6741</v>
      </c>
      <c r="EX5" s="2">
        <v>6818</v>
      </c>
      <c r="EY5" s="2">
        <v>7061</v>
      </c>
      <c r="EZ5" s="2">
        <v>6586</v>
      </c>
      <c r="FA5" s="2">
        <v>5730</v>
      </c>
      <c r="FB5" s="2">
        <v>5353</v>
      </c>
      <c r="FC5" s="2">
        <v>5486</v>
      </c>
      <c r="FD5" s="2">
        <v>6100</v>
      </c>
      <c r="FE5" s="2">
        <v>6145</v>
      </c>
      <c r="FF5" s="2">
        <v>7738</v>
      </c>
      <c r="FG5" s="2">
        <v>7282</v>
      </c>
      <c r="FH5" s="2">
        <v>7480</v>
      </c>
      <c r="FI5" s="2">
        <v>7101</v>
      </c>
      <c r="FJ5" s="2">
        <v>6976</v>
      </c>
      <c r="FK5" s="2">
        <v>7773</v>
      </c>
      <c r="FL5" s="2">
        <v>7667</v>
      </c>
      <c r="FM5" s="2">
        <v>11396</v>
      </c>
      <c r="FN5" s="2">
        <v>6466</v>
      </c>
      <c r="FO5" s="2">
        <v>6452</v>
      </c>
      <c r="FP5" s="2">
        <v>7249</v>
      </c>
      <c r="FQ5" s="2">
        <v>7688</v>
      </c>
      <c r="FR5" s="2">
        <v>8288</v>
      </c>
      <c r="FS5" s="2">
        <v>8564</v>
      </c>
      <c r="FT5" s="2">
        <v>8220</v>
      </c>
      <c r="FU5" s="2">
        <v>8620</v>
      </c>
      <c r="FV5" s="2">
        <v>7514</v>
      </c>
      <c r="FW5" s="2">
        <v>8821</v>
      </c>
      <c r="FX5" s="2">
        <v>7616</v>
      </c>
      <c r="FY5" s="2">
        <v>9508</v>
      </c>
      <c r="FZ5" s="2">
        <v>6414</v>
      </c>
      <c r="GA5" s="2">
        <v>6079</v>
      </c>
      <c r="GB5" s="2">
        <v>8223</v>
      </c>
      <c r="GC5" s="2">
        <v>8125</v>
      </c>
      <c r="GD5" s="2">
        <v>9422</v>
      </c>
      <c r="GE5" s="2">
        <v>9789</v>
      </c>
      <c r="GF5" s="2">
        <v>9108</v>
      </c>
      <c r="GG5" s="2">
        <v>9076</v>
      </c>
      <c r="GH5" s="2">
        <v>8490</v>
      </c>
      <c r="GI5" s="2">
        <v>8893</v>
      </c>
      <c r="GJ5" s="2">
        <v>7646</v>
      </c>
      <c r="GK5" s="2">
        <v>8716</v>
      </c>
      <c r="GL5" s="2">
        <v>6893</v>
      </c>
      <c r="GM5" s="2">
        <v>6826</v>
      </c>
      <c r="GN5" s="2">
        <v>7002</v>
      </c>
      <c r="GO5" s="2">
        <v>8375</v>
      </c>
      <c r="GP5" s="2">
        <v>9568</v>
      </c>
      <c r="GQ5" s="2">
        <v>7652</v>
      </c>
      <c r="GR5" s="2">
        <v>7864</v>
      </c>
      <c r="GS5" s="2">
        <v>9318</v>
      </c>
      <c r="GT5" s="2">
        <v>8267</v>
      </c>
      <c r="GU5" s="2">
        <v>8309</v>
      </c>
      <c r="GV5" s="2">
        <v>8441</v>
      </c>
      <c r="GW5" s="2">
        <v>10807</v>
      </c>
      <c r="GX5" s="2">
        <v>9616</v>
      </c>
      <c r="GY5" s="2">
        <v>17865</v>
      </c>
      <c r="GZ5" s="2">
        <v>9280</v>
      </c>
      <c r="HA5" s="2">
        <v>8816</v>
      </c>
      <c r="HB5" s="2">
        <v>8187</v>
      </c>
      <c r="HC5" s="2">
        <v>9391</v>
      </c>
      <c r="HD5" s="2">
        <v>9172</v>
      </c>
      <c r="HE5" s="2">
        <v>7958</v>
      </c>
      <c r="HF5" s="2">
        <v>8347</v>
      </c>
      <c r="HG5" s="2">
        <v>9158</v>
      </c>
      <c r="HH5" s="2">
        <v>9116</v>
      </c>
      <c r="HI5" s="2">
        <v>10295</v>
      </c>
      <c r="HJ5" s="2">
        <v>9581</v>
      </c>
      <c r="HK5" s="2">
        <v>8634</v>
      </c>
      <c r="HL5" s="2">
        <v>10980</v>
      </c>
      <c r="HM5" s="2">
        <v>10928</v>
      </c>
      <c r="HN5" s="2">
        <v>10494</v>
      </c>
      <c r="HO5" s="2">
        <v>10424</v>
      </c>
      <c r="HP5" s="2">
        <v>10472</v>
      </c>
      <c r="HQ5" s="2">
        <v>10081</v>
      </c>
      <c r="HR5" s="2">
        <v>12447</v>
      </c>
      <c r="HS5" s="2">
        <v>10614</v>
      </c>
      <c r="HT5" s="2">
        <v>10330</v>
      </c>
      <c r="HU5" s="2">
        <v>12284</v>
      </c>
      <c r="HV5" s="2">
        <v>10567</v>
      </c>
      <c r="HW5" s="2">
        <v>9216</v>
      </c>
      <c r="HX5" s="2">
        <v>11383</v>
      </c>
      <c r="HY5" s="2">
        <v>16139</v>
      </c>
      <c r="HZ5" s="2">
        <v>12241</v>
      </c>
      <c r="IA5" s="2">
        <v>12649</v>
      </c>
      <c r="IB5" s="2">
        <v>10678</v>
      </c>
      <c r="IC5" s="2">
        <v>12103</v>
      </c>
      <c r="ID5" s="2">
        <v>11910</v>
      </c>
      <c r="IE5" s="2">
        <v>13662</v>
      </c>
      <c r="IF5" s="2">
        <v>13642</v>
      </c>
      <c r="IG5" s="2">
        <v>20376</v>
      </c>
      <c r="IH5" s="2">
        <v>12981</v>
      </c>
      <c r="II5" s="2">
        <v>12588</v>
      </c>
      <c r="IJ5" s="2">
        <v>16731</v>
      </c>
      <c r="IK5" s="2">
        <v>16324</v>
      </c>
      <c r="IL5" s="2">
        <v>17608</v>
      </c>
      <c r="IM5" s="2">
        <v>18500</v>
      </c>
      <c r="IN5" s="2">
        <v>16353</v>
      </c>
      <c r="IO5" s="2">
        <v>18232</v>
      </c>
      <c r="IP5" s="2">
        <v>16501</v>
      </c>
      <c r="IQ5" s="2">
        <v>18877</v>
      </c>
      <c r="IR5" s="2">
        <v>16342</v>
      </c>
      <c r="IS5" s="2">
        <v>17124</v>
      </c>
      <c r="IT5" s="2">
        <v>11759</v>
      </c>
      <c r="IU5" s="2">
        <v>13423</v>
      </c>
      <c r="IV5" s="2">
        <v>15039</v>
      </c>
      <c r="IW5" s="2">
        <v>17198</v>
      </c>
      <c r="IX5" s="2">
        <v>17531</v>
      </c>
      <c r="IY5" s="2">
        <v>17207</v>
      </c>
      <c r="IZ5" s="2">
        <v>20830</v>
      </c>
      <c r="JA5" s="2">
        <v>20908</v>
      </c>
      <c r="JB5" s="2">
        <v>19062</v>
      </c>
      <c r="JC5" s="2">
        <v>18748</v>
      </c>
      <c r="JD5" s="2">
        <v>20345</v>
      </c>
      <c r="JE5" s="2">
        <v>17389</v>
      </c>
      <c r="JF5" s="2">
        <v>14711</v>
      </c>
      <c r="JG5" s="2">
        <v>15655</v>
      </c>
      <c r="JH5" s="2">
        <v>18514</v>
      </c>
      <c r="JI5" s="2">
        <v>21738</v>
      </c>
      <c r="JJ5" s="2">
        <v>21524</v>
      </c>
      <c r="JK5" s="2">
        <v>24885</v>
      </c>
      <c r="JL5" s="2">
        <v>25013</v>
      </c>
      <c r="JM5" s="2">
        <v>25417</v>
      </c>
      <c r="JN5" s="2">
        <v>25755</v>
      </c>
      <c r="JO5" s="2">
        <v>24982</v>
      </c>
      <c r="JP5" s="2">
        <v>23277</v>
      </c>
      <c r="JQ5" s="2">
        <v>18777</v>
      </c>
      <c r="JR5" s="2">
        <v>14404</v>
      </c>
      <c r="JS5" s="2">
        <v>13850</v>
      </c>
      <c r="JT5" s="2">
        <v>14861</v>
      </c>
      <c r="JU5" s="2">
        <v>21615</v>
      </c>
      <c r="JV5" s="2">
        <v>19799</v>
      </c>
      <c r="JW5" s="2">
        <v>20282</v>
      </c>
      <c r="JX5" s="2">
        <v>24154</v>
      </c>
      <c r="JY5" s="2">
        <v>18176</v>
      </c>
      <c r="JZ5" s="2">
        <v>18255</v>
      </c>
      <c r="KA5" s="2">
        <v>18548</v>
      </c>
      <c r="KB5" s="2">
        <v>17503</v>
      </c>
      <c r="KC5" s="2">
        <v>18860</v>
      </c>
      <c r="KD5" s="2">
        <v>17605</v>
      </c>
      <c r="KE5" s="2">
        <v>18076</v>
      </c>
      <c r="KF5" s="2">
        <v>24900</v>
      </c>
      <c r="KG5" s="2">
        <v>22773</v>
      </c>
      <c r="KH5" s="2">
        <v>24119</v>
      </c>
      <c r="KI5" s="2">
        <v>23249</v>
      </c>
      <c r="KJ5" s="2">
        <v>22238</v>
      </c>
      <c r="KK5" s="2">
        <v>17762</v>
      </c>
      <c r="KL5" s="2">
        <v>20232</v>
      </c>
      <c r="KM5" s="2">
        <v>22577</v>
      </c>
      <c r="KN5" s="2">
        <v>19969</v>
      </c>
      <c r="KO5" s="2">
        <v>25741</v>
      </c>
      <c r="KP5" s="2">
        <v>20535</v>
      </c>
      <c r="KQ5" s="2">
        <v>18583</v>
      </c>
      <c r="KR5" s="2">
        <v>23500</v>
      </c>
      <c r="KS5" s="2">
        <v>22440</v>
      </c>
      <c r="KT5" s="2">
        <v>21836</v>
      </c>
      <c r="KU5" s="2">
        <v>21663</v>
      </c>
      <c r="KV5" s="2">
        <v>21283</v>
      </c>
      <c r="KW5" s="2">
        <v>22152</v>
      </c>
      <c r="KX5" s="2">
        <v>22615</v>
      </c>
      <c r="KY5" s="2">
        <v>22843</v>
      </c>
      <c r="KZ5" s="2">
        <v>25510</v>
      </c>
      <c r="LA5" s="2">
        <v>22148</v>
      </c>
      <c r="LB5" s="2">
        <v>21990</v>
      </c>
      <c r="LC5" s="2">
        <v>22433</v>
      </c>
      <c r="LD5" s="2">
        <v>25106</v>
      </c>
      <c r="LE5" s="2">
        <v>25367</v>
      </c>
      <c r="LF5" s="2">
        <v>25230</v>
      </c>
      <c r="LG5" s="2">
        <v>23299</v>
      </c>
      <c r="LH5" s="2">
        <v>24391</v>
      </c>
      <c r="LI5" s="2">
        <v>22632</v>
      </c>
      <c r="LJ5" s="2">
        <v>23208</v>
      </c>
      <c r="LK5" s="2">
        <v>26934</v>
      </c>
      <c r="LL5" s="2">
        <v>23749</v>
      </c>
      <c r="LM5" s="2">
        <v>25527</v>
      </c>
      <c r="LN5" s="2">
        <v>24540</v>
      </c>
      <c r="LO5" s="2">
        <v>22471</v>
      </c>
      <c r="LP5" s="2">
        <v>21805</v>
      </c>
      <c r="LQ5" s="2">
        <v>27137</v>
      </c>
      <c r="LR5" s="2">
        <v>25925</v>
      </c>
      <c r="LS5" s="2">
        <v>23253</v>
      </c>
      <c r="LT5" s="2">
        <v>27674</v>
      </c>
      <c r="LU5" s="2">
        <v>26086</v>
      </c>
      <c r="LV5" s="2">
        <v>25733</v>
      </c>
      <c r="LW5" s="2">
        <v>27863</v>
      </c>
      <c r="LX5" s="2">
        <v>28254</v>
      </c>
      <c r="LY5" s="2">
        <v>24184</v>
      </c>
      <c r="LZ5" s="2">
        <v>29773</v>
      </c>
      <c r="MA5" s="2">
        <v>27416</v>
      </c>
      <c r="MB5" s="2">
        <v>29313</v>
      </c>
      <c r="MC5" s="2">
        <v>30764</v>
      </c>
      <c r="MD5" s="2">
        <v>28809</v>
      </c>
      <c r="ME5" s="2">
        <v>27327</v>
      </c>
      <c r="MF5" s="2">
        <v>30460</v>
      </c>
      <c r="MG5" s="2">
        <v>29061</v>
      </c>
      <c r="MH5" s="2">
        <v>32866</v>
      </c>
      <c r="MI5" s="2">
        <v>34160</v>
      </c>
      <c r="MJ5" s="2">
        <v>24691</v>
      </c>
      <c r="MK5" s="2">
        <v>44637</v>
      </c>
      <c r="ML5" s="2">
        <v>29381</v>
      </c>
      <c r="MM5" s="2">
        <v>27194</v>
      </c>
      <c r="MN5" s="2">
        <v>35717</v>
      </c>
      <c r="MO5" s="2">
        <v>28136</v>
      </c>
      <c r="MP5" s="2">
        <v>26699</v>
      </c>
      <c r="MQ5" s="2">
        <v>31522</v>
      </c>
      <c r="MR5" s="2">
        <v>30033</v>
      </c>
      <c r="MS5" s="2">
        <v>26895</v>
      </c>
      <c r="MT5" s="2">
        <v>32651</v>
      </c>
      <c r="MU5" s="2">
        <v>32490</v>
      </c>
      <c r="MV5" s="2">
        <v>29061</v>
      </c>
      <c r="MW5" s="2">
        <v>37755</v>
      </c>
      <c r="MX5" s="2">
        <v>31083</v>
      </c>
      <c r="MY5" s="2">
        <v>27035</v>
      </c>
      <c r="MZ5" s="2">
        <v>32383</v>
      </c>
      <c r="NA5" s="2">
        <v>32712</v>
      </c>
      <c r="NB5" s="2">
        <v>32070</v>
      </c>
      <c r="NC5" s="2">
        <v>35268</v>
      </c>
      <c r="ND5" s="2">
        <v>30987</v>
      </c>
      <c r="NE5" s="2">
        <v>33069</v>
      </c>
      <c r="NF5" s="2">
        <v>33326</v>
      </c>
      <c r="NG5" s="2">
        <v>33365</v>
      </c>
      <c r="NH5" s="2">
        <v>40227</v>
      </c>
      <c r="NI5" s="2">
        <v>34840</v>
      </c>
      <c r="NJ5" s="2">
        <v>35943</v>
      </c>
      <c r="NK5" s="2">
        <v>30854</v>
      </c>
      <c r="NL5" s="2">
        <v>37333</v>
      </c>
      <c r="NM5" s="2">
        <v>31142</v>
      </c>
      <c r="NN5" s="2">
        <v>39592</v>
      </c>
      <c r="NO5" s="2">
        <v>35417</v>
      </c>
      <c r="NP5" s="2">
        <v>34994</v>
      </c>
      <c r="NQ5" s="2">
        <v>38289</v>
      </c>
      <c r="NR5" s="2">
        <v>40261</v>
      </c>
      <c r="NS5" s="2">
        <v>42915</v>
      </c>
      <c r="NT5" s="2">
        <v>46366</v>
      </c>
      <c r="NU5" s="2">
        <v>45078</v>
      </c>
      <c r="NV5" s="2">
        <v>40831</v>
      </c>
      <c r="NW5" s="2">
        <v>43716</v>
      </c>
      <c r="NX5" s="2">
        <v>45251</v>
      </c>
      <c r="NY5" s="2">
        <v>46794</v>
      </c>
      <c r="NZ5" s="2">
        <v>52747</v>
      </c>
      <c r="OA5" s="2">
        <v>50049</v>
      </c>
      <c r="OB5" s="2">
        <v>52144</v>
      </c>
      <c r="OC5" s="2">
        <v>52012</v>
      </c>
      <c r="OD5" s="2">
        <v>51075</v>
      </c>
      <c r="OE5" s="2">
        <v>55953</v>
      </c>
      <c r="OF5" s="2">
        <v>47902</v>
      </c>
      <c r="OG5" s="2">
        <v>54637</v>
      </c>
      <c r="OH5" s="2">
        <v>48376</v>
      </c>
      <c r="OI5" s="2">
        <v>44200</v>
      </c>
      <c r="OJ5" s="2">
        <v>49294</v>
      </c>
      <c r="OK5" s="2">
        <v>51674</v>
      </c>
      <c r="OL5" s="2">
        <v>58168</v>
      </c>
      <c r="OM5" s="2">
        <v>51298</v>
      </c>
      <c r="ON5" s="2">
        <v>54644</v>
      </c>
      <c r="OO5" s="2">
        <v>53593</v>
      </c>
      <c r="OP5" s="2">
        <v>58802</v>
      </c>
      <c r="OQ5" s="2">
        <v>57652</v>
      </c>
      <c r="OR5" s="2">
        <v>50414</v>
      </c>
      <c r="OS5" s="2">
        <v>52195</v>
      </c>
      <c r="OT5" s="2">
        <v>55879</v>
      </c>
      <c r="OU5" s="2">
        <v>44787</v>
      </c>
      <c r="OV5" s="2">
        <v>44648</v>
      </c>
      <c r="OW5" s="2">
        <v>34425</v>
      </c>
      <c r="OX5" s="2">
        <v>30761</v>
      </c>
      <c r="OY5" s="2">
        <v>42591</v>
      </c>
      <c r="OZ5" s="2">
        <v>49816</v>
      </c>
      <c r="PA5" s="2">
        <v>44380</v>
      </c>
      <c r="PB5" s="2">
        <v>50753</v>
      </c>
      <c r="PC5" s="2">
        <v>50592</v>
      </c>
      <c r="PD5" s="2">
        <v>43712</v>
      </c>
      <c r="PE5" s="2">
        <v>45343</v>
      </c>
      <c r="PF5" s="2">
        <v>47270</v>
      </c>
      <c r="PG5" s="2">
        <v>47185</v>
      </c>
      <c r="PH5" s="2">
        <v>54727</v>
      </c>
      <c r="PI5" s="2">
        <v>51781</v>
      </c>
      <c r="PJ5" s="2">
        <v>48617</v>
      </c>
      <c r="PK5" s="2">
        <v>52166</v>
      </c>
      <c r="PL5" s="2">
        <v>57169</v>
      </c>
      <c r="PM5" s="2">
        <v>53359</v>
      </c>
      <c r="PN5" s="2">
        <v>57562</v>
      </c>
      <c r="PO5" s="2">
        <v>55532</v>
      </c>
      <c r="PP5" s="2">
        <v>57919</v>
      </c>
      <c r="PQ5" s="2">
        <v>60276</v>
      </c>
      <c r="PR5" s="2">
        <v>58346</v>
      </c>
      <c r="PS5" s="2">
        <v>59433</v>
      </c>
      <c r="PT5" s="2">
        <v>70778</v>
      </c>
      <c r="PU5" s="2">
        <v>65669</v>
      </c>
      <c r="PV5" s="2">
        <v>66288</v>
      </c>
      <c r="PW5" s="2">
        <v>76201</v>
      </c>
      <c r="PX5" s="2">
        <v>83596</v>
      </c>
      <c r="PY5" s="2">
        <v>78884</v>
      </c>
      <c r="PZ5" s="2">
        <v>79273</v>
      </c>
      <c r="QA5" s="2">
        <v>75055</v>
      </c>
      <c r="QB5" s="2">
        <v>75724</v>
      </c>
      <c r="QC5" s="2">
        <v>73173</v>
      </c>
      <c r="QD5" s="2">
        <v>70591</v>
      </c>
      <c r="QE5" s="2">
        <v>62895</v>
      </c>
      <c r="QF5" s="2">
        <v>80343</v>
      </c>
      <c r="QG5" s="2">
        <v>67553</v>
      </c>
      <c r="QH5" s="2">
        <v>77926</v>
      </c>
      <c r="QI5" s="2">
        <v>74125</v>
      </c>
      <c r="QJ5" s="2">
        <v>73058</v>
      </c>
      <c r="QK5" s="2">
        <v>75000</v>
      </c>
      <c r="QL5" s="2">
        <v>78897</v>
      </c>
      <c r="QM5" s="2">
        <v>77926</v>
      </c>
      <c r="QN5" s="2">
        <v>73687</v>
      </c>
      <c r="QO5" s="2">
        <v>71213</v>
      </c>
      <c r="QP5" s="2">
        <v>73397</v>
      </c>
      <c r="QQ5" s="2">
        <v>70560</v>
      </c>
      <c r="QR5" s="2">
        <v>74895</v>
      </c>
      <c r="QS5" s="2">
        <v>80742</v>
      </c>
      <c r="QT5" s="2">
        <v>81301</v>
      </c>
      <c r="QU5" s="2">
        <v>74623</v>
      </c>
      <c r="QV5" s="2">
        <v>80355</v>
      </c>
      <c r="QW5" s="2">
        <v>78521</v>
      </c>
      <c r="QX5" s="2">
        <v>76282</v>
      </c>
      <c r="QY5" s="2">
        <v>86885</v>
      </c>
      <c r="QZ5" s="2">
        <v>72441</v>
      </c>
      <c r="RA5" s="2">
        <v>66672</v>
      </c>
      <c r="RB5" s="2">
        <v>79254</v>
      </c>
      <c r="RC5" s="2">
        <v>71765</v>
      </c>
      <c r="RD5" s="2">
        <v>80359</v>
      </c>
      <c r="RE5" s="2">
        <v>74701</v>
      </c>
      <c r="RF5" s="2">
        <v>75657</v>
      </c>
      <c r="RG5" s="2">
        <v>77035</v>
      </c>
      <c r="RH5" s="2">
        <v>85180</v>
      </c>
      <c r="RI5" s="2">
        <v>77436</v>
      </c>
      <c r="RJ5" s="2">
        <v>80284</v>
      </c>
      <c r="RK5" s="2">
        <v>82962</v>
      </c>
      <c r="RL5" s="2">
        <v>74867</v>
      </c>
      <c r="RM5" s="2">
        <v>73172</v>
      </c>
      <c r="RN5" s="2">
        <v>80941</v>
      </c>
      <c r="RO5" s="2">
        <v>73687</v>
      </c>
      <c r="RP5" s="2">
        <v>84780</v>
      </c>
      <c r="RQ5" s="2">
        <v>86293</v>
      </c>
      <c r="RR5" s="2">
        <v>79974</v>
      </c>
      <c r="RS5" s="2">
        <v>86188</v>
      </c>
      <c r="RT5" s="2"/>
      <c r="RU5" s="2"/>
      <c r="RV5" s="2"/>
      <c r="RW5" s="2"/>
      <c r="RX5" s="2"/>
      <c r="RY5" s="2"/>
    </row>
    <row r="6" spans="1:493" x14ac:dyDescent="0.25">
      <c r="A6" t="s">
        <v>461</v>
      </c>
      <c r="B6" s="2">
        <v>56</v>
      </c>
      <c r="C6" s="2">
        <v>76</v>
      </c>
      <c r="D6" s="2">
        <v>137</v>
      </c>
      <c r="E6" s="2">
        <v>102</v>
      </c>
      <c r="F6" s="2">
        <v>111</v>
      </c>
      <c r="G6" s="2">
        <v>107</v>
      </c>
      <c r="H6" s="2">
        <v>136</v>
      </c>
      <c r="I6" s="2">
        <v>110</v>
      </c>
      <c r="J6" s="2">
        <v>102</v>
      </c>
      <c r="K6" s="2">
        <v>137</v>
      </c>
      <c r="L6" s="2">
        <v>71</v>
      </c>
      <c r="M6" s="2">
        <v>46</v>
      </c>
      <c r="N6" s="2">
        <v>100</v>
      </c>
      <c r="O6" s="2">
        <v>101</v>
      </c>
      <c r="P6" s="2">
        <v>121</v>
      </c>
      <c r="Q6" s="2">
        <v>133</v>
      </c>
      <c r="R6" s="2">
        <v>102</v>
      </c>
      <c r="S6" s="2">
        <v>149</v>
      </c>
      <c r="T6" s="2">
        <v>139</v>
      </c>
      <c r="U6" s="2">
        <v>134</v>
      </c>
      <c r="V6" s="2">
        <v>118</v>
      </c>
      <c r="W6" s="2">
        <v>113</v>
      </c>
      <c r="X6" s="2">
        <v>80</v>
      </c>
      <c r="Y6" s="2">
        <v>41</v>
      </c>
      <c r="Z6" s="2">
        <v>90</v>
      </c>
      <c r="AA6" s="2">
        <v>132</v>
      </c>
      <c r="AB6" s="2">
        <v>150</v>
      </c>
      <c r="AC6" s="2">
        <v>152</v>
      </c>
      <c r="AD6" s="2">
        <v>145</v>
      </c>
      <c r="AE6" s="2">
        <v>198</v>
      </c>
      <c r="AF6" s="2">
        <v>134</v>
      </c>
      <c r="AG6" s="2">
        <v>116</v>
      </c>
      <c r="AH6" s="2">
        <v>109</v>
      </c>
      <c r="AI6" s="2">
        <v>160</v>
      </c>
      <c r="AJ6" s="2">
        <v>100</v>
      </c>
      <c r="AK6" s="2">
        <v>131</v>
      </c>
      <c r="AL6" s="2">
        <v>139</v>
      </c>
      <c r="AM6" s="2">
        <v>142</v>
      </c>
      <c r="AN6" s="2">
        <v>144</v>
      </c>
      <c r="AO6" s="2">
        <v>178</v>
      </c>
      <c r="AP6" s="2">
        <v>241</v>
      </c>
      <c r="AQ6" s="2">
        <v>202</v>
      </c>
      <c r="AR6" s="2">
        <v>281</v>
      </c>
      <c r="AS6" s="2">
        <v>187</v>
      </c>
      <c r="AT6" s="2">
        <v>172</v>
      </c>
      <c r="AU6" s="2">
        <v>178</v>
      </c>
      <c r="AV6" s="2">
        <v>136</v>
      </c>
      <c r="AW6" s="2">
        <v>86</v>
      </c>
      <c r="AX6" s="2">
        <v>157</v>
      </c>
      <c r="AY6" s="2">
        <v>160</v>
      </c>
      <c r="AZ6" s="2">
        <v>173</v>
      </c>
      <c r="BA6" s="2">
        <v>160</v>
      </c>
      <c r="BB6" s="2">
        <v>150</v>
      </c>
      <c r="BC6" s="2">
        <v>153</v>
      </c>
      <c r="BD6" s="2">
        <v>153</v>
      </c>
      <c r="BE6" s="2">
        <v>157</v>
      </c>
      <c r="BF6" s="2">
        <v>143</v>
      </c>
      <c r="BG6" s="2">
        <v>200</v>
      </c>
      <c r="BH6" s="2">
        <v>102</v>
      </c>
      <c r="BI6" s="2">
        <v>59</v>
      </c>
      <c r="BJ6" s="2">
        <v>122</v>
      </c>
      <c r="BK6" s="2">
        <v>139</v>
      </c>
      <c r="BL6" s="2">
        <v>131</v>
      </c>
      <c r="BM6" s="2">
        <v>172</v>
      </c>
      <c r="BN6" s="2">
        <v>176</v>
      </c>
      <c r="BO6" s="2">
        <v>129</v>
      </c>
      <c r="BP6" s="2">
        <v>165</v>
      </c>
      <c r="BQ6" s="2">
        <v>132</v>
      </c>
      <c r="BR6" s="2">
        <v>142</v>
      </c>
      <c r="BS6" s="2">
        <v>165</v>
      </c>
      <c r="BT6" s="2">
        <v>87</v>
      </c>
      <c r="BU6" s="2">
        <v>68</v>
      </c>
      <c r="BV6" s="2">
        <v>174</v>
      </c>
      <c r="BW6" s="2">
        <v>152</v>
      </c>
      <c r="BX6" s="2">
        <v>171</v>
      </c>
      <c r="BY6" s="2">
        <v>143</v>
      </c>
      <c r="BZ6" s="2">
        <v>136</v>
      </c>
      <c r="CA6" s="2">
        <v>84</v>
      </c>
      <c r="CB6" s="2">
        <v>157</v>
      </c>
      <c r="CC6" s="2">
        <v>210</v>
      </c>
      <c r="CD6" s="2">
        <v>145</v>
      </c>
      <c r="CE6" s="2">
        <v>161</v>
      </c>
      <c r="CF6" s="2">
        <v>141</v>
      </c>
      <c r="CG6" s="2">
        <v>257</v>
      </c>
      <c r="CH6" s="2">
        <v>42</v>
      </c>
      <c r="CI6" s="2">
        <v>142</v>
      </c>
      <c r="CJ6" s="2">
        <v>165</v>
      </c>
      <c r="CK6" s="2">
        <v>319</v>
      </c>
      <c r="CL6" s="2">
        <v>273</v>
      </c>
      <c r="CM6" s="2">
        <v>156</v>
      </c>
      <c r="CN6" s="2">
        <v>223</v>
      </c>
      <c r="CO6" s="2">
        <v>199</v>
      </c>
      <c r="CP6" s="2">
        <v>247</v>
      </c>
      <c r="CQ6" s="2">
        <v>149</v>
      </c>
      <c r="CR6" s="2">
        <v>205</v>
      </c>
      <c r="CS6" s="2">
        <v>152</v>
      </c>
      <c r="CT6" s="2">
        <v>141</v>
      </c>
      <c r="CU6" s="2">
        <v>132</v>
      </c>
      <c r="CV6" s="2">
        <v>268</v>
      </c>
      <c r="CW6" s="2">
        <v>199</v>
      </c>
      <c r="CX6" s="2">
        <v>196</v>
      </c>
      <c r="CY6" s="2">
        <v>179</v>
      </c>
      <c r="CZ6" s="2">
        <v>169</v>
      </c>
      <c r="DA6" s="2">
        <v>303</v>
      </c>
      <c r="DB6" s="2">
        <v>191</v>
      </c>
      <c r="DC6" s="2">
        <v>210</v>
      </c>
      <c r="DD6" s="2">
        <v>143</v>
      </c>
      <c r="DE6" s="2">
        <v>119</v>
      </c>
      <c r="DF6" s="2">
        <v>200</v>
      </c>
      <c r="DG6" s="2">
        <v>254</v>
      </c>
      <c r="DH6" s="2">
        <v>278</v>
      </c>
      <c r="DI6" s="2">
        <v>209</v>
      </c>
      <c r="DJ6" s="2">
        <v>123</v>
      </c>
      <c r="DK6" s="2">
        <v>255</v>
      </c>
      <c r="DL6" s="2">
        <v>246</v>
      </c>
      <c r="DM6" s="2">
        <v>271</v>
      </c>
      <c r="DN6" s="2">
        <v>243</v>
      </c>
      <c r="DO6" s="2">
        <v>309</v>
      </c>
      <c r="DP6" s="2">
        <v>199</v>
      </c>
      <c r="DQ6" s="2">
        <v>134</v>
      </c>
      <c r="DR6" s="2">
        <v>145</v>
      </c>
      <c r="DS6" s="2">
        <v>250</v>
      </c>
      <c r="DT6" s="2">
        <v>257</v>
      </c>
      <c r="DU6" s="2">
        <v>215</v>
      </c>
      <c r="DV6" s="2">
        <v>276</v>
      </c>
      <c r="DW6" s="2">
        <v>251</v>
      </c>
      <c r="DX6" s="2">
        <v>201</v>
      </c>
      <c r="DY6" s="2">
        <v>95</v>
      </c>
      <c r="DZ6" s="2">
        <v>288</v>
      </c>
      <c r="EA6" s="2">
        <v>291</v>
      </c>
      <c r="EB6" s="2">
        <v>124</v>
      </c>
      <c r="EC6" s="2">
        <v>161</v>
      </c>
      <c r="ED6" s="2">
        <v>171</v>
      </c>
      <c r="EE6" s="2">
        <v>194</v>
      </c>
      <c r="EF6" s="2">
        <v>190</v>
      </c>
      <c r="EG6" s="2">
        <v>172</v>
      </c>
      <c r="EH6" s="2">
        <v>134</v>
      </c>
      <c r="EI6" s="2">
        <v>206</v>
      </c>
      <c r="EJ6" s="2">
        <v>191</v>
      </c>
      <c r="EK6" s="2">
        <v>84</v>
      </c>
      <c r="EL6" s="2">
        <v>449</v>
      </c>
      <c r="EM6" s="2">
        <v>304</v>
      </c>
      <c r="EN6" s="2">
        <v>284</v>
      </c>
      <c r="EO6" s="2">
        <v>289</v>
      </c>
      <c r="EP6" s="2">
        <v>174</v>
      </c>
      <c r="EQ6" s="2">
        <v>297</v>
      </c>
      <c r="ER6" s="2">
        <v>269</v>
      </c>
      <c r="ES6" s="2">
        <v>289</v>
      </c>
      <c r="ET6" s="2">
        <v>298</v>
      </c>
      <c r="EU6" s="2">
        <v>146</v>
      </c>
      <c r="EV6" s="2">
        <v>275</v>
      </c>
      <c r="EW6" s="2">
        <v>592</v>
      </c>
      <c r="EX6" s="2">
        <v>338</v>
      </c>
      <c r="EY6" s="2">
        <v>300</v>
      </c>
      <c r="EZ6" s="2">
        <v>301</v>
      </c>
      <c r="FA6" s="2">
        <v>126</v>
      </c>
      <c r="FB6" s="2">
        <v>113</v>
      </c>
      <c r="FC6" s="2">
        <v>275</v>
      </c>
      <c r="FD6" s="2">
        <v>371</v>
      </c>
      <c r="FE6" s="2">
        <v>380</v>
      </c>
      <c r="FF6" s="2">
        <v>352</v>
      </c>
      <c r="FG6" s="2">
        <v>386</v>
      </c>
      <c r="FH6" s="2">
        <v>641</v>
      </c>
      <c r="FI6" s="2">
        <v>290</v>
      </c>
      <c r="FJ6" s="2">
        <v>410</v>
      </c>
      <c r="FK6" s="2">
        <v>285</v>
      </c>
      <c r="FL6" s="2">
        <v>149</v>
      </c>
      <c r="FM6" s="2">
        <v>218</v>
      </c>
      <c r="FN6" s="2">
        <v>349</v>
      </c>
      <c r="FO6" s="2">
        <v>388</v>
      </c>
      <c r="FP6" s="2">
        <v>400</v>
      </c>
      <c r="FQ6" s="2">
        <v>295</v>
      </c>
      <c r="FR6" s="2">
        <v>428</v>
      </c>
      <c r="FS6" s="2">
        <v>477</v>
      </c>
      <c r="FT6" s="2">
        <v>381</v>
      </c>
      <c r="FU6" s="2">
        <v>329</v>
      </c>
      <c r="FV6" s="2">
        <v>300</v>
      </c>
      <c r="FW6" s="2">
        <v>303</v>
      </c>
      <c r="FX6" s="2">
        <v>333</v>
      </c>
      <c r="FY6" s="2">
        <v>243</v>
      </c>
      <c r="FZ6" s="2">
        <v>354</v>
      </c>
      <c r="GA6" s="2">
        <v>333</v>
      </c>
      <c r="GB6" s="2">
        <v>545</v>
      </c>
      <c r="GC6" s="2">
        <v>359</v>
      </c>
      <c r="GD6" s="2">
        <v>408</v>
      </c>
      <c r="GE6" s="2">
        <v>451</v>
      </c>
      <c r="GF6" s="2">
        <v>410</v>
      </c>
      <c r="GG6" s="2">
        <v>479</v>
      </c>
      <c r="GH6" s="2">
        <v>485</v>
      </c>
      <c r="GI6" s="2">
        <v>731</v>
      </c>
      <c r="GJ6" s="2">
        <v>238</v>
      </c>
      <c r="GK6" s="2">
        <v>155</v>
      </c>
      <c r="GL6" s="2">
        <v>412</v>
      </c>
      <c r="GM6" s="2">
        <v>409</v>
      </c>
      <c r="GN6" s="2">
        <v>369</v>
      </c>
      <c r="GO6" s="2">
        <v>424</v>
      </c>
      <c r="GP6" s="2">
        <v>582</v>
      </c>
      <c r="GQ6" s="2">
        <v>418</v>
      </c>
      <c r="GR6" s="2">
        <v>516</v>
      </c>
      <c r="GS6" s="2">
        <v>413</v>
      </c>
      <c r="GT6" s="2">
        <v>631</v>
      </c>
      <c r="GU6" s="2">
        <v>463</v>
      </c>
      <c r="GV6" s="2">
        <v>158</v>
      </c>
      <c r="GW6" s="2">
        <v>778</v>
      </c>
      <c r="GX6" s="2">
        <v>422</v>
      </c>
      <c r="GY6" s="2">
        <v>440</v>
      </c>
      <c r="GZ6" s="2">
        <v>528</v>
      </c>
      <c r="HA6" s="2">
        <v>639</v>
      </c>
      <c r="HB6" s="2">
        <v>550</v>
      </c>
      <c r="HC6" s="2">
        <v>530</v>
      </c>
      <c r="HD6" s="2">
        <v>593</v>
      </c>
      <c r="HE6" s="2">
        <v>619</v>
      </c>
      <c r="HF6" s="2">
        <v>535</v>
      </c>
      <c r="HG6" s="2">
        <v>544</v>
      </c>
      <c r="HH6" s="2">
        <v>309</v>
      </c>
      <c r="HI6" s="2">
        <v>208</v>
      </c>
      <c r="HJ6" s="2">
        <v>587</v>
      </c>
      <c r="HK6" s="2">
        <v>619</v>
      </c>
      <c r="HL6" s="2">
        <v>781</v>
      </c>
      <c r="HM6" s="2">
        <v>715</v>
      </c>
      <c r="HN6" s="2">
        <v>696</v>
      </c>
      <c r="HO6" s="2">
        <v>769</v>
      </c>
      <c r="HP6" s="2">
        <v>692</v>
      </c>
      <c r="HQ6" s="2">
        <v>732</v>
      </c>
      <c r="HR6" s="2">
        <v>694</v>
      </c>
      <c r="HS6" s="2">
        <v>663</v>
      </c>
      <c r="HT6" s="2">
        <v>255</v>
      </c>
      <c r="HU6" s="2">
        <v>163</v>
      </c>
      <c r="HV6" s="2">
        <v>670</v>
      </c>
      <c r="HW6" s="2">
        <v>727</v>
      </c>
      <c r="HX6" s="2">
        <v>734</v>
      </c>
      <c r="HY6" s="2">
        <v>641</v>
      </c>
      <c r="HZ6" s="2">
        <v>724</v>
      </c>
      <c r="IA6" s="2">
        <v>880</v>
      </c>
      <c r="IB6" s="2">
        <v>783</v>
      </c>
      <c r="IC6" s="2">
        <v>817</v>
      </c>
      <c r="ID6" s="2">
        <v>765</v>
      </c>
      <c r="IE6" s="2">
        <v>849</v>
      </c>
      <c r="IF6" s="2">
        <v>287</v>
      </c>
      <c r="IG6" s="2">
        <v>475</v>
      </c>
      <c r="IH6" s="2">
        <v>669</v>
      </c>
      <c r="II6" s="2">
        <v>695</v>
      </c>
      <c r="IJ6" s="2">
        <v>808</v>
      </c>
      <c r="IK6" s="2">
        <v>680</v>
      </c>
      <c r="IL6" s="2">
        <v>776</v>
      </c>
      <c r="IM6" s="2">
        <v>916</v>
      </c>
      <c r="IN6" s="2">
        <v>905</v>
      </c>
      <c r="IO6" s="2">
        <v>1152</v>
      </c>
      <c r="IP6" s="2">
        <v>699</v>
      </c>
      <c r="IQ6" s="2">
        <v>1045</v>
      </c>
      <c r="IR6" s="2">
        <v>300</v>
      </c>
      <c r="IS6" s="2">
        <v>317</v>
      </c>
      <c r="IT6" s="2">
        <v>743</v>
      </c>
      <c r="IU6" s="2">
        <v>804</v>
      </c>
      <c r="IV6" s="2">
        <v>1198</v>
      </c>
      <c r="IW6" s="2">
        <v>757</v>
      </c>
      <c r="IX6" s="2">
        <v>1199</v>
      </c>
      <c r="IY6" s="2">
        <v>861</v>
      </c>
      <c r="IZ6" s="2">
        <v>806</v>
      </c>
      <c r="JA6" s="2">
        <v>785</v>
      </c>
      <c r="JB6" s="2">
        <v>945</v>
      </c>
      <c r="JC6" s="2">
        <v>782</v>
      </c>
      <c r="JD6" s="2">
        <v>463</v>
      </c>
      <c r="JE6" s="2">
        <v>550</v>
      </c>
      <c r="JF6" s="2">
        <v>696</v>
      </c>
      <c r="JG6" s="2">
        <v>770</v>
      </c>
      <c r="JH6" s="2">
        <v>957</v>
      </c>
      <c r="JI6" s="2">
        <v>916</v>
      </c>
      <c r="JJ6" s="2">
        <v>903</v>
      </c>
      <c r="JK6" s="2">
        <v>1385</v>
      </c>
      <c r="JL6" s="2">
        <v>829</v>
      </c>
      <c r="JM6" s="2">
        <v>921</v>
      </c>
      <c r="JN6" s="2">
        <v>948</v>
      </c>
      <c r="JO6" s="2">
        <v>979</v>
      </c>
      <c r="JP6" s="2">
        <v>476</v>
      </c>
      <c r="JQ6" s="2">
        <v>580</v>
      </c>
      <c r="JR6" s="2">
        <v>625</v>
      </c>
      <c r="JS6" s="2">
        <v>1073</v>
      </c>
      <c r="JT6" s="2">
        <v>1160</v>
      </c>
      <c r="JU6" s="2">
        <v>853</v>
      </c>
      <c r="JV6" s="2">
        <v>1325</v>
      </c>
      <c r="JW6" s="2">
        <v>940</v>
      </c>
      <c r="JX6" s="2">
        <v>1011</v>
      </c>
      <c r="JY6" s="2">
        <v>1207</v>
      </c>
      <c r="JZ6" s="2">
        <v>948</v>
      </c>
      <c r="KA6" s="2">
        <v>901</v>
      </c>
      <c r="KB6" s="2">
        <v>419</v>
      </c>
      <c r="KC6" s="2">
        <v>575</v>
      </c>
      <c r="KD6" s="2">
        <v>742</v>
      </c>
      <c r="KE6" s="2">
        <v>1158</v>
      </c>
      <c r="KF6" s="2">
        <v>1016</v>
      </c>
      <c r="KG6" s="2">
        <v>915</v>
      </c>
      <c r="KH6" s="2">
        <v>912</v>
      </c>
      <c r="KI6" s="2">
        <v>1327</v>
      </c>
      <c r="KJ6" s="2">
        <v>1088</v>
      </c>
      <c r="KK6" s="2">
        <v>1312</v>
      </c>
      <c r="KL6" s="2">
        <v>1034</v>
      </c>
      <c r="KM6" s="2">
        <v>934</v>
      </c>
      <c r="KN6" s="2">
        <v>1014</v>
      </c>
      <c r="KO6" s="2">
        <v>327</v>
      </c>
      <c r="KP6" s="2">
        <v>916</v>
      </c>
      <c r="KQ6" s="2">
        <v>986</v>
      </c>
      <c r="KR6" s="2">
        <v>1583</v>
      </c>
      <c r="KS6" s="2">
        <v>949</v>
      </c>
      <c r="KT6" s="2">
        <v>1099</v>
      </c>
      <c r="KU6" s="2">
        <v>1354</v>
      </c>
      <c r="KV6" s="2">
        <v>1092</v>
      </c>
      <c r="KW6" s="2">
        <v>1028</v>
      </c>
      <c r="KX6" s="2">
        <v>1486</v>
      </c>
      <c r="KY6" s="2">
        <v>1018</v>
      </c>
      <c r="KZ6" s="2">
        <v>977</v>
      </c>
      <c r="LA6" s="2">
        <v>324</v>
      </c>
      <c r="LB6" s="2">
        <v>895</v>
      </c>
      <c r="LC6" s="2">
        <v>1277</v>
      </c>
      <c r="LD6" s="2">
        <v>1514</v>
      </c>
      <c r="LE6" s="2">
        <v>972</v>
      </c>
      <c r="LF6" s="2">
        <v>1593</v>
      </c>
      <c r="LG6" s="2">
        <v>1081</v>
      </c>
      <c r="LH6" s="2">
        <v>1091</v>
      </c>
      <c r="LI6" s="2">
        <v>1058</v>
      </c>
      <c r="LJ6" s="2">
        <v>1173</v>
      </c>
      <c r="LK6" s="2">
        <v>1723</v>
      </c>
      <c r="LL6" s="2">
        <v>726</v>
      </c>
      <c r="LM6" s="2">
        <v>196</v>
      </c>
      <c r="LN6" s="2">
        <v>1181</v>
      </c>
      <c r="LO6" s="2">
        <v>1166</v>
      </c>
      <c r="LP6" s="2">
        <v>1501</v>
      </c>
      <c r="LQ6" s="2">
        <v>1164</v>
      </c>
      <c r="LR6" s="2">
        <v>1154</v>
      </c>
      <c r="LS6" s="2">
        <v>1307</v>
      </c>
      <c r="LT6" s="2">
        <v>1389</v>
      </c>
      <c r="LU6" s="2">
        <v>1532</v>
      </c>
      <c r="LV6" s="2">
        <v>1091</v>
      </c>
      <c r="LW6" s="2">
        <v>1238</v>
      </c>
      <c r="LX6" s="2">
        <v>618</v>
      </c>
      <c r="LY6" s="2">
        <v>771</v>
      </c>
      <c r="LZ6" s="2">
        <v>1168</v>
      </c>
      <c r="MA6" s="2">
        <v>1308</v>
      </c>
      <c r="MB6" s="2">
        <v>1711</v>
      </c>
      <c r="MC6" s="2">
        <v>1084</v>
      </c>
      <c r="MD6" s="2">
        <v>1217</v>
      </c>
      <c r="ME6" s="2">
        <v>1350</v>
      </c>
      <c r="MF6" s="2">
        <v>1238</v>
      </c>
      <c r="MG6" s="2">
        <v>1794</v>
      </c>
      <c r="MH6" s="2">
        <v>1238</v>
      </c>
      <c r="MI6" s="2">
        <v>1446</v>
      </c>
      <c r="MJ6" s="2">
        <v>1005</v>
      </c>
      <c r="MK6" s="2">
        <v>388</v>
      </c>
      <c r="ML6" s="2">
        <v>1050</v>
      </c>
      <c r="MM6" s="2">
        <v>1420</v>
      </c>
      <c r="MN6" s="2">
        <v>1813</v>
      </c>
      <c r="MO6" s="2">
        <v>1206</v>
      </c>
      <c r="MP6" s="2">
        <v>1771</v>
      </c>
      <c r="MQ6" s="2">
        <v>1253</v>
      </c>
      <c r="MR6" s="2">
        <v>1152</v>
      </c>
      <c r="MS6" s="2">
        <v>1691</v>
      </c>
      <c r="MT6" s="2">
        <v>1270</v>
      </c>
      <c r="MU6" s="2">
        <v>1076</v>
      </c>
      <c r="MV6" s="2">
        <v>530</v>
      </c>
      <c r="MW6" s="2">
        <v>407</v>
      </c>
      <c r="MX6" s="2">
        <v>1161</v>
      </c>
      <c r="MY6" s="2">
        <v>2064</v>
      </c>
      <c r="MZ6" s="2">
        <v>1437</v>
      </c>
      <c r="NA6" s="2">
        <v>1397</v>
      </c>
      <c r="NB6" s="2">
        <v>1432</v>
      </c>
      <c r="NC6" s="2">
        <v>1473</v>
      </c>
      <c r="ND6" s="2">
        <v>1528</v>
      </c>
      <c r="NE6" s="2">
        <v>1438</v>
      </c>
      <c r="NF6" s="2">
        <v>1450</v>
      </c>
      <c r="NG6" s="2">
        <v>2120</v>
      </c>
      <c r="NH6" s="2">
        <v>759</v>
      </c>
      <c r="NI6" s="2">
        <v>552</v>
      </c>
      <c r="NJ6" s="2">
        <v>1327</v>
      </c>
      <c r="NK6" s="2">
        <v>2261</v>
      </c>
      <c r="NL6" s="2">
        <v>1831</v>
      </c>
      <c r="NM6" s="2">
        <v>1265</v>
      </c>
      <c r="NN6" s="2">
        <v>2450</v>
      </c>
      <c r="NO6" s="2">
        <v>1475</v>
      </c>
      <c r="NP6" s="2">
        <v>1582</v>
      </c>
      <c r="NQ6" s="2">
        <v>2268</v>
      </c>
      <c r="NR6" s="2">
        <v>1462</v>
      </c>
      <c r="NS6" s="2">
        <v>1036</v>
      </c>
      <c r="NT6" s="2">
        <v>2533</v>
      </c>
      <c r="NU6" s="2">
        <v>683</v>
      </c>
      <c r="NV6" s="2">
        <v>1627</v>
      </c>
      <c r="NW6" s="2">
        <v>2525</v>
      </c>
      <c r="NX6" s="2">
        <v>1632</v>
      </c>
      <c r="NY6" s="2">
        <v>1535</v>
      </c>
      <c r="NZ6" s="2">
        <v>2114</v>
      </c>
      <c r="OA6" s="2">
        <v>1406</v>
      </c>
      <c r="OB6" s="2">
        <v>1557</v>
      </c>
      <c r="OC6" s="2">
        <v>2517</v>
      </c>
      <c r="OD6" s="2">
        <v>1589</v>
      </c>
      <c r="OE6" s="2">
        <v>1628</v>
      </c>
      <c r="OF6" s="2">
        <v>2278</v>
      </c>
      <c r="OG6" s="2">
        <v>503</v>
      </c>
      <c r="OH6" s="2">
        <v>1774</v>
      </c>
      <c r="OI6" s="2">
        <v>2580</v>
      </c>
      <c r="OJ6" s="2">
        <v>1591</v>
      </c>
      <c r="OK6" s="2">
        <v>1652</v>
      </c>
      <c r="OL6" s="2">
        <v>2609</v>
      </c>
      <c r="OM6" s="2">
        <v>1421</v>
      </c>
      <c r="ON6" s="2">
        <v>1801</v>
      </c>
      <c r="OO6" s="2">
        <v>2584</v>
      </c>
      <c r="OP6" s="2">
        <v>1688</v>
      </c>
      <c r="OQ6" s="2">
        <v>1788</v>
      </c>
      <c r="OR6" s="2">
        <v>1777</v>
      </c>
      <c r="OS6" s="2">
        <v>760</v>
      </c>
      <c r="OT6" s="2">
        <v>2990</v>
      </c>
      <c r="OU6" s="2">
        <v>2407</v>
      </c>
      <c r="OV6" s="2">
        <v>1152</v>
      </c>
      <c r="OW6" s="2">
        <v>4</v>
      </c>
      <c r="OX6" s="2">
        <v>320</v>
      </c>
      <c r="OY6" s="2">
        <v>1302</v>
      </c>
      <c r="OZ6" s="2">
        <v>1577</v>
      </c>
      <c r="PA6" s="2">
        <v>1069</v>
      </c>
      <c r="PB6" s="2">
        <v>1418</v>
      </c>
      <c r="PC6" s="2">
        <v>1667</v>
      </c>
      <c r="PD6" s="2">
        <v>1153</v>
      </c>
      <c r="PE6" s="2">
        <v>652</v>
      </c>
      <c r="PF6" s="2">
        <v>1618</v>
      </c>
      <c r="PG6" s="2">
        <v>1681</v>
      </c>
      <c r="PH6" s="2">
        <v>1581</v>
      </c>
      <c r="PI6" s="2">
        <v>880</v>
      </c>
      <c r="PJ6" s="2">
        <v>2029</v>
      </c>
      <c r="PK6" s="2">
        <v>2141</v>
      </c>
      <c r="PL6" s="2">
        <v>2609</v>
      </c>
      <c r="PM6" s="2">
        <v>2920</v>
      </c>
      <c r="PN6" s="2">
        <v>1716</v>
      </c>
      <c r="PO6" s="2">
        <v>1740</v>
      </c>
      <c r="PP6" s="2">
        <v>1260</v>
      </c>
      <c r="PQ6" s="2">
        <v>838</v>
      </c>
      <c r="PR6" s="2">
        <v>1505</v>
      </c>
      <c r="PS6" s="2">
        <v>2213</v>
      </c>
      <c r="PT6" s="2">
        <v>2657</v>
      </c>
      <c r="PU6" s="2">
        <v>1810</v>
      </c>
      <c r="PV6" s="2">
        <v>1886</v>
      </c>
      <c r="PW6" s="2">
        <v>2019</v>
      </c>
      <c r="PX6" s="2">
        <v>1933</v>
      </c>
      <c r="PY6" s="2">
        <v>1913</v>
      </c>
      <c r="PZ6" s="2">
        <v>2091</v>
      </c>
      <c r="QA6" s="2">
        <v>1658</v>
      </c>
      <c r="QB6" s="2">
        <v>1107</v>
      </c>
      <c r="QC6" s="2">
        <v>1429</v>
      </c>
      <c r="QD6" s="2">
        <v>2632</v>
      </c>
      <c r="QE6" s="2">
        <v>2369</v>
      </c>
      <c r="QF6" s="2">
        <v>3081</v>
      </c>
      <c r="QG6" s="2">
        <v>1838</v>
      </c>
      <c r="QH6" s="2">
        <v>2849</v>
      </c>
      <c r="QI6" s="2">
        <v>2311</v>
      </c>
      <c r="QJ6" s="2">
        <v>2689</v>
      </c>
      <c r="QK6" s="2">
        <v>3190</v>
      </c>
      <c r="QL6" s="2">
        <v>2464</v>
      </c>
      <c r="QM6" s="2">
        <v>2408</v>
      </c>
      <c r="QN6" s="2">
        <v>2134</v>
      </c>
      <c r="QO6" s="2">
        <v>1127</v>
      </c>
      <c r="QP6" s="2">
        <v>3338</v>
      </c>
      <c r="QQ6" s="2">
        <v>2763</v>
      </c>
      <c r="QR6" s="2">
        <v>3644</v>
      </c>
      <c r="QS6" s="2">
        <v>2517</v>
      </c>
      <c r="QT6" s="2">
        <v>3379</v>
      </c>
      <c r="QU6" s="2">
        <v>2190</v>
      </c>
      <c r="QV6" s="2">
        <v>2663</v>
      </c>
      <c r="QW6" s="2">
        <v>3577</v>
      </c>
      <c r="QX6" s="2">
        <v>2488</v>
      </c>
      <c r="QY6" s="2">
        <v>2435</v>
      </c>
      <c r="QZ6" s="2">
        <v>2346</v>
      </c>
      <c r="RA6" s="2">
        <v>1076</v>
      </c>
      <c r="RB6" s="2">
        <v>3188</v>
      </c>
      <c r="RC6" s="2">
        <v>2927</v>
      </c>
      <c r="RD6" s="2">
        <v>3618</v>
      </c>
      <c r="RE6" s="2">
        <v>2755</v>
      </c>
      <c r="RF6" s="2">
        <v>4534</v>
      </c>
      <c r="RG6" s="2">
        <v>2556</v>
      </c>
      <c r="RH6" s="2">
        <v>2562</v>
      </c>
      <c r="RI6" s="2">
        <v>3692</v>
      </c>
      <c r="RJ6" s="2">
        <v>2659</v>
      </c>
      <c r="RK6" s="2">
        <v>2697</v>
      </c>
      <c r="RL6" s="2">
        <v>2282</v>
      </c>
      <c r="RM6" s="2">
        <v>1200</v>
      </c>
      <c r="RN6" s="2">
        <v>3208</v>
      </c>
      <c r="RO6" s="2">
        <v>2869</v>
      </c>
      <c r="RP6" s="2">
        <v>4500</v>
      </c>
      <c r="RQ6" s="2">
        <v>2476</v>
      </c>
      <c r="RR6" s="2">
        <v>3207</v>
      </c>
      <c r="RS6" s="2">
        <v>2445</v>
      </c>
      <c r="RT6" s="2"/>
      <c r="RU6" s="2"/>
      <c r="RV6" s="2"/>
      <c r="RW6" s="2"/>
      <c r="RX6" s="2"/>
      <c r="RY6" s="2"/>
    </row>
    <row r="7" spans="1:493" x14ac:dyDescent="0.25">
      <c r="A7" t="s">
        <v>462</v>
      </c>
      <c r="B7" s="2">
        <v>542</v>
      </c>
      <c r="C7" s="2">
        <v>394</v>
      </c>
      <c r="D7" s="2">
        <v>282</v>
      </c>
      <c r="E7" s="2">
        <v>552</v>
      </c>
      <c r="F7" s="2">
        <v>428</v>
      </c>
      <c r="G7" s="2">
        <v>4565</v>
      </c>
      <c r="H7" s="2">
        <v>752</v>
      </c>
      <c r="I7" s="2">
        <v>591</v>
      </c>
      <c r="J7" s="2">
        <v>3194</v>
      </c>
      <c r="K7" s="2">
        <v>668</v>
      </c>
      <c r="L7" s="2">
        <v>380</v>
      </c>
      <c r="M7" s="2">
        <v>1207</v>
      </c>
      <c r="N7" s="2">
        <v>771</v>
      </c>
      <c r="O7" s="2">
        <v>524</v>
      </c>
      <c r="P7" s="2">
        <v>1356</v>
      </c>
      <c r="Q7" s="2">
        <v>1105</v>
      </c>
      <c r="R7" s="2">
        <v>464</v>
      </c>
      <c r="S7" s="2">
        <v>2100</v>
      </c>
      <c r="T7" s="2">
        <v>844</v>
      </c>
      <c r="U7" s="2">
        <v>575</v>
      </c>
      <c r="V7" s="2">
        <v>1514</v>
      </c>
      <c r="W7" s="2">
        <v>2877</v>
      </c>
      <c r="X7" s="2">
        <v>780</v>
      </c>
      <c r="Y7" s="2">
        <v>2988</v>
      </c>
      <c r="Z7" s="2">
        <v>1236</v>
      </c>
      <c r="AA7" s="2">
        <v>1167</v>
      </c>
      <c r="AB7" s="2">
        <v>1264</v>
      </c>
      <c r="AC7" s="2">
        <v>1873</v>
      </c>
      <c r="AD7" s="2">
        <v>1458</v>
      </c>
      <c r="AE7" s="2">
        <v>2097</v>
      </c>
      <c r="AF7" s="2">
        <v>1442</v>
      </c>
      <c r="AG7" s="2">
        <v>1278</v>
      </c>
      <c r="AH7" s="2">
        <v>2149</v>
      </c>
      <c r="AI7" s="2">
        <v>1690</v>
      </c>
      <c r="AJ7" s="2">
        <v>2472</v>
      </c>
      <c r="AK7" s="2">
        <v>2608</v>
      </c>
      <c r="AL7" s="2">
        <v>1310</v>
      </c>
      <c r="AM7" s="2">
        <v>1140</v>
      </c>
      <c r="AN7" s="2">
        <v>1290</v>
      </c>
      <c r="AO7" s="2">
        <v>2766</v>
      </c>
      <c r="AP7" s="2">
        <v>815</v>
      </c>
      <c r="AQ7" s="2">
        <v>1765</v>
      </c>
      <c r="AR7" s="2">
        <v>2395</v>
      </c>
      <c r="AS7" s="2">
        <v>3852</v>
      </c>
      <c r="AT7" s="2">
        <v>3931</v>
      </c>
      <c r="AU7" s="2">
        <v>3329</v>
      </c>
      <c r="AV7" s="2">
        <v>1847</v>
      </c>
      <c r="AW7" s="2">
        <v>3807</v>
      </c>
      <c r="AX7" s="2">
        <v>2414</v>
      </c>
      <c r="AY7" s="2">
        <v>1263</v>
      </c>
      <c r="AZ7" s="2">
        <v>1285</v>
      </c>
      <c r="BA7" s="2">
        <v>2374</v>
      </c>
      <c r="BB7" s="2">
        <v>1168</v>
      </c>
      <c r="BC7" s="2">
        <v>1581</v>
      </c>
      <c r="BD7" s="2">
        <v>1701</v>
      </c>
      <c r="BE7" s="2">
        <v>2039</v>
      </c>
      <c r="BF7" s="2">
        <v>3528</v>
      </c>
      <c r="BG7" s="2">
        <v>3971</v>
      </c>
      <c r="BH7" s="2">
        <v>1411</v>
      </c>
      <c r="BI7" s="2">
        <v>4087</v>
      </c>
      <c r="BJ7" s="2">
        <v>5480</v>
      </c>
      <c r="BK7" s="2">
        <v>1109</v>
      </c>
      <c r="BL7" s="2">
        <v>1236</v>
      </c>
      <c r="BM7" s="2">
        <v>3374</v>
      </c>
      <c r="BN7" s="2">
        <v>1540</v>
      </c>
      <c r="BO7" s="2">
        <v>1546</v>
      </c>
      <c r="BP7" s="2">
        <v>3951</v>
      </c>
      <c r="BQ7" s="2">
        <v>1476</v>
      </c>
      <c r="BR7" s="2">
        <v>2389</v>
      </c>
      <c r="BS7" s="2">
        <v>2059</v>
      </c>
      <c r="BT7" s="2">
        <v>2560</v>
      </c>
      <c r="BU7" s="2">
        <v>8720</v>
      </c>
      <c r="BV7" s="2">
        <v>2349</v>
      </c>
      <c r="BW7" s="2">
        <v>2203</v>
      </c>
      <c r="BX7" s="2">
        <v>4808</v>
      </c>
      <c r="BY7" s="2">
        <v>1383</v>
      </c>
      <c r="BZ7" s="2">
        <v>2363</v>
      </c>
      <c r="CA7" s="2">
        <v>2406</v>
      </c>
      <c r="CB7" s="2">
        <v>2445</v>
      </c>
      <c r="CC7" s="2">
        <v>2862</v>
      </c>
      <c r="CD7" s="2">
        <v>3028</v>
      </c>
      <c r="CE7" s="2">
        <v>2334</v>
      </c>
      <c r="CF7" s="2">
        <v>907</v>
      </c>
      <c r="CG7" s="2">
        <v>4777</v>
      </c>
      <c r="CH7" s="2">
        <v>4184</v>
      </c>
      <c r="CI7" s="2">
        <v>1946</v>
      </c>
      <c r="CJ7" s="2">
        <v>1202</v>
      </c>
      <c r="CK7" s="2">
        <v>1882</v>
      </c>
      <c r="CL7" s="2">
        <v>2537</v>
      </c>
      <c r="CM7" s="2">
        <v>2681</v>
      </c>
      <c r="CN7" s="2">
        <v>3868</v>
      </c>
      <c r="CO7" s="2">
        <v>1454</v>
      </c>
      <c r="CP7" s="2">
        <v>2457</v>
      </c>
      <c r="CQ7" s="2">
        <v>2496</v>
      </c>
      <c r="CR7" s="2">
        <v>1686</v>
      </c>
      <c r="CS7" s="2">
        <v>2291</v>
      </c>
      <c r="CT7" s="2">
        <v>2337</v>
      </c>
      <c r="CU7" s="2">
        <v>4066</v>
      </c>
      <c r="CV7" s="2">
        <v>10752</v>
      </c>
      <c r="CW7" s="2">
        <v>4293</v>
      </c>
      <c r="CX7" s="2">
        <v>4296</v>
      </c>
      <c r="CY7" s="2">
        <v>2902</v>
      </c>
      <c r="CZ7" s="2">
        <v>2559</v>
      </c>
      <c r="DA7" s="2">
        <v>4011</v>
      </c>
      <c r="DB7" s="2">
        <v>6767</v>
      </c>
      <c r="DC7" s="2">
        <v>7148</v>
      </c>
      <c r="DD7" s="2">
        <v>12544</v>
      </c>
      <c r="DE7" s="2">
        <v>2448</v>
      </c>
      <c r="DF7" s="2">
        <v>2094</v>
      </c>
      <c r="DG7" s="2">
        <v>11843</v>
      </c>
      <c r="DH7" s="2">
        <v>13486</v>
      </c>
      <c r="DI7" s="2">
        <v>2051</v>
      </c>
      <c r="DJ7" s="2">
        <v>1233</v>
      </c>
      <c r="DK7" s="2">
        <v>2469</v>
      </c>
      <c r="DL7" s="2">
        <v>1812</v>
      </c>
      <c r="DM7" s="2">
        <v>3281</v>
      </c>
      <c r="DN7" s="2">
        <v>3572</v>
      </c>
      <c r="DO7" s="2">
        <v>2002</v>
      </c>
      <c r="DP7" s="2">
        <v>935</v>
      </c>
      <c r="DQ7" s="2">
        <v>4937</v>
      </c>
      <c r="DR7" s="2">
        <v>6685</v>
      </c>
      <c r="DS7" s="2">
        <v>2224</v>
      </c>
      <c r="DT7" s="2">
        <v>6240</v>
      </c>
      <c r="DU7" s="2">
        <v>6765</v>
      </c>
      <c r="DV7" s="2">
        <v>1454</v>
      </c>
      <c r="DW7" s="2">
        <v>2340</v>
      </c>
      <c r="DX7" s="2">
        <v>1769</v>
      </c>
      <c r="DY7" s="2">
        <v>3167</v>
      </c>
      <c r="DZ7" s="2">
        <v>4480</v>
      </c>
      <c r="EA7" s="2">
        <v>1250</v>
      </c>
      <c r="EB7" s="2">
        <v>1736</v>
      </c>
      <c r="EC7" s="2">
        <v>3876</v>
      </c>
      <c r="ED7" s="2">
        <v>2040</v>
      </c>
      <c r="EE7" s="2">
        <v>1494</v>
      </c>
      <c r="EF7" s="2">
        <v>6084</v>
      </c>
      <c r="EG7" s="2">
        <v>2200</v>
      </c>
      <c r="EH7" s="2">
        <v>1497</v>
      </c>
      <c r="EI7" s="2">
        <v>3602</v>
      </c>
      <c r="EJ7" s="2">
        <v>6920</v>
      </c>
      <c r="EK7" s="2">
        <v>1809</v>
      </c>
      <c r="EL7" s="2">
        <v>9943</v>
      </c>
      <c r="EM7" s="2">
        <v>3544</v>
      </c>
      <c r="EN7" s="2">
        <v>5575</v>
      </c>
      <c r="EO7" s="2">
        <v>13232</v>
      </c>
      <c r="EP7" s="2">
        <v>1797</v>
      </c>
      <c r="EQ7" s="2">
        <v>2187</v>
      </c>
      <c r="ER7" s="2">
        <v>4115</v>
      </c>
      <c r="ES7" s="2">
        <v>3286</v>
      </c>
      <c r="ET7" s="2">
        <v>2700</v>
      </c>
      <c r="EU7" s="2">
        <v>2415</v>
      </c>
      <c r="EV7" s="2">
        <v>10178</v>
      </c>
      <c r="EW7" s="2">
        <v>4955</v>
      </c>
      <c r="EX7" s="2">
        <v>4092</v>
      </c>
      <c r="EY7" s="2">
        <v>3454</v>
      </c>
      <c r="EZ7" s="2">
        <v>238</v>
      </c>
      <c r="FA7" s="2">
        <v>6117</v>
      </c>
      <c r="FB7" s="2">
        <v>2829</v>
      </c>
      <c r="FC7" s="2">
        <v>2948</v>
      </c>
      <c r="FD7" s="2">
        <v>5637</v>
      </c>
      <c r="FE7" s="2">
        <v>2426</v>
      </c>
      <c r="FF7" s="2">
        <v>3035</v>
      </c>
      <c r="FG7" s="2">
        <v>11823</v>
      </c>
      <c r="FH7" s="2">
        <v>3795</v>
      </c>
      <c r="FI7" s="2">
        <v>3240</v>
      </c>
      <c r="FJ7" s="2">
        <v>3061</v>
      </c>
      <c r="FK7" s="2">
        <v>2582</v>
      </c>
      <c r="FL7" s="2">
        <v>1702</v>
      </c>
      <c r="FM7" s="2">
        <v>3446</v>
      </c>
      <c r="FN7" s="2">
        <v>1432</v>
      </c>
      <c r="FO7" s="2">
        <v>1562</v>
      </c>
      <c r="FP7" s="2">
        <v>7565</v>
      </c>
      <c r="FQ7" s="2">
        <v>4488</v>
      </c>
      <c r="FR7" s="2">
        <v>2745</v>
      </c>
      <c r="FS7" s="2">
        <v>3826</v>
      </c>
      <c r="FT7" s="2">
        <v>4686</v>
      </c>
      <c r="FU7" s="2">
        <v>5295</v>
      </c>
      <c r="FV7" s="2">
        <v>6334</v>
      </c>
      <c r="FW7" s="2">
        <v>3348</v>
      </c>
      <c r="FX7" s="2">
        <v>5222</v>
      </c>
      <c r="FY7" s="2">
        <v>6849</v>
      </c>
      <c r="FZ7" s="2">
        <v>3194</v>
      </c>
      <c r="GA7" s="2">
        <v>3434</v>
      </c>
      <c r="GB7" s="2">
        <v>6944</v>
      </c>
      <c r="GC7" s="2">
        <v>4038</v>
      </c>
      <c r="GD7" s="2">
        <v>4206</v>
      </c>
      <c r="GE7" s="2">
        <v>4328</v>
      </c>
      <c r="GF7" s="2">
        <v>5845</v>
      </c>
      <c r="GG7" s="2">
        <v>7033</v>
      </c>
      <c r="GH7" s="2">
        <v>6242</v>
      </c>
      <c r="GI7" s="2">
        <v>5949</v>
      </c>
      <c r="GJ7" s="2">
        <v>7485</v>
      </c>
      <c r="GK7" s="2">
        <v>13184</v>
      </c>
      <c r="GL7" s="2">
        <v>4958</v>
      </c>
      <c r="GM7" s="2">
        <v>5774</v>
      </c>
      <c r="GN7" s="2">
        <v>5834</v>
      </c>
      <c r="GO7" s="2">
        <v>4264</v>
      </c>
      <c r="GP7" s="2">
        <v>3913</v>
      </c>
      <c r="GQ7" s="2">
        <v>5887</v>
      </c>
      <c r="GR7" s="2">
        <v>7804</v>
      </c>
      <c r="GS7" s="2">
        <v>6385</v>
      </c>
      <c r="GT7" s="2">
        <v>5063</v>
      </c>
      <c r="GU7" s="2">
        <v>4220</v>
      </c>
      <c r="GV7" s="2">
        <v>4193</v>
      </c>
      <c r="GW7" s="2">
        <v>11422</v>
      </c>
      <c r="GX7" s="2">
        <v>6482</v>
      </c>
      <c r="GY7" s="2">
        <v>4743</v>
      </c>
      <c r="GZ7" s="2">
        <v>6815</v>
      </c>
      <c r="HA7" s="2">
        <v>5860</v>
      </c>
      <c r="HB7" s="2">
        <v>8587</v>
      </c>
      <c r="HC7" s="2">
        <v>6751</v>
      </c>
      <c r="HD7" s="2">
        <v>8162</v>
      </c>
      <c r="HE7" s="2">
        <v>4131</v>
      </c>
      <c r="HF7" s="2">
        <v>9819</v>
      </c>
      <c r="HG7" s="2">
        <v>11135</v>
      </c>
      <c r="HH7" s="2">
        <v>5278</v>
      </c>
      <c r="HI7" s="2">
        <v>10308</v>
      </c>
      <c r="HJ7" s="2">
        <v>6419</v>
      </c>
      <c r="HK7" s="2">
        <v>6521</v>
      </c>
      <c r="HL7" s="2">
        <v>9500</v>
      </c>
      <c r="HM7" s="2">
        <v>11541</v>
      </c>
      <c r="HN7" s="2">
        <v>8003</v>
      </c>
      <c r="HO7" s="2">
        <v>7356</v>
      </c>
      <c r="HP7" s="2">
        <v>9329</v>
      </c>
      <c r="HQ7" s="2">
        <v>5808</v>
      </c>
      <c r="HR7" s="2">
        <v>9943</v>
      </c>
      <c r="HS7" s="2">
        <v>10060</v>
      </c>
      <c r="HT7" s="2">
        <v>6078</v>
      </c>
      <c r="HU7" s="2">
        <v>11122</v>
      </c>
      <c r="HV7" s="2">
        <v>11073</v>
      </c>
      <c r="HW7" s="2">
        <v>7097</v>
      </c>
      <c r="HX7" s="2">
        <v>10154</v>
      </c>
      <c r="HY7" s="2">
        <v>6769</v>
      </c>
      <c r="HZ7" s="2">
        <v>6475</v>
      </c>
      <c r="IA7" s="2">
        <v>9967</v>
      </c>
      <c r="IB7" s="2">
        <v>13700</v>
      </c>
      <c r="IC7" s="2">
        <v>12983</v>
      </c>
      <c r="ID7" s="2">
        <v>8414</v>
      </c>
      <c r="IE7" s="2">
        <v>9692</v>
      </c>
      <c r="IF7" s="2">
        <v>7668</v>
      </c>
      <c r="IG7" s="2">
        <v>6464</v>
      </c>
      <c r="IH7" s="2">
        <v>9480</v>
      </c>
      <c r="II7" s="2">
        <v>9281</v>
      </c>
      <c r="IJ7" s="2">
        <v>6786</v>
      </c>
      <c r="IK7" s="2">
        <v>6652</v>
      </c>
      <c r="IL7" s="2">
        <v>9630</v>
      </c>
      <c r="IM7" s="2">
        <v>11511</v>
      </c>
      <c r="IN7" s="2">
        <v>7525</v>
      </c>
      <c r="IO7" s="2">
        <v>7393</v>
      </c>
      <c r="IP7" s="2">
        <v>13668</v>
      </c>
      <c r="IQ7" s="2">
        <v>7868</v>
      </c>
      <c r="IR7" s="2">
        <v>8733</v>
      </c>
      <c r="IS7" s="2">
        <v>21071</v>
      </c>
      <c r="IT7" s="2">
        <v>10414</v>
      </c>
      <c r="IU7" s="2">
        <v>34087</v>
      </c>
      <c r="IV7" s="2">
        <v>6659</v>
      </c>
      <c r="IW7" s="2">
        <v>7425</v>
      </c>
      <c r="IX7" s="2">
        <v>8693</v>
      </c>
      <c r="IY7" s="2">
        <v>10450</v>
      </c>
      <c r="IZ7" s="2">
        <v>23640</v>
      </c>
      <c r="JA7" s="2">
        <v>15835</v>
      </c>
      <c r="JB7" s="2">
        <v>11951</v>
      </c>
      <c r="JC7" s="2">
        <v>10651</v>
      </c>
      <c r="JD7" s="2">
        <v>55276</v>
      </c>
      <c r="JE7" s="2">
        <v>8392</v>
      </c>
      <c r="JF7" s="2">
        <v>14847</v>
      </c>
      <c r="JG7" s="2">
        <v>14452</v>
      </c>
      <c r="JH7" s="2">
        <v>6233</v>
      </c>
      <c r="JI7" s="2">
        <v>8025</v>
      </c>
      <c r="JJ7" s="2">
        <v>6732</v>
      </c>
      <c r="JK7" s="2">
        <v>7202</v>
      </c>
      <c r="JL7" s="2">
        <v>12132</v>
      </c>
      <c r="JM7" s="2">
        <v>13629</v>
      </c>
      <c r="JN7" s="2">
        <v>7159</v>
      </c>
      <c r="JO7" s="2">
        <v>9727</v>
      </c>
      <c r="JP7" s="2">
        <v>8527</v>
      </c>
      <c r="JQ7" s="2">
        <v>44936</v>
      </c>
      <c r="JR7" s="2">
        <v>8201</v>
      </c>
      <c r="JS7" s="2">
        <v>18635</v>
      </c>
      <c r="JT7" s="2">
        <v>7771</v>
      </c>
      <c r="JU7" s="2">
        <v>7037</v>
      </c>
      <c r="JV7" s="2">
        <v>9724</v>
      </c>
      <c r="JW7" s="2">
        <v>7853</v>
      </c>
      <c r="JX7" s="2">
        <v>15622</v>
      </c>
      <c r="JY7" s="2">
        <v>8049</v>
      </c>
      <c r="JZ7" s="2">
        <v>25255</v>
      </c>
      <c r="KA7" s="2">
        <v>11211</v>
      </c>
      <c r="KB7" s="2">
        <v>8402</v>
      </c>
      <c r="KC7" s="2">
        <v>13629</v>
      </c>
      <c r="KD7" s="2">
        <v>9312</v>
      </c>
      <c r="KE7" s="2">
        <v>6345</v>
      </c>
      <c r="KF7" s="2">
        <v>12593</v>
      </c>
      <c r="KG7" s="2">
        <v>9595</v>
      </c>
      <c r="KH7" s="2">
        <v>5570</v>
      </c>
      <c r="KI7" s="2">
        <v>8063</v>
      </c>
      <c r="KJ7" s="2">
        <v>15764</v>
      </c>
      <c r="KK7" s="2">
        <v>9642</v>
      </c>
      <c r="KL7" s="2">
        <v>9673</v>
      </c>
      <c r="KM7" s="2">
        <v>11425</v>
      </c>
      <c r="KN7" s="2">
        <v>8122</v>
      </c>
      <c r="KO7" s="2">
        <v>7773</v>
      </c>
      <c r="KP7" s="2">
        <v>39890</v>
      </c>
      <c r="KQ7" s="2">
        <v>7028</v>
      </c>
      <c r="KR7" s="2">
        <v>10507</v>
      </c>
      <c r="KS7" s="2">
        <v>11551</v>
      </c>
      <c r="KT7" s="2">
        <v>9003</v>
      </c>
      <c r="KU7" s="2">
        <v>10218</v>
      </c>
      <c r="KV7" s="2">
        <v>10769</v>
      </c>
      <c r="KW7" s="2">
        <v>13029</v>
      </c>
      <c r="KX7" s="2">
        <v>13683</v>
      </c>
      <c r="KY7" s="2">
        <v>9573</v>
      </c>
      <c r="KZ7" s="2">
        <v>9506</v>
      </c>
      <c r="LA7" s="2">
        <v>12864</v>
      </c>
      <c r="LB7" s="2">
        <v>18295</v>
      </c>
      <c r="LC7" s="2">
        <v>26774</v>
      </c>
      <c r="LD7" s="2">
        <v>13608</v>
      </c>
      <c r="LE7" s="2">
        <v>10707</v>
      </c>
      <c r="LF7" s="2">
        <v>10011</v>
      </c>
      <c r="LG7" s="2">
        <v>9544</v>
      </c>
      <c r="LH7" s="2">
        <v>14309</v>
      </c>
      <c r="LI7" s="2">
        <v>8951</v>
      </c>
      <c r="LJ7" s="2">
        <v>9892</v>
      </c>
      <c r="LK7" s="2">
        <v>19558</v>
      </c>
      <c r="LL7" s="2">
        <v>20053</v>
      </c>
      <c r="LM7" s="2">
        <v>12050</v>
      </c>
      <c r="LN7" s="2">
        <v>17929</v>
      </c>
      <c r="LO7" s="2">
        <v>14165</v>
      </c>
      <c r="LP7" s="2">
        <v>15478</v>
      </c>
      <c r="LQ7" s="2">
        <v>12666</v>
      </c>
      <c r="LR7" s="2">
        <v>15061</v>
      </c>
      <c r="LS7" s="2">
        <v>17763</v>
      </c>
      <c r="LT7" s="2">
        <v>15461</v>
      </c>
      <c r="LU7" s="2">
        <v>9411</v>
      </c>
      <c r="LV7" s="2">
        <v>14436</v>
      </c>
      <c r="LW7" s="2">
        <v>9611</v>
      </c>
      <c r="LX7" s="2">
        <v>9662</v>
      </c>
      <c r="LY7" s="2">
        <v>28431</v>
      </c>
      <c r="LZ7" s="2">
        <v>13710</v>
      </c>
      <c r="MA7" s="2">
        <v>13140</v>
      </c>
      <c r="MB7" s="2">
        <v>16087</v>
      </c>
      <c r="MC7" s="2">
        <v>36482</v>
      </c>
      <c r="MD7" s="2">
        <v>13934</v>
      </c>
      <c r="ME7" s="2">
        <v>15843</v>
      </c>
      <c r="MF7" s="2">
        <v>15052</v>
      </c>
      <c r="MG7" s="2">
        <v>11554</v>
      </c>
      <c r="MH7" s="2">
        <v>14713</v>
      </c>
      <c r="MI7" s="2">
        <v>14854</v>
      </c>
      <c r="MJ7" s="2">
        <v>10623</v>
      </c>
      <c r="MK7" s="2">
        <v>13316</v>
      </c>
      <c r="ML7" s="2">
        <v>15036</v>
      </c>
      <c r="MM7" s="2">
        <v>15229</v>
      </c>
      <c r="MN7" s="2">
        <v>36487</v>
      </c>
      <c r="MO7" s="2">
        <v>18983</v>
      </c>
      <c r="MP7" s="2">
        <v>85600</v>
      </c>
      <c r="MQ7" s="2">
        <v>21251</v>
      </c>
      <c r="MR7" s="2">
        <v>29094</v>
      </c>
      <c r="MS7" s="2">
        <v>9541</v>
      </c>
      <c r="MT7" s="2">
        <v>17900</v>
      </c>
      <c r="MU7" s="2">
        <v>13685</v>
      </c>
      <c r="MV7" s="2">
        <v>11482</v>
      </c>
      <c r="MW7" s="2">
        <v>19029</v>
      </c>
      <c r="MX7" s="2">
        <v>20325</v>
      </c>
      <c r="MY7" s="2">
        <v>15004</v>
      </c>
      <c r="MZ7" s="2">
        <v>18294</v>
      </c>
      <c r="NA7" s="2">
        <v>34866</v>
      </c>
      <c r="NB7" s="2">
        <v>14677</v>
      </c>
      <c r="NC7" s="2">
        <v>14825</v>
      </c>
      <c r="ND7" s="2">
        <v>20275</v>
      </c>
      <c r="NE7" s="2">
        <v>17594</v>
      </c>
      <c r="NF7" s="2">
        <v>18188</v>
      </c>
      <c r="NG7" s="2">
        <v>17251</v>
      </c>
      <c r="NH7" s="2">
        <v>11447</v>
      </c>
      <c r="NI7" s="2">
        <v>12700</v>
      </c>
      <c r="NJ7" s="2">
        <v>15649</v>
      </c>
      <c r="NK7" s="2">
        <v>12855</v>
      </c>
      <c r="NL7" s="2">
        <v>23922</v>
      </c>
      <c r="NM7" s="2">
        <v>15788</v>
      </c>
      <c r="NN7" s="2">
        <v>27509</v>
      </c>
      <c r="NO7" s="2">
        <v>11703</v>
      </c>
      <c r="NP7" s="2">
        <v>19965</v>
      </c>
      <c r="NQ7" s="2">
        <v>18189</v>
      </c>
      <c r="NR7" s="2">
        <v>16937</v>
      </c>
      <c r="NS7" s="2">
        <v>18575</v>
      </c>
      <c r="NT7" s="2">
        <v>15238</v>
      </c>
      <c r="NU7" s="2">
        <v>26085</v>
      </c>
      <c r="NV7" s="2">
        <v>20828.129999999997</v>
      </c>
      <c r="NW7" s="2">
        <v>15653</v>
      </c>
      <c r="NX7" s="2">
        <v>24650</v>
      </c>
      <c r="NY7" s="2">
        <v>26611</v>
      </c>
      <c r="NZ7" s="2">
        <v>32099</v>
      </c>
      <c r="OA7" s="2">
        <v>35942</v>
      </c>
      <c r="OB7" s="2">
        <v>24043</v>
      </c>
      <c r="OC7" s="2">
        <v>17255</v>
      </c>
      <c r="OD7" s="2">
        <v>19114</v>
      </c>
      <c r="OE7" s="2">
        <v>24389</v>
      </c>
      <c r="OF7" s="2">
        <v>17474</v>
      </c>
      <c r="OG7" s="2">
        <v>26203</v>
      </c>
      <c r="OH7" s="2">
        <v>21504</v>
      </c>
      <c r="OI7" s="2">
        <v>19581.349999999999</v>
      </c>
      <c r="OJ7" s="2">
        <v>30593</v>
      </c>
      <c r="OK7" s="2">
        <v>19881</v>
      </c>
      <c r="OL7" s="2">
        <v>51615</v>
      </c>
      <c r="OM7" s="2">
        <v>23247</v>
      </c>
      <c r="ON7" s="2">
        <v>27307</v>
      </c>
      <c r="OO7" s="2">
        <v>17981</v>
      </c>
      <c r="OP7" s="2">
        <v>25557</v>
      </c>
      <c r="OQ7" s="2">
        <v>23946</v>
      </c>
      <c r="OR7" s="2">
        <v>20499</v>
      </c>
      <c r="OS7" s="2">
        <v>27687</v>
      </c>
      <c r="OT7" s="2">
        <v>40878</v>
      </c>
      <c r="OU7" s="2">
        <v>17383</v>
      </c>
      <c r="OV7" s="2">
        <v>84112</v>
      </c>
      <c r="OW7" s="2">
        <v>62842</v>
      </c>
      <c r="OX7" s="2">
        <v>5978</v>
      </c>
      <c r="OY7" s="2">
        <v>24417</v>
      </c>
      <c r="OZ7" s="2">
        <v>24006</v>
      </c>
      <c r="PA7" s="2">
        <v>9749</v>
      </c>
      <c r="PB7" s="2">
        <v>19638</v>
      </c>
      <c r="PC7" s="2">
        <v>23871</v>
      </c>
      <c r="PD7" s="2">
        <v>9225</v>
      </c>
      <c r="PE7" s="2">
        <v>29198</v>
      </c>
      <c r="PF7" s="2">
        <v>29694</v>
      </c>
      <c r="PG7" s="2">
        <v>16464</v>
      </c>
      <c r="PH7" s="2">
        <v>26477</v>
      </c>
      <c r="PI7" s="2">
        <v>20109</v>
      </c>
      <c r="PJ7" s="2">
        <v>22057.52</v>
      </c>
      <c r="PK7" s="2">
        <v>31853</v>
      </c>
      <c r="PL7" s="2">
        <v>25412</v>
      </c>
      <c r="PM7" s="2">
        <v>16893</v>
      </c>
      <c r="PN7" s="2">
        <v>17930</v>
      </c>
      <c r="PO7" s="2">
        <v>33698</v>
      </c>
      <c r="PP7" s="2">
        <v>14075</v>
      </c>
      <c r="PQ7" s="2">
        <v>7838</v>
      </c>
      <c r="PR7" s="2">
        <v>22447</v>
      </c>
      <c r="PS7" s="2">
        <v>14090</v>
      </c>
      <c r="PT7" s="2">
        <v>50059</v>
      </c>
      <c r="PU7" s="2">
        <v>40750.68</v>
      </c>
      <c r="PV7" s="2">
        <v>19780</v>
      </c>
      <c r="PW7" s="2">
        <v>38427</v>
      </c>
      <c r="PX7" s="2">
        <v>25397</v>
      </c>
      <c r="PY7" s="2">
        <v>22691</v>
      </c>
      <c r="PZ7" s="2">
        <v>33820</v>
      </c>
      <c r="QA7" s="2">
        <v>25396</v>
      </c>
      <c r="QB7" s="2">
        <v>16975</v>
      </c>
      <c r="QC7" s="2">
        <v>14249</v>
      </c>
      <c r="QD7" s="2">
        <v>40115</v>
      </c>
      <c r="QE7" s="2">
        <v>17226</v>
      </c>
      <c r="QF7" s="2">
        <v>34264</v>
      </c>
      <c r="QG7" s="2">
        <v>35264.81</v>
      </c>
      <c r="QH7" s="2">
        <v>39373</v>
      </c>
      <c r="QI7" s="2">
        <v>25985</v>
      </c>
      <c r="QJ7" s="2">
        <v>62769</v>
      </c>
      <c r="QK7" s="2">
        <v>18793</v>
      </c>
      <c r="QL7" s="2">
        <v>21633</v>
      </c>
      <c r="QM7" s="2">
        <v>31045</v>
      </c>
      <c r="QN7" s="2">
        <v>54331</v>
      </c>
      <c r="QO7" s="2">
        <v>13365</v>
      </c>
      <c r="QP7" s="2">
        <v>36630</v>
      </c>
      <c r="QQ7" s="2">
        <v>12705</v>
      </c>
      <c r="QR7" s="2">
        <v>64038</v>
      </c>
      <c r="QS7" s="2">
        <v>75416</v>
      </c>
      <c r="QT7" s="2">
        <v>77970</v>
      </c>
      <c r="QU7" s="2">
        <v>47120</v>
      </c>
      <c r="QV7" s="2">
        <v>54541</v>
      </c>
      <c r="QW7" s="2">
        <v>65959</v>
      </c>
      <c r="QX7" s="2">
        <v>46201</v>
      </c>
      <c r="QY7" s="2">
        <v>58268</v>
      </c>
      <c r="QZ7" s="2">
        <v>15930</v>
      </c>
      <c r="RA7" s="2">
        <v>63086</v>
      </c>
      <c r="RB7" s="2">
        <v>29609</v>
      </c>
      <c r="RC7" s="2">
        <v>17422</v>
      </c>
      <c r="RD7" s="2">
        <v>19616</v>
      </c>
      <c r="RE7" s="2">
        <v>24072</v>
      </c>
      <c r="RF7" s="2">
        <v>110194.71</v>
      </c>
      <c r="RG7" s="2">
        <v>26791</v>
      </c>
      <c r="RH7" s="2">
        <v>49280</v>
      </c>
      <c r="RI7" s="2">
        <v>21275</v>
      </c>
      <c r="RJ7" s="2">
        <v>15812</v>
      </c>
      <c r="RK7" s="2">
        <v>27212.91</v>
      </c>
      <c r="RL7" s="2">
        <v>9306</v>
      </c>
      <c r="RM7" s="2">
        <v>25671</v>
      </c>
      <c r="RN7" s="2">
        <v>26031</v>
      </c>
      <c r="RO7" s="2">
        <v>111540.23</v>
      </c>
      <c r="RP7" s="2">
        <v>28549</v>
      </c>
      <c r="RQ7" s="2">
        <v>25833</v>
      </c>
      <c r="RR7" s="2">
        <v>39430</v>
      </c>
      <c r="RS7" s="2">
        <v>15130</v>
      </c>
      <c r="RT7" s="2"/>
      <c r="RU7" s="2"/>
      <c r="RV7" s="2"/>
      <c r="RW7" s="2"/>
      <c r="RX7" s="2"/>
      <c r="RY7" s="2"/>
    </row>
    <row r="8" spans="1:493" x14ac:dyDescent="0.25">
      <c r="A8" t="s">
        <v>463</v>
      </c>
      <c r="B8" s="2">
        <v>5</v>
      </c>
      <c r="C8" s="2">
        <v>15</v>
      </c>
      <c r="D8" s="2">
        <v>0</v>
      </c>
      <c r="E8" s="2">
        <v>10</v>
      </c>
      <c r="F8" s="2">
        <v>9</v>
      </c>
      <c r="G8" s="2">
        <v>7</v>
      </c>
      <c r="H8" s="2">
        <v>9</v>
      </c>
      <c r="I8" s="2">
        <v>0</v>
      </c>
      <c r="J8" s="2">
        <v>4</v>
      </c>
      <c r="K8" s="2">
        <v>7</v>
      </c>
      <c r="L8" s="2">
        <v>0</v>
      </c>
      <c r="M8" s="2">
        <v>133</v>
      </c>
      <c r="N8" s="2">
        <v>16</v>
      </c>
      <c r="O8" s="2">
        <v>2</v>
      </c>
      <c r="P8" s="2">
        <v>160</v>
      </c>
      <c r="Q8" s="2">
        <v>88</v>
      </c>
      <c r="R8" s="2">
        <v>4</v>
      </c>
      <c r="S8" s="2">
        <v>205</v>
      </c>
      <c r="T8" s="2">
        <v>1</v>
      </c>
      <c r="U8" s="2">
        <v>0</v>
      </c>
      <c r="V8" s="2">
        <v>128</v>
      </c>
      <c r="W8" s="2">
        <v>253</v>
      </c>
      <c r="X8" s="2">
        <v>354</v>
      </c>
      <c r="Y8" s="2">
        <v>182</v>
      </c>
      <c r="Z8" s="2">
        <v>287</v>
      </c>
      <c r="AA8" s="2">
        <v>246</v>
      </c>
      <c r="AB8" s="2">
        <v>30</v>
      </c>
      <c r="AC8" s="2">
        <v>124</v>
      </c>
      <c r="AD8" s="2">
        <v>97</v>
      </c>
      <c r="AE8" s="2">
        <v>166</v>
      </c>
      <c r="AF8" s="2">
        <v>99</v>
      </c>
      <c r="AG8" s="2">
        <v>57</v>
      </c>
      <c r="AH8" s="2">
        <v>49</v>
      </c>
      <c r="AI8" s="2">
        <v>41</v>
      </c>
      <c r="AJ8" s="2">
        <v>334</v>
      </c>
      <c r="AK8" s="2">
        <v>245</v>
      </c>
      <c r="AL8" s="2">
        <v>162</v>
      </c>
      <c r="AM8" s="2">
        <v>258</v>
      </c>
      <c r="AN8" s="2">
        <v>45</v>
      </c>
      <c r="AO8" s="2">
        <v>185</v>
      </c>
      <c r="AP8" s="2">
        <v>25</v>
      </c>
      <c r="AQ8" s="2">
        <v>260</v>
      </c>
      <c r="AR8" s="2">
        <v>40</v>
      </c>
      <c r="AS8" s="2">
        <v>117</v>
      </c>
      <c r="AT8" s="2">
        <v>116</v>
      </c>
      <c r="AU8" s="2">
        <v>73</v>
      </c>
      <c r="AV8" s="2">
        <v>125</v>
      </c>
      <c r="AW8" s="2">
        <v>295</v>
      </c>
      <c r="AX8" s="2">
        <v>13</v>
      </c>
      <c r="AY8" s="2">
        <v>105</v>
      </c>
      <c r="AZ8" s="2">
        <v>277</v>
      </c>
      <c r="BA8" s="2">
        <v>277</v>
      </c>
      <c r="BB8" s="2">
        <v>219</v>
      </c>
      <c r="BC8" s="2">
        <v>243</v>
      </c>
      <c r="BD8" s="2">
        <v>68</v>
      </c>
      <c r="BE8" s="2">
        <v>42</v>
      </c>
      <c r="BF8" s="2">
        <v>40</v>
      </c>
      <c r="BG8" s="2">
        <v>19</v>
      </c>
      <c r="BH8" s="2">
        <v>9</v>
      </c>
      <c r="BI8" s="2">
        <v>1068</v>
      </c>
      <c r="BJ8" s="2">
        <v>45</v>
      </c>
      <c r="BK8" s="2">
        <v>38</v>
      </c>
      <c r="BL8" s="2">
        <v>31</v>
      </c>
      <c r="BM8" s="2">
        <v>45</v>
      </c>
      <c r="BN8" s="2">
        <v>718</v>
      </c>
      <c r="BO8" s="2">
        <v>323</v>
      </c>
      <c r="BP8" s="2">
        <v>39</v>
      </c>
      <c r="BQ8" s="2">
        <v>65</v>
      </c>
      <c r="BR8" s="2">
        <v>16</v>
      </c>
      <c r="BS8" s="2">
        <v>70</v>
      </c>
      <c r="BT8" s="2">
        <v>132</v>
      </c>
      <c r="BU8" s="2">
        <v>1550</v>
      </c>
      <c r="BV8" s="2">
        <v>159</v>
      </c>
      <c r="BW8" s="2">
        <v>110</v>
      </c>
      <c r="BX8" s="2">
        <v>104</v>
      </c>
      <c r="BY8" s="2">
        <v>58</v>
      </c>
      <c r="BZ8" s="2">
        <v>262</v>
      </c>
      <c r="CA8" s="2">
        <v>68</v>
      </c>
      <c r="CB8" s="2">
        <v>600</v>
      </c>
      <c r="CC8" s="2">
        <v>116</v>
      </c>
      <c r="CD8" s="2">
        <v>234</v>
      </c>
      <c r="CE8" s="2">
        <v>16</v>
      </c>
      <c r="CF8" s="2">
        <v>171</v>
      </c>
      <c r="CG8" s="2">
        <v>246</v>
      </c>
      <c r="CH8" s="2">
        <v>44</v>
      </c>
      <c r="CI8" s="2">
        <v>29</v>
      </c>
      <c r="CJ8" s="2">
        <v>18</v>
      </c>
      <c r="CK8" s="2">
        <v>35</v>
      </c>
      <c r="CL8" s="2">
        <v>28</v>
      </c>
      <c r="CM8" s="2">
        <v>66</v>
      </c>
      <c r="CN8" s="2">
        <v>675</v>
      </c>
      <c r="CO8" s="2">
        <v>26</v>
      </c>
      <c r="CP8" s="2">
        <v>34</v>
      </c>
      <c r="CQ8" s="2">
        <v>156</v>
      </c>
      <c r="CR8" s="2">
        <v>76</v>
      </c>
      <c r="CS8" s="2">
        <v>364</v>
      </c>
      <c r="CT8" s="2">
        <v>3</v>
      </c>
      <c r="CU8" s="2">
        <v>6</v>
      </c>
      <c r="CV8" s="2">
        <v>9</v>
      </c>
      <c r="CW8" s="2">
        <v>1</v>
      </c>
      <c r="CX8" s="2">
        <v>5</v>
      </c>
      <c r="CY8" s="2">
        <v>6</v>
      </c>
      <c r="CZ8" s="2">
        <v>0</v>
      </c>
      <c r="DA8" s="2">
        <v>6</v>
      </c>
      <c r="DB8" s="2">
        <v>5</v>
      </c>
      <c r="DC8" s="2">
        <v>1</v>
      </c>
      <c r="DD8" s="2">
        <v>603</v>
      </c>
      <c r="DE8" s="2">
        <v>87</v>
      </c>
      <c r="DF8" s="2">
        <v>2</v>
      </c>
      <c r="DG8" s="2">
        <v>9</v>
      </c>
      <c r="DH8" s="2">
        <v>58</v>
      </c>
      <c r="DI8" s="2">
        <v>331</v>
      </c>
      <c r="DJ8" s="2">
        <v>297</v>
      </c>
      <c r="DK8" s="2">
        <v>24</v>
      </c>
      <c r="DL8" s="2">
        <v>19</v>
      </c>
      <c r="DM8" s="2">
        <v>0</v>
      </c>
      <c r="DN8" s="2">
        <v>151</v>
      </c>
      <c r="DO8" s="2">
        <v>1</v>
      </c>
      <c r="DP8" s="2">
        <v>3</v>
      </c>
      <c r="DQ8" s="2">
        <v>93</v>
      </c>
      <c r="DR8" s="2">
        <v>13</v>
      </c>
      <c r="DS8" s="2">
        <v>61</v>
      </c>
      <c r="DT8" s="2">
        <v>0</v>
      </c>
      <c r="DU8" s="2">
        <v>77</v>
      </c>
      <c r="DV8" s="2">
        <v>23</v>
      </c>
      <c r="DW8" s="2">
        <v>41</v>
      </c>
      <c r="DX8" s="2">
        <v>69</v>
      </c>
      <c r="DY8" s="2">
        <v>0</v>
      </c>
      <c r="DZ8" s="2">
        <v>124</v>
      </c>
      <c r="EA8" s="2">
        <v>57</v>
      </c>
      <c r="EB8" s="2">
        <v>20</v>
      </c>
      <c r="EC8" s="2">
        <v>84</v>
      </c>
      <c r="ED8" s="2">
        <v>138</v>
      </c>
      <c r="EE8" s="2">
        <v>1020</v>
      </c>
      <c r="EF8" s="2">
        <v>319</v>
      </c>
      <c r="EG8" s="2">
        <v>9</v>
      </c>
      <c r="EH8" s="2">
        <v>1</v>
      </c>
      <c r="EI8" s="2">
        <v>4</v>
      </c>
      <c r="EJ8" s="2">
        <v>7</v>
      </c>
      <c r="EK8" s="2">
        <v>9</v>
      </c>
      <c r="EL8" s="2">
        <v>43</v>
      </c>
      <c r="EM8" s="2">
        <v>62</v>
      </c>
      <c r="EN8" s="2">
        <v>94</v>
      </c>
      <c r="EO8" s="2">
        <v>32</v>
      </c>
      <c r="EP8" s="2">
        <v>0</v>
      </c>
      <c r="EQ8" s="2">
        <v>240</v>
      </c>
      <c r="ER8" s="2">
        <v>88</v>
      </c>
      <c r="ES8" s="2">
        <v>2</v>
      </c>
      <c r="ET8" s="2">
        <v>0</v>
      </c>
      <c r="EU8" s="2">
        <v>4</v>
      </c>
      <c r="EV8" s="2">
        <v>12</v>
      </c>
      <c r="EW8" s="2">
        <v>1</v>
      </c>
      <c r="EX8" s="2">
        <v>17</v>
      </c>
      <c r="EY8" s="2">
        <v>24</v>
      </c>
      <c r="EZ8" s="2">
        <v>8</v>
      </c>
      <c r="FA8" s="2">
        <v>0</v>
      </c>
      <c r="FB8" s="2">
        <v>5</v>
      </c>
      <c r="FC8" s="2">
        <v>31</v>
      </c>
      <c r="FD8" s="2">
        <v>6</v>
      </c>
      <c r="FE8" s="2">
        <v>47</v>
      </c>
      <c r="FF8" s="2">
        <v>0</v>
      </c>
      <c r="FG8" s="2">
        <v>0</v>
      </c>
      <c r="FH8" s="2">
        <v>0</v>
      </c>
      <c r="FI8" s="2">
        <v>10</v>
      </c>
      <c r="FJ8" s="2">
        <v>3</v>
      </c>
      <c r="FK8" s="2">
        <v>2</v>
      </c>
      <c r="FL8" s="2">
        <v>4</v>
      </c>
      <c r="FM8" s="2">
        <v>184</v>
      </c>
      <c r="FN8" s="2">
        <v>0</v>
      </c>
      <c r="FO8" s="2">
        <v>288</v>
      </c>
      <c r="FP8" s="2">
        <v>277</v>
      </c>
      <c r="FQ8" s="2">
        <v>26</v>
      </c>
      <c r="FR8" s="2">
        <v>18</v>
      </c>
      <c r="FS8" s="2">
        <v>17</v>
      </c>
      <c r="FT8" s="2">
        <v>29</v>
      </c>
      <c r="FU8" s="2">
        <v>136</v>
      </c>
      <c r="FV8" s="2">
        <v>67</v>
      </c>
      <c r="FW8" s="2">
        <v>204</v>
      </c>
      <c r="FX8" s="2">
        <v>70</v>
      </c>
      <c r="FY8" s="2">
        <v>244</v>
      </c>
      <c r="FZ8" s="2">
        <v>600</v>
      </c>
      <c r="GA8" s="2">
        <v>85</v>
      </c>
      <c r="GB8" s="2">
        <v>13</v>
      </c>
      <c r="GC8" s="2">
        <v>51</v>
      </c>
      <c r="GD8" s="2">
        <v>59</v>
      </c>
      <c r="GE8" s="2">
        <v>321</v>
      </c>
      <c r="GF8" s="2">
        <v>31</v>
      </c>
      <c r="GG8" s="2">
        <v>26</v>
      </c>
      <c r="GH8" s="2">
        <v>540</v>
      </c>
      <c r="GI8" s="2">
        <v>241</v>
      </c>
      <c r="GJ8" s="2">
        <v>0</v>
      </c>
      <c r="GK8" s="2">
        <v>24</v>
      </c>
      <c r="GL8" s="2">
        <v>0</v>
      </c>
      <c r="GM8" s="2">
        <v>38</v>
      </c>
      <c r="GN8" s="2">
        <v>2</v>
      </c>
      <c r="GO8" s="2">
        <v>60</v>
      </c>
      <c r="GP8" s="2">
        <v>33</v>
      </c>
      <c r="GQ8" s="2">
        <v>39</v>
      </c>
      <c r="GR8" s="2">
        <v>138</v>
      </c>
      <c r="GS8" s="2">
        <v>88</v>
      </c>
      <c r="GT8" s="2">
        <v>100</v>
      </c>
      <c r="GU8" s="2">
        <v>172</v>
      </c>
      <c r="GV8" s="2">
        <v>56</v>
      </c>
      <c r="GW8" s="2">
        <v>326</v>
      </c>
      <c r="GX8" s="2">
        <v>49</v>
      </c>
      <c r="GY8" s="2">
        <v>95</v>
      </c>
      <c r="GZ8" s="2">
        <v>81</v>
      </c>
      <c r="HA8" s="2">
        <v>58</v>
      </c>
      <c r="HB8" s="2">
        <v>498</v>
      </c>
      <c r="HC8" s="2">
        <v>147</v>
      </c>
      <c r="HD8" s="2">
        <v>44</v>
      </c>
      <c r="HE8" s="2">
        <v>80</v>
      </c>
      <c r="HF8" s="2">
        <v>23</v>
      </c>
      <c r="HG8" s="2">
        <v>56</v>
      </c>
      <c r="HH8" s="2">
        <v>31</v>
      </c>
      <c r="HI8" s="2">
        <v>36</v>
      </c>
      <c r="HJ8" s="2">
        <v>8</v>
      </c>
      <c r="HK8" s="2">
        <v>5</v>
      </c>
      <c r="HL8" s="2">
        <v>1</v>
      </c>
      <c r="HM8" s="2">
        <v>4</v>
      </c>
      <c r="HN8" s="2">
        <v>1</v>
      </c>
      <c r="HO8" s="2">
        <v>6</v>
      </c>
      <c r="HP8" s="2">
        <v>2</v>
      </c>
      <c r="HQ8" s="2">
        <v>8</v>
      </c>
      <c r="HR8" s="2">
        <v>31</v>
      </c>
      <c r="HS8" s="2">
        <v>2</v>
      </c>
      <c r="HT8" s="2">
        <v>4</v>
      </c>
      <c r="HU8" s="2">
        <v>2</v>
      </c>
      <c r="HV8" s="2">
        <v>6</v>
      </c>
      <c r="HW8" s="2">
        <v>0</v>
      </c>
      <c r="HX8" s="2">
        <v>8</v>
      </c>
      <c r="HY8" s="2">
        <v>11</v>
      </c>
      <c r="HZ8" s="2">
        <v>6</v>
      </c>
      <c r="IA8" s="2">
        <v>5</v>
      </c>
      <c r="IB8" s="2">
        <v>18</v>
      </c>
      <c r="IC8" s="2">
        <v>5</v>
      </c>
      <c r="ID8" s="2">
        <v>13</v>
      </c>
      <c r="IE8" s="2">
        <v>6</v>
      </c>
      <c r="IF8" s="2">
        <v>3</v>
      </c>
      <c r="IG8" s="2">
        <v>7</v>
      </c>
      <c r="IH8" s="2">
        <v>5</v>
      </c>
      <c r="II8" s="2">
        <v>7</v>
      </c>
      <c r="IJ8" s="2">
        <v>9</v>
      </c>
      <c r="IK8" s="2">
        <v>2</v>
      </c>
      <c r="IL8" s="2">
        <v>20</v>
      </c>
      <c r="IM8" s="2">
        <v>3</v>
      </c>
      <c r="IN8" s="2">
        <v>6</v>
      </c>
      <c r="IO8" s="2">
        <v>24</v>
      </c>
      <c r="IP8" s="2">
        <v>14</v>
      </c>
      <c r="IQ8" s="2">
        <v>3</v>
      </c>
      <c r="IR8" s="2">
        <v>58</v>
      </c>
      <c r="IS8" s="2">
        <v>32</v>
      </c>
      <c r="IT8" s="2">
        <v>0</v>
      </c>
      <c r="IU8" s="2">
        <v>58</v>
      </c>
      <c r="IV8" s="2">
        <v>11</v>
      </c>
      <c r="IW8" s="2">
        <v>4</v>
      </c>
      <c r="IX8" s="2">
        <v>2</v>
      </c>
      <c r="IY8" s="2">
        <v>39</v>
      </c>
      <c r="IZ8" s="2">
        <v>2</v>
      </c>
      <c r="JA8" s="2">
        <v>9</v>
      </c>
      <c r="JB8" s="2">
        <v>3</v>
      </c>
      <c r="JC8" s="2">
        <v>0</v>
      </c>
      <c r="JD8" s="2">
        <v>6</v>
      </c>
      <c r="JE8" s="2">
        <v>16</v>
      </c>
      <c r="JF8" s="2">
        <v>27</v>
      </c>
      <c r="JG8" s="2">
        <v>7</v>
      </c>
      <c r="JH8" s="2">
        <v>35</v>
      </c>
      <c r="JI8" s="2">
        <v>6</v>
      </c>
      <c r="JJ8" s="2">
        <v>7</v>
      </c>
      <c r="JK8" s="2">
        <v>4</v>
      </c>
      <c r="JL8" s="2">
        <v>8</v>
      </c>
      <c r="JM8" s="2">
        <v>5</v>
      </c>
      <c r="JN8" s="2">
        <v>7</v>
      </c>
      <c r="JO8" s="2">
        <v>1</v>
      </c>
      <c r="JP8" s="2">
        <v>15</v>
      </c>
      <c r="JQ8" s="2">
        <v>3</v>
      </c>
      <c r="JR8" s="2">
        <v>6</v>
      </c>
      <c r="JS8" s="2">
        <v>2</v>
      </c>
      <c r="JT8" s="2">
        <v>0</v>
      </c>
      <c r="JU8" s="2">
        <v>0</v>
      </c>
      <c r="JV8" s="2">
        <v>26</v>
      </c>
      <c r="JW8" s="2">
        <v>48</v>
      </c>
      <c r="JX8" s="2">
        <v>5</v>
      </c>
      <c r="JY8" s="2">
        <v>0</v>
      </c>
      <c r="JZ8" s="2">
        <v>0</v>
      </c>
      <c r="KA8" s="2">
        <v>1</v>
      </c>
      <c r="KB8" s="2">
        <v>0</v>
      </c>
      <c r="KC8" s="2">
        <v>103</v>
      </c>
      <c r="KD8" s="2">
        <v>0</v>
      </c>
      <c r="KE8" s="2">
        <v>145</v>
      </c>
      <c r="KF8" s="2">
        <v>40</v>
      </c>
      <c r="KG8" s="2">
        <v>23</v>
      </c>
      <c r="KH8" s="2">
        <v>67</v>
      </c>
      <c r="KI8" s="2">
        <v>90</v>
      </c>
      <c r="KJ8" s="2">
        <v>5</v>
      </c>
      <c r="KK8" s="2">
        <v>0</v>
      </c>
      <c r="KL8" s="2">
        <v>1</v>
      </c>
      <c r="KM8" s="2">
        <v>2</v>
      </c>
      <c r="KN8" s="2">
        <v>0</v>
      </c>
      <c r="KO8" s="2">
        <v>33</v>
      </c>
      <c r="KP8" s="2">
        <v>1</v>
      </c>
      <c r="KQ8" s="2">
        <v>0</v>
      </c>
      <c r="KR8" s="2">
        <v>0</v>
      </c>
      <c r="KS8" s="2">
        <v>2</v>
      </c>
      <c r="KT8" s="2">
        <v>0</v>
      </c>
      <c r="KU8" s="2">
        <v>0</v>
      </c>
      <c r="KV8" s="2">
        <v>30</v>
      </c>
      <c r="KW8" s="2">
        <v>11</v>
      </c>
      <c r="KX8" s="2">
        <v>6</v>
      </c>
      <c r="KY8" s="2">
        <v>1</v>
      </c>
      <c r="KZ8" s="2">
        <v>1</v>
      </c>
      <c r="LA8" s="2">
        <v>203</v>
      </c>
      <c r="LB8" s="2">
        <v>27</v>
      </c>
      <c r="LC8" s="2">
        <v>11</v>
      </c>
      <c r="LD8" s="2">
        <v>0</v>
      </c>
      <c r="LE8" s="2">
        <v>1</v>
      </c>
      <c r="LF8" s="2">
        <v>18</v>
      </c>
      <c r="LG8" s="2">
        <v>9</v>
      </c>
      <c r="LH8" s="2">
        <v>1</v>
      </c>
      <c r="LI8" s="2">
        <v>11</v>
      </c>
      <c r="LJ8" s="2">
        <v>0</v>
      </c>
      <c r="LK8" s="2">
        <v>0</v>
      </c>
      <c r="LL8" s="2">
        <v>13</v>
      </c>
      <c r="LM8" s="2">
        <v>8</v>
      </c>
      <c r="LN8" s="2">
        <v>0</v>
      </c>
      <c r="LO8" s="2">
        <v>27</v>
      </c>
      <c r="LP8" s="2">
        <v>0</v>
      </c>
      <c r="LQ8" s="2">
        <v>54</v>
      </c>
      <c r="LR8" s="2">
        <v>0</v>
      </c>
      <c r="LS8" s="2">
        <v>5</v>
      </c>
      <c r="LT8" s="2">
        <v>0</v>
      </c>
      <c r="LU8" s="2">
        <v>0</v>
      </c>
      <c r="LV8" s="2">
        <v>42</v>
      </c>
      <c r="LW8" s="2">
        <v>10</v>
      </c>
      <c r="LX8" s="2">
        <v>0</v>
      </c>
      <c r="LY8" s="2">
        <v>183</v>
      </c>
      <c r="LZ8" s="2">
        <v>20</v>
      </c>
      <c r="MA8" s="2">
        <v>44</v>
      </c>
      <c r="MB8" s="2">
        <v>16</v>
      </c>
      <c r="MC8" s="2">
        <v>8</v>
      </c>
      <c r="MD8" s="2">
        <v>1</v>
      </c>
      <c r="ME8" s="2">
        <v>0</v>
      </c>
      <c r="MF8" s="2">
        <v>38</v>
      </c>
      <c r="MG8" s="2">
        <v>6</v>
      </c>
      <c r="MH8" s="2">
        <v>41</v>
      </c>
      <c r="MI8" s="2">
        <v>2</v>
      </c>
      <c r="MJ8" s="2">
        <v>13</v>
      </c>
      <c r="MK8" s="2">
        <v>44</v>
      </c>
      <c r="ML8" s="2">
        <v>51</v>
      </c>
      <c r="MM8" s="2">
        <v>38</v>
      </c>
      <c r="MN8" s="2">
        <v>26</v>
      </c>
      <c r="MO8" s="2">
        <v>2</v>
      </c>
      <c r="MP8" s="2">
        <v>1</v>
      </c>
      <c r="MQ8" s="2">
        <v>0</v>
      </c>
      <c r="MR8" s="2">
        <v>2</v>
      </c>
      <c r="MS8" s="2">
        <v>0</v>
      </c>
      <c r="MT8" s="2">
        <v>23</v>
      </c>
      <c r="MU8" s="2">
        <v>3</v>
      </c>
      <c r="MV8" s="2">
        <v>10</v>
      </c>
      <c r="MW8" s="2">
        <v>8</v>
      </c>
      <c r="MX8" s="2">
        <v>5</v>
      </c>
      <c r="MY8" s="2">
        <v>12</v>
      </c>
      <c r="MZ8" s="2">
        <v>3</v>
      </c>
      <c r="NA8" s="2">
        <v>2</v>
      </c>
      <c r="NB8" s="2">
        <v>5</v>
      </c>
      <c r="NC8" s="2">
        <v>1</v>
      </c>
      <c r="ND8" s="2">
        <v>12</v>
      </c>
      <c r="NE8" s="2">
        <v>0</v>
      </c>
      <c r="NF8" s="2">
        <v>0</v>
      </c>
      <c r="NG8" s="2">
        <v>13</v>
      </c>
      <c r="NH8" s="2">
        <v>7</v>
      </c>
      <c r="NI8" s="2">
        <v>18</v>
      </c>
      <c r="NJ8" s="2">
        <v>2</v>
      </c>
      <c r="NK8" s="2">
        <v>6</v>
      </c>
      <c r="NL8" s="2">
        <v>2</v>
      </c>
      <c r="NM8" s="2">
        <v>11</v>
      </c>
      <c r="NN8" s="2">
        <v>6</v>
      </c>
      <c r="NO8" s="2">
        <v>4</v>
      </c>
      <c r="NP8" s="2">
        <v>0</v>
      </c>
      <c r="NQ8" s="2">
        <v>8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22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29</v>
      </c>
      <c r="OH8" s="2">
        <v>0</v>
      </c>
      <c r="OI8" s="2">
        <v>4</v>
      </c>
      <c r="OJ8" s="2">
        <v>29</v>
      </c>
      <c r="OK8" s="2">
        <v>8</v>
      </c>
      <c r="OL8" s="2">
        <v>6</v>
      </c>
      <c r="OM8" s="2">
        <v>91</v>
      </c>
      <c r="ON8" s="2">
        <v>1</v>
      </c>
      <c r="OO8" s="2">
        <v>0</v>
      </c>
      <c r="OP8" s="2">
        <v>6</v>
      </c>
      <c r="OQ8" s="2">
        <v>45</v>
      </c>
      <c r="OR8" s="2">
        <v>0</v>
      </c>
      <c r="OS8" s="2">
        <v>69</v>
      </c>
      <c r="OT8" s="2">
        <v>2</v>
      </c>
      <c r="OU8" s="2">
        <v>42</v>
      </c>
      <c r="OV8" s="2">
        <v>0</v>
      </c>
      <c r="OW8" s="2">
        <v>0</v>
      </c>
      <c r="OX8" s="2">
        <v>0</v>
      </c>
      <c r="OY8" s="2">
        <v>1</v>
      </c>
      <c r="OZ8" s="2">
        <v>78</v>
      </c>
      <c r="PA8" s="2">
        <v>102</v>
      </c>
      <c r="PB8" s="2">
        <v>0.83</v>
      </c>
      <c r="PC8" s="2">
        <v>4</v>
      </c>
      <c r="PD8" s="2">
        <v>10</v>
      </c>
      <c r="PE8">
        <v>1</v>
      </c>
      <c r="PF8" s="2">
        <v>0</v>
      </c>
      <c r="PG8" s="2">
        <v>91</v>
      </c>
      <c r="PH8" s="2">
        <v>9</v>
      </c>
      <c r="PI8" s="2">
        <v>105</v>
      </c>
      <c r="PJ8" s="2">
        <v>0</v>
      </c>
      <c r="PK8" s="2">
        <v>44</v>
      </c>
      <c r="PL8" s="2">
        <v>48</v>
      </c>
      <c r="PM8" s="2">
        <v>3</v>
      </c>
      <c r="PN8" s="2">
        <v>9</v>
      </c>
      <c r="PO8" s="2">
        <v>4</v>
      </c>
      <c r="PP8" s="2">
        <v>14</v>
      </c>
      <c r="PQ8" s="2">
        <v>27</v>
      </c>
      <c r="PR8" s="2">
        <v>2</v>
      </c>
      <c r="PS8" s="2">
        <v>59</v>
      </c>
      <c r="PT8" s="2">
        <v>5</v>
      </c>
      <c r="PU8" s="2">
        <v>115</v>
      </c>
      <c r="PV8" s="2">
        <v>343</v>
      </c>
      <c r="PW8" s="2">
        <v>81</v>
      </c>
      <c r="PX8" s="2">
        <v>316</v>
      </c>
      <c r="PY8" s="2">
        <v>14</v>
      </c>
      <c r="PZ8" s="2">
        <v>1</v>
      </c>
      <c r="QA8" s="2">
        <v>5</v>
      </c>
      <c r="QB8" s="2">
        <v>112</v>
      </c>
      <c r="QC8" s="2">
        <v>55</v>
      </c>
      <c r="QD8" s="2">
        <v>10.25</v>
      </c>
      <c r="QE8" s="2">
        <v>0</v>
      </c>
      <c r="QF8" s="2">
        <v>0</v>
      </c>
      <c r="QG8" s="2">
        <v>21</v>
      </c>
      <c r="QH8" s="2">
        <v>16</v>
      </c>
      <c r="QI8" s="2">
        <v>158</v>
      </c>
      <c r="QJ8" s="2">
        <v>79</v>
      </c>
      <c r="QK8" s="2">
        <v>34</v>
      </c>
      <c r="QL8" s="2">
        <v>243</v>
      </c>
      <c r="QM8" s="2">
        <v>0</v>
      </c>
      <c r="QN8" s="2">
        <v>1</v>
      </c>
      <c r="QO8" s="2">
        <v>87</v>
      </c>
      <c r="QP8" s="2">
        <v>1</v>
      </c>
      <c r="QQ8" s="2">
        <v>0</v>
      </c>
      <c r="QR8" s="2">
        <v>0</v>
      </c>
      <c r="QS8" s="2">
        <v>0</v>
      </c>
      <c r="QT8" s="2">
        <v>211</v>
      </c>
      <c r="QU8" s="2">
        <v>88</v>
      </c>
      <c r="QV8" s="2">
        <v>1</v>
      </c>
      <c r="QW8" s="2">
        <v>160</v>
      </c>
      <c r="QX8" s="2">
        <v>3</v>
      </c>
      <c r="QY8" s="2">
        <v>0</v>
      </c>
      <c r="QZ8" s="2">
        <v>1</v>
      </c>
      <c r="RA8" s="2">
        <v>1</v>
      </c>
      <c r="RB8" s="2">
        <v>0</v>
      </c>
      <c r="RC8" s="2">
        <v>66</v>
      </c>
      <c r="RD8" s="2">
        <v>1</v>
      </c>
      <c r="RE8" s="2">
        <v>176</v>
      </c>
      <c r="RF8" s="2">
        <v>0</v>
      </c>
      <c r="RG8" s="2">
        <v>8</v>
      </c>
      <c r="RH8" s="2">
        <v>0</v>
      </c>
      <c r="RI8" s="2">
        <v>2</v>
      </c>
      <c r="RJ8" s="2">
        <v>0</v>
      </c>
      <c r="RK8" s="2">
        <v>0</v>
      </c>
      <c r="RL8" s="2">
        <v>8</v>
      </c>
      <c r="RM8" s="2">
        <v>181</v>
      </c>
      <c r="RN8" s="2">
        <v>0</v>
      </c>
      <c r="RO8" s="2">
        <v>33</v>
      </c>
      <c r="RP8" s="2">
        <v>485</v>
      </c>
      <c r="RQ8" s="2">
        <v>10</v>
      </c>
      <c r="RR8" s="2">
        <v>4</v>
      </c>
      <c r="RS8" s="2">
        <v>0</v>
      </c>
      <c r="RT8" s="2"/>
      <c r="RU8" s="2"/>
      <c r="RV8" s="2"/>
      <c r="RW8" s="2"/>
      <c r="RX8" s="2"/>
      <c r="RY8" s="2"/>
    </row>
    <row r="9" spans="1:493" x14ac:dyDescent="0.25">
      <c r="A9" t="s">
        <v>464</v>
      </c>
      <c r="B9" s="2">
        <v>9667</v>
      </c>
      <c r="C9" s="2">
        <v>6781</v>
      </c>
      <c r="D9" s="2">
        <v>9337</v>
      </c>
      <c r="E9" s="2">
        <v>7548</v>
      </c>
      <c r="F9" s="2">
        <v>6366</v>
      </c>
      <c r="G9" s="2">
        <v>9227</v>
      </c>
      <c r="H9" s="2">
        <v>7744</v>
      </c>
      <c r="I9" s="2">
        <v>6665</v>
      </c>
      <c r="J9" s="2">
        <v>8084</v>
      </c>
      <c r="K9" s="2">
        <v>10520</v>
      </c>
      <c r="L9" s="2">
        <v>11116</v>
      </c>
      <c r="M9" s="2">
        <v>17442</v>
      </c>
      <c r="N9" s="2">
        <v>9679</v>
      </c>
      <c r="O9" s="2">
        <v>6662</v>
      </c>
      <c r="P9" s="2">
        <v>12212</v>
      </c>
      <c r="Q9" s="2">
        <v>10926</v>
      </c>
      <c r="R9" s="2">
        <v>10515</v>
      </c>
      <c r="S9" s="2">
        <v>9131</v>
      </c>
      <c r="T9" s="2">
        <v>11544</v>
      </c>
      <c r="U9" s="2">
        <v>8731</v>
      </c>
      <c r="V9" s="2">
        <v>9221</v>
      </c>
      <c r="W9" s="2">
        <v>9778</v>
      </c>
      <c r="X9" s="2">
        <v>10128</v>
      </c>
      <c r="Y9" s="2">
        <v>11380</v>
      </c>
      <c r="Z9" s="2">
        <v>10725</v>
      </c>
      <c r="AA9" s="2">
        <v>9123</v>
      </c>
      <c r="AB9" s="2">
        <v>12284</v>
      </c>
      <c r="AC9" s="2">
        <v>9698</v>
      </c>
      <c r="AD9" s="2">
        <v>10314</v>
      </c>
      <c r="AE9" s="2">
        <v>11165</v>
      </c>
      <c r="AF9" s="2">
        <v>9775</v>
      </c>
      <c r="AG9" s="2">
        <v>12900</v>
      </c>
      <c r="AH9" s="2">
        <v>11338</v>
      </c>
      <c r="AI9" s="2">
        <v>10126</v>
      </c>
      <c r="AJ9" s="2">
        <v>10751</v>
      </c>
      <c r="AK9" s="2">
        <v>17868</v>
      </c>
      <c r="AL9" s="2">
        <v>13384</v>
      </c>
      <c r="AM9" s="2">
        <v>11855</v>
      </c>
      <c r="AN9" s="2">
        <v>12526</v>
      </c>
      <c r="AO9" s="2">
        <v>15600</v>
      </c>
      <c r="AP9" s="2">
        <v>13394</v>
      </c>
      <c r="AQ9" s="2">
        <v>12074</v>
      </c>
      <c r="AR9" s="2">
        <v>13991</v>
      </c>
      <c r="AS9" s="2">
        <v>12457</v>
      </c>
      <c r="AT9" s="2">
        <v>11766</v>
      </c>
      <c r="AU9" s="2">
        <v>15471</v>
      </c>
      <c r="AV9" s="2">
        <v>17250</v>
      </c>
      <c r="AW9" s="2">
        <v>22210</v>
      </c>
      <c r="AX9" s="2">
        <v>20681</v>
      </c>
      <c r="AY9" s="2">
        <v>15082</v>
      </c>
      <c r="AZ9" s="2">
        <v>13638</v>
      </c>
      <c r="BA9" s="2">
        <v>15973</v>
      </c>
      <c r="BB9" s="2">
        <v>19951</v>
      </c>
      <c r="BC9" s="2">
        <v>19554</v>
      </c>
      <c r="BD9" s="2">
        <v>21785</v>
      </c>
      <c r="BE9" s="2">
        <v>18141</v>
      </c>
      <c r="BF9" s="2">
        <v>15444</v>
      </c>
      <c r="BG9" s="2">
        <v>21343</v>
      </c>
      <c r="BH9" s="2">
        <v>17509</v>
      </c>
      <c r="BI9" s="2">
        <v>18995</v>
      </c>
      <c r="BJ9" s="2">
        <v>18179</v>
      </c>
      <c r="BK9" s="2">
        <v>13780</v>
      </c>
      <c r="BL9" s="2">
        <v>13959</v>
      </c>
      <c r="BM9" s="2">
        <v>24393</v>
      </c>
      <c r="BN9" s="2">
        <v>21588</v>
      </c>
      <c r="BO9" s="2">
        <v>16883</v>
      </c>
      <c r="BP9" s="2">
        <v>26337</v>
      </c>
      <c r="BQ9" s="2">
        <v>17512</v>
      </c>
      <c r="BR9" s="2">
        <v>17565</v>
      </c>
      <c r="BS9" s="2">
        <v>25316</v>
      </c>
      <c r="BT9" s="2">
        <v>24778</v>
      </c>
      <c r="BU9" s="2">
        <v>26846</v>
      </c>
      <c r="BV9" s="2">
        <v>25134</v>
      </c>
      <c r="BW9" s="2">
        <v>18752</v>
      </c>
      <c r="BX9" s="2">
        <v>12600</v>
      </c>
      <c r="BY9" s="2">
        <v>21690</v>
      </c>
      <c r="BZ9" s="2">
        <v>21277</v>
      </c>
      <c r="CA9" s="2">
        <v>18451</v>
      </c>
      <c r="CB9" s="2">
        <v>24871</v>
      </c>
      <c r="CC9" s="2">
        <v>19654</v>
      </c>
      <c r="CD9" s="2">
        <v>23304</v>
      </c>
      <c r="CE9" s="2">
        <v>20362</v>
      </c>
      <c r="CF9" s="2">
        <v>24130</v>
      </c>
      <c r="CG9" s="2">
        <v>28455</v>
      </c>
      <c r="CH9" s="2">
        <v>19592</v>
      </c>
      <c r="CI9" s="2">
        <v>22276</v>
      </c>
      <c r="CJ9" s="2">
        <v>26526</v>
      </c>
      <c r="CK9" s="2">
        <v>22569</v>
      </c>
      <c r="CL9" s="2">
        <v>22549</v>
      </c>
      <c r="CM9" s="2">
        <v>23241</v>
      </c>
      <c r="CN9" s="2">
        <v>24185</v>
      </c>
      <c r="CO9" s="2">
        <v>22835</v>
      </c>
      <c r="CP9" s="2">
        <v>22121</v>
      </c>
      <c r="CQ9" s="2">
        <v>22908</v>
      </c>
      <c r="CR9" s="2">
        <v>26204</v>
      </c>
      <c r="CS9" s="2">
        <v>27290</v>
      </c>
      <c r="CT9" s="2">
        <v>26300</v>
      </c>
      <c r="CU9" s="2">
        <v>21143</v>
      </c>
      <c r="CV9" s="2">
        <v>22732</v>
      </c>
      <c r="CW9" s="2">
        <v>22380</v>
      </c>
      <c r="CX9" s="2">
        <v>28072</v>
      </c>
      <c r="CY9" s="2">
        <v>30251</v>
      </c>
      <c r="CZ9" s="2">
        <v>29015</v>
      </c>
      <c r="DA9" s="2">
        <v>26975</v>
      </c>
      <c r="DB9" s="2">
        <v>25827</v>
      </c>
      <c r="DC9" s="2">
        <v>24778</v>
      </c>
      <c r="DD9" s="2">
        <v>28588</v>
      </c>
      <c r="DE9" s="2">
        <v>33813</v>
      </c>
      <c r="DF9" s="2">
        <v>28501</v>
      </c>
      <c r="DG9" s="2">
        <v>25313</v>
      </c>
      <c r="DH9" s="2">
        <v>33473</v>
      </c>
      <c r="DI9" s="2">
        <v>27134</v>
      </c>
      <c r="DJ9" s="2">
        <v>32952</v>
      </c>
      <c r="DK9" s="2">
        <v>27286</v>
      </c>
      <c r="DL9" s="2">
        <v>33616</v>
      </c>
      <c r="DM9" s="2">
        <v>30717</v>
      </c>
      <c r="DN9" s="2">
        <v>24077</v>
      </c>
      <c r="DO9" s="2">
        <v>29363</v>
      </c>
      <c r="DP9" s="2">
        <v>27522</v>
      </c>
      <c r="DQ9" s="2">
        <v>30192</v>
      </c>
      <c r="DR9" s="2">
        <v>37576</v>
      </c>
      <c r="DS9" s="2">
        <v>30380</v>
      </c>
      <c r="DT9" s="2">
        <v>26633</v>
      </c>
      <c r="DU9" s="2">
        <v>36552</v>
      </c>
      <c r="DV9" s="2">
        <v>33736</v>
      </c>
      <c r="DW9" s="2">
        <v>28690</v>
      </c>
      <c r="DX9" s="2">
        <v>41254</v>
      </c>
      <c r="DY9" s="2">
        <v>32530</v>
      </c>
      <c r="DZ9" s="2">
        <v>28867</v>
      </c>
      <c r="EA9" s="2">
        <v>38606</v>
      </c>
      <c r="EB9" s="2">
        <v>34378</v>
      </c>
      <c r="EC9" s="2">
        <v>34991</v>
      </c>
      <c r="ED9" s="2">
        <v>40621</v>
      </c>
      <c r="EE9" s="2">
        <v>27085</v>
      </c>
      <c r="EF9" s="2">
        <v>29563</v>
      </c>
      <c r="EG9" s="2">
        <v>36822</v>
      </c>
      <c r="EH9" s="2">
        <v>40770</v>
      </c>
      <c r="EI9" s="2">
        <v>36869</v>
      </c>
      <c r="EJ9" s="2">
        <v>42002</v>
      </c>
      <c r="EK9" s="2">
        <v>36358</v>
      </c>
      <c r="EL9" s="2">
        <v>45098</v>
      </c>
      <c r="EM9" s="2">
        <v>49023</v>
      </c>
      <c r="EN9" s="2">
        <v>41166</v>
      </c>
      <c r="EO9" s="2">
        <v>44902</v>
      </c>
      <c r="EP9" s="2">
        <v>42320</v>
      </c>
      <c r="EQ9" s="2">
        <v>34825</v>
      </c>
      <c r="ER9" s="2">
        <v>38282</v>
      </c>
      <c r="ES9" s="2">
        <v>41782</v>
      </c>
      <c r="ET9" s="2">
        <v>45675</v>
      </c>
      <c r="EU9" s="2">
        <v>40223</v>
      </c>
      <c r="EV9" s="2">
        <v>42491</v>
      </c>
      <c r="EW9" s="2">
        <v>42964</v>
      </c>
      <c r="EX9" s="2">
        <v>41057</v>
      </c>
      <c r="EY9" s="2">
        <v>44100</v>
      </c>
      <c r="EZ9" s="2">
        <v>48721</v>
      </c>
      <c r="FA9" s="2">
        <v>50056</v>
      </c>
      <c r="FB9" s="2">
        <v>45259</v>
      </c>
      <c r="FC9" s="2">
        <v>35561</v>
      </c>
      <c r="FD9" s="2">
        <v>57765</v>
      </c>
      <c r="FE9" s="2">
        <v>47558</v>
      </c>
      <c r="FF9" s="2">
        <v>60185</v>
      </c>
      <c r="FG9" s="2">
        <v>50877</v>
      </c>
      <c r="FH9" s="2">
        <v>51745</v>
      </c>
      <c r="FI9" s="2">
        <v>48045</v>
      </c>
      <c r="FJ9" s="2">
        <v>47919</v>
      </c>
      <c r="FK9" s="2">
        <v>50261</v>
      </c>
      <c r="FL9" s="2">
        <v>47830</v>
      </c>
      <c r="FM9" s="2">
        <v>47155</v>
      </c>
      <c r="FN9" s="2">
        <v>44228</v>
      </c>
      <c r="FO9" s="2">
        <v>39986</v>
      </c>
      <c r="FP9" s="2">
        <v>52632</v>
      </c>
      <c r="FQ9" s="2">
        <v>49030</v>
      </c>
      <c r="FR9" s="2">
        <v>61343</v>
      </c>
      <c r="FS9" s="2">
        <v>50832</v>
      </c>
      <c r="FT9" s="2">
        <v>57901</v>
      </c>
      <c r="FU9" s="2">
        <v>55655</v>
      </c>
      <c r="FV9" s="2">
        <v>47835</v>
      </c>
      <c r="FW9" s="2">
        <v>59360</v>
      </c>
      <c r="FX9" s="2">
        <v>60143</v>
      </c>
      <c r="FY9" s="2">
        <v>70029</v>
      </c>
      <c r="FZ9" s="2">
        <v>56242</v>
      </c>
      <c r="GA9" s="2">
        <v>42888</v>
      </c>
      <c r="GB9" s="2">
        <v>60125</v>
      </c>
      <c r="GC9" s="2">
        <v>56319</v>
      </c>
      <c r="GD9" s="2">
        <v>72781</v>
      </c>
      <c r="GE9" s="2">
        <v>58319</v>
      </c>
      <c r="GF9" s="2">
        <v>58757</v>
      </c>
      <c r="GG9" s="2">
        <v>62113</v>
      </c>
      <c r="GH9" s="2">
        <v>63044</v>
      </c>
      <c r="GI9" s="2">
        <v>64288</v>
      </c>
      <c r="GJ9" s="2">
        <v>61397</v>
      </c>
      <c r="GK9" s="2">
        <v>58231</v>
      </c>
      <c r="GL9" s="2">
        <v>62279</v>
      </c>
      <c r="GM9" s="2">
        <v>65010</v>
      </c>
      <c r="GN9" s="2">
        <v>65208</v>
      </c>
      <c r="GO9" s="2">
        <v>77746</v>
      </c>
      <c r="GP9" s="2">
        <v>69559</v>
      </c>
      <c r="GQ9" s="2">
        <v>55265</v>
      </c>
      <c r="GR9" s="2">
        <v>59173</v>
      </c>
      <c r="GS9" s="2">
        <v>62568</v>
      </c>
      <c r="GT9" s="2">
        <v>69377</v>
      </c>
      <c r="GU9" s="2">
        <v>64723</v>
      </c>
      <c r="GV9" s="2">
        <v>66832</v>
      </c>
      <c r="GW9" s="2">
        <v>71407</v>
      </c>
      <c r="GX9" s="2">
        <v>64874</v>
      </c>
      <c r="GY9" s="2">
        <v>67929</v>
      </c>
      <c r="GZ9" s="2">
        <v>72685</v>
      </c>
      <c r="HA9" s="2">
        <v>72529</v>
      </c>
      <c r="HB9" s="2">
        <v>64767</v>
      </c>
      <c r="HC9" s="2">
        <v>53257</v>
      </c>
      <c r="HD9" s="2">
        <v>67674</v>
      </c>
      <c r="HE9" s="2">
        <v>69691</v>
      </c>
      <c r="HF9" s="2">
        <v>77605</v>
      </c>
      <c r="HG9" s="2">
        <v>77499</v>
      </c>
      <c r="HH9" s="2">
        <v>65510</v>
      </c>
      <c r="HI9" s="2">
        <v>85585</v>
      </c>
      <c r="HJ9" s="2">
        <v>69249</v>
      </c>
      <c r="HK9" s="2">
        <v>63062</v>
      </c>
      <c r="HL9" s="2">
        <v>77448</v>
      </c>
      <c r="HM9" s="2">
        <v>84277</v>
      </c>
      <c r="HN9" s="2">
        <v>73312</v>
      </c>
      <c r="HO9" s="2">
        <v>57409</v>
      </c>
      <c r="HP9" s="2">
        <v>78835</v>
      </c>
      <c r="HQ9" s="2">
        <v>71658</v>
      </c>
      <c r="HR9" s="2">
        <v>86709</v>
      </c>
      <c r="HS9" s="2">
        <v>66757</v>
      </c>
      <c r="HT9" s="2">
        <v>73292</v>
      </c>
      <c r="HU9" s="2">
        <v>91767</v>
      </c>
      <c r="HV9" s="2">
        <v>80843</v>
      </c>
      <c r="HW9" s="2">
        <v>72260</v>
      </c>
      <c r="HX9" s="2">
        <v>82020</v>
      </c>
      <c r="HY9" s="2">
        <v>83366</v>
      </c>
      <c r="HZ9" s="2">
        <v>76034</v>
      </c>
      <c r="IA9" s="2">
        <v>61998</v>
      </c>
      <c r="IB9" s="2">
        <v>81237</v>
      </c>
      <c r="IC9" s="2">
        <v>80004</v>
      </c>
      <c r="ID9" s="2">
        <v>89484</v>
      </c>
      <c r="IE9" s="2">
        <v>79359</v>
      </c>
      <c r="IF9" s="2">
        <v>80276</v>
      </c>
      <c r="IG9" s="2">
        <v>96056</v>
      </c>
      <c r="IH9" s="2">
        <v>88078</v>
      </c>
      <c r="II9" s="2">
        <v>89248</v>
      </c>
      <c r="IJ9" s="2">
        <v>95281</v>
      </c>
      <c r="IK9" s="2">
        <v>77384</v>
      </c>
      <c r="IL9" s="2">
        <v>83921</v>
      </c>
      <c r="IM9" s="2">
        <v>68645</v>
      </c>
      <c r="IN9" s="2">
        <v>90677</v>
      </c>
      <c r="IO9" s="2">
        <v>83187</v>
      </c>
      <c r="IP9" s="2">
        <v>89877</v>
      </c>
      <c r="IQ9" s="2">
        <v>85698</v>
      </c>
      <c r="IR9" s="2">
        <v>88759</v>
      </c>
      <c r="IS9" s="2">
        <v>103674</v>
      </c>
      <c r="IT9" s="2">
        <v>102366</v>
      </c>
      <c r="IU9" s="2">
        <v>78506</v>
      </c>
      <c r="IV9" s="2">
        <v>108399</v>
      </c>
      <c r="IW9" s="2">
        <v>89203</v>
      </c>
      <c r="IX9" s="2">
        <v>95880</v>
      </c>
      <c r="IY9" s="2">
        <v>76906</v>
      </c>
      <c r="IZ9" s="2">
        <v>102378</v>
      </c>
      <c r="JA9" s="2">
        <v>103218</v>
      </c>
      <c r="JB9" s="2">
        <v>95411</v>
      </c>
      <c r="JC9" s="2">
        <v>85177</v>
      </c>
      <c r="JD9" s="2">
        <v>94249</v>
      </c>
      <c r="JE9" s="2">
        <v>117308</v>
      </c>
      <c r="JF9" s="2">
        <v>100926</v>
      </c>
      <c r="JG9" s="2">
        <v>100760</v>
      </c>
      <c r="JH9" s="2">
        <v>103389</v>
      </c>
      <c r="JI9" s="2">
        <v>96268</v>
      </c>
      <c r="JJ9" s="2">
        <v>99853</v>
      </c>
      <c r="JK9" s="2">
        <v>86795</v>
      </c>
      <c r="JL9" s="2">
        <v>116846</v>
      </c>
      <c r="JM9" s="2">
        <v>117194</v>
      </c>
      <c r="JN9" s="2">
        <v>111265</v>
      </c>
      <c r="JO9" s="2">
        <v>101593</v>
      </c>
      <c r="JP9" s="2">
        <v>113380</v>
      </c>
      <c r="JQ9" s="2">
        <v>122753</v>
      </c>
      <c r="JR9" s="2">
        <v>116520</v>
      </c>
      <c r="JS9" s="2">
        <v>109958</v>
      </c>
      <c r="JT9" s="2">
        <v>128567</v>
      </c>
      <c r="JU9" s="2">
        <v>108677</v>
      </c>
      <c r="JV9" s="2">
        <v>115596</v>
      </c>
      <c r="JW9" s="2">
        <v>119797</v>
      </c>
      <c r="JX9" s="2">
        <v>133028</v>
      </c>
      <c r="JY9" s="2">
        <v>116993</v>
      </c>
      <c r="JZ9" s="2">
        <v>128207</v>
      </c>
      <c r="KA9" s="2">
        <v>114126</v>
      </c>
      <c r="KB9" s="2">
        <v>102724</v>
      </c>
      <c r="KC9" s="2">
        <v>127550</v>
      </c>
      <c r="KD9" s="2">
        <v>129390</v>
      </c>
      <c r="KE9" s="2">
        <v>109887</v>
      </c>
      <c r="KF9" s="2">
        <v>160726</v>
      </c>
      <c r="KG9" s="2">
        <v>121869</v>
      </c>
      <c r="KH9" s="2">
        <v>140244</v>
      </c>
      <c r="KI9" s="2">
        <v>126717</v>
      </c>
      <c r="KJ9" s="2">
        <v>135602</v>
      </c>
      <c r="KK9" s="2">
        <v>106487</v>
      </c>
      <c r="KL9" s="2">
        <v>123582</v>
      </c>
      <c r="KM9" s="2">
        <v>109017</v>
      </c>
      <c r="KN9" s="2">
        <v>111053</v>
      </c>
      <c r="KO9" s="2">
        <v>147810</v>
      </c>
      <c r="KP9" s="2">
        <v>122487</v>
      </c>
      <c r="KQ9" s="2">
        <v>101505</v>
      </c>
      <c r="KR9" s="2">
        <v>125283</v>
      </c>
      <c r="KS9" s="2">
        <v>112077</v>
      </c>
      <c r="KT9" s="2">
        <v>129689</v>
      </c>
      <c r="KU9" s="2">
        <v>107830</v>
      </c>
      <c r="KV9" s="2">
        <v>133445</v>
      </c>
      <c r="KW9" s="2">
        <v>114928</v>
      </c>
      <c r="KX9" s="2">
        <v>122838</v>
      </c>
      <c r="KY9" s="2">
        <v>125196</v>
      </c>
      <c r="KZ9" s="2">
        <v>150748</v>
      </c>
      <c r="LA9" s="2">
        <v>211670</v>
      </c>
      <c r="LB9" s="2">
        <v>142297.179</v>
      </c>
      <c r="LC9" s="2">
        <v>108533.57399999999</v>
      </c>
      <c r="LD9" s="2">
        <v>144052.785</v>
      </c>
      <c r="LE9" s="2">
        <v>122243.83199999999</v>
      </c>
      <c r="LF9" s="2">
        <v>151262.26300000001</v>
      </c>
      <c r="LG9" s="2">
        <v>126914.462</v>
      </c>
      <c r="LH9" s="2">
        <v>162557.86800000002</v>
      </c>
      <c r="LI9" s="2">
        <v>126885.42600000001</v>
      </c>
      <c r="LJ9" s="2">
        <v>138142.68</v>
      </c>
      <c r="LK9" s="2">
        <v>145983.82500000001</v>
      </c>
      <c r="LL9" s="2">
        <v>166782.739</v>
      </c>
      <c r="LM9" s="2">
        <v>242101.97899999999</v>
      </c>
      <c r="LN9" s="2">
        <v>157899</v>
      </c>
      <c r="LO9" s="2">
        <v>124097</v>
      </c>
      <c r="LP9" s="2">
        <v>148807</v>
      </c>
      <c r="LQ9" s="2">
        <v>153207</v>
      </c>
      <c r="LR9" s="2">
        <v>167203</v>
      </c>
      <c r="LS9" s="2">
        <v>139540</v>
      </c>
      <c r="LT9" s="2">
        <v>197844</v>
      </c>
      <c r="LU9" s="2">
        <v>133238</v>
      </c>
      <c r="LV9" s="2">
        <v>145952</v>
      </c>
      <c r="LW9" s="2">
        <v>145546</v>
      </c>
      <c r="LX9" s="2">
        <v>163996</v>
      </c>
      <c r="LY9" s="2">
        <v>202826</v>
      </c>
      <c r="LZ9" s="2">
        <v>183040</v>
      </c>
      <c r="MA9" s="2">
        <v>130004</v>
      </c>
      <c r="MB9" s="2">
        <v>169489</v>
      </c>
      <c r="MC9" s="2">
        <v>143597</v>
      </c>
      <c r="MD9" s="2">
        <v>160452</v>
      </c>
      <c r="ME9" s="2">
        <v>201126</v>
      </c>
      <c r="MF9" s="2">
        <v>168492</v>
      </c>
      <c r="MG9" s="2">
        <v>140115</v>
      </c>
      <c r="MH9" s="2">
        <v>159764</v>
      </c>
      <c r="MI9" s="2">
        <v>154793</v>
      </c>
      <c r="MJ9" s="2">
        <v>151397</v>
      </c>
      <c r="MK9" s="2">
        <v>219350</v>
      </c>
      <c r="ML9" s="2">
        <v>173124</v>
      </c>
      <c r="MM9" s="2">
        <v>142445</v>
      </c>
      <c r="MN9" s="2">
        <v>188478</v>
      </c>
      <c r="MO9" s="2">
        <v>156505</v>
      </c>
      <c r="MP9" s="2">
        <v>175188</v>
      </c>
      <c r="MQ9" s="2">
        <v>236249</v>
      </c>
      <c r="MR9" s="2">
        <v>210672</v>
      </c>
      <c r="MS9" s="2">
        <v>161616</v>
      </c>
      <c r="MT9" s="2">
        <v>186252</v>
      </c>
      <c r="MU9" s="2">
        <v>190037</v>
      </c>
      <c r="MV9" s="2">
        <v>171422</v>
      </c>
      <c r="MW9" s="2">
        <v>238657</v>
      </c>
      <c r="MX9" s="2">
        <v>185700.45300000001</v>
      </c>
      <c r="MY9" s="2">
        <v>173577.87</v>
      </c>
      <c r="MZ9" s="2">
        <v>232188</v>
      </c>
      <c r="NA9" s="2">
        <v>191611</v>
      </c>
      <c r="NB9" s="2">
        <v>217415</v>
      </c>
      <c r="NC9" s="2">
        <v>220779</v>
      </c>
      <c r="ND9" s="2">
        <v>220917</v>
      </c>
      <c r="NE9" s="2">
        <v>176962</v>
      </c>
      <c r="NF9" s="2">
        <v>241287</v>
      </c>
      <c r="NG9" s="2">
        <v>176987</v>
      </c>
      <c r="NH9" s="2">
        <v>228357</v>
      </c>
      <c r="NI9" s="2">
        <v>283555</v>
      </c>
      <c r="NJ9" s="2">
        <v>198092.45300000001</v>
      </c>
      <c r="NK9" s="2">
        <v>175562</v>
      </c>
      <c r="NL9" s="2">
        <v>241708</v>
      </c>
      <c r="NM9" s="2">
        <v>183079</v>
      </c>
      <c r="NN9" s="2">
        <v>261672</v>
      </c>
      <c r="NO9" s="2">
        <v>270717</v>
      </c>
      <c r="NP9" s="2">
        <v>245133</v>
      </c>
      <c r="NQ9" s="2">
        <v>201600</v>
      </c>
      <c r="NR9" s="2">
        <v>236983</v>
      </c>
      <c r="NS9" s="2">
        <v>226868</v>
      </c>
      <c r="NT9" s="2">
        <v>252115</v>
      </c>
      <c r="NU9" s="2">
        <v>330239.82</v>
      </c>
      <c r="NV9" s="2">
        <v>228707</v>
      </c>
      <c r="NW9" s="2">
        <v>230204</v>
      </c>
      <c r="NX9" s="2">
        <v>313053</v>
      </c>
      <c r="NY9" s="2">
        <v>261243</v>
      </c>
      <c r="NZ9" s="2">
        <v>291865</v>
      </c>
      <c r="OA9" s="2">
        <v>278487</v>
      </c>
      <c r="OB9" s="2">
        <v>328126</v>
      </c>
      <c r="OC9" s="2">
        <v>259462</v>
      </c>
      <c r="OD9" s="2">
        <v>298598</v>
      </c>
      <c r="OE9" s="2">
        <v>306627</v>
      </c>
      <c r="OF9" s="2">
        <v>298820</v>
      </c>
      <c r="OG9" s="2">
        <v>313251</v>
      </c>
      <c r="OH9" s="2">
        <v>212205</v>
      </c>
      <c r="OI9" s="2">
        <v>278458</v>
      </c>
      <c r="OJ9" s="2">
        <v>287327</v>
      </c>
      <c r="OK9" s="2">
        <v>221804</v>
      </c>
      <c r="OL9" s="2">
        <v>314672</v>
      </c>
      <c r="OM9" s="2">
        <v>275724</v>
      </c>
      <c r="ON9" s="2">
        <v>339390</v>
      </c>
      <c r="OO9" s="2">
        <v>282233</v>
      </c>
      <c r="OP9" s="2">
        <v>415085</v>
      </c>
      <c r="OQ9" s="2">
        <v>310815</v>
      </c>
      <c r="OR9" s="2">
        <v>365632</v>
      </c>
      <c r="OS9" s="2">
        <v>494389</v>
      </c>
      <c r="OT9" s="2">
        <v>271593</v>
      </c>
      <c r="OU9" s="2">
        <v>244430</v>
      </c>
      <c r="OV9" s="2">
        <v>333208</v>
      </c>
      <c r="OW9" s="2">
        <v>461657.17</v>
      </c>
      <c r="OX9" s="2">
        <v>353629</v>
      </c>
      <c r="OY9" s="2">
        <v>349211</v>
      </c>
      <c r="OZ9" s="2">
        <v>374676</v>
      </c>
      <c r="PA9" s="2">
        <v>283306</v>
      </c>
      <c r="PB9" s="2">
        <v>350940</v>
      </c>
      <c r="PC9" s="2">
        <v>289568</v>
      </c>
      <c r="PD9" s="2">
        <v>374050</v>
      </c>
      <c r="PE9">
        <v>541138</v>
      </c>
      <c r="PF9" s="2">
        <v>274792</v>
      </c>
      <c r="PG9" s="2">
        <v>335531.54000000004</v>
      </c>
      <c r="PH9" s="2">
        <v>407603</v>
      </c>
      <c r="PI9" s="2">
        <v>336346</v>
      </c>
      <c r="PJ9" s="2">
        <v>456721</v>
      </c>
      <c r="PK9" s="2">
        <v>395430</v>
      </c>
      <c r="PL9" s="2">
        <v>377257</v>
      </c>
      <c r="PM9" s="2">
        <v>380188</v>
      </c>
      <c r="PN9" s="2">
        <v>412361</v>
      </c>
      <c r="PO9" s="2">
        <v>317379</v>
      </c>
      <c r="PP9" s="2">
        <v>412715</v>
      </c>
      <c r="PQ9" s="2">
        <v>569315</v>
      </c>
      <c r="PR9" s="2">
        <v>301457</v>
      </c>
      <c r="PS9" s="2">
        <v>317202</v>
      </c>
      <c r="PT9" s="2">
        <v>481549</v>
      </c>
      <c r="PU9" s="2">
        <v>343013</v>
      </c>
      <c r="PV9" s="2">
        <v>451700</v>
      </c>
      <c r="PW9" s="2">
        <v>506791</v>
      </c>
      <c r="PX9" s="2">
        <v>395395</v>
      </c>
      <c r="PY9" s="2">
        <v>404476</v>
      </c>
      <c r="PZ9" s="2">
        <v>468574</v>
      </c>
      <c r="QA9" s="2">
        <v>387934</v>
      </c>
      <c r="QB9" s="2">
        <v>454990</v>
      </c>
      <c r="QC9" s="2">
        <v>646559</v>
      </c>
      <c r="QD9" s="2">
        <v>302418</v>
      </c>
      <c r="QE9" s="2">
        <v>318241</v>
      </c>
      <c r="QF9" s="2">
        <v>468911</v>
      </c>
      <c r="QG9" s="2">
        <v>373899</v>
      </c>
      <c r="QH9" s="2">
        <v>455668</v>
      </c>
      <c r="QI9" s="2">
        <v>492713</v>
      </c>
      <c r="QJ9" s="2">
        <v>459543</v>
      </c>
      <c r="QK9" s="2">
        <v>443556</v>
      </c>
      <c r="QL9" s="2">
        <v>506349</v>
      </c>
      <c r="QM9" s="2">
        <v>420210</v>
      </c>
      <c r="QN9" s="2">
        <v>433649</v>
      </c>
      <c r="QO9" s="2">
        <v>661034</v>
      </c>
      <c r="QP9" s="2">
        <v>333850</v>
      </c>
      <c r="QQ9" s="2">
        <v>388693</v>
      </c>
      <c r="QR9" s="2">
        <v>483841</v>
      </c>
      <c r="QS9" s="2">
        <v>494468</v>
      </c>
      <c r="QT9" s="2">
        <v>557000</v>
      </c>
      <c r="QU9" s="2">
        <v>505604</v>
      </c>
      <c r="QV9" s="2">
        <v>486219</v>
      </c>
      <c r="QW9" s="2">
        <v>440543</v>
      </c>
      <c r="QX9" s="2">
        <v>572919</v>
      </c>
      <c r="QY9" s="2">
        <v>466784</v>
      </c>
      <c r="QZ9" s="2">
        <v>551285</v>
      </c>
      <c r="RA9" s="2">
        <v>644175</v>
      </c>
      <c r="RB9" s="2">
        <v>398785</v>
      </c>
      <c r="RC9" s="2">
        <v>423211</v>
      </c>
      <c r="RD9" s="2">
        <v>622200</v>
      </c>
      <c r="RE9" s="2">
        <v>454756</v>
      </c>
      <c r="RF9" s="2">
        <v>578241</v>
      </c>
      <c r="RG9" s="2">
        <v>548518</v>
      </c>
      <c r="RH9" s="2">
        <v>491193</v>
      </c>
      <c r="RI9" s="2">
        <v>437283</v>
      </c>
      <c r="RJ9" s="2">
        <v>529796</v>
      </c>
      <c r="RK9" s="2">
        <v>430560</v>
      </c>
      <c r="RL9" s="2">
        <v>498305</v>
      </c>
      <c r="RM9" s="2">
        <v>617426</v>
      </c>
      <c r="RN9" s="2">
        <v>303477</v>
      </c>
      <c r="RO9" s="2">
        <v>532533</v>
      </c>
      <c r="RP9" s="2">
        <v>654750</v>
      </c>
      <c r="RQ9" s="2">
        <v>505409</v>
      </c>
      <c r="RR9" s="2">
        <v>600212</v>
      </c>
      <c r="RS9" s="2">
        <v>578749</v>
      </c>
      <c r="RT9" s="2"/>
      <c r="RU9" s="2"/>
      <c r="RV9" s="2"/>
      <c r="RW9" s="2"/>
      <c r="RX9" s="2"/>
      <c r="RY9" s="2"/>
    </row>
    <row r="10" spans="1:493" x14ac:dyDescent="0.25">
      <c r="A10" t="s">
        <v>465</v>
      </c>
      <c r="B10" s="2">
        <v>260</v>
      </c>
      <c r="C10" s="2">
        <v>171</v>
      </c>
      <c r="D10" s="2">
        <v>284</v>
      </c>
      <c r="E10" s="2">
        <v>298</v>
      </c>
      <c r="F10" s="2">
        <v>262</v>
      </c>
      <c r="G10" s="2">
        <v>267</v>
      </c>
      <c r="H10" s="2">
        <v>226</v>
      </c>
      <c r="I10" s="2">
        <v>375</v>
      </c>
      <c r="J10" s="2">
        <v>312</v>
      </c>
      <c r="K10" s="2">
        <v>316</v>
      </c>
      <c r="L10" s="2">
        <v>223</v>
      </c>
      <c r="M10" s="2">
        <v>580</v>
      </c>
      <c r="N10" s="2">
        <v>155</v>
      </c>
      <c r="O10" s="2">
        <v>172</v>
      </c>
      <c r="P10" s="2">
        <v>444</v>
      </c>
      <c r="Q10" s="2">
        <v>185</v>
      </c>
      <c r="R10" s="2">
        <v>260</v>
      </c>
      <c r="S10" s="2">
        <v>290</v>
      </c>
      <c r="T10" s="2">
        <v>859</v>
      </c>
      <c r="U10" s="2">
        <v>8</v>
      </c>
      <c r="V10" s="2">
        <v>587</v>
      </c>
      <c r="W10" s="2">
        <v>300</v>
      </c>
      <c r="X10" s="2">
        <v>297</v>
      </c>
      <c r="Y10" s="2">
        <v>747</v>
      </c>
      <c r="Z10" s="2">
        <v>326</v>
      </c>
      <c r="AA10" s="2">
        <v>321</v>
      </c>
      <c r="AB10" s="2">
        <v>643</v>
      </c>
      <c r="AC10" s="2">
        <v>322</v>
      </c>
      <c r="AD10" s="2">
        <v>320</v>
      </c>
      <c r="AE10" s="2">
        <v>211</v>
      </c>
      <c r="AF10" s="2">
        <v>711</v>
      </c>
      <c r="AG10" s="2">
        <v>356</v>
      </c>
      <c r="AH10" s="2">
        <v>400</v>
      </c>
      <c r="AI10" s="2">
        <v>356</v>
      </c>
      <c r="AJ10" s="2">
        <v>356</v>
      </c>
      <c r="AK10" s="2">
        <v>38</v>
      </c>
      <c r="AL10" s="2">
        <v>458</v>
      </c>
      <c r="AM10" s="2">
        <v>319</v>
      </c>
      <c r="AN10" s="2">
        <v>449</v>
      </c>
      <c r="AO10" s="2">
        <v>844</v>
      </c>
      <c r="AP10" s="2">
        <v>429</v>
      </c>
      <c r="AQ10" s="2">
        <v>441</v>
      </c>
      <c r="AR10" s="2">
        <v>465</v>
      </c>
      <c r="AS10" s="2">
        <v>432</v>
      </c>
      <c r="AT10" s="2">
        <v>0</v>
      </c>
      <c r="AU10" s="2">
        <v>467</v>
      </c>
      <c r="AV10" s="2">
        <v>443</v>
      </c>
      <c r="AW10" s="2">
        <v>487</v>
      </c>
      <c r="AX10" s="2">
        <v>39</v>
      </c>
      <c r="AY10" s="2">
        <v>1186</v>
      </c>
      <c r="AZ10" s="2">
        <v>593</v>
      </c>
      <c r="BA10" s="2">
        <v>591</v>
      </c>
      <c r="BB10" s="2">
        <v>592</v>
      </c>
      <c r="BC10" s="2">
        <v>592</v>
      </c>
      <c r="BD10" s="2">
        <v>592</v>
      </c>
      <c r="BE10" s="2">
        <v>592</v>
      </c>
      <c r="BF10" s="2">
        <v>591</v>
      </c>
      <c r="BG10" s="2">
        <v>592</v>
      </c>
      <c r="BH10" s="2">
        <v>592</v>
      </c>
      <c r="BI10" s="2">
        <v>1037</v>
      </c>
      <c r="BJ10" s="2">
        <v>592</v>
      </c>
      <c r="BK10" s="2">
        <v>592</v>
      </c>
      <c r="BL10" s="2">
        <v>592</v>
      </c>
      <c r="BM10" s="2">
        <v>592</v>
      </c>
      <c r="BN10" s="2">
        <v>592</v>
      </c>
      <c r="BO10" s="2">
        <v>592</v>
      </c>
      <c r="BP10" s="2">
        <v>592</v>
      </c>
      <c r="BQ10" s="2">
        <v>722</v>
      </c>
      <c r="BR10" s="2">
        <v>669</v>
      </c>
      <c r="BS10" s="2">
        <v>1317</v>
      </c>
      <c r="BT10" s="2">
        <v>1291</v>
      </c>
      <c r="BU10" s="2">
        <v>1638</v>
      </c>
      <c r="BV10" s="2">
        <v>982</v>
      </c>
      <c r="BW10" s="2">
        <v>983</v>
      </c>
      <c r="BX10" s="2">
        <v>983</v>
      </c>
      <c r="BY10" s="2">
        <v>993</v>
      </c>
      <c r="BZ10" s="2">
        <v>1406</v>
      </c>
      <c r="CA10" s="2">
        <v>2744</v>
      </c>
      <c r="CB10" s="2">
        <v>1445</v>
      </c>
      <c r="CC10" s="2">
        <v>1462</v>
      </c>
      <c r="CD10" s="2">
        <v>3202</v>
      </c>
      <c r="CE10" s="2">
        <v>1537</v>
      </c>
      <c r="CF10" s="2">
        <v>2803</v>
      </c>
      <c r="CG10" s="2">
        <v>1635</v>
      </c>
      <c r="CH10" s="2">
        <v>980</v>
      </c>
      <c r="CI10" s="2">
        <v>2881</v>
      </c>
      <c r="CJ10" s="2">
        <v>3956</v>
      </c>
      <c r="CK10" s="2">
        <v>3181</v>
      </c>
      <c r="CL10" s="2">
        <v>2418</v>
      </c>
      <c r="CM10" s="2">
        <v>2203</v>
      </c>
      <c r="CN10" s="2">
        <v>4272</v>
      </c>
      <c r="CO10" s="2">
        <v>2203</v>
      </c>
      <c r="CP10" s="2">
        <v>4116</v>
      </c>
      <c r="CQ10" s="2">
        <v>2192</v>
      </c>
      <c r="CR10" s="2">
        <v>2195</v>
      </c>
      <c r="CS10" s="2">
        <v>4119</v>
      </c>
      <c r="CT10" s="2">
        <v>2675</v>
      </c>
      <c r="CU10" s="2">
        <v>3277</v>
      </c>
      <c r="CV10" s="2">
        <v>5369</v>
      </c>
      <c r="CW10" s="2">
        <v>3368</v>
      </c>
      <c r="CX10" s="2">
        <v>5377</v>
      </c>
      <c r="CY10" s="2">
        <v>3306</v>
      </c>
      <c r="CZ10" s="2">
        <v>3394</v>
      </c>
      <c r="DA10" s="2">
        <v>3200</v>
      </c>
      <c r="DB10" s="2">
        <v>5234</v>
      </c>
      <c r="DC10" s="2">
        <v>3413</v>
      </c>
      <c r="DD10" s="2">
        <v>3223</v>
      </c>
      <c r="DE10" s="2">
        <v>5379</v>
      </c>
      <c r="DF10" s="2">
        <v>3581</v>
      </c>
      <c r="DG10" s="2">
        <v>3769</v>
      </c>
      <c r="DH10" s="2">
        <v>6067</v>
      </c>
      <c r="DI10" s="2">
        <v>4244</v>
      </c>
      <c r="DJ10" s="2">
        <v>5506</v>
      </c>
      <c r="DK10" s="2">
        <v>3521</v>
      </c>
      <c r="DL10" s="2">
        <v>4355</v>
      </c>
      <c r="DM10" s="2">
        <v>4722</v>
      </c>
      <c r="DN10" s="2">
        <v>4340</v>
      </c>
      <c r="DO10" s="2">
        <v>4359</v>
      </c>
      <c r="DP10" s="2">
        <v>4359</v>
      </c>
      <c r="DQ10" s="2">
        <v>4359</v>
      </c>
      <c r="DR10" s="2">
        <v>4716</v>
      </c>
      <c r="DS10" s="2">
        <v>4716</v>
      </c>
      <c r="DT10" s="2">
        <v>4716</v>
      </c>
      <c r="DU10" s="2">
        <v>4748</v>
      </c>
      <c r="DV10" s="2">
        <v>4748</v>
      </c>
      <c r="DW10" s="2">
        <v>4806</v>
      </c>
      <c r="DX10" s="2">
        <v>4756</v>
      </c>
      <c r="DY10" s="2">
        <v>4748</v>
      </c>
      <c r="DZ10" s="2">
        <v>4748</v>
      </c>
      <c r="EA10" s="2">
        <v>4884</v>
      </c>
      <c r="EB10" s="2">
        <v>4884</v>
      </c>
      <c r="EC10" s="2">
        <v>4886</v>
      </c>
      <c r="ED10" s="2">
        <v>3842</v>
      </c>
      <c r="EE10" s="2">
        <v>8160</v>
      </c>
      <c r="EF10" s="2">
        <v>5772</v>
      </c>
      <c r="EG10" s="2">
        <v>5920</v>
      </c>
      <c r="EH10" s="2">
        <v>5920</v>
      </c>
      <c r="EI10" s="2">
        <v>6179</v>
      </c>
      <c r="EJ10" s="2">
        <v>5920</v>
      </c>
      <c r="EK10" s="2">
        <v>6747</v>
      </c>
      <c r="EL10" s="2">
        <v>5273</v>
      </c>
      <c r="EM10" s="2">
        <v>8095</v>
      </c>
      <c r="EN10" s="2">
        <v>4765</v>
      </c>
      <c r="EO10" s="2">
        <v>4375</v>
      </c>
      <c r="EP10" s="2">
        <v>6949</v>
      </c>
      <c r="EQ10" s="2">
        <v>5356</v>
      </c>
      <c r="ER10" s="2">
        <v>4637</v>
      </c>
      <c r="ES10" s="2">
        <v>5534</v>
      </c>
      <c r="ET10" s="2">
        <v>5861</v>
      </c>
      <c r="EU10" s="2">
        <v>4997</v>
      </c>
      <c r="EV10" s="2">
        <v>8277</v>
      </c>
      <c r="EW10" s="2">
        <v>6535</v>
      </c>
      <c r="EX10" s="2">
        <v>4630</v>
      </c>
      <c r="EY10" s="2">
        <v>6694</v>
      </c>
      <c r="EZ10" s="2">
        <v>6919</v>
      </c>
      <c r="FA10" s="2">
        <v>5647</v>
      </c>
      <c r="FB10" s="2">
        <v>14053</v>
      </c>
      <c r="FC10" s="2">
        <v>6628</v>
      </c>
      <c r="FD10" s="2">
        <v>5636</v>
      </c>
      <c r="FE10" s="2">
        <v>7476</v>
      </c>
      <c r="FF10" s="2">
        <v>10267</v>
      </c>
      <c r="FG10" s="2">
        <v>7808</v>
      </c>
      <c r="FH10" s="2">
        <v>9196</v>
      </c>
      <c r="FI10" s="2">
        <v>5670</v>
      </c>
      <c r="FJ10" s="2">
        <v>7926</v>
      </c>
      <c r="FK10" s="2">
        <v>7774</v>
      </c>
      <c r="FL10" s="2">
        <v>7562</v>
      </c>
      <c r="FM10" s="2">
        <v>6405</v>
      </c>
      <c r="FN10" s="2">
        <v>7506</v>
      </c>
      <c r="FO10" s="2">
        <v>9492</v>
      </c>
      <c r="FP10" s="2">
        <v>8176</v>
      </c>
      <c r="FQ10" s="2">
        <v>6504</v>
      </c>
      <c r="FR10" s="2">
        <v>13382</v>
      </c>
      <c r="FS10" s="2">
        <v>8369</v>
      </c>
      <c r="FT10" s="2">
        <v>10213</v>
      </c>
      <c r="FU10" s="2">
        <v>9890</v>
      </c>
      <c r="FV10" s="2">
        <v>1139</v>
      </c>
      <c r="FW10" s="2">
        <v>8343</v>
      </c>
      <c r="FX10" s="2">
        <v>6888</v>
      </c>
      <c r="FY10" s="2">
        <v>9914</v>
      </c>
      <c r="FZ10" s="2">
        <v>8637</v>
      </c>
      <c r="GA10" s="2">
        <v>8776</v>
      </c>
      <c r="GB10" s="2">
        <v>9262</v>
      </c>
      <c r="GC10" s="2">
        <v>16173</v>
      </c>
      <c r="GD10" s="2">
        <v>4580</v>
      </c>
      <c r="GE10" s="2">
        <v>9424</v>
      </c>
      <c r="GF10" s="2">
        <v>9259</v>
      </c>
      <c r="GG10" s="2">
        <v>10776</v>
      </c>
      <c r="GH10" s="2">
        <v>10894</v>
      </c>
      <c r="GI10" s="2">
        <v>10381</v>
      </c>
      <c r="GJ10" s="2">
        <v>10581</v>
      </c>
      <c r="GK10" s="2">
        <v>9436</v>
      </c>
      <c r="GL10" s="2">
        <v>11807</v>
      </c>
      <c r="GM10" s="2">
        <v>11383</v>
      </c>
      <c r="GN10" s="2">
        <v>11789</v>
      </c>
      <c r="GO10" s="2">
        <v>12410</v>
      </c>
      <c r="GP10" s="2">
        <v>11449</v>
      </c>
      <c r="GQ10" s="2">
        <v>12453</v>
      </c>
      <c r="GR10" s="2">
        <v>11142</v>
      </c>
      <c r="GS10" s="2">
        <v>11381</v>
      </c>
      <c r="GT10" s="2">
        <v>11982</v>
      </c>
      <c r="GU10" s="2">
        <v>12100</v>
      </c>
      <c r="GV10" s="2">
        <v>11298</v>
      </c>
      <c r="GW10" s="2">
        <v>11346</v>
      </c>
      <c r="GX10" s="2">
        <v>11541</v>
      </c>
      <c r="GY10" s="2">
        <v>11307</v>
      </c>
      <c r="GZ10" s="2">
        <v>11265</v>
      </c>
      <c r="HA10" s="2">
        <v>12281</v>
      </c>
      <c r="HB10" s="2">
        <v>10815</v>
      </c>
      <c r="HC10" s="2">
        <v>11797</v>
      </c>
      <c r="HD10" s="2">
        <v>11729</v>
      </c>
      <c r="HE10" s="2">
        <v>12538</v>
      </c>
      <c r="HF10" s="2">
        <v>15402</v>
      </c>
      <c r="HG10" s="2">
        <v>12190</v>
      </c>
      <c r="HH10" s="2">
        <v>11988</v>
      </c>
      <c r="HI10" s="2">
        <v>12649</v>
      </c>
      <c r="HJ10" s="2">
        <v>11892</v>
      </c>
      <c r="HK10" s="2">
        <v>12618</v>
      </c>
      <c r="HL10" s="2">
        <v>12782</v>
      </c>
      <c r="HM10" s="2">
        <v>13330</v>
      </c>
      <c r="HN10" s="2">
        <v>12334</v>
      </c>
      <c r="HO10" s="2">
        <v>12239</v>
      </c>
      <c r="HP10" s="2">
        <v>11829</v>
      </c>
      <c r="HQ10" s="2">
        <v>11926</v>
      </c>
      <c r="HR10" s="2">
        <v>11865</v>
      </c>
      <c r="HS10" s="2">
        <v>11789</v>
      </c>
      <c r="HT10" s="2">
        <v>12025</v>
      </c>
      <c r="HU10" s="2">
        <v>12895</v>
      </c>
      <c r="HV10" s="2">
        <v>11724</v>
      </c>
      <c r="HW10" s="2">
        <v>12221</v>
      </c>
      <c r="HX10" s="2">
        <v>11984</v>
      </c>
      <c r="HY10" s="2">
        <v>13907</v>
      </c>
      <c r="HZ10" s="2">
        <v>13900</v>
      </c>
      <c r="IA10" s="2">
        <v>13982</v>
      </c>
      <c r="IB10" s="2">
        <v>12934</v>
      </c>
      <c r="IC10" s="2">
        <v>13169</v>
      </c>
      <c r="ID10" s="2">
        <v>14986</v>
      </c>
      <c r="IE10" s="2">
        <v>13051</v>
      </c>
      <c r="IF10" s="2">
        <v>13943</v>
      </c>
      <c r="IG10" s="2">
        <v>14749</v>
      </c>
      <c r="IH10" s="2">
        <v>13058</v>
      </c>
      <c r="II10" s="2">
        <v>13485</v>
      </c>
      <c r="IJ10" s="2">
        <v>13370</v>
      </c>
      <c r="IK10" s="2">
        <v>13160</v>
      </c>
      <c r="IL10" s="2">
        <v>12777</v>
      </c>
      <c r="IM10" s="2">
        <v>12910</v>
      </c>
      <c r="IN10" s="2">
        <v>12608</v>
      </c>
      <c r="IO10" s="2">
        <v>12910</v>
      </c>
      <c r="IP10" s="2">
        <v>12376</v>
      </c>
      <c r="IQ10" s="2">
        <v>13093</v>
      </c>
      <c r="IR10" s="2">
        <v>20578</v>
      </c>
      <c r="IS10" s="2">
        <v>24388</v>
      </c>
      <c r="IT10" s="2">
        <v>18478</v>
      </c>
      <c r="IU10" s="2">
        <v>15767</v>
      </c>
      <c r="IV10" s="2">
        <v>17364</v>
      </c>
      <c r="IW10" s="2">
        <v>15986</v>
      </c>
      <c r="IX10" s="2">
        <v>17199</v>
      </c>
      <c r="IY10" s="2">
        <v>14988</v>
      </c>
      <c r="IZ10" s="2">
        <v>15395</v>
      </c>
      <c r="JA10" s="2">
        <v>15786</v>
      </c>
      <c r="JB10" s="2">
        <v>15259</v>
      </c>
      <c r="JC10" s="2">
        <v>15259</v>
      </c>
      <c r="JD10" s="2">
        <v>15390</v>
      </c>
      <c r="JE10" s="2">
        <v>16841</v>
      </c>
      <c r="JF10" s="2">
        <v>17593</v>
      </c>
      <c r="JG10" s="2">
        <v>17681</v>
      </c>
      <c r="JH10" s="2">
        <v>18680</v>
      </c>
      <c r="JI10" s="2">
        <v>17612</v>
      </c>
      <c r="JJ10" s="2">
        <v>20050</v>
      </c>
      <c r="JK10" s="2">
        <v>19623</v>
      </c>
      <c r="JL10" s="2">
        <v>18637</v>
      </c>
      <c r="JM10" s="2">
        <v>17910</v>
      </c>
      <c r="JN10" s="2">
        <v>17785</v>
      </c>
      <c r="JO10" s="2">
        <v>18092</v>
      </c>
      <c r="JP10" s="2">
        <v>18830</v>
      </c>
      <c r="JQ10" s="2">
        <v>20502</v>
      </c>
      <c r="JR10" s="2">
        <v>20502</v>
      </c>
      <c r="JS10" s="2">
        <v>20829</v>
      </c>
      <c r="JT10" s="2">
        <v>21095</v>
      </c>
      <c r="JU10" s="2">
        <v>21317</v>
      </c>
      <c r="JV10" s="2">
        <v>20821</v>
      </c>
      <c r="JW10" s="2">
        <v>27892</v>
      </c>
      <c r="JX10" s="2">
        <v>18554</v>
      </c>
      <c r="JY10" s="2">
        <v>26640</v>
      </c>
      <c r="JZ10" s="2">
        <v>21574</v>
      </c>
      <c r="KA10" s="2">
        <v>21969</v>
      </c>
      <c r="KB10" s="2">
        <v>21888</v>
      </c>
      <c r="KC10" s="2">
        <v>21564</v>
      </c>
      <c r="KD10" s="2">
        <v>22521</v>
      </c>
      <c r="KE10" s="2">
        <v>22193</v>
      </c>
      <c r="KF10" s="2">
        <v>25724</v>
      </c>
      <c r="KG10" s="2">
        <v>22088</v>
      </c>
      <c r="KH10" s="2">
        <v>26413</v>
      </c>
      <c r="KI10" s="2">
        <v>25891</v>
      </c>
      <c r="KJ10" s="2">
        <v>23144</v>
      </c>
      <c r="KK10" s="2">
        <v>22149</v>
      </c>
      <c r="KL10" s="2">
        <v>22343</v>
      </c>
      <c r="KM10" s="2">
        <v>22297</v>
      </c>
      <c r="KN10" s="2">
        <v>22443</v>
      </c>
      <c r="KO10" s="2">
        <v>22346</v>
      </c>
      <c r="KP10" s="2">
        <v>25409</v>
      </c>
      <c r="KQ10" s="2">
        <v>26340</v>
      </c>
      <c r="KR10" s="2">
        <v>24627</v>
      </c>
      <c r="KS10" s="2">
        <v>24450</v>
      </c>
      <c r="KT10" s="2">
        <v>28499</v>
      </c>
      <c r="KU10" s="2">
        <v>25869</v>
      </c>
      <c r="KV10" s="2">
        <v>25563</v>
      </c>
      <c r="KW10" s="2">
        <v>24994</v>
      </c>
      <c r="KX10" s="2">
        <v>24314</v>
      </c>
      <c r="KY10" s="2">
        <v>25628</v>
      </c>
      <c r="KZ10" s="2">
        <v>26106</v>
      </c>
      <c r="LA10" s="2">
        <v>33315</v>
      </c>
      <c r="LB10" s="2">
        <v>23565</v>
      </c>
      <c r="LC10" s="2">
        <v>24002</v>
      </c>
      <c r="LD10" s="2">
        <v>23439</v>
      </c>
      <c r="LE10" s="2">
        <v>23254</v>
      </c>
      <c r="LF10" s="2">
        <v>28550</v>
      </c>
      <c r="LG10" s="2">
        <v>26578</v>
      </c>
      <c r="LH10" s="2">
        <v>25522</v>
      </c>
      <c r="LI10" s="2">
        <v>23915</v>
      </c>
      <c r="LJ10" s="2">
        <v>24613</v>
      </c>
      <c r="LK10" s="2">
        <v>25899</v>
      </c>
      <c r="LL10" s="2">
        <v>24209</v>
      </c>
      <c r="LM10" s="2">
        <v>24776</v>
      </c>
      <c r="LN10" s="2">
        <v>26006</v>
      </c>
      <c r="LO10" s="2">
        <v>25954</v>
      </c>
      <c r="LP10" s="2">
        <v>28328</v>
      </c>
      <c r="LQ10" s="2">
        <v>25529</v>
      </c>
      <c r="LR10" s="2">
        <v>29623</v>
      </c>
      <c r="LS10" s="2">
        <v>28463</v>
      </c>
      <c r="LT10" s="2">
        <v>25842</v>
      </c>
      <c r="LU10" s="2">
        <v>25223</v>
      </c>
      <c r="LV10" s="2">
        <v>25812</v>
      </c>
      <c r="LW10" s="2">
        <v>25831</v>
      </c>
      <c r="LX10" s="2">
        <v>26680</v>
      </c>
      <c r="LY10" s="2">
        <v>23964</v>
      </c>
      <c r="LZ10" s="2">
        <v>28160</v>
      </c>
      <c r="MA10" s="2">
        <v>28617</v>
      </c>
      <c r="MB10" s="2">
        <v>28327</v>
      </c>
      <c r="MC10" s="2">
        <v>28218</v>
      </c>
      <c r="MD10" s="2">
        <v>30496</v>
      </c>
      <c r="ME10" s="2">
        <v>30264</v>
      </c>
      <c r="MF10" s="2">
        <v>29223</v>
      </c>
      <c r="MG10" s="2">
        <v>28216</v>
      </c>
      <c r="MH10" s="2">
        <v>28337</v>
      </c>
      <c r="MI10" s="2">
        <v>27199</v>
      </c>
      <c r="MJ10" s="2">
        <v>28538</v>
      </c>
      <c r="MK10" s="2">
        <v>28640</v>
      </c>
      <c r="ML10" s="2">
        <v>32489</v>
      </c>
      <c r="MM10" s="2">
        <v>32286</v>
      </c>
      <c r="MN10" s="2">
        <v>32291</v>
      </c>
      <c r="MO10" s="2">
        <v>32277</v>
      </c>
      <c r="MP10" s="2">
        <v>32277</v>
      </c>
      <c r="MQ10" s="2">
        <v>32277</v>
      </c>
      <c r="MR10" s="2">
        <v>32277</v>
      </c>
      <c r="MS10" s="2">
        <v>32277</v>
      </c>
      <c r="MT10" s="2">
        <v>32277</v>
      </c>
      <c r="MU10" s="2">
        <v>32277</v>
      </c>
      <c r="MV10" s="2">
        <v>32277</v>
      </c>
      <c r="MW10" s="2">
        <v>32277</v>
      </c>
      <c r="MX10" s="2">
        <v>40501</v>
      </c>
      <c r="MY10" s="2">
        <v>42204</v>
      </c>
      <c r="MZ10" s="2">
        <v>39020</v>
      </c>
      <c r="NA10" s="2">
        <v>35849</v>
      </c>
      <c r="NB10" s="2">
        <v>35725</v>
      </c>
      <c r="NC10" s="2">
        <v>36877</v>
      </c>
      <c r="ND10" s="2">
        <v>35801</v>
      </c>
      <c r="NE10" s="2">
        <v>36290</v>
      </c>
      <c r="NF10" s="2">
        <v>35977</v>
      </c>
      <c r="NG10" s="2">
        <v>38987</v>
      </c>
      <c r="NH10" s="2">
        <v>36177</v>
      </c>
      <c r="NI10" s="2">
        <v>36368</v>
      </c>
      <c r="NJ10" s="2">
        <v>40844</v>
      </c>
      <c r="NK10" s="2">
        <v>40792</v>
      </c>
      <c r="NL10" s="2">
        <v>40773</v>
      </c>
      <c r="NM10" s="2">
        <v>49670</v>
      </c>
      <c r="NN10" s="2">
        <v>46519</v>
      </c>
      <c r="NO10" s="2">
        <v>55084</v>
      </c>
      <c r="NP10" s="2">
        <v>42712</v>
      </c>
      <c r="NQ10" s="2">
        <v>43690</v>
      </c>
      <c r="NR10" s="2">
        <v>41871</v>
      </c>
      <c r="NS10" s="2">
        <v>41595</v>
      </c>
      <c r="NT10" s="2">
        <v>41839</v>
      </c>
      <c r="NU10" s="2">
        <v>44761</v>
      </c>
      <c r="NV10" s="2">
        <v>43305</v>
      </c>
      <c r="NW10" s="2">
        <v>59162</v>
      </c>
      <c r="NX10" s="2">
        <v>46272</v>
      </c>
      <c r="NY10" s="2">
        <v>58836</v>
      </c>
      <c r="NZ10" s="2">
        <v>48657</v>
      </c>
      <c r="OA10" s="2">
        <v>46427</v>
      </c>
      <c r="OB10" s="2">
        <v>46356</v>
      </c>
      <c r="OC10" s="2">
        <v>45939</v>
      </c>
      <c r="OD10" s="2">
        <v>47868</v>
      </c>
      <c r="OE10" s="2">
        <v>44601</v>
      </c>
      <c r="OF10" s="2">
        <v>44059</v>
      </c>
      <c r="OG10" s="2">
        <v>44168</v>
      </c>
      <c r="OH10" s="2">
        <v>0</v>
      </c>
      <c r="OI10" s="2">
        <v>97328</v>
      </c>
      <c r="OJ10" s="2">
        <v>52173</v>
      </c>
      <c r="OK10" s="2">
        <v>47967</v>
      </c>
      <c r="OL10" s="2">
        <v>47957</v>
      </c>
      <c r="OM10" s="2">
        <v>50293</v>
      </c>
      <c r="ON10" s="2">
        <v>49166</v>
      </c>
      <c r="OO10" s="2">
        <v>53670</v>
      </c>
      <c r="OP10" s="2">
        <v>59812</v>
      </c>
      <c r="OQ10" s="2">
        <v>53847</v>
      </c>
      <c r="OR10" s="2">
        <v>51999</v>
      </c>
      <c r="OS10" s="2">
        <v>53784</v>
      </c>
      <c r="OT10" s="2">
        <v>54975</v>
      </c>
      <c r="OU10" s="2">
        <v>67325</v>
      </c>
      <c r="OV10" s="2">
        <v>65325</v>
      </c>
      <c r="OW10" s="2">
        <v>96795</v>
      </c>
      <c r="OX10" s="2">
        <v>62382</v>
      </c>
      <c r="OY10" s="2">
        <v>62417</v>
      </c>
      <c r="OZ10" s="2">
        <v>67054</v>
      </c>
      <c r="PA10" s="2">
        <v>64213</v>
      </c>
      <c r="PB10" s="2">
        <v>66247</v>
      </c>
      <c r="PC10" s="2">
        <v>67011</v>
      </c>
      <c r="PD10" s="2">
        <v>63072</v>
      </c>
      <c r="PE10">
        <v>67730</v>
      </c>
      <c r="PF10" s="2">
        <v>64119</v>
      </c>
      <c r="PG10" s="2">
        <v>72280</v>
      </c>
      <c r="PH10" s="2">
        <v>70474</v>
      </c>
      <c r="PI10" s="2">
        <v>91942</v>
      </c>
      <c r="PJ10" s="2">
        <v>76503</v>
      </c>
      <c r="PK10" s="2">
        <v>73180</v>
      </c>
      <c r="PL10" s="2">
        <v>66621</v>
      </c>
      <c r="PM10" s="2">
        <v>81710</v>
      </c>
      <c r="PN10" s="2">
        <v>66906</v>
      </c>
      <c r="PO10" s="2">
        <v>65099</v>
      </c>
      <c r="PP10" s="2">
        <v>67208</v>
      </c>
      <c r="PQ10" s="2">
        <v>96656</v>
      </c>
      <c r="PR10" s="2">
        <v>79922</v>
      </c>
      <c r="PS10" s="2">
        <v>93367</v>
      </c>
      <c r="PT10" s="2">
        <v>94067</v>
      </c>
      <c r="PU10" s="2">
        <v>85507</v>
      </c>
      <c r="PV10" s="2">
        <v>88982</v>
      </c>
      <c r="PW10" s="2">
        <v>89478</v>
      </c>
      <c r="PX10" s="2">
        <v>86406</v>
      </c>
      <c r="PY10" s="2">
        <v>109491</v>
      </c>
      <c r="PZ10" s="2">
        <v>95830</v>
      </c>
      <c r="QA10" s="2">
        <v>86490</v>
      </c>
      <c r="QB10" s="2">
        <v>86233</v>
      </c>
      <c r="QC10" s="2">
        <v>107511</v>
      </c>
      <c r="QD10" s="2">
        <v>73754</v>
      </c>
      <c r="QE10" s="2">
        <v>73834</v>
      </c>
      <c r="QF10" s="2">
        <v>83271</v>
      </c>
      <c r="QG10" s="2">
        <v>74110</v>
      </c>
      <c r="QH10" s="2">
        <v>74940</v>
      </c>
      <c r="QI10" s="2">
        <v>81485</v>
      </c>
      <c r="QJ10" s="2">
        <v>76795</v>
      </c>
      <c r="QK10" s="2">
        <v>75469</v>
      </c>
      <c r="QL10" s="2">
        <v>80922</v>
      </c>
      <c r="QM10" s="2">
        <v>75358</v>
      </c>
      <c r="QN10" s="2">
        <v>80236</v>
      </c>
      <c r="QO10" s="2">
        <v>75878</v>
      </c>
      <c r="QP10" s="2">
        <v>78364</v>
      </c>
      <c r="QQ10" s="2">
        <v>101522</v>
      </c>
      <c r="QR10" s="2">
        <v>80025</v>
      </c>
      <c r="QS10" s="2">
        <v>79054</v>
      </c>
      <c r="QT10" s="2">
        <v>81338</v>
      </c>
      <c r="QU10" s="2">
        <v>83886</v>
      </c>
      <c r="QV10" s="2">
        <v>86190</v>
      </c>
      <c r="QW10" s="2">
        <v>82515</v>
      </c>
      <c r="QX10" s="2">
        <v>82505</v>
      </c>
      <c r="QY10" s="2">
        <v>84378</v>
      </c>
      <c r="QZ10" s="2">
        <v>101495</v>
      </c>
      <c r="RA10" s="2">
        <v>82811</v>
      </c>
      <c r="RB10" s="2">
        <v>86112</v>
      </c>
      <c r="RC10" s="2">
        <v>102016</v>
      </c>
      <c r="RD10" s="2">
        <v>101127</v>
      </c>
      <c r="RE10" s="2">
        <v>93115</v>
      </c>
      <c r="RF10" s="2">
        <v>93409</v>
      </c>
      <c r="RG10" s="2">
        <v>95520</v>
      </c>
      <c r="RH10" s="2">
        <v>98346</v>
      </c>
      <c r="RI10" s="2">
        <v>103085</v>
      </c>
      <c r="RJ10" s="2">
        <v>95467</v>
      </c>
      <c r="RK10" s="2">
        <v>94914</v>
      </c>
      <c r="RL10" s="2">
        <v>93979</v>
      </c>
      <c r="RM10" s="2">
        <v>94822</v>
      </c>
      <c r="RN10" s="2">
        <v>0</v>
      </c>
      <c r="RO10" s="2">
        <v>225219</v>
      </c>
      <c r="RP10" s="2">
        <v>152836</v>
      </c>
      <c r="RQ10" s="2">
        <v>110944</v>
      </c>
      <c r="RR10" s="2">
        <v>115994</v>
      </c>
      <c r="RS10" s="2">
        <v>111737</v>
      </c>
      <c r="RT10" s="2"/>
      <c r="RU10" s="2"/>
      <c r="RV10" s="2"/>
      <c r="RW10" s="2"/>
      <c r="RX10" s="2"/>
      <c r="RY10" s="2"/>
    </row>
    <row r="11" spans="1:493" x14ac:dyDescent="0.25">
      <c r="A11" t="s">
        <v>466</v>
      </c>
      <c r="B11" s="2">
        <v>915</v>
      </c>
      <c r="C11" s="2">
        <v>1376</v>
      </c>
      <c r="D11" s="2">
        <v>3753</v>
      </c>
      <c r="E11" s="2">
        <v>1781</v>
      </c>
      <c r="F11" s="2">
        <v>1307</v>
      </c>
      <c r="G11" s="2">
        <v>1292</v>
      </c>
      <c r="H11" s="2">
        <v>1034</v>
      </c>
      <c r="I11" s="2">
        <v>1231</v>
      </c>
      <c r="J11" s="2">
        <v>1392</v>
      </c>
      <c r="K11" s="2">
        <v>1663</v>
      </c>
      <c r="L11" s="2">
        <v>1889</v>
      </c>
      <c r="M11" s="2">
        <v>3979</v>
      </c>
      <c r="N11" s="2">
        <v>1731</v>
      </c>
      <c r="O11" s="2">
        <v>2970</v>
      </c>
      <c r="P11" s="2">
        <v>4725</v>
      </c>
      <c r="Q11" s="2">
        <v>3339</v>
      </c>
      <c r="R11" s="2">
        <v>2818</v>
      </c>
      <c r="S11" s="2">
        <v>3472</v>
      </c>
      <c r="T11" s="2">
        <v>3037</v>
      </c>
      <c r="U11" s="2">
        <v>2842</v>
      </c>
      <c r="V11" s="2">
        <v>3090</v>
      </c>
      <c r="W11" s="2">
        <v>2635</v>
      </c>
      <c r="X11" s="2">
        <v>2954</v>
      </c>
      <c r="Y11" s="2">
        <v>3292</v>
      </c>
      <c r="Z11" s="2">
        <v>3295</v>
      </c>
      <c r="AA11" s="2">
        <v>3500</v>
      </c>
      <c r="AB11" s="2">
        <v>5005</v>
      </c>
      <c r="AC11" s="2">
        <v>3852</v>
      </c>
      <c r="AD11" s="2">
        <v>4190</v>
      </c>
      <c r="AE11" s="2">
        <v>4169</v>
      </c>
      <c r="AF11" s="2">
        <v>3496</v>
      </c>
      <c r="AG11" s="2">
        <v>3884</v>
      </c>
      <c r="AH11" s="2">
        <v>3323</v>
      </c>
      <c r="AI11" s="2">
        <v>3533</v>
      </c>
      <c r="AJ11" s="2">
        <v>2342</v>
      </c>
      <c r="AK11" s="2">
        <v>5276</v>
      </c>
      <c r="AL11" s="2">
        <v>4247</v>
      </c>
      <c r="AM11" s="2">
        <v>3843</v>
      </c>
      <c r="AN11" s="2">
        <v>4522</v>
      </c>
      <c r="AO11" s="2">
        <v>4857</v>
      </c>
      <c r="AP11" s="2">
        <v>4683</v>
      </c>
      <c r="AQ11" s="2">
        <v>2788</v>
      </c>
      <c r="AR11" s="2">
        <v>4234</v>
      </c>
      <c r="AS11" s="2">
        <v>4937</v>
      </c>
      <c r="AT11" s="2">
        <v>4071</v>
      </c>
      <c r="AU11" s="2">
        <v>5473</v>
      </c>
      <c r="AV11" s="2">
        <v>5064</v>
      </c>
      <c r="AW11" s="2">
        <v>5995</v>
      </c>
      <c r="AX11" s="2">
        <v>6506</v>
      </c>
      <c r="AY11" s="2">
        <v>4073</v>
      </c>
      <c r="AZ11" s="2">
        <v>4920</v>
      </c>
      <c r="BA11" s="2">
        <v>7708</v>
      </c>
      <c r="BB11" s="2">
        <v>5447</v>
      </c>
      <c r="BC11" s="2">
        <v>5696</v>
      </c>
      <c r="BD11" s="2">
        <v>5923</v>
      </c>
      <c r="BE11" s="2">
        <v>5911</v>
      </c>
      <c r="BF11" s="2">
        <v>5167</v>
      </c>
      <c r="BG11" s="2">
        <v>8187</v>
      </c>
      <c r="BH11" s="2">
        <v>6469</v>
      </c>
      <c r="BI11" s="2">
        <v>5107</v>
      </c>
      <c r="BJ11" s="2">
        <v>4640</v>
      </c>
      <c r="BK11" s="2">
        <v>4655</v>
      </c>
      <c r="BL11" s="2">
        <v>4062</v>
      </c>
      <c r="BM11" s="2">
        <v>11686</v>
      </c>
      <c r="BN11" s="2">
        <v>6844</v>
      </c>
      <c r="BO11" s="2">
        <v>5596</v>
      </c>
      <c r="BP11" s="2">
        <v>8243</v>
      </c>
      <c r="BQ11" s="2">
        <v>4085</v>
      </c>
      <c r="BR11" s="2">
        <v>3566</v>
      </c>
      <c r="BS11" s="2">
        <v>9185</v>
      </c>
      <c r="BT11" s="2">
        <v>5465</v>
      </c>
      <c r="BU11" s="2">
        <v>6895</v>
      </c>
      <c r="BV11" s="2">
        <v>9730</v>
      </c>
      <c r="BW11" s="2">
        <v>7022</v>
      </c>
      <c r="BX11" s="2">
        <v>5781</v>
      </c>
      <c r="BY11" s="2">
        <v>7707</v>
      </c>
      <c r="BZ11" s="2">
        <v>4708</v>
      </c>
      <c r="CA11" s="2">
        <v>5769</v>
      </c>
      <c r="CB11" s="2">
        <v>8890</v>
      </c>
      <c r="CC11" s="2">
        <v>5722</v>
      </c>
      <c r="CD11" s="2">
        <v>6850</v>
      </c>
      <c r="CE11" s="2">
        <v>6316</v>
      </c>
      <c r="CF11" s="2">
        <v>5913</v>
      </c>
      <c r="CG11" s="2">
        <v>5163</v>
      </c>
      <c r="CH11" s="2">
        <v>6469</v>
      </c>
      <c r="CI11" s="2">
        <v>9710</v>
      </c>
      <c r="CJ11" s="2">
        <v>7234</v>
      </c>
      <c r="CK11" s="2">
        <v>6616</v>
      </c>
      <c r="CL11" s="2">
        <v>5721</v>
      </c>
      <c r="CM11" s="2">
        <v>5681</v>
      </c>
      <c r="CN11" s="2">
        <v>4205</v>
      </c>
      <c r="CO11" s="2">
        <v>7325</v>
      </c>
      <c r="CP11" s="2">
        <v>5462</v>
      </c>
      <c r="CQ11" s="2">
        <v>3665</v>
      </c>
      <c r="CR11" s="2">
        <v>8819</v>
      </c>
      <c r="CS11" s="2">
        <v>5584</v>
      </c>
      <c r="CT11" s="2">
        <v>8618</v>
      </c>
      <c r="CU11" s="2">
        <v>6502</v>
      </c>
      <c r="CV11" s="2">
        <v>6301</v>
      </c>
      <c r="CW11" s="2">
        <v>5316</v>
      </c>
      <c r="CX11" s="2">
        <v>8843</v>
      </c>
      <c r="CY11" s="2">
        <v>7057</v>
      </c>
      <c r="CZ11" s="2">
        <v>5559</v>
      </c>
      <c r="DA11" s="2">
        <v>8694</v>
      </c>
      <c r="DB11" s="2">
        <v>5563</v>
      </c>
      <c r="DC11" s="2">
        <v>5202</v>
      </c>
      <c r="DD11" s="2">
        <v>6994</v>
      </c>
      <c r="DE11" s="2">
        <v>4474</v>
      </c>
      <c r="DF11" s="2">
        <v>5087</v>
      </c>
      <c r="DG11" s="2">
        <v>4290</v>
      </c>
      <c r="DH11" s="2">
        <v>6118</v>
      </c>
      <c r="DI11" s="2">
        <v>5670</v>
      </c>
      <c r="DJ11" s="2">
        <v>9316</v>
      </c>
      <c r="DK11" s="2">
        <v>6809</v>
      </c>
      <c r="DL11" s="2">
        <v>6479</v>
      </c>
      <c r="DM11" s="2">
        <v>5675</v>
      </c>
      <c r="DN11" s="2">
        <v>5272</v>
      </c>
      <c r="DO11" s="2">
        <v>5777</v>
      </c>
      <c r="DP11" s="2">
        <v>6900</v>
      </c>
      <c r="DQ11" s="2">
        <v>5265</v>
      </c>
      <c r="DR11" s="2">
        <v>8433</v>
      </c>
      <c r="DS11" s="2">
        <v>5613</v>
      </c>
      <c r="DT11" s="2">
        <v>4929</v>
      </c>
      <c r="DU11" s="2">
        <v>6568</v>
      </c>
      <c r="DV11" s="2">
        <v>7162</v>
      </c>
      <c r="DW11" s="2">
        <v>5363</v>
      </c>
      <c r="DX11" s="2">
        <v>8425</v>
      </c>
      <c r="DY11" s="2">
        <v>7645</v>
      </c>
      <c r="DZ11" s="2">
        <v>6358</v>
      </c>
      <c r="EA11" s="2">
        <v>6487</v>
      </c>
      <c r="EB11" s="2">
        <v>4295</v>
      </c>
      <c r="EC11" s="2">
        <v>5244</v>
      </c>
      <c r="ED11" s="2">
        <v>6266</v>
      </c>
      <c r="EE11" s="2">
        <v>5131</v>
      </c>
      <c r="EF11" s="2">
        <v>6809</v>
      </c>
      <c r="EG11" s="2">
        <v>6510</v>
      </c>
      <c r="EH11" s="2">
        <v>4652</v>
      </c>
      <c r="EI11" s="2">
        <v>5023</v>
      </c>
      <c r="EJ11" s="2">
        <v>5862</v>
      </c>
      <c r="EK11" s="2">
        <v>8061</v>
      </c>
      <c r="EL11" s="2">
        <v>10027</v>
      </c>
      <c r="EM11" s="2">
        <v>8358</v>
      </c>
      <c r="EN11" s="2">
        <v>5158</v>
      </c>
      <c r="EO11" s="2">
        <v>6114</v>
      </c>
      <c r="EP11" s="2">
        <v>8072</v>
      </c>
      <c r="EQ11" s="2">
        <v>6884</v>
      </c>
      <c r="ER11" s="2">
        <v>9232</v>
      </c>
      <c r="ES11" s="2">
        <v>8254</v>
      </c>
      <c r="ET11" s="2">
        <v>6437</v>
      </c>
      <c r="EU11" s="2">
        <v>7324</v>
      </c>
      <c r="EV11" s="2">
        <v>8594</v>
      </c>
      <c r="EW11" s="2">
        <v>10015</v>
      </c>
      <c r="EX11" s="2">
        <v>10273</v>
      </c>
      <c r="EY11" s="2">
        <v>9852</v>
      </c>
      <c r="EZ11" s="2">
        <v>7046</v>
      </c>
      <c r="FA11" s="2">
        <v>7809</v>
      </c>
      <c r="FB11" s="2">
        <v>6245</v>
      </c>
      <c r="FC11" s="2">
        <v>7200</v>
      </c>
      <c r="FD11" s="2">
        <v>12242</v>
      </c>
      <c r="FE11" s="2">
        <v>9554</v>
      </c>
      <c r="FF11" s="2">
        <v>6835</v>
      </c>
      <c r="FG11" s="2">
        <v>8677</v>
      </c>
      <c r="FH11" s="2">
        <v>6963</v>
      </c>
      <c r="FI11" s="2">
        <v>8226</v>
      </c>
      <c r="FJ11" s="2">
        <v>12215</v>
      </c>
      <c r="FK11" s="2">
        <v>11993</v>
      </c>
      <c r="FL11" s="2">
        <v>6283</v>
      </c>
      <c r="FM11" s="2">
        <v>9857</v>
      </c>
      <c r="FN11" s="2">
        <v>9158</v>
      </c>
      <c r="FO11" s="2">
        <v>6023</v>
      </c>
      <c r="FP11" s="2">
        <v>10442</v>
      </c>
      <c r="FQ11" s="2">
        <v>12849</v>
      </c>
      <c r="FR11" s="2">
        <v>9625</v>
      </c>
      <c r="FS11" s="2">
        <v>10415</v>
      </c>
      <c r="FT11" s="2">
        <v>11685</v>
      </c>
      <c r="FU11" s="2">
        <v>8820</v>
      </c>
      <c r="FV11" s="2">
        <v>17711</v>
      </c>
      <c r="FW11" s="2">
        <v>17691</v>
      </c>
      <c r="FX11" s="2">
        <v>13454</v>
      </c>
      <c r="FY11" s="2">
        <v>13021</v>
      </c>
      <c r="FZ11" s="2">
        <v>15075</v>
      </c>
      <c r="GA11" s="2">
        <v>9572</v>
      </c>
      <c r="GB11" s="2">
        <v>18513</v>
      </c>
      <c r="GC11" s="2">
        <v>16290</v>
      </c>
      <c r="GD11" s="2">
        <v>9780</v>
      </c>
      <c r="GE11" s="2">
        <v>13850</v>
      </c>
      <c r="GF11" s="2">
        <v>15406</v>
      </c>
      <c r="GG11" s="2">
        <v>12945</v>
      </c>
      <c r="GH11" s="2">
        <v>20208</v>
      </c>
      <c r="GI11" s="2">
        <v>17854</v>
      </c>
      <c r="GJ11" s="2">
        <v>13181</v>
      </c>
      <c r="GK11" s="2">
        <v>12160</v>
      </c>
      <c r="GL11" s="2">
        <v>15045</v>
      </c>
      <c r="GM11" s="2">
        <v>12203</v>
      </c>
      <c r="GN11" s="2">
        <v>14460</v>
      </c>
      <c r="GO11" s="2">
        <v>17566</v>
      </c>
      <c r="GP11" s="2">
        <v>13045</v>
      </c>
      <c r="GQ11" s="2">
        <v>9324</v>
      </c>
      <c r="GR11" s="2">
        <v>15994</v>
      </c>
      <c r="GS11" s="2">
        <v>14406</v>
      </c>
      <c r="GT11" s="2">
        <v>24693</v>
      </c>
      <c r="GU11" s="2">
        <v>18472</v>
      </c>
      <c r="GV11" s="2">
        <v>15484</v>
      </c>
      <c r="GW11" s="2">
        <v>15169</v>
      </c>
      <c r="GX11" s="2">
        <v>19141</v>
      </c>
      <c r="GY11" s="2">
        <v>15512</v>
      </c>
      <c r="GZ11" s="2">
        <v>25514</v>
      </c>
      <c r="HA11" s="2">
        <v>21943</v>
      </c>
      <c r="HB11" s="2">
        <v>17441</v>
      </c>
      <c r="HC11" s="2">
        <v>11569</v>
      </c>
      <c r="HD11" s="2">
        <v>18537</v>
      </c>
      <c r="HE11" s="2">
        <v>15573</v>
      </c>
      <c r="HF11" s="2">
        <v>23954</v>
      </c>
      <c r="HG11" s="2">
        <v>24548</v>
      </c>
      <c r="HH11" s="2">
        <v>15737</v>
      </c>
      <c r="HI11" s="2">
        <v>16939</v>
      </c>
      <c r="HJ11" s="2">
        <v>22953</v>
      </c>
      <c r="HK11" s="2">
        <v>17823</v>
      </c>
      <c r="HL11" s="2">
        <v>26039</v>
      </c>
      <c r="HM11" s="2">
        <v>25965</v>
      </c>
      <c r="HN11" s="2">
        <v>16258</v>
      </c>
      <c r="HO11" s="2">
        <v>11972</v>
      </c>
      <c r="HP11" s="2">
        <v>28495</v>
      </c>
      <c r="HQ11" s="2">
        <v>19463</v>
      </c>
      <c r="HR11" s="2">
        <v>30067</v>
      </c>
      <c r="HS11" s="2">
        <v>27640</v>
      </c>
      <c r="HT11" s="2">
        <v>18488</v>
      </c>
      <c r="HU11" s="2">
        <v>15738</v>
      </c>
      <c r="HV11" s="2">
        <v>31702</v>
      </c>
      <c r="HW11" s="2">
        <v>25061</v>
      </c>
      <c r="HX11" s="2">
        <v>28760</v>
      </c>
      <c r="HY11" s="2">
        <v>26917</v>
      </c>
      <c r="HZ11" s="2">
        <v>18954</v>
      </c>
      <c r="IA11" s="2">
        <v>11695</v>
      </c>
      <c r="IB11" s="2">
        <v>31167</v>
      </c>
      <c r="IC11" s="2">
        <v>29282</v>
      </c>
      <c r="ID11" s="2">
        <v>31750</v>
      </c>
      <c r="IE11" s="2">
        <v>31684</v>
      </c>
      <c r="IF11" s="2">
        <v>19404</v>
      </c>
      <c r="IG11" s="2">
        <v>13431</v>
      </c>
      <c r="IH11" s="2">
        <v>31894</v>
      </c>
      <c r="II11" s="2">
        <v>36805</v>
      </c>
      <c r="IJ11" s="2">
        <v>35123</v>
      </c>
      <c r="IK11" s="2">
        <v>24680</v>
      </c>
      <c r="IL11" s="2">
        <v>15743</v>
      </c>
      <c r="IM11" s="2">
        <v>12317</v>
      </c>
      <c r="IN11" s="2">
        <v>34176</v>
      </c>
      <c r="IO11" s="2">
        <v>30670</v>
      </c>
      <c r="IP11" s="2">
        <v>33042</v>
      </c>
      <c r="IQ11" s="2">
        <v>23329</v>
      </c>
      <c r="IR11" s="2">
        <v>15104</v>
      </c>
      <c r="IS11" s="2">
        <v>17225</v>
      </c>
      <c r="IT11" s="2">
        <v>32300</v>
      </c>
      <c r="IU11" s="2">
        <v>26464</v>
      </c>
      <c r="IV11" s="2">
        <v>30385</v>
      </c>
      <c r="IW11" s="2">
        <v>19970</v>
      </c>
      <c r="IX11" s="2">
        <v>14044</v>
      </c>
      <c r="IY11" s="2">
        <v>6463</v>
      </c>
      <c r="IZ11" s="2">
        <v>29862</v>
      </c>
      <c r="JA11" s="2">
        <v>33027</v>
      </c>
      <c r="JB11" s="2">
        <v>30174</v>
      </c>
      <c r="JC11" s="2">
        <v>18624</v>
      </c>
      <c r="JD11" s="2">
        <v>13828</v>
      </c>
      <c r="JE11" s="2">
        <v>12659</v>
      </c>
      <c r="JF11" s="2">
        <v>30048</v>
      </c>
      <c r="JG11" s="2">
        <v>39871</v>
      </c>
      <c r="JH11" s="2">
        <v>30323</v>
      </c>
      <c r="JI11" s="2">
        <v>18730</v>
      </c>
      <c r="JJ11" s="2">
        <v>14023</v>
      </c>
      <c r="JK11" s="2">
        <v>7971</v>
      </c>
      <c r="JL11" s="2">
        <v>33250</v>
      </c>
      <c r="JM11" s="2">
        <v>31320</v>
      </c>
      <c r="JN11" s="2">
        <v>29170</v>
      </c>
      <c r="JO11" s="2">
        <v>17587</v>
      </c>
      <c r="JP11" s="2">
        <v>12235</v>
      </c>
      <c r="JQ11" s="2">
        <v>7690</v>
      </c>
      <c r="JR11" s="2">
        <v>35532</v>
      </c>
      <c r="JS11" s="2">
        <v>35512</v>
      </c>
      <c r="JT11" s="2">
        <v>35277</v>
      </c>
      <c r="JU11" s="2">
        <v>15839</v>
      </c>
      <c r="JV11" s="2">
        <v>11831</v>
      </c>
      <c r="JW11" s="2">
        <v>10752</v>
      </c>
      <c r="JX11" s="2">
        <v>38961</v>
      </c>
      <c r="JY11" s="2">
        <v>19736</v>
      </c>
      <c r="JZ11" s="2">
        <v>31843</v>
      </c>
      <c r="KA11" s="2">
        <v>14130</v>
      </c>
      <c r="KB11" s="2">
        <v>10734</v>
      </c>
      <c r="KC11" s="2">
        <v>18719</v>
      </c>
      <c r="KD11" s="2">
        <v>37602</v>
      </c>
      <c r="KE11" s="2">
        <v>31399</v>
      </c>
      <c r="KF11" s="2">
        <v>39897</v>
      </c>
      <c r="KG11" s="2">
        <v>15654</v>
      </c>
      <c r="KH11" s="2">
        <v>11817</v>
      </c>
      <c r="KI11" s="2">
        <v>10333</v>
      </c>
      <c r="KJ11" s="2">
        <v>42760</v>
      </c>
      <c r="KK11" s="2">
        <v>23264</v>
      </c>
      <c r="KL11" s="2">
        <v>31823</v>
      </c>
      <c r="KM11" s="2">
        <v>13985</v>
      </c>
      <c r="KN11" s="2">
        <v>16441</v>
      </c>
      <c r="KO11" s="2">
        <v>19269</v>
      </c>
      <c r="KP11" s="2">
        <v>35837</v>
      </c>
      <c r="KQ11" s="2">
        <v>22151</v>
      </c>
      <c r="KR11" s="2">
        <v>32732</v>
      </c>
      <c r="KS11" s="2">
        <v>11432</v>
      </c>
      <c r="KT11" s="2">
        <v>15645</v>
      </c>
      <c r="KU11" s="2">
        <v>16705</v>
      </c>
      <c r="KV11" s="2">
        <v>41199</v>
      </c>
      <c r="KW11" s="2">
        <v>20906</v>
      </c>
      <c r="KX11" s="2">
        <v>25835</v>
      </c>
      <c r="KY11" s="2">
        <v>12657</v>
      </c>
      <c r="KZ11" s="2">
        <v>16408</v>
      </c>
      <c r="LA11" s="2">
        <v>27489</v>
      </c>
      <c r="LB11" s="2">
        <v>50280</v>
      </c>
      <c r="LC11" s="2">
        <v>20571</v>
      </c>
      <c r="LD11" s="2">
        <v>27638</v>
      </c>
      <c r="LE11" s="2">
        <v>16138</v>
      </c>
      <c r="LF11" s="2">
        <v>16362</v>
      </c>
      <c r="LG11" s="2">
        <v>19021</v>
      </c>
      <c r="LH11" s="2">
        <v>51289</v>
      </c>
      <c r="LI11" s="2">
        <v>19816</v>
      </c>
      <c r="LJ11" s="2">
        <v>24134</v>
      </c>
      <c r="LK11" s="2">
        <v>21440</v>
      </c>
      <c r="LL11" s="2">
        <v>15648</v>
      </c>
      <c r="LM11" s="2">
        <v>30461.987999999998</v>
      </c>
      <c r="LN11" s="2">
        <v>54841</v>
      </c>
      <c r="LO11" s="2">
        <v>17920</v>
      </c>
      <c r="LP11" s="2">
        <v>25575</v>
      </c>
      <c r="LQ11" s="2">
        <v>23681</v>
      </c>
      <c r="LR11" s="2">
        <v>16700</v>
      </c>
      <c r="LS11" s="2">
        <v>18418</v>
      </c>
      <c r="LT11" s="2">
        <v>53510</v>
      </c>
      <c r="LU11" s="2">
        <v>18230</v>
      </c>
      <c r="LV11" s="2">
        <v>29214</v>
      </c>
      <c r="LW11" s="2">
        <v>20484</v>
      </c>
      <c r="LX11" s="2">
        <v>18116</v>
      </c>
      <c r="LY11" s="2">
        <v>26745</v>
      </c>
      <c r="LZ11" s="2">
        <v>56465</v>
      </c>
      <c r="MA11" s="2">
        <v>15865</v>
      </c>
      <c r="MB11" s="2">
        <v>30799</v>
      </c>
      <c r="MC11" s="2">
        <v>13398</v>
      </c>
      <c r="MD11" s="2">
        <v>23594</v>
      </c>
      <c r="ME11" s="2">
        <v>19620</v>
      </c>
      <c r="MF11" s="2">
        <v>48224</v>
      </c>
      <c r="MG11" s="2">
        <v>20598</v>
      </c>
      <c r="MH11" s="2">
        <v>28830</v>
      </c>
      <c r="MI11" s="2">
        <v>16767</v>
      </c>
      <c r="MJ11" s="2">
        <v>18099</v>
      </c>
      <c r="MK11" s="2">
        <v>28926</v>
      </c>
      <c r="ML11" s="2">
        <v>51391</v>
      </c>
      <c r="MM11" s="2">
        <v>18902</v>
      </c>
      <c r="MN11" s="2">
        <v>30321</v>
      </c>
      <c r="MO11" s="2">
        <v>15677</v>
      </c>
      <c r="MP11" s="2">
        <v>20626</v>
      </c>
      <c r="MQ11" s="2">
        <v>19205</v>
      </c>
      <c r="MR11" s="2">
        <v>53078</v>
      </c>
      <c r="MS11" s="2">
        <v>16457</v>
      </c>
      <c r="MT11" s="2">
        <v>30094</v>
      </c>
      <c r="MU11" s="2">
        <v>16144</v>
      </c>
      <c r="MV11" s="2">
        <v>15992</v>
      </c>
      <c r="MW11" s="2">
        <v>21477</v>
      </c>
      <c r="MX11" s="2">
        <v>45594.453000000001</v>
      </c>
      <c r="MY11" s="2">
        <v>21280</v>
      </c>
      <c r="MZ11" s="2">
        <v>35749</v>
      </c>
      <c r="NA11" s="2">
        <v>14765</v>
      </c>
      <c r="NB11" s="2">
        <v>18658</v>
      </c>
      <c r="NC11" s="2">
        <v>17666</v>
      </c>
      <c r="ND11" s="2">
        <v>40020</v>
      </c>
      <c r="NE11" s="2">
        <v>23442</v>
      </c>
      <c r="NF11" s="2">
        <v>32602</v>
      </c>
      <c r="NG11" s="2">
        <v>16054</v>
      </c>
      <c r="NH11" s="2">
        <v>19551</v>
      </c>
      <c r="NI11" s="2">
        <v>19073</v>
      </c>
      <c r="NJ11" s="2">
        <v>42353.453000000001</v>
      </c>
      <c r="NK11" s="2">
        <v>24230</v>
      </c>
      <c r="NL11" s="2">
        <v>31272</v>
      </c>
      <c r="NM11" s="2">
        <v>13483</v>
      </c>
      <c r="NN11" s="2">
        <v>20966</v>
      </c>
      <c r="NO11" s="2">
        <v>19273</v>
      </c>
      <c r="NP11" s="2">
        <v>44626</v>
      </c>
      <c r="NQ11" s="2">
        <v>26370</v>
      </c>
      <c r="NR11" s="2">
        <v>26397</v>
      </c>
      <c r="NS11" s="2">
        <v>20434</v>
      </c>
      <c r="NT11" s="2">
        <v>20583</v>
      </c>
      <c r="NU11" s="2">
        <v>20553.82</v>
      </c>
      <c r="NV11" s="2">
        <v>43516</v>
      </c>
      <c r="NW11" s="2">
        <v>26097</v>
      </c>
      <c r="NX11" s="2">
        <v>27549</v>
      </c>
      <c r="NY11" s="2">
        <v>23172</v>
      </c>
      <c r="NZ11" s="2">
        <v>21111</v>
      </c>
      <c r="OA11" s="2">
        <v>24065</v>
      </c>
      <c r="OB11" s="2">
        <v>44841</v>
      </c>
      <c r="OC11" s="2">
        <v>28301</v>
      </c>
      <c r="OD11" s="2">
        <v>32675</v>
      </c>
      <c r="OE11" s="2">
        <v>24015</v>
      </c>
      <c r="OF11" s="2">
        <v>24660</v>
      </c>
      <c r="OG11" s="2">
        <v>29213</v>
      </c>
      <c r="OH11" s="2">
        <v>45916</v>
      </c>
      <c r="OI11" s="2">
        <v>25302</v>
      </c>
      <c r="OJ11" s="2">
        <v>36552</v>
      </c>
      <c r="OK11" s="2">
        <v>23536</v>
      </c>
      <c r="OL11" s="2">
        <v>19669</v>
      </c>
      <c r="OM11" s="2">
        <v>29096</v>
      </c>
      <c r="ON11" s="2">
        <v>50965</v>
      </c>
      <c r="OO11" s="2">
        <v>19611</v>
      </c>
      <c r="OP11" s="2">
        <v>43094</v>
      </c>
      <c r="OQ11" s="2">
        <v>20724</v>
      </c>
      <c r="OR11" s="2">
        <v>17287</v>
      </c>
      <c r="OS11" s="2">
        <v>29122</v>
      </c>
      <c r="OT11" s="2">
        <v>61415</v>
      </c>
      <c r="OU11" s="2">
        <v>15352</v>
      </c>
      <c r="OV11" s="2">
        <v>43115</v>
      </c>
      <c r="OW11" s="2">
        <v>21880.17</v>
      </c>
      <c r="OX11" s="2">
        <v>18353</v>
      </c>
      <c r="OY11" s="2">
        <v>27561</v>
      </c>
      <c r="OZ11" s="2">
        <v>59384</v>
      </c>
      <c r="PA11" s="2">
        <v>22549</v>
      </c>
      <c r="PB11" s="2">
        <v>43365</v>
      </c>
      <c r="PC11" s="2">
        <v>22070</v>
      </c>
      <c r="PD11" s="2">
        <v>20035</v>
      </c>
      <c r="PE11">
        <v>25333</v>
      </c>
      <c r="PF11" s="2">
        <v>47024</v>
      </c>
      <c r="PG11" s="2">
        <v>31166</v>
      </c>
      <c r="PH11" s="2">
        <v>47666</v>
      </c>
      <c r="PI11" s="2">
        <v>23819</v>
      </c>
      <c r="PJ11" s="2">
        <v>28933</v>
      </c>
      <c r="PK11" s="2">
        <v>29925</v>
      </c>
      <c r="PL11" s="2">
        <v>59026</v>
      </c>
      <c r="PM11" s="2">
        <v>23932</v>
      </c>
      <c r="PN11" s="2">
        <v>47857</v>
      </c>
      <c r="PO11" s="2">
        <v>31536</v>
      </c>
      <c r="PP11" s="2">
        <v>31221</v>
      </c>
      <c r="PQ11" s="2">
        <v>27327</v>
      </c>
      <c r="PR11" s="2">
        <v>65551</v>
      </c>
      <c r="PS11" s="2">
        <v>28230</v>
      </c>
      <c r="PT11" s="2">
        <v>55548</v>
      </c>
      <c r="PU11" s="2">
        <v>37303</v>
      </c>
      <c r="PV11" s="2">
        <v>33831</v>
      </c>
      <c r="PW11" s="2">
        <v>36752</v>
      </c>
      <c r="PX11" s="2">
        <v>52091</v>
      </c>
      <c r="PY11" s="2">
        <v>30773</v>
      </c>
      <c r="PZ11" s="2">
        <v>59897</v>
      </c>
      <c r="QA11" s="2">
        <v>33185</v>
      </c>
      <c r="QB11" s="2">
        <v>26092</v>
      </c>
      <c r="QC11" s="2">
        <v>43605</v>
      </c>
      <c r="QD11" s="2">
        <v>46970</v>
      </c>
      <c r="QE11" s="2">
        <v>34109</v>
      </c>
      <c r="QF11" s="2">
        <v>60898</v>
      </c>
      <c r="QG11" s="2">
        <v>46253</v>
      </c>
      <c r="QH11" s="2">
        <v>41344</v>
      </c>
      <c r="QI11" s="2">
        <v>52884</v>
      </c>
      <c r="QJ11" s="2">
        <v>63550</v>
      </c>
      <c r="QK11" s="2">
        <v>42668</v>
      </c>
      <c r="QL11" s="2">
        <v>71448</v>
      </c>
      <c r="QM11" s="2">
        <v>58983</v>
      </c>
      <c r="QN11" s="2">
        <v>48548</v>
      </c>
      <c r="QO11" s="2">
        <v>60678</v>
      </c>
      <c r="QP11" s="2">
        <v>74221</v>
      </c>
      <c r="QQ11" s="2">
        <v>47827</v>
      </c>
      <c r="QR11" s="2">
        <v>70944</v>
      </c>
      <c r="QS11" s="2">
        <v>67496</v>
      </c>
      <c r="QT11" s="2">
        <v>61097</v>
      </c>
      <c r="QU11" s="2">
        <v>55643</v>
      </c>
      <c r="QV11" s="2">
        <v>79432</v>
      </c>
      <c r="QW11" s="2">
        <v>52781</v>
      </c>
      <c r="QX11" s="2">
        <v>73852</v>
      </c>
      <c r="QY11" s="2">
        <v>55388</v>
      </c>
      <c r="QZ11" s="2">
        <v>66653</v>
      </c>
      <c r="RA11" s="2">
        <v>57979</v>
      </c>
      <c r="RB11" s="2">
        <v>104435</v>
      </c>
      <c r="RC11" s="2">
        <v>48445</v>
      </c>
      <c r="RD11" s="2">
        <v>88121</v>
      </c>
      <c r="RE11" s="2">
        <v>46446</v>
      </c>
      <c r="RF11" s="2">
        <v>69954</v>
      </c>
      <c r="RG11" s="2">
        <v>57420</v>
      </c>
      <c r="RH11" s="2">
        <v>106219</v>
      </c>
      <c r="RI11" s="2">
        <v>63105</v>
      </c>
      <c r="RJ11" s="2">
        <v>81704</v>
      </c>
      <c r="RK11" s="2">
        <v>57367</v>
      </c>
      <c r="RL11" s="2">
        <v>77289</v>
      </c>
      <c r="RM11" s="2">
        <v>63634</v>
      </c>
      <c r="RN11" s="2">
        <v>127817</v>
      </c>
      <c r="RO11" s="2">
        <v>48931</v>
      </c>
      <c r="RP11" s="2">
        <v>96383</v>
      </c>
      <c r="RQ11" s="2">
        <v>63525</v>
      </c>
      <c r="RR11" s="2">
        <v>84603</v>
      </c>
      <c r="RS11" s="2">
        <v>62431</v>
      </c>
      <c r="RT11" s="2"/>
      <c r="RU11" s="2"/>
      <c r="RV11" s="2"/>
      <c r="RW11" s="2"/>
      <c r="RX11" s="2"/>
      <c r="RY11" s="2"/>
    </row>
    <row r="12" spans="1:493" x14ac:dyDescent="0.25">
      <c r="A12" t="s">
        <v>467</v>
      </c>
      <c r="B12" s="2">
        <v>7732</v>
      </c>
      <c r="C12" s="2">
        <v>4513</v>
      </c>
      <c r="D12" s="2">
        <v>3137</v>
      </c>
      <c r="E12" s="2">
        <v>3112</v>
      </c>
      <c r="F12" s="2">
        <v>2855</v>
      </c>
      <c r="G12" s="2">
        <v>2687</v>
      </c>
      <c r="H12" s="2">
        <v>3563</v>
      </c>
      <c r="I12" s="2">
        <v>3774</v>
      </c>
      <c r="J12" s="2">
        <v>4173</v>
      </c>
      <c r="K12" s="2">
        <v>5220</v>
      </c>
      <c r="L12" s="2">
        <v>5310</v>
      </c>
      <c r="M12" s="2">
        <v>10030</v>
      </c>
      <c r="N12" s="2">
        <v>6947</v>
      </c>
      <c r="O12" s="2">
        <v>3711</v>
      </c>
      <c r="P12" s="2">
        <v>5534</v>
      </c>
      <c r="Q12" s="2">
        <v>6000</v>
      </c>
      <c r="R12" s="2">
        <v>6772</v>
      </c>
      <c r="S12" s="2">
        <v>4047</v>
      </c>
      <c r="T12" s="2">
        <v>6341</v>
      </c>
      <c r="U12" s="2">
        <v>4957</v>
      </c>
      <c r="V12" s="2">
        <v>4838</v>
      </c>
      <c r="W12" s="2">
        <v>5297</v>
      </c>
      <c r="X12" s="2">
        <v>5231</v>
      </c>
      <c r="Y12" s="2">
        <v>4647</v>
      </c>
      <c r="Z12" s="2">
        <v>6248</v>
      </c>
      <c r="AA12" s="2">
        <v>4209</v>
      </c>
      <c r="AB12" s="2">
        <v>5808</v>
      </c>
      <c r="AC12" s="2">
        <v>5209</v>
      </c>
      <c r="AD12" s="2">
        <v>5051</v>
      </c>
      <c r="AE12" s="2">
        <v>6109</v>
      </c>
      <c r="AF12" s="2">
        <v>4922</v>
      </c>
      <c r="AG12" s="2">
        <v>7384</v>
      </c>
      <c r="AH12" s="2">
        <v>6903</v>
      </c>
      <c r="AI12" s="2">
        <v>5509</v>
      </c>
      <c r="AJ12" s="2">
        <v>7016</v>
      </c>
      <c r="AK12" s="2">
        <v>11208</v>
      </c>
      <c r="AL12" s="2">
        <v>8019</v>
      </c>
      <c r="AM12" s="2">
        <v>7060</v>
      </c>
      <c r="AN12" s="2">
        <v>7366</v>
      </c>
      <c r="AO12" s="2">
        <v>9140</v>
      </c>
      <c r="AP12" s="2">
        <v>7233</v>
      </c>
      <c r="AQ12" s="2">
        <v>8012</v>
      </c>
      <c r="AR12" s="2">
        <v>6932</v>
      </c>
      <c r="AS12" s="2">
        <v>6530</v>
      </c>
      <c r="AT12" s="2">
        <v>6766</v>
      </c>
      <c r="AU12" s="2">
        <v>8331</v>
      </c>
      <c r="AV12" s="2">
        <v>10524</v>
      </c>
      <c r="AW12" s="2">
        <v>13418</v>
      </c>
      <c r="AX12" s="2">
        <v>11023</v>
      </c>
      <c r="AY12" s="2">
        <v>9854</v>
      </c>
      <c r="AZ12" s="2">
        <v>7094</v>
      </c>
      <c r="BA12" s="2">
        <v>6112</v>
      </c>
      <c r="BB12" s="2">
        <v>12599</v>
      </c>
      <c r="BC12" s="2">
        <v>11236</v>
      </c>
      <c r="BD12" s="2">
        <v>11209</v>
      </c>
      <c r="BE12" s="2">
        <v>11397</v>
      </c>
      <c r="BF12" s="2">
        <v>8820</v>
      </c>
      <c r="BG12" s="2">
        <v>11738</v>
      </c>
      <c r="BH12" s="2">
        <v>10219</v>
      </c>
      <c r="BI12" s="2">
        <v>9912</v>
      </c>
      <c r="BJ12" s="2">
        <v>12662</v>
      </c>
      <c r="BK12" s="2">
        <v>8323</v>
      </c>
      <c r="BL12" s="2">
        <v>8564</v>
      </c>
      <c r="BM12" s="2">
        <v>10792</v>
      </c>
      <c r="BN12" s="2">
        <v>13644</v>
      </c>
      <c r="BO12" s="2">
        <v>10305</v>
      </c>
      <c r="BP12" s="2">
        <v>14736</v>
      </c>
      <c r="BQ12" s="2">
        <v>11250</v>
      </c>
      <c r="BR12" s="2">
        <v>12164</v>
      </c>
      <c r="BS12" s="2">
        <v>12241</v>
      </c>
      <c r="BT12" s="2">
        <v>15422</v>
      </c>
      <c r="BU12" s="2">
        <v>16411</v>
      </c>
      <c r="BV12" s="2">
        <v>13820</v>
      </c>
      <c r="BW12" s="2">
        <v>10145</v>
      </c>
      <c r="BX12" s="2">
        <v>13292</v>
      </c>
      <c r="BY12" s="2">
        <v>11992</v>
      </c>
      <c r="BZ12" s="2">
        <v>13455</v>
      </c>
      <c r="CA12" s="2">
        <v>11806</v>
      </c>
      <c r="CB12" s="2">
        <v>13647</v>
      </c>
      <c r="CC12" s="2">
        <v>11687</v>
      </c>
      <c r="CD12" s="2">
        <v>11988</v>
      </c>
      <c r="CE12" s="2">
        <v>11734</v>
      </c>
      <c r="CF12" s="2">
        <v>12603</v>
      </c>
      <c r="CG12" s="2">
        <v>17966</v>
      </c>
      <c r="CH12" s="2">
        <v>11794</v>
      </c>
      <c r="CI12" s="2">
        <v>9224</v>
      </c>
      <c r="CJ12" s="2">
        <v>12072</v>
      </c>
      <c r="CK12" s="2">
        <v>10086</v>
      </c>
      <c r="CL12" s="2">
        <v>13348</v>
      </c>
      <c r="CM12" s="2">
        <v>13838</v>
      </c>
      <c r="CN12" s="2">
        <v>13700</v>
      </c>
      <c r="CO12" s="2">
        <v>12927</v>
      </c>
      <c r="CP12" s="2">
        <v>11150</v>
      </c>
      <c r="CQ12" s="2">
        <v>14787</v>
      </c>
      <c r="CR12" s="2">
        <v>13147</v>
      </c>
      <c r="CS12" s="2">
        <v>15019</v>
      </c>
      <c r="CT12" s="2">
        <v>14462</v>
      </c>
      <c r="CU12" s="2">
        <v>10950</v>
      </c>
      <c r="CV12" s="2">
        <v>10373</v>
      </c>
      <c r="CW12" s="2">
        <v>12644</v>
      </c>
      <c r="CX12" s="2">
        <v>12011</v>
      </c>
      <c r="CY12" s="2">
        <v>17586</v>
      </c>
      <c r="CZ12" s="2">
        <v>18600</v>
      </c>
      <c r="DA12" s="2">
        <v>13221</v>
      </c>
      <c r="DB12" s="2">
        <v>13156</v>
      </c>
      <c r="DC12" s="2">
        <v>13646</v>
      </c>
      <c r="DD12" s="2">
        <v>16446</v>
      </c>
      <c r="DE12" s="2">
        <v>20026</v>
      </c>
      <c r="DF12" s="2">
        <v>18931</v>
      </c>
      <c r="DG12" s="2">
        <v>16955</v>
      </c>
      <c r="DH12" s="2">
        <v>17010</v>
      </c>
      <c r="DI12" s="2">
        <v>16830</v>
      </c>
      <c r="DJ12" s="2">
        <v>16602</v>
      </c>
      <c r="DK12" s="2">
        <v>16525</v>
      </c>
      <c r="DL12" s="2">
        <v>21832</v>
      </c>
      <c r="DM12" s="2">
        <v>19461</v>
      </c>
      <c r="DN12" s="2">
        <v>13684</v>
      </c>
      <c r="DO12" s="2">
        <v>18209</v>
      </c>
      <c r="DP12" s="2">
        <v>14882</v>
      </c>
      <c r="DQ12" s="2">
        <v>17776</v>
      </c>
      <c r="DR12" s="2">
        <v>22282</v>
      </c>
      <c r="DS12" s="2">
        <v>18658</v>
      </c>
      <c r="DT12" s="2">
        <v>16047</v>
      </c>
      <c r="DU12" s="2">
        <v>24807</v>
      </c>
      <c r="DV12" s="2">
        <v>21181</v>
      </c>
      <c r="DW12" s="2">
        <v>17873</v>
      </c>
      <c r="DX12" s="2">
        <v>27933</v>
      </c>
      <c r="DY12" s="2">
        <v>19348</v>
      </c>
      <c r="DZ12" s="2">
        <v>16860</v>
      </c>
      <c r="EA12" s="2">
        <v>26310</v>
      </c>
      <c r="EB12" s="2">
        <v>20526</v>
      </c>
      <c r="EC12" s="2">
        <v>22757</v>
      </c>
      <c r="ED12" s="2">
        <v>29568</v>
      </c>
      <c r="EE12" s="2">
        <v>13167</v>
      </c>
      <c r="EF12" s="2">
        <v>16494</v>
      </c>
      <c r="EG12" s="2">
        <v>24120</v>
      </c>
      <c r="EH12" s="2">
        <v>29096</v>
      </c>
      <c r="EI12" s="2">
        <v>24963</v>
      </c>
      <c r="EJ12" s="2">
        <v>29310</v>
      </c>
      <c r="EK12" s="2">
        <v>20539</v>
      </c>
      <c r="EL12" s="2">
        <v>27860</v>
      </c>
      <c r="EM12" s="2">
        <v>31555</v>
      </c>
      <c r="EN12" s="2">
        <v>29375</v>
      </c>
      <c r="EO12" s="2">
        <v>30358</v>
      </c>
      <c r="EP12" s="2">
        <v>27298</v>
      </c>
      <c r="EQ12" s="2">
        <v>22039</v>
      </c>
      <c r="ER12" s="2">
        <v>24237</v>
      </c>
      <c r="ES12" s="2">
        <v>27546</v>
      </c>
      <c r="ET12" s="2">
        <v>32921</v>
      </c>
      <c r="EU12" s="2">
        <v>27330</v>
      </c>
      <c r="EV12" s="2">
        <v>25136</v>
      </c>
      <c r="EW12" s="2">
        <v>26254</v>
      </c>
      <c r="EX12" s="2">
        <v>25486</v>
      </c>
      <c r="EY12" s="2">
        <v>26916</v>
      </c>
      <c r="EZ12" s="2">
        <v>34335</v>
      </c>
      <c r="FA12" s="2">
        <v>35172</v>
      </c>
      <c r="FB12" s="2">
        <v>24946</v>
      </c>
      <c r="FC12" s="2">
        <v>21510</v>
      </c>
      <c r="FD12" s="2">
        <v>33691</v>
      </c>
      <c r="FE12" s="2">
        <v>28840</v>
      </c>
      <c r="FF12" s="2">
        <v>40342</v>
      </c>
      <c r="FG12" s="2">
        <v>31599</v>
      </c>
      <c r="FH12" s="2">
        <v>32937</v>
      </c>
      <c r="FI12" s="2">
        <v>33637</v>
      </c>
      <c r="FJ12" s="2">
        <v>27068</v>
      </c>
      <c r="FK12" s="2">
        <v>29523</v>
      </c>
      <c r="FL12" s="2">
        <v>33288</v>
      </c>
      <c r="FM12" s="2">
        <v>32380</v>
      </c>
      <c r="FN12" s="2">
        <v>26786</v>
      </c>
      <c r="FO12" s="2">
        <v>23447</v>
      </c>
      <c r="FP12" s="2">
        <v>33298</v>
      </c>
      <c r="FQ12" s="2">
        <v>28811</v>
      </c>
      <c r="FR12" s="2">
        <v>36571</v>
      </c>
      <c r="FS12" s="2">
        <v>29926</v>
      </c>
      <c r="FT12" s="2">
        <v>34915</v>
      </c>
      <c r="FU12" s="2">
        <v>35779</v>
      </c>
      <c r="FV12" s="2">
        <v>28283</v>
      </c>
      <c r="FW12" s="2">
        <v>32577</v>
      </c>
      <c r="FX12" s="2">
        <v>37296</v>
      </c>
      <c r="FY12" s="2">
        <v>44755</v>
      </c>
      <c r="FZ12" s="2">
        <v>31831</v>
      </c>
      <c r="GA12" s="2">
        <v>23964</v>
      </c>
      <c r="GB12" s="2">
        <v>29289</v>
      </c>
      <c r="GC12" s="2">
        <v>23155</v>
      </c>
      <c r="GD12" s="2">
        <v>55741</v>
      </c>
      <c r="GE12" s="2">
        <v>30759</v>
      </c>
      <c r="GF12" s="2">
        <v>33409</v>
      </c>
      <c r="GG12" s="2">
        <v>35880</v>
      </c>
      <c r="GH12" s="2">
        <v>32643</v>
      </c>
      <c r="GI12" s="2">
        <v>34637</v>
      </c>
      <c r="GJ12" s="2">
        <v>37470</v>
      </c>
      <c r="GK12" s="2">
        <v>35171</v>
      </c>
      <c r="GL12" s="2">
        <v>34776</v>
      </c>
      <c r="GM12" s="2">
        <v>34163</v>
      </c>
      <c r="GN12" s="2">
        <v>37920</v>
      </c>
      <c r="GO12" s="2">
        <v>43777</v>
      </c>
      <c r="GP12" s="2">
        <v>41116</v>
      </c>
      <c r="GQ12" s="2">
        <v>32104</v>
      </c>
      <c r="GR12" s="2">
        <v>30583</v>
      </c>
      <c r="GS12" s="2">
        <v>36732</v>
      </c>
      <c r="GT12" s="2">
        <v>31696</v>
      </c>
      <c r="GU12" s="2">
        <v>32174</v>
      </c>
      <c r="GV12" s="2">
        <v>38828</v>
      </c>
      <c r="GW12" s="2">
        <v>45916</v>
      </c>
      <c r="GX12" s="2">
        <v>31472</v>
      </c>
      <c r="GY12" s="2">
        <v>30005</v>
      </c>
      <c r="GZ12" s="2">
        <v>35211</v>
      </c>
      <c r="HA12" s="2">
        <v>37235</v>
      </c>
      <c r="HB12" s="2">
        <v>35951</v>
      </c>
      <c r="HC12" s="2">
        <v>28471</v>
      </c>
      <c r="HD12" s="2">
        <v>36611</v>
      </c>
      <c r="HE12" s="2">
        <v>39515</v>
      </c>
      <c r="HF12" s="2">
        <v>35945</v>
      </c>
      <c r="HG12" s="2">
        <v>34614</v>
      </c>
      <c r="HH12" s="2">
        <v>36588</v>
      </c>
      <c r="HI12" s="2">
        <v>49750</v>
      </c>
      <c r="HJ12" s="2">
        <v>30057</v>
      </c>
      <c r="HK12" s="2">
        <v>31454</v>
      </c>
      <c r="HL12" s="2">
        <v>37889</v>
      </c>
      <c r="HM12" s="2">
        <v>41311</v>
      </c>
      <c r="HN12" s="2">
        <v>47762</v>
      </c>
      <c r="HO12" s="2">
        <v>32450</v>
      </c>
      <c r="HP12" s="2">
        <v>36630</v>
      </c>
      <c r="HQ12" s="2">
        <v>39010</v>
      </c>
      <c r="HR12" s="2">
        <v>36110</v>
      </c>
      <c r="HS12" s="2">
        <v>31832</v>
      </c>
      <c r="HT12" s="2">
        <v>41541</v>
      </c>
      <c r="HU12" s="2">
        <v>52392</v>
      </c>
      <c r="HV12" s="2">
        <v>36143</v>
      </c>
      <c r="HW12" s="2">
        <v>34285</v>
      </c>
      <c r="HX12" s="2">
        <v>38012</v>
      </c>
      <c r="HY12" s="2">
        <v>38198</v>
      </c>
      <c r="HZ12" s="2">
        <v>44560</v>
      </c>
      <c r="IA12" s="2">
        <v>35730</v>
      </c>
      <c r="IB12" s="2">
        <v>34421</v>
      </c>
      <c r="IC12" s="2">
        <v>33508</v>
      </c>
      <c r="ID12" s="2">
        <v>37306</v>
      </c>
      <c r="IE12" s="2">
        <v>37261</v>
      </c>
      <c r="IF12" s="2">
        <v>42263</v>
      </c>
      <c r="IG12" s="2">
        <v>56309</v>
      </c>
      <c r="IH12" s="2">
        <v>40690</v>
      </c>
      <c r="II12" s="2">
        <v>37329</v>
      </c>
      <c r="IJ12" s="2">
        <v>42230</v>
      </c>
      <c r="IK12" s="2">
        <v>37044</v>
      </c>
      <c r="IL12" s="2">
        <v>50245</v>
      </c>
      <c r="IM12" s="2">
        <v>35285</v>
      </c>
      <c r="IN12" s="2">
        <v>40102</v>
      </c>
      <c r="IO12" s="2">
        <v>35871</v>
      </c>
      <c r="IP12" s="2">
        <v>40713</v>
      </c>
      <c r="IQ12" s="2">
        <v>44447</v>
      </c>
      <c r="IR12" s="2">
        <v>52682</v>
      </c>
      <c r="IS12" s="2">
        <v>64804</v>
      </c>
      <c r="IT12" s="2">
        <v>49609</v>
      </c>
      <c r="IU12" s="2">
        <v>35033</v>
      </c>
      <c r="IV12" s="2">
        <v>54590</v>
      </c>
      <c r="IW12" s="2">
        <v>47971</v>
      </c>
      <c r="IX12" s="2">
        <v>61760</v>
      </c>
      <c r="IY12" s="2">
        <v>51350</v>
      </c>
      <c r="IZ12" s="2">
        <v>45765</v>
      </c>
      <c r="JA12" s="2">
        <v>49122</v>
      </c>
      <c r="JB12" s="2">
        <v>44031</v>
      </c>
      <c r="JC12" s="2">
        <v>48872</v>
      </c>
      <c r="JD12" s="2">
        <v>58257</v>
      </c>
      <c r="JE12" s="2">
        <v>70195</v>
      </c>
      <c r="JF12" s="2">
        <v>51143</v>
      </c>
      <c r="JG12" s="2">
        <v>41498</v>
      </c>
      <c r="JH12" s="2">
        <v>48200</v>
      </c>
      <c r="JI12" s="2">
        <v>50670</v>
      </c>
      <c r="JJ12" s="2">
        <v>58753</v>
      </c>
      <c r="JK12" s="2">
        <v>46680</v>
      </c>
      <c r="JL12" s="2">
        <v>55768</v>
      </c>
      <c r="JM12" s="2">
        <v>59342</v>
      </c>
      <c r="JN12" s="2">
        <v>54359</v>
      </c>
      <c r="JO12" s="2">
        <v>57346</v>
      </c>
      <c r="JP12" s="2">
        <v>67150</v>
      </c>
      <c r="JQ12" s="2">
        <v>88994</v>
      </c>
      <c r="JR12" s="2">
        <v>59232</v>
      </c>
      <c r="JS12" s="2">
        <v>50658</v>
      </c>
      <c r="JT12" s="2">
        <v>64150</v>
      </c>
      <c r="JU12" s="2">
        <v>64067</v>
      </c>
      <c r="JV12" s="2">
        <v>74226</v>
      </c>
      <c r="JW12" s="2">
        <v>62917</v>
      </c>
      <c r="JX12" s="2">
        <v>67468</v>
      </c>
      <c r="JY12" s="2">
        <v>65960</v>
      </c>
      <c r="JZ12" s="2">
        <v>67162</v>
      </c>
      <c r="KA12" s="2">
        <v>74512</v>
      </c>
      <c r="KB12" s="2">
        <v>64347</v>
      </c>
      <c r="KC12" s="2">
        <v>87723</v>
      </c>
      <c r="KD12" s="2">
        <v>68065</v>
      </c>
      <c r="KE12" s="2">
        <v>55122</v>
      </c>
      <c r="KF12" s="2">
        <v>84144</v>
      </c>
      <c r="KG12" s="2">
        <v>77424</v>
      </c>
      <c r="KH12" s="2">
        <v>91632</v>
      </c>
      <c r="KI12" s="2">
        <v>83126</v>
      </c>
      <c r="KJ12" s="2">
        <v>65566</v>
      </c>
      <c r="KK12" s="2">
        <v>60274</v>
      </c>
      <c r="KL12" s="2">
        <v>65860</v>
      </c>
      <c r="KM12" s="2">
        <v>58588</v>
      </c>
      <c r="KN12" s="2">
        <v>68584</v>
      </c>
      <c r="KO12" s="2">
        <v>90828</v>
      </c>
      <c r="KP12" s="2">
        <v>58318</v>
      </c>
      <c r="KQ12" s="2">
        <v>48899</v>
      </c>
      <c r="KR12" s="2">
        <v>55376</v>
      </c>
      <c r="KS12" s="2">
        <v>69777</v>
      </c>
      <c r="KT12" s="2">
        <v>74702</v>
      </c>
      <c r="KU12" s="2">
        <v>60686</v>
      </c>
      <c r="KV12" s="2">
        <v>63736</v>
      </c>
      <c r="KW12" s="2">
        <v>63546</v>
      </c>
      <c r="KX12" s="2">
        <v>68459</v>
      </c>
      <c r="KY12" s="2">
        <v>58404</v>
      </c>
      <c r="KZ12" s="2">
        <v>88835</v>
      </c>
      <c r="LA12" s="2">
        <v>134666</v>
      </c>
      <c r="LB12" s="2">
        <v>66735</v>
      </c>
      <c r="LC12" s="2">
        <v>62216</v>
      </c>
      <c r="LD12" s="2">
        <v>79407</v>
      </c>
      <c r="LE12" s="2">
        <v>76124</v>
      </c>
      <c r="LF12" s="2">
        <v>97405</v>
      </c>
      <c r="LG12" s="2">
        <v>71468</v>
      </c>
      <c r="LH12" s="2">
        <v>79415</v>
      </c>
      <c r="LI12" s="2">
        <v>80632</v>
      </c>
      <c r="LJ12" s="2">
        <v>77643</v>
      </c>
      <c r="LK12" s="2">
        <v>87850</v>
      </c>
      <c r="LL12" s="2">
        <v>117139</v>
      </c>
      <c r="LM12" s="2">
        <v>141128</v>
      </c>
      <c r="LN12" s="2">
        <v>86437</v>
      </c>
      <c r="LO12" s="2">
        <v>77283</v>
      </c>
      <c r="LP12" s="2">
        <v>90823.553</v>
      </c>
      <c r="LQ12" s="2">
        <v>91904.15</v>
      </c>
      <c r="LR12" s="2">
        <v>115317.58</v>
      </c>
      <c r="LS12" s="2">
        <v>84386.86</v>
      </c>
      <c r="LT12" s="2">
        <v>95691.7</v>
      </c>
      <c r="LU12" s="2">
        <v>86483</v>
      </c>
      <c r="LV12" s="2">
        <v>84972</v>
      </c>
      <c r="LW12" s="2">
        <v>95569</v>
      </c>
      <c r="LX12" s="2">
        <v>100952</v>
      </c>
      <c r="LY12" s="2">
        <v>112200</v>
      </c>
      <c r="LZ12" s="2">
        <v>94780</v>
      </c>
      <c r="MA12" s="2">
        <v>86662</v>
      </c>
      <c r="MB12" s="2">
        <v>106524</v>
      </c>
      <c r="MC12" s="2">
        <v>90396</v>
      </c>
      <c r="MD12" s="2">
        <v>101460</v>
      </c>
      <c r="ME12" s="2">
        <v>103741</v>
      </c>
      <c r="MF12" s="2">
        <v>83468</v>
      </c>
      <c r="MG12" s="2">
        <v>87121</v>
      </c>
      <c r="MH12" s="2">
        <v>96890</v>
      </c>
      <c r="MI12" s="2">
        <v>107216</v>
      </c>
      <c r="MJ12" s="2">
        <v>97570</v>
      </c>
      <c r="MK12" s="2">
        <v>135256</v>
      </c>
      <c r="ML12" s="2">
        <v>88249</v>
      </c>
      <c r="MM12" s="2">
        <v>89847</v>
      </c>
      <c r="MN12" s="2">
        <v>115483</v>
      </c>
      <c r="MO12" s="2">
        <v>106296</v>
      </c>
      <c r="MP12" s="2">
        <v>116084</v>
      </c>
      <c r="MQ12" s="2">
        <v>149933</v>
      </c>
      <c r="MR12" s="2">
        <v>122398</v>
      </c>
      <c r="MS12" s="2">
        <v>103412</v>
      </c>
      <c r="MT12" s="2">
        <v>121240</v>
      </c>
      <c r="MU12" s="2">
        <v>129009</v>
      </c>
      <c r="MV12" s="2">
        <v>118625</v>
      </c>
      <c r="MW12" s="2">
        <v>166849</v>
      </c>
      <c r="MX12" s="2">
        <v>94688</v>
      </c>
      <c r="MY12" s="2">
        <v>106504.87</v>
      </c>
      <c r="MZ12" s="2">
        <v>145280</v>
      </c>
      <c r="NA12" s="2">
        <v>134581</v>
      </c>
      <c r="NB12" s="2">
        <v>154418</v>
      </c>
      <c r="NC12" s="2">
        <v>147427</v>
      </c>
      <c r="ND12" s="2">
        <v>109702</v>
      </c>
      <c r="NE12" s="2">
        <v>110068</v>
      </c>
      <c r="NF12" s="2">
        <v>168114</v>
      </c>
      <c r="NG12" s="2">
        <v>118779</v>
      </c>
      <c r="NH12" s="2">
        <v>152828</v>
      </c>
      <c r="NI12" s="2">
        <v>206753</v>
      </c>
      <c r="NJ12" s="2">
        <v>113783</v>
      </c>
      <c r="NK12" s="2">
        <v>100719</v>
      </c>
      <c r="NL12" s="2">
        <v>160922</v>
      </c>
      <c r="NM12" s="2">
        <v>116539</v>
      </c>
      <c r="NN12" s="2">
        <v>188488</v>
      </c>
      <c r="NO12" s="2">
        <v>160252</v>
      </c>
      <c r="NP12" s="2">
        <v>140335</v>
      </c>
      <c r="NQ12" s="2">
        <v>125157</v>
      </c>
      <c r="NR12" s="2">
        <v>169580</v>
      </c>
      <c r="NS12" s="2">
        <v>151812</v>
      </c>
      <c r="NT12" s="2">
        <v>178686</v>
      </c>
      <c r="NU12" s="2">
        <v>236265</v>
      </c>
      <c r="NV12" s="2">
        <v>139503</v>
      </c>
      <c r="NW12" s="2">
        <v>136512</v>
      </c>
      <c r="NX12" s="2">
        <v>198591</v>
      </c>
      <c r="NY12" s="2">
        <v>172805</v>
      </c>
      <c r="NZ12" s="2">
        <v>216279</v>
      </c>
      <c r="OA12" s="2">
        <v>191789</v>
      </c>
      <c r="OB12" s="2">
        <v>201129</v>
      </c>
      <c r="OC12" s="2">
        <v>174840</v>
      </c>
      <c r="OD12" s="2">
        <v>194642</v>
      </c>
      <c r="OE12" s="2">
        <v>236920</v>
      </c>
      <c r="OF12" s="2">
        <v>220245</v>
      </c>
      <c r="OG12" s="2">
        <v>233219</v>
      </c>
      <c r="OH12" s="2">
        <v>164619</v>
      </c>
      <c r="OI12" s="2">
        <v>148504</v>
      </c>
      <c r="OJ12" s="2">
        <v>190719</v>
      </c>
      <c r="OK12" s="2">
        <v>142092</v>
      </c>
      <c r="OL12" s="2">
        <v>224480</v>
      </c>
      <c r="OM12" s="2">
        <v>186320</v>
      </c>
      <c r="ON12" s="2">
        <v>201513</v>
      </c>
      <c r="OO12" s="2">
        <v>169718</v>
      </c>
      <c r="OP12" s="2">
        <v>250096</v>
      </c>
      <c r="OQ12" s="2">
        <v>226892</v>
      </c>
      <c r="OR12" s="2">
        <v>283026</v>
      </c>
      <c r="OS12" s="2">
        <v>381660</v>
      </c>
      <c r="OT12" s="2">
        <v>154874</v>
      </c>
      <c r="OU12" s="2">
        <v>146078</v>
      </c>
      <c r="OV12" s="2">
        <v>211546</v>
      </c>
      <c r="OW12" s="2">
        <v>308350</v>
      </c>
      <c r="OX12" s="2">
        <v>233275</v>
      </c>
      <c r="OY12" s="2">
        <v>216125</v>
      </c>
      <c r="OZ12" s="2">
        <v>226258</v>
      </c>
      <c r="PA12" s="2">
        <v>180989</v>
      </c>
      <c r="PB12" s="2">
        <v>229062</v>
      </c>
      <c r="PC12" s="2">
        <v>192960</v>
      </c>
      <c r="PD12" s="2">
        <v>255352</v>
      </c>
      <c r="PE12">
        <v>389168</v>
      </c>
      <c r="PF12" s="2">
        <v>163638</v>
      </c>
      <c r="PG12" s="2">
        <v>172530</v>
      </c>
      <c r="PH12" s="2">
        <v>279887</v>
      </c>
      <c r="PI12" s="2">
        <v>198006</v>
      </c>
      <c r="PJ12" s="2">
        <v>298673</v>
      </c>
      <c r="PK12" s="2">
        <v>280014</v>
      </c>
      <c r="PL12" s="2">
        <v>242043</v>
      </c>
      <c r="PM12" s="2">
        <v>222048</v>
      </c>
      <c r="PN12" s="2">
        <v>282111</v>
      </c>
      <c r="PO12" s="2">
        <v>212118</v>
      </c>
      <c r="PP12" s="2">
        <v>296726</v>
      </c>
      <c r="PQ12" s="2">
        <v>418842</v>
      </c>
      <c r="PR12" s="2">
        <v>149732</v>
      </c>
      <c r="PS12" s="2">
        <v>180921</v>
      </c>
      <c r="PT12" s="2">
        <v>318734</v>
      </c>
      <c r="PU12" s="2">
        <v>207990</v>
      </c>
      <c r="PV12" s="2">
        <v>311197</v>
      </c>
      <c r="PW12" s="2">
        <v>360852</v>
      </c>
      <c r="PX12" s="2">
        <v>217346</v>
      </c>
      <c r="PY12" s="2">
        <v>244946</v>
      </c>
      <c r="PZ12" s="2">
        <v>284220</v>
      </c>
      <c r="QA12" s="2">
        <v>220576</v>
      </c>
      <c r="QB12" s="2">
        <v>328849</v>
      </c>
      <c r="QC12" s="2">
        <v>449578</v>
      </c>
      <c r="QD12" s="2">
        <v>179859</v>
      </c>
      <c r="QE12" s="2">
        <v>200091</v>
      </c>
      <c r="QF12" s="2">
        <v>310423</v>
      </c>
      <c r="QG12" s="2">
        <v>236326</v>
      </c>
      <c r="QH12" s="2">
        <v>330089</v>
      </c>
      <c r="QI12" s="2">
        <v>322016</v>
      </c>
      <c r="QJ12" s="2">
        <v>280188</v>
      </c>
      <c r="QK12" s="2">
        <v>305361</v>
      </c>
      <c r="QL12" s="2">
        <v>326863</v>
      </c>
      <c r="QM12" s="2">
        <v>272257</v>
      </c>
      <c r="QN12" s="2">
        <v>289124</v>
      </c>
      <c r="QO12" s="2">
        <v>506658</v>
      </c>
      <c r="QP12" s="2">
        <v>181265</v>
      </c>
      <c r="QQ12" s="2">
        <v>225033</v>
      </c>
      <c r="QR12" s="2">
        <v>321416</v>
      </c>
      <c r="QS12" s="2">
        <v>311729</v>
      </c>
      <c r="QT12" s="2">
        <v>403765</v>
      </c>
      <c r="QU12" s="2">
        <v>349713</v>
      </c>
      <c r="QV12" s="2">
        <v>306623</v>
      </c>
      <c r="QW12" s="2">
        <v>294048</v>
      </c>
      <c r="QX12" s="2">
        <v>387694</v>
      </c>
      <c r="QY12" s="2">
        <v>311047</v>
      </c>
      <c r="QZ12" s="2">
        <v>362513</v>
      </c>
      <c r="RA12" s="2">
        <v>485320</v>
      </c>
      <c r="RB12" s="2">
        <v>203853</v>
      </c>
      <c r="RC12" s="2">
        <v>255957</v>
      </c>
      <c r="RD12" s="2">
        <v>418868</v>
      </c>
      <c r="RE12" s="2">
        <v>293659</v>
      </c>
      <c r="RF12" s="2">
        <v>404245</v>
      </c>
      <c r="RG12" s="2">
        <v>381175</v>
      </c>
      <c r="RH12" s="2">
        <v>271746</v>
      </c>
      <c r="RI12" s="2">
        <v>259393</v>
      </c>
      <c r="RJ12" s="2">
        <v>340610</v>
      </c>
      <c r="RK12" s="2">
        <v>261182</v>
      </c>
      <c r="RL12" s="2">
        <v>318392</v>
      </c>
      <c r="RM12" s="2">
        <v>443263</v>
      </c>
      <c r="RN12" s="2">
        <v>172303</v>
      </c>
      <c r="RO12" s="2">
        <v>251128</v>
      </c>
      <c r="RP12" s="2">
        <v>386422.43</v>
      </c>
      <c r="RQ12" s="2">
        <v>260213</v>
      </c>
      <c r="RR12" s="2">
        <v>391478</v>
      </c>
      <c r="RS12" s="2">
        <v>379278</v>
      </c>
      <c r="RT12" s="2"/>
      <c r="RU12" s="2"/>
      <c r="RV12" s="2"/>
      <c r="RW12" s="2"/>
      <c r="RX12" s="2"/>
      <c r="RY12" s="2"/>
    </row>
    <row r="13" spans="1:493" x14ac:dyDescent="0.25">
      <c r="A13" t="s">
        <v>468</v>
      </c>
      <c r="B13" s="2">
        <v>-3127</v>
      </c>
      <c r="C13" s="2">
        <v>-3216</v>
      </c>
      <c r="D13" s="2">
        <v>-3762</v>
      </c>
      <c r="E13" s="2">
        <v>1177</v>
      </c>
      <c r="F13" s="2">
        <v>-1101</v>
      </c>
      <c r="G13" s="2">
        <v>-312</v>
      </c>
      <c r="H13" s="2">
        <v>-369</v>
      </c>
      <c r="I13" s="2">
        <v>-1397</v>
      </c>
      <c r="J13" s="2">
        <v>-708</v>
      </c>
      <c r="K13" s="2">
        <v>-2833</v>
      </c>
      <c r="L13" s="2">
        <v>-5506</v>
      </c>
      <c r="M13" s="2">
        <v>-10098</v>
      </c>
      <c r="N13" s="2">
        <v>-1582</v>
      </c>
      <c r="O13" s="2">
        <v>-1141</v>
      </c>
      <c r="P13" s="2">
        <v>-4630</v>
      </c>
      <c r="Q13" s="2">
        <v>4</v>
      </c>
      <c r="R13" s="2">
        <v>-4233</v>
      </c>
      <c r="S13" s="2">
        <v>847</v>
      </c>
      <c r="T13" s="2">
        <v>-1797</v>
      </c>
      <c r="U13" s="2">
        <v>-980</v>
      </c>
      <c r="V13" s="2">
        <v>-1414</v>
      </c>
      <c r="W13" s="2">
        <v>1697</v>
      </c>
      <c r="X13" s="2">
        <v>-3479</v>
      </c>
      <c r="Y13" s="2">
        <v>15</v>
      </c>
      <c r="Z13" s="2">
        <v>-1517</v>
      </c>
      <c r="AA13" s="2">
        <v>-1627</v>
      </c>
      <c r="AB13" s="2">
        <v>-5019</v>
      </c>
      <c r="AC13" s="2">
        <v>2970</v>
      </c>
      <c r="AD13" s="2">
        <v>-941</v>
      </c>
      <c r="AE13" s="2">
        <v>-2842</v>
      </c>
      <c r="AF13" s="2">
        <v>236</v>
      </c>
      <c r="AG13" s="2">
        <v>-3716</v>
      </c>
      <c r="AH13" s="2">
        <v>-3185</v>
      </c>
      <c r="AI13" s="2">
        <v>-119</v>
      </c>
      <c r="AJ13" s="2">
        <v>-15</v>
      </c>
      <c r="AK13" s="2">
        <v>-7431</v>
      </c>
      <c r="AL13" s="2">
        <v>-2348</v>
      </c>
      <c r="AM13" s="2">
        <v>-3630</v>
      </c>
      <c r="AN13" s="2">
        <v>-3681</v>
      </c>
      <c r="AO13" s="2">
        <v>1273</v>
      </c>
      <c r="AP13" s="2">
        <v>-1966</v>
      </c>
      <c r="AQ13" s="2">
        <v>-1243</v>
      </c>
      <c r="AR13" s="2">
        <v>1042</v>
      </c>
      <c r="AS13" s="2">
        <v>2530</v>
      </c>
      <c r="AT13" s="2">
        <v>1310</v>
      </c>
      <c r="AU13" s="2">
        <v>195</v>
      </c>
      <c r="AV13" s="2">
        <v>-5050</v>
      </c>
      <c r="AW13" s="2">
        <v>-8000</v>
      </c>
      <c r="AX13" s="2">
        <v>-4679</v>
      </c>
      <c r="AY13" s="2">
        <v>-4484</v>
      </c>
      <c r="AZ13" s="2">
        <v>-676</v>
      </c>
      <c r="BA13" s="2">
        <v>3443</v>
      </c>
      <c r="BB13" s="2">
        <v>-5634</v>
      </c>
      <c r="BC13" s="2">
        <v>-6953</v>
      </c>
      <c r="BD13" s="2">
        <v>-5135</v>
      </c>
      <c r="BE13" s="2">
        <v>-3758</v>
      </c>
      <c r="BF13" s="2">
        <v>-2263</v>
      </c>
      <c r="BG13" s="2">
        <v>-1693</v>
      </c>
      <c r="BH13" s="2">
        <v>-2904</v>
      </c>
      <c r="BI13" s="2">
        <v>-2458</v>
      </c>
      <c r="BJ13" s="2">
        <v>4926</v>
      </c>
      <c r="BK13" s="2">
        <v>-833</v>
      </c>
      <c r="BL13" s="2">
        <v>-1565</v>
      </c>
      <c r="BM13" s="2">
        <v>1900</v>
      </c>
      <c r="BN13" s="2">
        <v>-4645</v>
      </c>
      <c r="BO13" s="2">
        <v>-4284</v>
      </c>
      <c r="BP13" s="2">
        <v>-2800</v>
      </c>
      <c r="BQ13" s="2">
        <v>-1372</v>
      </c>
      <c r="BR13" s="2">
        <v>-3636</v>
      </c>
      <c r="BS13" s="2">
        <v>-4780</v>
      </c>
      <c r="BT13" s="2">
        <v>-7479</v>
      </c>
      <c r="BU13" s="2">
        <v>-1781</v>
      </c>
      <c r="BV13" s="2">
        <v>-505</v>
      </c>
      <c r="BW13" s="2">
        <v>-2799</v>
      </c>
      <c r="BX13" s="2">
        <v>8330</v>
      </c>
      <c r="BY13" s="2">
        <v>4940</v>
      </c>
      <c r="BZ13" s="2">
        <v>-5738</v>
      </c>
      <c r="CA13" s="2">
        <v>-335</v>
      </c>
      <c r="CB13" s="2">
        <v>-1792</v>
      </c>
      <c r="CC13" s="2">
        <v>-427</v>
      </c>
      <c r="CD13" s="2">
        <v>-7236</v>
      </c>
      <c r="CE13" s="2">
        <v>1530</v>
      </c>
      <c r="CF13" s="2">
        <v>-9057</v>
      </c>
      <c r="CG13" s="2">
        <v>-2877</v>
      </c>
      <c r="CH13" s="2">
        <v>5788</v>
      </c>
      <c r="CI13" s="2">
        <v>-7815</v>
      </c>
      <c r="CJ13" s="2">
        <v>-8299</v>
      </c>
      <c r="CK13" s="2">
        <v>4371</v>
      </c>
      <c r="CL13" s="2">
        <v>-2490</v>
      </c>
      <c r="CM13" s="2">
        <v>-3926</v>
      </c>
      <c r="CN13" s="2">
        <v>855</v>
      </c>
      <c r="CO13" s="2">
        <v>-2007</v>
      </c>
      <c r="CP13" s="2">
        <v>-3362</v>
      </c>
      <c r="CQ13" s="2">
        <v>1416</v>
      </c>
      <c r="CR13" s="2">
        <v>-2732</v>
      </c>
      <c r="CS13" s="2">
        <v>-3690</v>
      </c>
      <c r="CT13" s="2">
        <v>589</v>
      </c>
      <c r="CU13" s="2">
        <v>-2373</v>
      </c>
      <c r="CV13" s="2">
        <v>9740</v>
      </c>
      <c r="CW13" s="2">
        <v>14943</v>
      </c>
      <c r="CX13" s="2">
        <v>-2730</v>
      </c>
      <c r="CY13" s="2">
        <v>-8100</v>
      </c>
      <c r="CZ13" s="2">
        <v>-3915</v>
      </c>
      <c r="DA13" s="2">
        <v>-580</v>
      </c>
      <c r="DB13" s="2">
        <v>-1898</v>
      </c>
      <c r="DC13" s="2">
        <v>8764</v>
      </c>
      <c r="DD13" s="2">
        <v>10963</v>
      </c>
      <c r="DE13" s="2">
        <v>-9117</v>
      </c>
      <c r="DF13" s="2">
        <v>-1153</v>
      </c>
      <c r="DG13" s="2">
        <v>5521</v>
      </c>
      <c r="DH13" s="2">
        <v>1101</v>
      </c>
      <c r="DI13" s="2">
        <v>11281</v>
      </c>
      <c r="DJ13" s="2">
        <v>-5914</v>
      </c>
      <c r="DK13" s="2">
        <v>-1366</v>
      </c>
      <c r="DL13" s="2">
        <v>-2854</v>
      </c>
      <c r="DM13" s="2">
        <v>-363</v>
      </c>
      <c r="DN13" s="2">
        <v>1681</v>
      </c>
      <c r="DO13" s="2">
        <v>2131</v>
      </c>
      <c r="DP13" s="2">
        <v>331</v>
      </c>
      <c r="DQ13" s="2">
        <v>678</v>
      </c>
      <c r="DR13" s="2">
        <v>220</v>
      </c>
      <c r="DS13" s="2">
        <v>-5950</v>
      </c>
      <c r="DT13" s="2">
        <v>4159</v>
      </c>
      <c r="DU13" s="2">
        <v>15237</v>
      </c>
      <c r="DV13" s="2">
        <v>-1112</v>
      </c>
      <c r="DW13" s="2">
        <v>-3134</v>
      </c>
      <c r="DX13" s="2">
        <v>-4796</v>
      </c>
      <c r="DY13" s="2">
        <v>2333</v>
      </c>
      <c r="DZ13" s="2">
        <v>216</v>
      </c>
      <c r="EA13" s="2">
        <v>-640</v>
      </c>
      <c r="EB13" s="2">
        <v>3800</v>
      </c>
      <c r="EC13" s="2">
        <v>-4077</v>
      </c>
      <c r="ED13" s="2">
        <v>-3182</v>
      </c>
      <c r="EE13" s="2">
        <v>-368</v>
      </c>
      <c r="EF13" s="2">
        <v>2881</v>
      </c>
      <c r="EG13" s="2">
        <v>18011</v>
      </c>
      <c r="EH13" s="2">
        <v>-12425</v>
      </c>
      <c r="EI13" s="2">
        <v>-1096</v>
      </c>
      <c r="EJ13" s="2">
        <v>1885</v>
      </c>
      <c r="EK13" s="2">
        <v>2094</v>
      </c>
      <c r="EL13" s="2">
        <v>-3237</v>
      </c>
      <c r="EM13" s="2">
        <v>-6923</v>
      </c>
      <c r="EN13" s="2">
        <v>-5621</v>
      </c>
      <c r="EO13" s="2">
        <v>9545</v>
      </c>
      <c r="EP13" s="2">
        <v>1870</v>
      </c>
      <c r="EQ13" s="2">
        <v>-7335</v>
      </c>
      <c r="ER13" s="2">
        <v>-6303</v>
      </c>
      <c r="ES13" s="2">
        <v>13771</v>
      </c>
      <c r="ET13" s="2">
        <v>-17448</v>
      </c>
      <c r="EU13" s="2">
        <v>-8558</v>
      </c>
      <c r="EV13" s="2">
        <v>10430</v>
      </c>
      <c r="EW13" s="2">
        <v>-9130</v>
      </c>
      <c r="EX13" s="2">
        <v>-2999</v>
      </c>
      <c r="EY13" s="2">
        <v>292</v>
      </c>
      <c r="EZ13" s="2">
        <v>-14822</v>
      </c>
      <c r="FA13" s="2">
        <v>-9749</v>
      </c>
      <c r="FB13" s="2">
        <v>-1859</v>
      </c>
      <c r="FC13" s="2">
        <v>-7947</v>
      </c>
      <c r="FD13" s="2">
        <v>-23657</v>
      </c>
      <c r="FE13" s="2">
        <v>11440</v>
      </c>
      <c r="FF13" s="2">
        <v>-23293</v>
      </c>
      <c r="FG13" s="2">
        <v>-7148</v>
      </c>
      <c r="FH13" s="2">
        <v>-8069</v>
      </c>
      <c r="FI13" s="2">
        <v>-11424</v>
      </c>
      <c r="FJ13" s="2">
        <v>-15581</v>
      </c>
      <c r="FK13" s="2">
        <v>-9266</v>
      </c>
      <c r="FL13" s="2">
        <v>-13351</v>
      </c>
      <c r="FM13" s="2">
        <v>-1503</v>
      </c>
      <c r="FN13" s="2">
        <v>-114</v>
      </c>
      <c r="FO13" s="2">
        <v>-8918</v>
      </c>
      <c r="FP13" s="2">
        <v>-13281</v>
      </c>
      <c r="FQ13" s="2">
        <v>9030</v>
      </c>
      <c r="FR13" s="2">
        <v>-20828</v>
      </c>
      <c r="FS13" s="2">
        <v>-13583</v>
      </c>
      <c r="FT13" s="2">
        <v>-12015</v>
      </c>
      <c r="FU13" s="2">
        <v>-10078</v>
      </c>
      <c r="FV13" s="2">
        <v>-13196</v>
      </c>
      <c r="FW13" s="2">
        <v>-12558</v>
      </c>
      <c r="FX13" s="2">
        <v>-18897</v>
      </c>
      <c r="FY13" s="2">
        <v>-19774</v>
      </c>
      <c r="FZ13" s="2">
        <v>-6386</v>
      </c>
      <c r="GA13" s="2">
        <v>-12597</v>
      </c>
      <c r="GB13" s="2">
        <v>-18942</v>
      </c>
      <c r="GC13" s="2">
        <v>9846</v>
      </c>
      <c r="GD13" s="2">
        <v>-30247</v>
      </c>
      <c r="GE13" s="2">
        <v>-19496</v>
      </c>
      <c r="GF13" s="2">
        <v>-4764</v>
      </c>
      <c r="GG13" s="2">
        <v>-16941</v>
      </c>
      <c r="GH13" s="2">
        <v>-22625</v>
      </c>
      <c r="GI13" s="2">
        <v>-11167</v>
      </c>
      <c r="GJ13" s="2">
        <v>-11309</v>
      </c>
      <c r="GK13" s="2">
        <v>-2395</v>
      </c>
      <c r="GL13" s="2">
        <v>-14979</v>
      </c>
      <c r="GM13" s="2">
        <v>-20962</v>
      </c>
      <c r="GN13" s="2">
        <v>-25267</v>
      </c>
      <c r="GO13" s="2">
        <v>-21756</v>
      </c>
      <c r="GP13" s="2">
        <v>-24576</v>
      </c>
      <c r="GQ13" s="2">
        <v>-12178</v>
      </c>
      <c r="GR13" s="2">
        <v>-12127</v>
      </c>
      <c r="GS13" s="2">
        <v>-12188</v>
      </c>
      <c r="GT13" s="2">
        <v>-22440</v>
      </c>
      <c r="GU13" s="2">
        <v>-21094</v>
      </c>
      <c r="GV13" s="2">
        <v>-12987</v>
      </c>
      <c r="GW13" s="2">
        <v>-10187</v>
      </c>
      <c r="GX13" s="2">
        <v>-13948</v>
      </c>
      <c r="GY13" s="2">
        <v>-17694</v>
      </c>
      <c r="GZ13" s="2">
        <v>-27237</v>
      </c>
      <c r="HA13" s="2">
        <v>-6584</v>
      </c>
      <c r="HB13" s="2">
        <v>-9896</v>
      </c>
      <c r="HC13" s="2">
        <v>-4217</v>
      </c>
      <c r="HD13" s="2">
        <v>-15819</v>
      </c>
      <c r="HE13" s="2">
        <v>-18170</v>
      </c>
      <c r="HF13" s="2">
        <v>-29138</v>
      </c>
      <c r="HG13" s="2">
        <v>-21171</v>
      </c>
      <c r="HH13" s="2">
        <v>-8330</v>
      </c>
      <c r="HI13" s="2">
        <v>-27664</v>
      </c>
      <c r="HJ13" s="2">
        <v>-16117</v>
      </c>
      <c r="HK13" s="2">
        <v>-18450</v>
      </c>
      <c r="HL13" s="2">
        <v>-22280</v>
      </c>
      <c r="HM13" s="2">
        <v>-7824</v>
      </c>
      <c r="HN13" s="2">
        <v>-12682</v>
      </c>
      <c r="HO13" s="2">
        <v>-2767</v>
      </c>
      <c r="HP13" s="2">
        <v>-19292</v>
      </c>
      <c r="HQ13" s="2">
        <v>-11670</v>
      </c>
      <c r="HR13" s="2">
        <v>-30825</v>
      </c>
      <c r="HS13" s="2">
        <v>-5819</v>
      </c>
      <c r="HT13" s="2">
        <v>-12494</v>
      </c>
      <c r="HU13" s="2">
        <v>-26837</v>
      </c>
      <c r="HV13" s="2">
        <v>-16502</v>
      </c>
      <c r="HW13" s="2">
        <v>-23551</v>
      </c>
      <c r="HX13" s="2">
        <v>-23413</v>
      </c>
      <c r="HY13" s="2">
        <v>3339</v>
      </c>
      <c r="HZ13" s="2">
        <v>-7630</v>
      </c>
      <c r="IA13" s="2">
        <v>246</v>
      </c>
      <c r="IB13" s="2">
        <v>-15061</v>
      </c>
      <c r="IC13" s="2">
        <v>1751</v>
      </c>
      <c r="ID13" s="2">
        <v>-27657</v>
      </c>
      <c r="IE13" s="2">
        <v>-7064</v>
      </c>
      <c r="IF13" s="2">
        <v>-7289</v>
      </c>
      <c r="IG13" s="2">
        <v>-23947</v>
      </c>
      <c r="IH13" s="2">
        <v>-15445</v>
      </c>
      <c r="II13" s="2">
        <v>-24958</v>
      </c>
      <c r="IJ13" s="2">
        <v>-27207</v>
      </c>
      <c r="IK13" s="2">
        <v>17642</v>
      </c>
      <c r="IL13" s="2">
        <v>5811</v>
      </c>
      <c r="IM13" s="2">
        <v>12653</v>
      </c>
      <c r="IN13" s="2">
        <v>-17010</v>
      </c>
      <c r="IO13" s="2">
        <v>14334</v>
      </c>
      <c r="IP13" s="2">
        <v>-16229</v>
      </c>
      <c r="IQ13" s="2">
        <v>-5842</v>
      </c>
      <c r="IR13" s="2">
        <v>-2069</v>
      </c>
      <c r="IS13" s="2">
        <v>-6471</v>
      </c>
      <c r="IT13" s="2">
        <v>-29715</v>
      </c>
      <c r="IU13" s="2">
        <v>11109</v>
      </c>
      <c r="IV13" s="2">
        <v>-33362</v>
      </c>
      <c r="IW13" s="2">
        <v>11952</v>
      </c>
      <c r="IX13" s="2">
        <v>-1747</v>
      </c>
      <c r="IY13" s="2">
        <v>782</v>
      </c>
      <c r="IZ13" s="2">
        <v>1595</v>
      </c>
      <c r="JA13" s="2">
        <v>13897</v>
      </c>
      <c r="JB13" s="2">
        <v>-14521</v>
      </c>
      <c r="JC13" s="2">
        <v>-1478</v>
      </c>
      <c r="JD13" s="2">
        <v>54093</v>
      </c>
      <c r="JE13" s="2">
        <v>-25046</v>
      </c>
      <c r="JF13" s="2">
        <v>-13935</v>
      </c>
      <c r="JG13" s="2">
        <v>-18998</v>
      </c>
      <c r="JH13" s="2">
        <v>-18626</v>
      </c>
      <c r="JI13" s="2">
        <v>25762</v>
      </c>
      <c r="JJ13" s="2">
        <v>7026</v>
      </c>
      <c r="JK13" s="2">
        <v>769</v>
      </c>
      <c r="JL13" s="2">
        <v>-15429</v>
      </c>
      <c r="JM13" s="2">
        <v>1683</v>
      </c>
      <c r="JN13" s="2">
        <v>-21628</v>
      </c>
      <c r="JO13" s="2">
        <v>-8959</v>
      </c>
      <c r="JP13" s="2">
        <v>-4340</v>
      </c>
      <c r="JQ13" s="2">
        <v>-1442</v>
      </c>
      <c r="JR13" s="2">
        <v>-38054</v>
      </c>
      <c r="JS13" s="2">
        <v>-28993</v>
      </c>
      <c r="JT13" s="2">
        <v>-52639</v>
      </c>
      <c r="JU13" s="2">
        <v>7904</v>
      </c>
      <c r="JV13" s="2">
        <v>-11384</v>
      </c>
      <c r="JW13" s="2">
        <v>-30247</v>
      </c>
      <c r="JX13" s="2">
        <v>-34630</v>
      </c>
      <c r="JY13" s="2">
        <v>-21981</v>
      </c>
      <c r="JZ13" s="2">
        <v>-27512</v>
      </c>
      <c r="KA13" s="2">
        <v>-28545</v>
      </c>
      <c r="KB13" s="2">
        <v>-6442</v>
      </c>
      <c r="KC13" s="2">
        <v>-26009</v>
      </c>
      <c r="KD13" s="2">
        <v>-37125</v>
      </c>
      <c r="KE13" s="2">
        <v>-33188</v>
      </c>
      <c r="KF13" s="2">
        <v>-63866</v>
      </c>
      <c r="KG13" s="2">
        <v>2599</v>
      </c>
      <c r="KH13" s="2">
        <v>-30527</v>
      </c>
      <c r="KI13" s="2">
        <v>-34622</v>
      </c>
      <c r="KJ13" s="2">
        <v>-32694</v>
      </c>
      <c r="KK13" s="2">
        <v>1319</v>
      </c>
      <c r="KL13" s="2">
        <v>-31684</v>
      </c>
      <c r="KM13" s="2">
        <v>-10514</v>
      </c>
      <c r="KN13" s="2">
        <v>482</v>
      </c>
      <c r="KO13" s="2">
        <v>-44638</v>
      </c>
      <c r="KP13" s="2">
        <v>13424</v>
      </c>
      <c r="KQ13" s="2">
        <v>-21490</v>
      </c>
      <c r="KR13" s="2">
        <v>-18131</v>
      </c>
      <c r="KS13" s="2">
        <v>26258</v>
      </c>
      <c r="KT13" s="2">
        <v>-9601</v>
      </c>
      <c r="KU13" s="2">
        <v>-7691</v>
      </c>
      <c r="KV13" s="2">
        <v>-26482</v>
      </c>
      <c r="KW13" s="2">
        <v>9220</v>
      </c>
      <c r="KX13" s="2">
        <v>-18501</v>
      </c>
      <c r="KY13" s="2">
        <v>-21257</v>
      </c>
      <c r="KZ13" s="2">
        <v>-22003</v>
      </c>
      <c r="LA13" s="2">
        <v>-101500</v>
      </c>
      <c r="LB13" s="2">
        <v>-15943.179000000004</v>
      </c>
      <c r="LC13" s="2">
        <v>10655.426000000007</v>
      </c>
      <c r="LD13" s="2">
        <v>-28621.785000000003</v>
      </c>
      <c r="LE13" s="2">
        <v>31024.168000000005</v>
      </c>
      <c r="LF13" s="2">
        <v>-19859.263000000006</v>
      </c>
      <c r="LG13" s="2">
        <v>-11638.462</v>
      </c>
      <c r="LH13" s="2">
        <v>-39248.868000000017</v>
      </c>
      <c r="LI13" s="2">
        <v>2522.5739999999932</v>
      </c>
      <c r="LJ13" s="2">
        <v>-32833.679999999993</v>
      </c>
      <c r="LK13" s="2">
        <v>-11663.825000000012</v>
      </c>
      <c r="LL13" s="2">
        <v>-11474.739000000001</v>
      </c>
      <c r="LM13" s="2">
        <v>-115744.97899999999</v>
      </c>
      <c r="LN13" s="2">
        <v>-19531</v>
      </c>
      <c r="LO13" s="2">
        <v>-11749</v>
      </c>
      <c r="LP13" s="2">
        <v>-35198</v>
      </c>
      <c r="LQ13" s="2">
        <v>36803</v>
      </c>
      <c r="LR13" s="2">
        <v>-13164</v>
      </c>
      <c r="LS13" s="2">
        <v>-8451</v>
      </c>
      <c r="LT13" s="2">
        <v>-53222</v>
      </c>
      <c r="LU13" s="2">
        <v>21901</v>
      </c>
      <c r="LV13" s="2">
        <v>-18616</v>
      </c>
      <c r="LW13" s="2">
        <v>-11237</v>
      </c>
      <c r="LX13" s="2">
        <v>1000</v>
      </c>
      <c r="LY13" s="2">
        <v>-52598</v>
      </c>
      <c r="LZ13" s="2">
        <v>-34218</v>
      </c>
      <c r="MA13" s="2">
        <v>-9718</v>
      </c>
      <c r="MB13" s="2">
        <v>-40186</v>
      </c>
      <c r="MC13" s="2">
        <v>80852</v>
      </c>
      <c r="MD13" s="2">
        <v>11782</v>
      </c>
      <c r="ME13" s="2">
        <v>-62486</v>
      </c>
      <c r="MF13" s="2">
        <v>-1762</v>
      </c>
      <c r="MG13" s="2">
        <v>29865</v>
      </c>
      <c r="MH13" s="2">
        <v>-5198</v>
      </c>
      <c r="MI13" s="2">
        <v>-2530</v>
      </c>
      <c r="MJ13" s="2">
        <v>6824</v>
      </c>
      <c r="MK13" s="2">
        <v>-46317</v>
      </c>
      <c r="ML13" s="2">
        <v>-6472</v>
      </c>
      <c r="MM13" s="2">
        <v>-9673</v>
      </c>
      <c r="MN13" s="2">
        <v>-17372</v>
      </c>
      <c r="MO13" s="2">
        <v>52599</v>
      </c>
      <c r="MP13" s="2">
        <v>67337</v>
      </c>
      <c r="MQ13" s="2">
        <v>-72673</v>
      </c>
      <c r="MR13" s="2">
        <v>-32198</v>
      </c>
      <c r="MS13" s="2">
        <v>15040</v>
      </c>
      <c r="MT13" s="2">
        <v>-22140</v>
      </c>
      <c r="MU13" s="2">
        <v>-27022</v>
      </c>
      <c r="MV13" s="2">
        <v>6029</v>
      </c>
      <c r="MW13" s="2">
        <v>-75144</v>
      </c>
      <c r="MX13" s="2">
        <v>-3474.4530000000086</v>
      </c>
      <c r="MY13" s="2">
        <v>-34625.869999999995</v>
      </c>
      <c r="MZ13" s="2">
        <v>-74388</v>
      </c>
      <c r="NA13" s="2">
        <v>55022</v>
      </c>
      <c r="NB13" s="2">
        <v>-17656</v>
      </c>
      <c r="NC13" s="2">
        <v>-45194</v>
      </c>
      <c r="ND13" s="2">
        <v>-50667</v>
      </c>
      <c r="NE13" s="2">
        <v>32607</v>
      </c>
      <c r="NF13" s="2">
        <v>-75327</v>
      </c>
      <c r="NG13" s="2">
        <v>-2345</v>
      </c>
      <c r="NH13" s="2">
        <v>-19145</v>
      </c>
      <c r="NI13" s="2">
        <v>-118229</v>
      </c>
      <c r="NJ13" s="2">
        <v>2221.5469999999914</v>
      </c>
      <c r="NK13" s="2">
        <v>-23724</v>
      </c>
      <c r="NL13" s="2">
        <v>-61471</v>
      </c>
      <c r="NM13" s="2">
        <v>52797</v>
      </c>
      <c r="NN13" s="2">
        <v>-33421</v>
      </c>
      <c r="NO13" s="2">
        <v>-90873</v>
      </c>
      <c r="NP13" s="2">
        <v>-50512</v>
      </c>
      <c r="NQ13" s="2">
        <v>28808</v>
      </c>
      <c r="NR13" s="2">
        <v>-36892</v>
      </c>
      <c r="NS13" s="2">
        <v>-21800</v>
      </c>
      <c r="NT13" s="2">
        <v>-8623</v>
      </c>
      <c r="NU13" s="2">
        <v>-107147.82</v>
      </c>
      <c r="NV13" s="2">
        <v>10191.130000000005</v>
      </c>
      <c r="NW13" s="2">
        <v>-51669</v>
      </c>
      <c r="NX13" s="2">
        <v>-110693</v>
      </c>
      <c r="NY13" s="2">
        <v>46315</v>
      </c>
      <c r="NZ13" s="2">
        <v>-32873</v>
      </c>
      <c r="OA13" s="2">
        <v>-54288</v>
      </c>
      <c r="OB13" s="2">
        <v>-86383</v>
      </c>
      <c r="OC13" s="2">
        <v>-2587</v>
      </c>
      <c r="OD13" s="2">
        <v>-96247</v>
      </c>
      <c r="OE13" s="2">
        <v>-59865</v>
      </c>
      <c r="OF13" s="2">
        <v>-39118</v>
      </c>
      <c r="OG13" s="2">
        <v>-81042</v>
      </c>
      <c r="OH13" s="2">
        <v>44537</v>
      </c>
      <c r="OI13" s="2">
        <v>-76372.649999999994</v>
      </c>
      <c r="OJ13" s="2">
        <v>-58409</v>
      </c>
      <c r="OK13" s="2">
        <v>86872</v>
      </c>
      <c r="OL13" s="2">
        <v>2564</v>
      </c>
      <c r="OM13" s="2">
        <v>-41838</v>
      </c>
      <c r="ON13" s="2">
        <v>-75296</v>
      </c>
      <c r="OO13" s="2">
        <v>-2488</v>
      </c>
      <c r="OP13" s="2">
        <v>-178557</v>
      </c>
      <c r="OQ13" s="2">
        <v>-49262</v>
      </c>
      <c r="OR13" s="2">
        <v>-60883</v>
      </c>
      <c r="OS13" s="2">
        <v>-251103</v>
      </c>
      <c r="OT13" s="2">
        <v>23045</v>
      </c>
      <c r="OU13" s="2">
        <v>-37595</v>
      </c>
      <c r="OV13" s="2">
        <v>-71609</v>
      </c>
      <c r="OW13" s="2">
        <v>-273881.17</v>
      </c>
      <c r="OX13" s="2">
        <v>-202136</v>
      </c>
      <c r="OY13" s="2">
        <v>1766</v>
      </c>
      <c r="OZ13" s="2">
        <v>-140208</v>
      </c>
      <c r="PA13" s="2">
        <v>-40074</v>
      </c>
      <c r="PB13" s="2">
        <v>-138525.17000000001</v>
      </c>
      <c r="PC13" s="2">
        <v>-61362</v>
      </c>
      <c r="PD13" s="2">
        <v>-128278</v>
      </c>
      <c r="PE13">
        <v>-302590</v>
      </c>
      <c r="PF13" s="2">
        <v>-14060</v>
      </c>
      <c r="PG13" s="2">
        <v>-115969.54000000004</v>
      </c>
      <c r="PH13" s="2">
        <v>-191442</v>
      </c>
      <c r="PI13" s="2">
        <v>-44426</v>
      </c>
      <c r="PJ13" s="2">
        <v>-200306.48</v>
      </c>
      <c r="PK13" s="2">
        <v>-149862</v>
      </c>
      <c r="PL13" s="2">
        <v>-121186</v>
      </c>
      <c r="PM13" s="2">
        <v>-120936</v>
      </c>
      <c r="PN13" s="2">
        <v>-180916</v>
      </c>
      <c r="PO13" s="2">
        <v>-64290</v>
      </c>
      <c r="PP13" s="2">
        <v>-128701</v>
      </c>
      <c r="PQ13" s="2">
        <v>-338005</v>
      </c>
      <c r="PR13" s="2">
        <v>-23382</v>
      </c>
      <c r="PS13" s="2">
        <v>-104800</v>
      </c>
      <c r="PT13" s="2">
        <v>-187666</v>
      </c>
      <c r="PU13" s="2">
        <v>4935.679999999993</v>
      </c>
      <c r="PV13" s="2">
        <v>-146785</v>
      </c>
      <c r="PW13" s="2">
        <v>-216523</v>
      </c>
      <c r="PX13" s="2">
        <v>-86763</v>
      </c>
      <c r="PY13" s="2">
        <v>-72036</v>
      </c>
      <c r="PZ13" s="2">
        <v>-179760</v>
      </c>
      <c r="QA13" s="2">
        <v>-99061</v>
      </c>
      <c r="QB13" s="2">
        <v>-123929</v>
      </c>
      <c r="QC13" s="2">
        <v>-378366</v>
      </c>
      <c r="QD13" s="2">
        <v>45749.25</v>
      </c>
      <c r="QE13" s="2">
        <v>-106373</v>
      </c>
      <c r="QF13" s="2">
        <v>-210261</v>
      </c>
      <c r="QG13" s="2">
        <v>66797.81</v>
      </c>
      <c r="QH13" s="2">
        <v>-122231</v>
      </c>
      <c r="QI13" s="2">
        <v>-225398</v>
      </c>
      <c r="QJ13" s="2">
        <v>-47814</v>
      </c>
      <c r="QK13" s="2">
        <v>-133003</v>
      </c>
      <c r="QL13" s="2">
        <v>-250941</v>
      </c>
      <c r="QM13" s="2">
        <v>-34402</v>
      </c>
      <c r="QN13" s="2">
        <v>-93254</v>
      </c>
      <c r="QO13" s="2">
        <v>-400956</v>
      </c>
      <c r="QP13" s="2">
        <v>87951</v>
      </c>
      <c r="QQ13" s="2">
        <v>-164677</v>
      </c>
      <c r="QR13" s="2">
        <v>-195918</v>
      </c>
      <c r="QS13" s="2">
        <v>42728</v>
      </c>
      <c r="QT13" s="2">
        <v>-174911</v>
      </c>
      <c r="QU13" s="2">
        <v>-209080</v>
      </c>
      <c r="QV13" s="2">
        <v>-28845</v>
      </c>
      <c r="QW13" s="2">
        <v>-54206</v>
      </c>
      <c r="QX13" s="2">
        <v>-273266</v>
      </c>
      <c r="QY13" s="2">
        <v>6340</v>
      </c>
      <c r="QZ13" s="2">
        <v>-212973</v>
      </c>
      <c r="RA13" s="2">
        <v>-329501</v>
      </c>
      <c r="RB13" s="2">
        <v>68361.87</v>
      </c>
      <c r="RC13" s="2">
        <v>-171443.62999999998</v>
      </c>
      <c r="RD13" s="2">
        <v>-342947.41000000003</v>
      </c>
      <c r="RE13" s="2">
        <v>67299.112000000023</v>
      </c>
      <c r="RF13" s="2">
        <v>-145151.11555116001</v>
      </c>
      <c r="RG13" s="2">
        <v>-241611.6248467</v>
      </c>
      <c r="RH13" s="2">
        <v>-18916.955938320025</v>
      </c>
      <c r="RI13" s="2">
        <v>-84768.274999999907</v>
      </c>
      <c r="RJ13" s="2">
        <v>-248080.185</v>
      </c>
      <c r="RK13" s="2">
        <v>11154.259999999951</v>
      </c>
      <c r="RL13" s="2">
        <v>-157564.95000000007</v>
      </c>
      <c r="RM13" s="2">
        <v>-313173</v>
      </c>
      <c r="RN13" s="2">
        <v>165374</v>
      </c>
      <c r="RO13" s="2">
        <v>-171201.77000000002</v>
      </c>
      <c r="RP13" s="2">
        <v>-349662</v>
      </c>
      <c r="RQ13" s="2">
        <v>31436</v>
      </c>
      <c r="RR13" s="2">
        <v>-198467</v>
      </c>
      <c r="RS13" s="2">
        <v>-264293</v>
      </c>
      <c r="RT13" s="2"/>
      <c r="RU13" s="2"/>
      <c r="RV13" s="2"/>
      <c r="RW13" s="2"/>
      <c r="RX13" s="2"/>
      <c r="RY13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8"/>
  <sheetViews>
    <sheetView workbookViewId="0">
      <pane xSplit="1" ySplit="1" topLeftCell="B2" activePane="bottomRight" state="frozen"/>
      <selection activeCell="BF6" sqref="BF6"/>
      <selection pane="topRight"/>
      <selection pane="bottomLeft"/>
      <selection pane="bottomRight" activeCell="BI4" sqref="BI4"/>
    </sheetView>
  </sheetViews>
  <sheetFormatPr defaultRowHeight="15" x14ac:dyDescent="0.25"/>
  <cols>
    <col min="1" max="1" width="17.7109375" customWidth="1"/>
    <col min="2" max="55" width="9.28515625" bestFit="1" customWidth="1"/>
    <col min="56" max="58" width="9.85546875" bestFit="1" customWidth="1"/>
    <col min="59" max="61" width="9.85546875" customWidth="1"/>
  </cols>
  <sheetData>
    <row r="1" spans="1:61" x14ac:dyDescent="0.25">
      <c r="A1" t="s">
        <v>0</v>
      </c>
      <c r="B1">
        <v>1950</v>
      </c>
      <c r="C1">
        <v>1955</v>
      </c>
      <c r="D1">
        <v>1960</v>
      </c>
      <c r="E1">
        <v>1965</v>
      </c>
      <c r="F1">
        <v>1970</v>
      </c>
      <c r="G1">
        <v>1971</v>
      </c>
      <c r="H1">
        <v>1972</v>
      </c>
      <c r="I1">
        <v>1973</v>
      </c>
      <c r="J1">
        <v>1974</v>
      </c>
      <c r="K1">
        <v>1975</v>
      </c>
      <c r="L1">
        <v>1976</v>
      </c>
      <c r="M1">
        <v>1977</v>
      </c>
      <c r="N1">
        <v>1978</v>
      </c>
      <c r="O1">
        <v>1979</v>
      </c>
      <c r="P1">
        <v>1980</v>
      </c>
      <c r="Q1">
        <v>1981</v>
      </c>
      <c r="R1">
        <v>1982</v>
      </c>
      <c r="S1">
        <v>1983</v>
      </c>
      <c r="T1">
        <v>1984</v>
      </c>
      <c r="U1">
        <v>1985</v>
      </c>
      <c r="V1">
        <v>1986</v>
      </c>
      <c r="W1">
        <v>1987</v>
      </c>
      <c r="X1">
        <v>1988</v>
      </c>
      <c r="Y1">
        <v>1989</v>
      </c>
      <c r="Z1">
        <v>1990</v>
      </c>
      <c r="AA1">
        <v>1991</v>
      </c>
      <c r="AB1">
        <v>1992</v>
      </c>
      <c r="AC1">
        <v>1993</v>
      </c>
      <c r="AD1">
        <v>1994</v>
      </c>
      <c r="AE1">
        <v>1995</v>
      </c>
      <c r="AF1">
        <v>1996</v>
      </c>
      <c r="AG1">
        <v>1997</v>
      </c>
      <c r="AH1">
        <v>1998</v>
      </c>
      <c r="AI1">
        <v>1999</v>
      </c>
      <c r="AJ1">
        <v>2000</v>
      </c>
      <c r="AK1">
        <v>2001</v>
      </c>
      <c r="AL1">
        <v>2002</v>
      </c>
      <c r="AM1">
        <v>2003</v>
      </c>
      <c r="AN1">
        <v>2004</v>
      </c>
      <c r="AO1">
        <v>2005</v>
      </c>
      <c r="AP1">
        <v>2006</v>
      </c>
      <c r="AQ1">
        <v>2007</v>
      </c>
      <c r="AR1">
        <v>2008</v>
      </c>
      <c r="AS1">
        <v>2009</v>
      </c>
      <c r="AT1">
        <v>2010</v>
      </c>
      <c r="AU1">
        <v>2011</v>
      </c>
      <c r="AV1">
        <v>2012</v>
      </c>
      <c r="AW1">
        <v>2013</v>
      </c>
      <c r="AX1">
        <v>2014</v>
      </c>
      <c r="AY1">
        <v>2015</v>
      </c>
      <c r="AZ1">
        <v>2016</v>
      </c>
      <c r="BA1">
        <v>2017</v>
      </c>
      <c r="BB1">
        <v>2018</v>
      </c>
      <c r="BC1">
        <v>2019</v>
      </c>
      <c r="BD1">
        <v>2020</v>
      </c>
      <c r="BE1">
        <v>2021</v>
      </c>
      <c r="BF1">
        <v>2022</v>
      </c>
      <c r="BG1">
        <v>2023</v>
      </c>
      <c r="BH1">
        <v>2024</v>
      </c>
      <c r="BI1">
        <v>2025</v>
      </c>
    </row>
    <row r="2" spans="1:61" x14ac:dyDescent="0.25">
      <c r="A2" t="s">
        <v>457</v>
      </c>
      <c r="B2" s="9">
        <v>309</v>
      </c>
      <c r="C2" s="9">
        <v>795</v>
      </c>
      <c r="D2" s="9">
        <v>1265</v>
      </c>
      <c r="E2" s="9">
        <v>2093</v>
      </c>
      <c r="F2" s="9">
        <v>3611</v>
      </c>
      <c r="G2" s="9">
        <v>5265</v>
      </c>
      <c r="H2" s="9">
        <v>5873</v>
      </c>
      <c r="I2" s="9">
        <v>7695</v>
      </c>
      <c r="J2" s="9">
        <v>12157</v>
      </c>
      <c r="K2" s="9">
        <v>16856</v>
      </c>
      <c r="L2" s="9">
        <v>18090</v>
      </c>
      <c r="M2" s="9">
        <v>19959</v>
      </c>
      <c r="N2" s="9">
        <v>24103</v>
      </c>
      <c r="O2" s="2">
        <v>29470</v>
      </c>
      <c r="P2" s="2">
        <v>34077</v>
      </c>
      <c r="Q2" s="2">
        <v>34599</v>
      </c>
      <c r="R2" s="2">
        <v>38206</v>
      </c>
      <c r="S2" s="2">
        <v>45632</v>
      </c>
      <c r="T2" s="2">
        <v>56861</v>
      </c>
      <c r="U2" s="2">
        <v>68961</v>
      </c>
      <c r="V2" s="2">
        <v>79245</v>
      </c>
      <c r="W2" s="2">
        <v>103214</v>
      </c>
      <c r="X2" s="2">
        <v>112861</v>
      </c>
      <c r="Y2" s="2">
        <v>152410</v>
      </c>
      <c r="Z2" s="2">
        <v>180902</v>
      </c>
      <c r="AA2" s="2">
        <v>220787</v>
      </c>
      <c r="AB2" s="2">
        <v>242714</v>
      </c>
      <c r="AC2" s="2">
        <v>260405</v>
      </c>
      <c r="AD2" s="2">
        <v>336160</v>
      </c>
      <c r="AE2" s="2">
        <v>361220</v>
      </c>
      <c r="AF2" s="2">
        <v>410449</v>
      </c>
      <c r="AG2" s="2">
        <v>471843</v>
      </c>
      <c r="AH2" s="2">
        <v>462515</v>
      </c>
      <c r="AI2" s="2">
        <v>478502</v>
      </c>
      <c r="AJ2" s="2">
        <v>514762</v>
      </c>
      <c r="AK2" s="2">
        <v>567481</v>
      </c>
      <c r="AL2" s="2">
        <v>578406</v>
      </c>
      <c r="AM2" s="2">
        <v>639737</v>
      </c>
      <c r="AN2" s="2">
        <v>706718</v>
      </c>
      <c r="AO2" s="2">
        <v>816159</v>
      </c>
      <c r="AP2" s="2">
        <v>979638</v>
      </c>
      <c r="AQ2" s="2">
        <v>1136560</v>
      </c>
      <c r="AR2" s="2">
        <v>1202905</v>
      </c>
      <c r="AS2" s="2">
        <v>1123211</v>
      </c>
      <c r="AT2" s="2">
        <v>1207926</v>
      </c>
      <c r="AU2" s="2">
        <v>1359942</v>
      </c>
      <c r="AV2" s="2">
        <v>1534932</v>
      </c>
      <c r="AW2" s="2">
        <v>1716093</v>
      </c>
      <c r="AX2" s="2">
        <v>1908527</v>
      </c>
      <c r="AY2" s="2">
        <v>2108956</v>
      </c>
      <c r="AZ2" s="2">
        <v>2195914</v>
      </c>
      <c r="BA2" s="2">
        <v>2473132</v>
      </c>
      <c r="BB2" s="2">
        <v>2850184.13</v>
      </c>
      <c r="BC2" s="2">
        <v>3137498.35</v>
      </c>
      <c r="BD2" s="2">
        <v>2855958.83</v>
      </c>
      <c r="BE2" s="2">
        <v>3005538.52</v>
      </c>
      <c r="BF2" s="2">
        <v>3545504.68</v>
      </c>
      <c r="BG2" s="2">
        <v>3824105.06</v>
      </c>
      <c r="BH2" s="2">
        <v>4419023</v>
      </c>
      <c r="BI2" s="2">
        <v>4453432.0956638195</v>
      </c>
    </row>
    <row r="3" spans="1:61" x14ac:dyDescent="0.25">
      <c r="A3" t="s">
        <v>458</v>
      </c>
      <c r="B3" s="9">
        <v>269</v>
      </c>
      <c r="C3" s="9">
        <v>682</v>
      </c>
      <c r="D3" s="9">
        <v>997</v>
      </c>
      <c r="E3" s="9">
        <v>1754</v>
      </c>
      <c r="F3" s="9">
        <v>3228</v>
      </c>
      <c r="G3" s="9"/>
      <c r="H3" s="9">
        <v>4998</v>
      </c>
      <c r="I3" s="9">
        <v>6438</v>
      </c>
      <c r="J3" s="9">
        <v>10370</v>
      </c>
      <c r="K3" s="9">
        <v>13753</v>
      </c>
      <c r="L3" s="9">
        <v>15368</v>
      </c>
      <c r="M3" s="9">
        <v>16955</v>
      </c>
      <c r="N3" s="9">
        <v>20445</v>
      </c>
      <c r="O3" s="2">
        <v>25525</v>
      </c>
      <c r="P3" s="2">
        <v>28785</v>
      </c>
      <c r="Q3" s="2">
        <v>30062</v>
      </c>
      <c r="R3" s="2">
        <v>33800</v>
      </c>
      <c r="S3" s="2">
        <v>39848</v>
      </c>
      <c r="T3" s="2">
        <v>50118</v>
      </c>
      <c r="U3" s="2">
        <v>61253</v>
      </c>
      <c r="V3" s="2">
        <v>65491</v>
      </c>
      <c r="W3" s="2">
        <v>85923</v>
      </c>
      <c r="X3" s="2">
        <v>90352</v>
      </c>
      <c r="Y3" s="2">
        <v>122462</v>
      </c>
      <c r="Z3" s="2">
        <v>151700</v>
      </c>
      <c r="AA3" s="2">
        <v>182275</v>
      </c>
      <c r="AB3" s="2">
        <v>208705</v>
      </c>
      <c r="AC3" s="2">
        <v>230170</v>
      </c>
      <c r="AD3" s="2">
        <v>271305</v>
      </c>
      <c r="AE3" s="2">
        <v>310517</v>
      </c>
      <c r="AF3" s="2">
        <v>367894</v>
      </c>
      <c r="AG3" s="2">
        <v>412165</v>
      </c>
      <c r="AH3" s="2">
        <v>416585</v>
      </c>
      <c r="AI3" s="2">
        <v>431686</v>
      </c>
      <c r="AJ3" s="2">
        <v>460034</v>
      </c>
      <c r="AK3" s="2">
        <v>493608</v>
      </c>
      <c r="AL3" s="2">
        <v>507637</v>
      </c>
      <c r="AM3" s="2">
        <v>550468</v>
      </c>
      <c r="AN3" s="2">
        <v>604964</v>
      </c>
      <c r="AO3" s="2">
        <v>705615</v>
      </c>
      <c r="AP3" s="2">
        <v>859857</v>
      </c>
      <c r="AQ3" s="2">
        <v>932937</v>
      </c>
      <c r="AR3" s="2">
        <v>1049179</v>
      </c>
      <c r="AS3" s="2">
        <v>981631</v>
      </c>
      <c r="AT3" s="2">
        <v>1093643</v>
      </c>
      <c r="AU3" s="2">
        <v>1202066</v>
      </c>
      <c r="AV3" s="2">
        <v>1361081</v>
      </c>
      <c r="AW3" s="2">
        <v>1535698</v>
      </c>
      <c r="AX3" s="2">
        <v>1718986</v>
      </c>
      <c r="AY3" s="2">
        <v>1815475</v>
      </c>
      <c r="AZ3" s="2">
        <v>1980390</v>
      </c>
      <c r="BA3" s="2">
        <v>2250678</v>
      </c>
      <c r="BB3" s="2">
        <v>2565872</v>
      </c>
      <c r="BC3" s="2">
        <v>2827841</v>
      </c>
      <c r="BD3" s="2">
        <v>2504421</v>
      </c>
      <c r="BE3" s="2">
        <v>2742684</v>
      </c>
      <c r="BF3" s="2">
        <v>3220315</v>
      </c>
      <c r="BG3" s="2">
        <v>3429292</v>
      </c>
      <c r="BH3" s="2">
        <v>3800693</v>
      </c>
      <c r="BI3" s="2">
        <v>4077170.4756638198</v>
      </c>
    </row>
    <row r="4" spans="1:61" x14ac:dyDescent="0.25">
      <c r="A4" t="s">
        <v>462</v>
      </c>
      <c r="B4" s="9">
        <v>40</v>
      </c>
      <c r="C4" s="9">
        <v>113</v>
      </c>
      <c r="D4" s="9">
        <v>268</v>
      </c>
      <c r="E4" s="9">
        <v>339</v>
      </c>
      <c r="F4" s="9">
        <v>383</v>
      </c>
      <c r="G4" s="9"/>
      <c r="H4" s="9">
        <v>875</v>
      </c>
      <c r="I4" s="9">
        <v>1258</v>
      </c>
      <c r="J4" s="9">
        <v>1787</v>
      </c>
      <c r="K4" s="9">
        <v>3103</v>
      </c>
      <c r="L4" s="9">
        <v>2722</v>
      </c>
      <c r="M4" s="9">
        <v>3004</v>
      </c>
      <c r="N4" s="9">
        <v>3658</v>
      </c>
      <c r="O4" s="2">
        <v>3945</v>
      </c>
      <c r="P4" s="2">
        <v>5291</v>
      </c>
      <c r="Q4" s="2">
        <v>4538</v>
      </c>
      <c r="R4" s="2">
        <v>4406</v>
      </c>
      <c r="S4" s="2">
        <v>6793</v>
      </c>
      <c r="T4" s="2">
        <v>6743</v>
      </c>
      <c r="U4" s="2">
        <v>7708</v>
      </c>
      <c r="V4" s="2">
        <v>13555</v>
      </c>
      <c r="W4" s="2">
        <v>15898</v>
      </c>
      <c r="X4" s="2">
        <v>20734</v>
      </c>
      <c r="Y4" s="2">
        <v>28247</v>
      </c>
      <c r="Z4" s="2">
        <v>26822</v>
      </c>
      <c r="AA4" s="2">
        <v>35440</v>
      </c>
      <c r="AB4" s="2">
        <v>31865</v>
      </c>
      <c r="AC4" s="2">
        <v>28684</v>
      </c>
      <c r="AD4" s="2">
        <v>64123</v>
      </c>
      <c r="AE4" s="2">
        <v>49715</v>
      </c>
      <c r="AF4" s="2">
        <v>41986</v>
      </c>
      <c r="AG4" s="2">
        <v>57940</v>
      </c>
      <c r="AH4" s="2">
        <v>45534</v>
      </c>
      <c r="AI4" s="2">
        <v>46524</v>
      </c>
      <c r="AJ4" s="2">
        <v>53352</v>
      </c>
      <c r="AK4" s="2">
        <v>71882</v>
      </c>
      <c r="AL4" s="2">
        <v>69717</v>
      </c>
      <c r="AM4" s="2">
        <v>88071</v>
      </c>
      <c r="AN4" s="2">
        <v>101680</v>
      </c>
      <c r="AO4" s="2">
        <v>110456</v>
      </c>
      <c r="AP4" s="2">
        <v>119598</v>
      </c>
      <c r="AQ4" s="2">
        <v>203473</v>
      </c>
      <c r="AR4" s="2">
        <v>153601</v>
      </c>
      <c r="AS4" s="2">
        <v>141389</v>
      </c>
      <c r="AT4" s="2">
        <v>113877</v>
      </c>
      <c r="AU4" s="2">
        <v>157621</v>
      </c>
      <c r="AV4" s="2">
        <v>173752</v>
      </c>
      <c r="AW4" s="2">
        <v>180074</v>
      </c>
      <c r="AX4" s="2">
        <v>189308</v>
      </c>
      <c r="AY4" s="2">
        <v>293317</v>
      </c>
      <c r="AZ4" s="2">
        <v>215446</v>
      </c>
      <c r="BA4" s="2">
        <v>222415</v>
      </c>
      <c r="BB4" s="2">
        <v>284261.13</v>
      </c>
      <c r="BC4" s="2">
        <v>309398.34999999998</v>
      </c>
      <c r="BD4" s="2">
        <v>351297</v>
      </c>
      <c r="BE4" s="2">
        <v>262500.52</v>
      </c>
      <c r="BF4" s="2">
        <v>324081.68</v>
      </c>
      <c r="BG4" s="2">
        <v>394163.81</v>
      </c>
      <c r="BH4" s="2">
        <v>617864</v>
      </c>
      <c r="BI4" s="2">
        <v>376261.62</v>
      </c>
    </row>
    <row r="5" spans="1:61" x14ac:dyDescent="0.25">
      <c r="A5" t="s">
        <v>464</v>
      </c>
      <c r="B5" s="9">
        <v>463</v>
      </c>
      <c r="C5" s="9">
        <v>903</v>
      </c>
      <c r="D5" s="9">
        <v>1284</v>
      </c>
      <c r="E5" s="9">
        <v>2306</v>
      </c>
      <c r="F5" s="9">
        <v>4555</v>
      </c>
      <c r="G5" s="9">
        <v>4973</v>
      </c>
      <c r="H5" s="9">
        <v>6274</v>
      </c>
      <c r="I5" s="9">
        <v>8055</v>
      </c>
      <c r="J5" s="9">
        <v>11471</v>
      </c>
      <c r="K5" s="9">
        <v>18259</v>
      </c>
      <c r="L5" s="9">
        <v>20437</v>
      </c>
      <c r="M5" s="9">
        <v>22821</v>
      </c>
      <c r="N5" s="9">
        <v>26011</v>
      </c>
      <c r="O5" s="2">
        <v>29812</v>
      </c>
      <c r="P5" s="2">
        <v>37275</v>
      </c>
      <c r="Q5" s="2">
        <v>46745</v>
      </c>
      <c r="R5" s="2">
        <v>52610</v>
      </c>
      <c r="S5" s="2">
        <v>53065</v>
      </c>
      <c r="T5" s="2">
        <v>66926</v>
      </c>
      <c r="U5" s="2">
        <v>80102</v>
      </c>
      <c r="V5" s="2">
        <v>110497</v>
      </c>
      <c r="W5" s="2">
        <v>119907</v>
      </c>
      <c r="X5" s="2">
        <v>136067</v>
      </c>
      <c r="Y5" s="2">
        <v>171978</v>
      </c>
      <c r="Z5" s="2">
        <v>218096</v>
      </c>
      <c r="AA5" s="2">
        <v>247136</v>
      </c>
      <c r="AB5" s="2">
        <v>258680</v>
      </c>
      <c r="AC5" s="2">
        <v>282296</v>
      </c>
      <c r="AD5" s="2">
        <v>319874</v>
      </c>
      <c r="AE5" s="2">
        <v>350146</v>
      </c>
      <c r="AF5" s="2">
        <v>404193</v>
      </c>
      <c r="AG5" s="2">
        <v>470279</v>
      </c>
      <c r="AH5" s="2">
        <v>512496</v>
      </c>
      <c r="AI5" s="2">
        <v>590160</v>
      </c>
      <c r="AJ5" s="2">
        <v>648974</v>
      </c>
      <c r="AK5" s="2">
        <v>714504</v>
      </c>
      <c r="AL5" s="2">
        <v>789147</v>
      </c>
      <c r="AM5" s="2">
        <v>839605</v>
      </c>
      <c r="AN5" s="2">
        <v>893775</v>
      </c>
      <c r="AO5" s="2">
        <v>962937</v>
      </c>
      <c r="AP5" s="2">
        <v>1044429</v>
      </c>
      <c r="AQ5" s="2">
        <v>1149001</v>
      </c>
      <c r="AR5" s="2">
        <v>1271022</v>
      </c>
      <c r="AS5" s="2">
        <v>1421743</v>
      </c>
      <c r="AT5" s="2">
        <v>1522384</v>
      </c>
      <c r="AU5" s="2">
        <v>1557696</v>
      </c>
      <c r="AV5" s="2">
        <v>1777758.612</v>
      </c>
      <c r="AW5" s="2">
        <v>1880155</v>
      </c>
      <c r="AX5" s="2">
        <v>1981619</v>
      </c>
      <c r="AY5" s="2">
        <v>2230645</v>
      </c>
      <c r="AZ5" s="2">
        <v>2549336.3229999999</v>
      </c>
      <c r="BA5" s="2">
        <v>2823769.2729999996</v>
      </c>
      <c r="BB5" s="2">
        <v>3408443</v>
      </c>
      <c r="BC5" s="2">
        <v>3797734</v>
      </c>
      <c r="BD5" s="2">
        <v>4227406.17</v>
      </c>
      <c r="BE5" s="2">
        <v>4675638.54</v>
      </c>
      <c r="BF5" s="2">
        <v>5159640</v>
      </c>
      <c r="BG5" s="2">
        <v>5336191</v>
      </c>
      <c r="BH5" s="2">
        <v>5925381</v>
      </c>
      <c r="BI5" s="2">
        <v>6030274</v>
      </c>
    </row>
    <row r="6" spans="1:61" x14ac:dyDescent="0.25">
      <c r="A6" s="8" t="s">
        <v>466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">
        <v>1841</v>
      </c>
      <c r="P6" s="2">
        <v>2296</v>
      </c>
      <c r="Q6" s="2">
        <v>2429</v>
      </c>
      <c r="R6" s="2">
        <v>3560</v>
      </c>
      <c r="S6" s="2">
        <v>4997</v>
      </c>
      <c r="T6" s="2">
        <v>10409</v>
      </c>
      <c r="U6" s="2">
        <v>14652</v>
      </c>
      <c r="V6" s="2">
        <v>21612</v>
      </c>
      <c r="W6" s="2">
        <v>36905</v>
      </c>
      <c r="X6" s="2">
        <v>45865</v>
      </c>
      <c r="Y6" s="2">
        <v>54714</v>
      </c>
      <c r="Z6" s="2">
        <v>71114</v>
      </c>
      <c r="AA6" s="2">
        <v>74922</v>
      </c>
      <c r="AB6" s="2">
        <v>79571</v>
      </c>
      <c r="AC6" s="2">
        <v>76491</v>
      </c>
      <c r="AD6" s="2">
        <v>79123</v>
      </c>
      <c r="AE6" s="2">
        <v>72658</v>
      </c>
      <c r="AF6" s="2">
        <v>76522</v>
      </c>
      <c r="AG6" s="2">
        <v>77971</v>
      </c>
      <c r="AH6" s="2">
        <v>99792</v>
      </c>
      <c r="AI6" s="2">
        <v>106290</v>
      </c>
      <c r="AJ6" s="2">
        <v>140894</v>
      </c>
      <c r="AK6" s="2">
        <v>174834</v>
      </c>
      <c r="AL6" s="2">
        <v>185861</v>
      </c>
      <c r="AM6" s="2">
        <v>226408</v>
      </c>
      <c r="AN6" s="2">
        <v>260901</v>
      </c>
      <c r="AO6" s="2">
        <v>299807</v>
      </c>
      <c r="AP6" s="2">
        <v>310108</v>
      </c>
      <c r="AQ6" s="2">
        <v>267800</v>
      </c>
      <c r="AR6" s="2">
        <v>272218</v>
      </c>
      <c r="AS6" s="2">
        <v>278866</v>
      </c>
      <c r="AT6" s="2">
        <v>294244</v>
      </c>
      <c r="AU6" s="2">
        <v>278996</v>
      </c>
      <c r="AV6" s="2">
        <v>312799</v>
      </c>
      <c r="AW6" s="2">
        <v>323434</v>
      </c>
      <c r="AX6" s="2">
        <v>321185</v>
      </c>
      <c r="AY6" s="2">
        <v>309364</v>
      </c>
      <c r="AZ6" s="2">
        <v>304454</v>
      </c>
      <c r="BA6" s="2">
        <v>310541</v>
      </c>
      <c r="BB6" s="2">
        <v>349215</v>
      </c>
      <c r="BC6" s="2">
        <v>360874</v>
      </c>
      <c r="BD6" s="2">
        <v>380412</v>
      </c>
      <c r="BE6" s="2">
        <v>429432</v>
      </c>
      <c r="BF6" s="2">
        <v>502858</v>
      </c>
      <c r="BG6" s="2">
        <v>628333</v>
      </c>
      <c r="BH6" s="2">
        <v>763313</v>
      </c>
      <c r="BI6" s="2">
        <v>864139</v>
      </c>
    </row>
    <row r="7" spans="1:61" x14ac:dyDescent="0.25">
      <c r="A7" t="s">
        <v>468</v>
      </c>
      <c r="B7" s="9">
        <v>-154</v>
      </c>
      <c r="C7" s="9">
        <v>-108</v>
      </c>
      <c r="D7" s="9">
        <v>-19</v>
      </c>
      <c r="E7" s="9">
        <v>-213</v>
      </c>
      <c r="F7" s="9">
        <v>-944</v>
      </c>
      <c r="G7" s="9">
        <v>292</v>
      </c>
      <c r="H7" s="9">
        <v>-401</v>
      </c>
      <c r="I7" s="9">
        <v>-360</v>
      </c>
      <c r="J7" s="9">
        <v>686</v>
      </c>
      <c r="K7" s="9">
        <v>-1403</v>
      </c>
      <c r="L7" s="9">
        <v>-2347</v>
      </c>
      <c r="M7" s="9">
        <v>-2862</v>
      </c>
      <c r="N7" s="9">
        <v>-1908</v>
      </c>
      <c r="O7" s="2">
        <v>-342</v>
      </c>
      <c r="P7" s="2">
        <v>-3198</v>
      </c>
      <c r="Q7" s="2">
        <v>-12146</v>
      </c>
      <c r="R7" s="2">
        <v>-14404</v>
      </c>
      <c r="S7" s="2">
        <v>-7433</v>
      </c>
      <c r="T7" s="2">
        <v>-10065</v>
      </c>
      <c r="U7" s="2">
        <v>-11141</v>
      </c>
      <c r="V7" s="2">
        <v>-31252</v>
      </c>
      <c r="W7" s="2">
        <v>-16693</v>
      </c>
      <c r="X7" s="2">
        <v>-23206</v>
      </c>
      <c r="Y7" s="2">
        <v>-19568</v>
      </c>
      <c r="Z7" s="2">
        <v>-37194</v>
      </c>
      <c r="AA7" s="2">
        <v>-26349</v>
      </c>
      <c r="AB7" s="2">
        <v>-15966</v>
      </c>
      <c r="AC7" s="2">
        <v>-21891</v>
      </c>
      <c r="AD7" s="2">
        <v>16286</v>
      </c>
      <c r="AE7" s="2">
        <v>11074</v>
      </c>
      <c r="AF7" s="2">
        <v>6256</v>
      </c>
      <c r="AG7" s="2">
        <v>1564</v>
      </c>
      <c r="AH7" s="2">
        <v>-49981</v>
      </c>
      <c r="AI7" s="2">
        <v>-111658</v>
      </c>
      <c r="AJ7" s="2">
        <v>-134212</v>
      </c>
      <c r="AK7" s="2">
        <v>-147023</v>
      </c>
      <c r="AL7" s="2">
        <v>-210741</v>
      </c>
      <c r="AM7" s="2">
        <v>-199868</v>
      </c>
      <c r="AN7" s="2">
        <v>-187057</v>
      </c>
      <c r="AO7" s="2">
        <v>-146778</v>
      </c>
      <c r="AP7" s="2">
        <v>-64791</v>
      </c>
      <c r="AQ7" s="2">
        <v>-12441</v>
      </c>
      <c r="AR7" s="2">
        <v>-68117</v>
      </c>
      <c r="AS7" s="2">
        <v>-298532</v>
      </c>
      <c r="AT7" s="2">
        <v>-314458</v>
      </c>
      <c r="AU7" s="2">
        <v>-197754</v>
      </c>
      <c r="AV7" s="2">
        <v>-242826.61200000002</v>
      </c>
      <c r="AW7" s="2">
        <v>-164062</v>
      </c>
      <c r="AX7" s="2">
        <v>-73092</v>
      </c>
      <c r="AY7" s="2">
        <v>-121689</v>
      </c>
      <c r="AZ7" s="2">
        <v>-353422.32299999997</v>
      </c>
      <c r="BA7" s="2">
        <v>-350637.27300000004</v>
      </c>
      <c r="BB7" s="2">
        <v>-558258.87</v>
      </c>
      <c r="BC7" s="2">
        <v>-660235.65</v>
      </c>
      <c r="BD7" s="2">
        <v>-1371447.3399999999</v>
      </c>
      <c r="BE7" s="2">
        <v>-1670100.02</v>
      </c>
      <c r="BF7" s="2">
        <v>-1614135.3199999998</v>
      </c>
      <c r="BG7" s="2">
        <v>-1512085.94</v>
      </c>
      <c r="BH7" s="2">
        <v>-1506358</v>
      </c>
      <c r="BI7" s="2">
        <v>-1576841.9043361805</v>
      </c>
    </row>
    <row r="8" spans="1:61" x14ac:dyDescent="0.25">
      <c r="A8" s="10" t="s">
        <v>533</v>
      </c>
      <c r="O8" s="2">
        <f>O7+O6</f>
        <v>1499</v>
      </c>
      <c r="P8" s="2">
        <f t="shared" ref="P8:BH8" si="0">P7+P6</f>
        <v>-902</v>
      </c>
      <c r="Q8" s="2">
        <f t="shared" si="0"/>
        <v>-9717</v>
      </c>
      <c r="R8" s="2">
        <f t="shared" si="0"/>
        <v>-10844</v>
      </c>
      <c r="S8" s="2">
        <f t="shared" si="0"/>
        <v>-2436</v>
      </c>
      <c r="T8" s="2">
        <f t="shared" si="0"/>
        <v>344</v>
      </c>
      <c r="U8" s="2">
        <f t="shared" si="0"/>
        <v>3511</v>
      </c>
      <c r="V8" s="2">
        <f t="shared" si="0"/>
        <v>-9640</v>
      </c>
      <c r="W8" s="2">
        <f t="shared" si="0"/>
        <v>20212</v>
      </c>
      <c r="X8" s="2">
        <f t="shared" si="0"/>
        <v>22659</v>
      </c>
      <c r="Y8" s="2">
        <f t="shared" si="0"/>
        <v>35146</v>
      </c>
      <c r="Z8" s="2">
        <f t="shared" si="0"/>
        <v>33920</v>
      </c>
      <c r="AA8" s="2">
        <f t="shared" si="0"/>
        <v>48573</v>
      </c>
      <c r="AB8" s="2">
        <f t="shared" si="0"/>
        <v>63605</v>
      </c>
      <c r="AC8" s="2">
        <f t="shared" si="0"/>
        <v>54600</v>
      </c>
      <c r="AD8" s="2">
        <f t="shared" si="0"/>
        <v>95409</v>
      </c>
      <c r="AE8" s="2">
        <f t="shared" si="0"/>
        <v>83732</v>
      </c>
      <c r="AF8" s="2">
        <f t="shared" si="0"/>
        <v>82778</v>
      </c>
      <c r="AG8" s="2">
        <f t="shared" si="0"/>
        <v>79535</v>
      </c>
      <c r="AH8" s="2">
        <f t="shared" si="0"/>
        <v>49811</v>
      </c>
      <c r="AI8" s="2">
        <f t="shared" si="0"/>
        <v>-5368</v>
      </c>
      <c r="AJ8" s="2">
        <f t="shared" si="0"/>
        <v>6682</v>
      </c>
      <c r="AK8" s="2">
        <f t="shared" si="0"/>
        <v>27811</v>
      </c>
      <c r="AL8" s="2">
        <f t="shared" si="0"/>
        <v>-24880</v>
      </c>
      <c r="AM8" s="2">
        <f t="shared" si="0"/>
        <v>26540</v>
      </c>
      <c r="AN8" s="2">
        <f t="shared" si="0"/>
        <v>73844</v>
      </c>
      <c r="AO8" s="2">
        <f t="shared" si="0"/>
        <v>153029</v>
      </c>
      <c r="AP8" s="2">
        <f t="shared" si="0"/>
        <v>245317</v>
      </c>
      <c r="AQ8" s="2">
        <f t="shared" si="0"/>
        <v>255359</v>
      </c>
      <c r="AR8" s="2">
        <f t="shared" si="0"/>
        <v>204101</v>
      </c>
      <c r="AS8" s="2">
        <f t="shared" si="0"/>
        <v>-19666</v>
      </c>
      <c r="AT8" s="2">
        <f t="shared" si="0"/>
        <v>-20214</v>
      </c>
      <c r="AU8" s="2">
        <f t="shared" si="0"/>
        <v>81242</v>
      </c>
      <c r="AV8" s="2">
        <f t="shared" si="0"/>
        <v>69972.387999999977</v>
      </c>
      <c r="AW8" s="2">
        <f t="shared" si="0"/>
        <v>159372</v>
      </c>
      <c r="AX8" s="2">
        <f t="shared" si="0"/>
        <v>248093</v>
      </c>
      <c r="AY8" s="2">
        <f t="shared" si="0"/>
        <v>187675</v>
      </c>
      <c r="AZ8" s="2">
        <f t="shared" si="0"/>
        <v>-48968.322999999975</v>
      </c>
      <c r="BA8" s="2">
        <f t="shared" si="0"/>
        <v>-40096.273000000045</v>
      </c>
      <c r="BB8" s="2">
        <f t="shared" si="0"/>
        <v>-209043.87</v>
      </c>
      <c r="BC8" s="2">
        <f t="shared" si="0"/>
        <v>-299361.65000000002</v>
      </c>
      <c r="BD8" s="2">
        <f t="shared" si="0"/>
        <v>-991035.33999999985</v>
      </c>
      <c r="BE8" s="2">
        <f t="shared" si="0"/>
        <v>-1240668.02</v>
      </c>
      <c r="BF8" s="2">
        <f t="shared" si="0"/>
        <v>-1111277.3199999998</v>
      </c>
      <c r="BG8" s="2">
        <f t="shared" si="0"/>
        <v>-883752.94</v>
      </c>
      <c r="BH8" s="2">
        <f t="shared" si="0"/>
        <v>-743045</v>
      </c>
      <c r="BI8" s="2">
        <f t="shared" ref="BI8" si="1">BI7+BI6</f>
        <v>-712702.90433618054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5222-E6F5-4037-9D06-FF5A6DA63AFD}">
  <dimension ref="A1:X16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L12" sqref="L12"/>
    </sheetView>
  </sheetViews>
  <sheetFormatPr defaultRowHeight="15" x14ac:dyDescent="0.25"/>
  <cols>
    <col min="1" max="1" width="17.7109375" customWidth="1"/>
    <col min="2" max="23" width="9.28515625" customWidth="1"/>
  </cols>
  <sheetData>
    <row r="1" spans="1:24" x14ac:dyDescent="0.25">
      <c r="A1" t="s">
        <v>0</v>
      </c>
      <c r="B1">
        <v>1965</v>
      </c>
      <c r="C1">
        <v>1966</v>
      </c>
      <c r="D1">
        <v>1967</v>
      </c>
      <c r="E1">
        <v>1968</v>
      </c>
      <c r="F1">
        <v>1969</v>
      </c>
      <c r="G1">
        <v>1970</v>
      </c>
      <c r="H1">
        <v>1971</v>
      </c>
      <c r="I1">
        <v>1972</v>
      </c>
      <c r="J1">
        <v>1973</v>
      </c>
      <c r="K1">
        <v>1974</v>
      </c>
      <c r="L1">
        <v>1975</v>
      </c>
      <c r="M1">
        <v>1976</v>
      </c>
      <c r="N1">
        <v>1977</v>
      </c>
      <c r="O1">
        <v>1978</v>
      </c>
      <c r="P1">
        <v>1979</v>
      </c>
      <c r="Q1">
        <v>1980</v>
      </c>
      <c r="R1">
        <v>1981</v>
      </c>
      <c r="S1">
        <v>1982</v>
      </c>
      <c r="T1">
        <v>1983</v>
      </c>
      <c r="U1">
        <v>1984</v>
      </c>
      <c r="V1">
        <v>1985</v>
      </c>
      <c r="W1">
        <v>1986</v>
      </c>
    </row>
    <row r="2" spans="1:24" x14ac:dyDescent="0.25">
      <c r="A2" t="s">
        <v>457</v>
      </c>
      <c r="B2" s="2"/>
      <c r="C2" s="2">
        <v>1552.2</v>
      </c>
      <c r="D2" s="2">
        <v>1928.5</v>
      </c>
      <c r="E2" s="2">
        <v>2105.1</v>
      </c>
      <c r="F2" s="2">
        <v>2364.6</v>
      </c>
      <c r="G2" s="2"/>
      <c r="H2" s="2"/>
      <c r="I2" s="2"/>
      <c r="J2" s="2"/>
      <c r="K2" s="2"/>
      <c r="L2" s="2">
        <v>16784</v>
      </c>
      <c r="M2" s="2">
        <v>18159</v>
      </c>
      <c r="N2" s="2">
        <v>18605</v>
      </c>
      <c r="O2" s="2">
        <v>24103</v>
      </c>
      <c r="P2" s="2">
        <v>29470</v>
      </c>
      <c r="Q2" s="2">
        <v>34077</v>
      </c>
      <c r="R2" s="2">
        <v>34600</v>
      </c>
      <c r="S2" s="2">
        <v>38306</v>
      </c>
      <c r="T2" s="2">
        <v>46641</v>
      </c>
      <c r="U2" s="2">
        <v>59861</v>
      </c>
      <c r="V2" s="2">
        <v>67958</v>
      </c>
      <c r="W2" s="2">
        <v>79245</v>
      </c>
    </row>
    <row r="3" spans="1:24" x14ac:dyDescent="0.25">
      <c r="A3" t="s">
        <v>458</v>
      </c>
      <c r="B3" s="11">
        <v>1524</v>
      </c>
      <c r="C3" s="2">
        <v>1413.9</v>
      </c>
      <c r="D3" s="2">
        <v>1705.5</v>
      </c>
      <c r="E3" s="2">
        <v>1885.06</v>
      </c>
      <c r="F3" s="2">
        <v>2167.1</v>
      </c>
      <c r="G3" s="11">
        <v>2726</v>
      </c>
      <c r="H3" s="11">
        <v>3825</v>
      </c>
      <c r="I3" s="11">
        <v>4387</v>
      </c>
      <c r="J3" s="11">
        <v>6239</v>
      </c>
      <c r="K3" s="11">
        <v>10094</v>
      </c>
      <c r="L3" s="2">
        <v>13723</v>
      </c>
      <c r="M3" s="2">
        <v>15788</v>
      </c>
      <c r="N3" s="2">
        <v>17024</v>
      </c>
      <c r="O3" s="2">
        <v>20445</v>
      </c>
      <c r="P3" s="2">
        <v>25525</v>
      </c>
      <c r="Q3" s="2">
        <v>28833</v>
      </c>
      <c r="R3" s="2">
        <v>30062</v>
      </c>
      <c r="S3" s="2">
        <v>33900</v>
      </c>
      <c r="T3" s="2">
        <v>39848</v>
      </c>
      <c r="U3" s="2">
        <v>50118</v>
      </c>
      <c r="V3" s="2">
        <v>60253</v>
      </c>
      <c r="W3" s="2">
        <v>65491</v>
      </c>
    </row>
    <row r="4" spans="1:24" x14ac:dyDescent="0.25">
      <c r="A4" t="s">
        <v>462</v>
      </c>
      <c r="B4" s="2"/>
      <c r="C4" s="2">
        <f>120.5+18.3</f>
        <v>138.80000000000001</v>
      </c>
      <c r="D4" s="2">
        <f>221.8+1.1</f>
        <v>222.9</v>
      </c>
      <c r="E4" s="2">
        <v>218</v>
      </c>
      <c r="F4" s="2">
        <v>196</v>
      </c>
      <c r="G4" s="2"/>
      <c r="H4" s="2"/>
      <c r="I4" s="2"/>
      <c r="J4" s="2"/>
      <c r="K4" s="2"/>
      <c r="L4" s="2">
        <v>3061</v>
      </c>
      <c r="M4" s="2">
        <v>2371</v>
      </c>
      <c r="N4" s="2">
        <v>1581</v>
      </c>
      <c r="O4" s="2">
        <v>3658</v>
      </c>
      <c r="P4" s="2">
        <v>3945</v>
      </c>
      <c r="Q4" s="2">
        <v>5244</v>
      </c>
      <c r="R4" s="2">
        <v>4538</v>
      </c>
      <c r="S4" s="2">
        <v>4406</v>
      </c>
      <c r="T4" s="2">
        <v>6793</v>
      </c>
      <c r="U4" s="2">
        <v>6743</v>
      </c>
      <c r="V4" s="2">
        <v>7705</v>
      </c>
      <c r="W4" s="2">
        <v>13754</v>
      </c>
    </row>
    <row r="5" spans="1:24" x14ac:dyDescent="0.25">
      <c r="A5" t="s">
        <v>464</v>
      </c>
      <c r="B5" s="2">
        <v>2077.3000000000002</v>
      </c>
      <c r="C5" s="2">
        <v>1893.5</v>
      </c>
      <c r="D5" s="2">
        <v>2043.2</v>
      </c>
      <c r="E5" s="2">
        <v>2332.1799999999998</v>
      </c>
      <c r="F5" s="2">
        <v>3019.2</v>
      </c>
      <c r="G5" s="2">
        <v>4053.5</v>
      </c>
      <c r="H5" s="2">
        <v>4429</v>
      </c>
      <c r="I5" s="2">
        <v>5588.2</v>
      </c>
      <c r="J5" s="2">
        <v>8574.2000000000007</v>
      </c>
      <c r="K5" s="2">
        <v>13024.7</v>
      </c>
      <c r="L5" s="2">
        <v>19049</v>
      </c>
      <c r="M5" s="2">
        <v>22418.1</v>
      </c>
      <c r="N5" s="2">
        <v>22596.3</v>
      </c>
      <c r="O5" s="2">
        <v>28066</v>
      </c>
      <c r="P5" s="2">
        <v>34154</v>
      </c>
      <c r="Q5" s="2">
        <v>38079</v>
      </c>
      <c r="R5" s="2">
        <v>49083</v>
      </c>
      <c r="S5" s="2">
        <v>51142</v>
      </c>
      <c r="T5" s="2">
        <v>55811</v>
      </c>
      <c r="U5" s="2">
        <v>68625</v>
      </c>
      <c r="V5" s="2">
        <v>87390</v>
      </c>
      <c r="W5" s="2">
        <v>114505</v>
      </c>
    </row>
    <row r="6" spans="1:24" x14ac:dyDescent="0.25">
      <c r="A6" s="8" t="s">
        <v>466</v>
      </c>
      <c r="B6" s="2">
        <v>56.7</v>
      </c>
      <c r="C6" s="2"/>
      <c r="D6" s="2"/>
      <c r="E6" s="2"/>
      <c r="F6" s="2"/>
      <c r="G6" s="2">
        <v>148.80000000000001</v>
      </c>
      <c r="H6" s="2">
        <v>212.8</v>
      </c>
      <c r="I6" s="2">
        <v>327.9</v>
      </c>
      <c r="J6" s="2">
        <v>295.3</v>
      </c>
      <c r="K6" s="2">
        <v>376.6</v>
      </c>
      <c r="L6" s="2"/>
      <c r="M6" s="2">
        <v>745.6</v>
      </c>
      <c r="N6" s="2">
        <v>819.2</v>
      </c>
      <c r="O6" s="2">
        <v>1136</v>
      </c>
      <c r="P6" s="2">
        <v>1841</v>
      </c>
      <c r="Q6" s="2">
        <v>2296</v>
      </c>
      <c r="R6" s="2">
        <v>2429</v>
      </c>
      <c r="S6" s="2">
        <v>3560</v>
      </c>
      <c r="T6" s="2">
        <v>4997</v>
      </c>
      <c r="U6" s="2">
        <v>10409</v>
      </c>
      <c r="V6" s="2">
        <v>14652</v>
      </c>
      <c r="W6" s="2">
        <v>21612</v>
      </c>
    </row>
    <row r="7" spans="1:24" x14ac:dyDescent="0.25">
      <c r="A7" t="s">
        <v>468</v>
      </c>
      <c r="B7" s="2"/>
      <c r="C7" s="2">
        <f t="shared" ref="C7:F7" si="0">C2-C5</f>
        <v>-341.29999999999995</v>
      </c>
      <c r="D7" s="2">
        <f t="shared" si="0"/>
        <v>-114.70000000000005</v>
      </c>
      <c r="E7" s="2">
        <f t="shared" si="0"/>
        <v>-227.07999999999993</v>
      </c>
      <c r="F7" s="2">
        <f t="shared" si="0"/>
        <v>-654.59999999999991</v>
      </c>
      <c r="G7" s="2"/>
      <c r="H7" s="2"/>
      <c r="I7" s="2"/>
      <c r="J7" s="2"/>
      <c r="K7" s="2"/>
      <c r="L7" s="2">
        <f t="shared" ref="L7:N7" si="1">L2-L5</f>
        <v>-2265</v>
      </c>
      <c r="M7" s="2">
        <f t="shared" si="1"/>
        <v>-4259.0999999999985</v>
      </c>
      <c r="N7" s="2">
        <f t="shared" si="1"/>
        <v>-3991.2999999999993</v>
      </c>
      <c r="O7" s="2">
        <f>O2-O5</f>
        <v>-3963</v>
      </c>
      <c r="P7" s="2">
        <f t="shared" ref="P7:W7" si="2">P2-P5</f>
        <v>-4684</v>
      </c>
      <c r="Q7" s="2">
        <f t="shared" si="2"/>
        <v>-4002</v>
      </c>
      <c r="R7" s="2">
        <f t="shared" si="2"/>
        <v>-14483</v>
      </c>
      <c r="S7" s="2">
        <f t="shared" si="2"/>
        <v>-12836</v>
      </c>
      <c r="T7" s="2">
        <f t="shared" si="2"/>
        <v>-9170</v>
      </c>
      <c r="U7" s="2">
        <f t="shared" si="2"/>
        <v>-8764</v>
      </c>
      <c r="V7" s="2">
        <f t="shared" si="2"/>
        <v>-19432</v>
      </c>
      <c r="W7" s="2">
        <f t="shared" si="2"/>
        <v>-35260</v>
      </c>
    </row>
    <row r="8" spans="1:24" x14ac:dyDescent="0.25">
      <c r="A8" s="10" t="s">
        <v>533</v>
      </c>
      <c r="B8" s="2"/>
      <c r="C8" s="2"/>
      <c r="D8" s="2"/>
      <c r="E8" s="2"/>
      <c r="F8" s="2"/>
      <c r="G8" s="2"/>
      <c r="H8" s="2"/>
      <c r="I8" s="2"/>
      <c r="J8" s="2"/>
      <c r="K8" s="2"/>
      <c r="L8" s="2">
        <f t="shared" ref="L8:V8" si="3">L7+L6</f>
        <v>-2265</v>
      </c>
      <c r="M8" s="2">
        <f t="shared" si="3"/>
        <v>-3513.4999999999986</v>
      </c>
      <c r="N8" s="2">
        <f t="shared" si="3"/>
        <v>-3172.0999999999995</v>
      </c>
      <c r="O8" s="2">
        <f t="shared" si="3"/>
        <v>-2827</v>
      </c>
      <c r="P8" s="2">
        <f t="shared" si="3"/>
        <v>-2843</v>
      </c>
      <c r="Q8" s="2">
        <f t="shared" si="3"/>
        <v>-1706</v>
      </c>
      <c r="R8" s="2">
        <f t="shared" si="3"/>
        <v>-12054</v>
      </c>
      <c r="S8" s="2">
        <f t="shared" si="3"/>
        <v>-9276</v>
      </c>
      <c r="T8" s="2">
        <f t="shared" si="3"/>
        <v>-4173</v>
      </c>
      <c r="U8" s="2">
        <f t="shared" si="3"/>
        <v>1645</v>
      </c>
      <c r="V8" s="2">
        <f t="shared" si="3"/>
        <v>-4780</v>
      </c>
      <c r="W8" s="2">
        <f>W7+W6</f>
        <v>-13648</v>
      </c>
    </row>
    <row r="10" spans="1:24" x14ac:dyDescent="0.25">
      <c r="B10" s="10" t="s">
        <v>537</v>
      </c>
      <c r="G10" s="10" t="s">
        <v>536</v>
      </c>
      <c r="L10" s="10" t="s">
        <v>535</v>
      </c>
      <c r="O10" s="10" t="s">
        <v>534</v>
      </c>
    </row>
    <row r="13" spans="1:24" x14ac:dyDescent="0.25">
      <c r="X13" s="2"/>
    </row>
    <row r="14" spans="1:24" x14ac:dyDescent="0.25">
      <c r="A14" s="8"/>
    </row>
    <row r="16" spans="1:24" x14ac:dyDescent="0.25">
      <c r="A16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CE54-8573-4B6F-A9C3-5B4E9249FD2A}">
  <dimension ref="A1:W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1" sqref="I11"/>
    </sheetView>
  </sheetViews>
  <sheetFormatPr defaultRowHeight="15" x14ac:dyDescent="0.25"/>
  <cols>
    <col min="1" max="1" width="17.7109375" customWidth="1"/>
    <col min="2" max="23" width="9.28515625" customWidth="1"/>
  </cols>
  <sheetData>
    <row r="1" spans="1:23" x14ac:dyDescent="0.25">
      <c r="A1" t="s">
        <v>0</v>
      </c>
      <c r="B1">
        <v>1965</v>
      </c>
      <c r="C1">
        <v>1966</v>
      </c>
      <c r="D1">
        <v>1967</v>
      </c>
      <c r="E1">
        <v>1968</v>
      </c>
      <c r="F1">
        <v>1969</v>
      </c>
      <c r="G1">
        <v>1970</v>
      </c>
      <c r="H1">
        <v>1971</v>
      </c>
      <c r="I1">
        <v>1972</v>
      </c>
      <c r="J1">
        <v>1973</v>
      </c>
      <c r="K1">
        <v>1974</v>
      </c>
      <c r="L1">
        <v>1975</v>
      </c>
      <c r="M1">
        <v>1976</v>
      </c>
      <c r="N1">
        <v>1977</v>
      </c>
      <c r="O1">
        <v>1978</v>
      </c>
      <c r="P1">
        <v>1979</v>
      </c>
      <c r="Q1">
        <v>1980</v>
      </c>
      <c r="R1">
        <v>1981</v>
      </c>
      <c r="S1">
        <v>1982</v>
      </c>
      <c r="T1">
        <v>1983</v>
      </c>
      <c r="U1">
        <v>1984</v>
      </c>
      <c r="V1">
        <v>1985</v>
      </c>
      <c r="W1">
        <v>1986</v>
      </c>
    </row>
    <row r="2" spans="1:23" x14ac:dyDescent="0.25">
      <c r="A2" t="s">
        <v>457</v>
      </c>
      <c r="B2" s="2">
        <v>1863.7</v>
      </c>
      <c r="C2" s="2">
        <v>1867.5</v>
      </c>
      <c r="D2" s="2">
        <v>2339.5</v>
      </c>
      <c r="E2" s="2">
        <v>2553.1</v>
      </c>
      <c r="F2" s="2">
        <v>2862.3</v>
      </c>
      <c r="G2" s="2">
        <v>3109.9</v>
      </c>
      <c r="H2" s="2">
        <v>4296.8</v>
      </c>
      <c r="I2" s="12">
        <f>H2*(I3/H3)</f>
        <v>4922.5867913195616</v>
      </c>
      <c r="J2" s="2">
        <f>K2-6628</f>
        <v>11094</v>
      </c>
      <c r="K2" s="2">
        <v>17722</v>
      </c>
      <c r="L2" s="2">
        <f>10691.2+10734.5</f>
        <v>21425.7</v>
      </c>
      <c r="M2" s="2">
        <v>21027</v>
      </c>
      <c r="N2" s="2">
        <v>24802</v>
      </c>
      <c r="O2" s="2">
        <v>29804.5</v>
      </c>
      <c r="P2" s="2">
        <v>35258.699999999997</v>
      </c>
      <c r="Q2" s="2">
        <v>45816.2</v>
      </c>
      <c r="R2" s="2">
        <v>35933</v>
      </c>
      <c r="S2" s="2">
        <v>38205</v>
      </c>
      <c r="T2" s="2">
        <v>46641</v>
      </c>
      <c r="U2" s="2">
        <v>57927</v>
      </c>
      <c r="V2" s="2">
        <v>68961</v>
      </c>
      <c r="W2" s="2">
        <v>79245</v>
      </c>
    </row>
    <row r="3" spans="1:23" x14ac:dyDescent="0.25">
      <c r="A3" t="s">
        <v>458</v>
      </c>
      <c r="B3" s="2">
        <v>1523.7</v>
      </c>
      <c r="C3" s="2">
        <v>1559.7</v>
      </c>
      <c r="D3" s="2">
        <v>1915.2</v>
      </c>
      <c r="E3" s="2">
        <v>2156.5</v>
      </c>
      <c r="F3" s="2">
        <v>2475.1</v>
      </c>
      <c r="G3" s="2">
        <v>2725.1</v>
      </c>
      <c r="H3" s="2">
        <v>3829.3</v>
      </c>
      <c r="I3" s="12">
        <f>annual_psy!I3</f>
        <v>4387</v>
      </c>
      <c r="J3" s="2"/>
      <c r="K3" s="2"/>
      <c r="L3" s="2"/>
      <c r="M3" s="2"/>
      <c r="N3" s="2"/>
      <c r="O3" s="2"/>
      <c r="P3" s="2"/>
      <c r="Q3" s="2"/>
      <c r="R3" s="2">
        <v>31423</v>
      </c>
      <c r="S3" s="2">
        <v>33795</v>
      </c>
      <c r="T3" s="2">
        <v>39598</v>
      </c>
      <c r="U3" s="2">
        <v>50751</v>
      </c>
      <c r="V3" s="2">
        <v>61190</v>
      </c>
      <c r="W3" s="2">
        <v>65491</v>
      </c>
    </row>
    <row r="4" spans="1:23" x14ac:dyDescent="0.25">
      <c r="A4" t="s">
        <v>462</v>
      </c>
      <c r="B4" s="2">
        <v>322.8</v>
      </c>
      <c r="C4" s="2">
        <v>274.5</v>
      </c>
      <c r="D4" s="2">
        <v>323</v>
      </c>
      <c r="E4" s="2">
        <v>339.8</v>
      </c>
      <c r="F4" s="2">
        <v>387.2</v>
      </c>
      <c r="G4" s="2">
        <v>384.8</v>
      </c>
      <c r="H4" s="2">
        <v>467.5</v>
      </c>
      <c r="I4" s="12">
        <f>(I3/H3)*H4</f>
        <v>535.58679131956228</v>
      </c>
      <c r="J4" s="2"/>
      <c r="K4" s="2"/>
      <c r="L4" s="2"/>
      <c r="M4" s="2"/>
      <c r="N4" s="2"/>
      <c r="O4" s="2"/>
      <c r="P4" s="2"/>
      <c r="Q4" s="2"/>
      <c r="R4" s="2">
        <v>4510</v>
      </c>
      <c r="S4" s="2">
        <v>4410</v>
      </c>
      <c r="T4" s="2">
        <v>7043</v>
      </c>
      <c r="U4" s="2">
        <v>7176</v>
      </c>
      <c r="V4" s="2">
        <v>7771</v>
      </c>
      <c r="W4" s="2">
        <v>13754</v>
      </c>
    </row>
    <row r="5" spans="1:23" x14ac:dyDescent="0.25">
      <c r="A5" t="s">
        <v>464</v>
      </c>
      <c r="B5" s="2">
        <v>2109.6</v>
      </c>
      <c r="C5" s="2">
        <v>2244.1999999999998</v>
      </c>
      <c r="D5" s="2">
        <v>2607.6999999999998</v>
      </c>
      <c r="E5" s="2">
        <v>2997.9</v>
      </c>
      <c r="F5" s="2">
        <v>3678.3</v>
      </c>
      <c r="G5" s="2">
        <v>4107.6000000000004</v>
      </c>
      <c r="H5" s="2">
        <v>4480.6000000000004</v>
      </c>
      <c r="I5" s="12">
        <f>annual_psy!I5</f>
        <v>5588.2</v>
      </c>
      <c r="J5" s="2">
        <f>K5-6180</f>
        <v>8974</v>
      </c>
      <c r="K5" s="2">
        <v>15154</v>
      </c>
      <c r="L5" s="2">
        <f>9650.9+12501.2</f>
        <v>22152.1</v>
      </c>
      <c r="M5" s="2">
        <v>23048.2</v>
      </c>
      <c r="N5" s="2">
        <v>26636</v>
      </c>
      <c r="O5" s="2">
        <v>31363.7</v>
      </c>
      <c r="P5" s="2">
        <v>34750.400000000001</v>
      </c>
      <c r="Q5" s="2">
        <v>46911</v>
      </c>
      <c r="R5" s="2">
        <v>48069</v>
      </c>
      <c r="S5" s="2">
        <v>52610</v>
      </c>
      <c r="T5" s="2">
        <v>53063</v>
      </c>
      <c r="U5" s="2">
        <v>66252</v>
      </c>
      <c r="V5" s="2">
        <v>80102</v>
      </c>
      <c r="W5" s="2">
        <v>110497</v>
      </c>
    </row>
    <row r="6" spans="1:23" x14ac:dyDescent="0.25">
      <c r="A6" s="8" t="s">
        <v>466</v>
      </c>
      <c r="B6" s="2">
        <v>55.2</v>
      </c>
      <c r="C6" s="2">
        <v>73.5</v>
      </c>
      <c r="D6" s="2">
        <v>76.599999999999994</v>
      </c>
      <c r="E6" s="2">
        <v>92.3</v>
      </c>
      <c r="F6" s="2">
        <v>146.1</v>
      </c>
      <c r="G6" s="2">
        <v>83</v>
      </c>
      <c r="H6" s="2">
        <v>127.2</v>
      </c>
      <c r="I6" s="12">
        <f>annual_psy!I6</f>
        <v>327.9</v>
      </c>
      <c r="J6" s="2">
        <f>K6/1.72</f>
        <v>294.18604651162792</v>
      </c>
      <c r="K6" s="2">
        <v>506</v>
      </c>
      <c r="L6" s="2">
        <v>669.1</v>
      </c>
      <c r="M6" s="2">
        <v>743.4</v>
      </c>
      <c r="N6" s="2">
        <v>898.1</v>
      </c>
      <c r="O6" s="2">
        <v>1136.0999999999999</v>
      </c>
      <c r="P6" s="2">
        <v>1840.8</v>
      </c>
      <c r="Q6" s="2">
        <v>1894.7</v>
      </c>
      <c r="R6" s="11">
        <v>2601</v>
      </c>
      <c r="S6" s="11">
        <v>6996</v>
      </c>
      <c r="T6" s="11">
        <v>4881</v>
      </c>
      <c r="U6" s="11">
        <v>10876</v>
      </c>
      <c r="V6" s="11">
        <v>15823</v>
      </c>
      <c r="W6" s="11">
        <v>16939</v>
      </c>
    </row>
    <row r="7" spans="1:23" x14ac:dyDescent="0.25">
      <c r="A7" t="s">
        <v>468</v>
      </c>
      <c r="B7" s="2">
        <f>B2-B5</f>
        <v>-245.89999999999986</v>
      </c>
      <c r="C7" s="2">
        <f t="shared" ref="C7:L7" si="0">C2-C5</f>
        <v>-376.69999999999982</v>
      </c>
      <c r="D7" s="2">
        <f t="shared" si="0"/>
        <v>-268.19999999999982</v>
      </c>
      <c r="E7" s="2">
        <f t="shared" si="0"/>
        <v>-444.80000000000018</v>
      </c>
      <c r="F7" s="2">
        <f t="shared" si="0"/>
        <v>-816</v>
      </c>
      <c r="G7" s="2">
        <f t="shared" si="0"/>
        <v>-997.70000000000027</v>
      </c>
      <c r="H7" s="2">
        <f t="shared" si="0"/>
        <v>-183.80000000000018</v>
      </c>
      <c r="I7" s="12">
        <f t="shared" ref="I7" si="1">I2-I5</f>
        <v>-665.61320868043822</v>
      </c>
      <c r="J7" s="2">
        <f t="shared" si="0"/>
        <v>2120</v>
      </c>
      <c r="K7" s="2">
        <f t="shared" si="0"/>
        <v>2568</v>
      </c>
      <c r="L7" s="2">
        <f t="shared" si="0"/>
        <v>-726.39999999999782</v>
      </c>
      <c r="M7" s="2">
        <f t="shared" ref="M7:O7" si="2">M2-M5</f>
        <v>-2021.2000000000007</v>
      </c>
      <c r="N7" s="2">
        <f t="shared" si="2"/>
        <v>-1834</v>
      </c>
      <c r="O7" s="2">
        <f t="shared" si="2"/>
        <v>-1559.2000000000007</v>
      </c>
      <c r="P7" s="2">
        <f t="shared" ref="P7:Q7" si="3">P2-P5</f>
        <v>508.29999999999563</v>
      </c>
      <c r="Q7" s="2">
        <f t="shared" si="3"/>
        <v>-1094.8000000000029</v>
      </c>
      <c r="R7" s="2">
        <f t="shared" ref="R7:W7" si="4">R2-R5</f>
        <v>-12136</v>
      </c>
      <c r="S7" s="2">
        <f t="shared" si="4"/>
        <v>-14405</v>
      </c>
      <c r="T7" s="2">
        <f t="shared" si="4"/>
        <v>-6422</v>
      </c>
      <c r="U7" s="2">
        <f t="shared" si="4"/>
        <v>-8325</v>
      </c>
      <c r="V7" s="2">
        <f t="shared" si="4"/>
        <v>-11141</v>
      </c>
      <c r="W7" s="2">
        <f t="shared" si="4"/>
        <v>-31252</v>
      </c>
    </row>
    <row r="8" spans="1:23" x14ac:dyDescent="0.25">
      <c r="A8" s="10" t="s">
        <v>533</v>
      </c>
      <c r="B8" s="2">
        <f>B7+B6</f>
        <v>-190.69999999999987</v>
      </c>
      <c r="C8" s="2">
        <f t="shared" ref="C8:S8" si="5">C7+C6</f>
        <v>-303.19999999999982</v>
      </c>
      <c r="D8" s="2">
        <f t="shared" si="5"/>
        <v>-191.59999999999982</v>
      </c>
      <c r="E8" s="2">
        <f t="shared" si="5"/>
        <v>-352.50000000000017</v>
      </c>
      <c r="F8" s="2">
        <f t="shared" si="5"/>
        <v>-669.9</v>
      </c>
      <c r="G8" s="2">
        <f t="shared" si="5"/>
        <v>-914.70000000000027</v>
      </c>
      <c r="H8" s="2">
        <f t="shared" si="5"/>
        <v>-56.600000000000179</v>
      </c>
      <c r="I8" s="12">
        <f t="shared" si="5"/>
        <v>-337.71320868043824</v>
      </c>
      <c r="J8" s="2">
        <f t="shared" si="5"/>
        <v>2414.1860465116279</v>
      </c>
      <c r="K8" s="2">
        <f t="shared" si="5"/>
        <v>3074</v>
      </c>
      <c r="L8" s="2">
        <f t="shared" si="5"/>
        <v>-57.299999999997794</v>
      </c>
      <c r="M8" s="2">
        <f t="shared" si="5"/>
        <v>-1277.8000000000006</v>
      </c>
      <c r="N8" s="2">
        <f t="shared" si="5"/>
        <v>-935.9</v>
      </c>
      <c r="O8" s="2">
        <f t="shared" si="5"/>
        <v>-423.10000000000082</v>
      </c>
      <c r="P8" s="2">
        <f t="shared" si="5"/>
        <v>2349.0999999999958</v>
      </c>
      <c r="Q8" s="2">
        <f t="shared" si="5"/>
        <v>799.89999999999714</v>
      </c>
      <c r="R8" s="2">
        <f t="shared" si="5"/>
        <v>-9535</v>
      </c>
      <c r="S8" s="2">
        <f t="shared" si="5"/>
        <v>-7409</v>
      </c>
      <c r="T8" s="2">
        <f t="shared" ref="T8" si="6">T7+T6</f>
        <v>-1541</v>
      </c>
      <c r="U8" s="2">
        <f t="shared" ref="U8" si="7">U7+U6</f>
        <v>2551</v>
      </c>
      <c r="V8" s="2">
        <f t="shared" ref="V8" si="8">V7+V6</f>
        <v>4682</v>
      </c>
      <c r="W8" s="2">
        <f t="shared" ref="W8" si="9">W7+W6</f>
        <v>-14313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selection activeCell="B7" sqref="B7"/>
    </sheetView>
  </sheetViews>
  <sheetFormatPr defaultRowHeight="15" x14ac:dyDescent="0.25"/>
  <cols>
    <col min="1" max="2" width="36.5703125" customWidth="1"/>
  </cols>
  <sheetData>
    <row r="1" spans="1:2" x14ac:dyDescent="0.25">
      <c r="A1" s="3" t="s">
        <v>469</v>
      </c>
      <c r="B1" t="s">
        <v>470</v>
      </c>
    </row>
    <row r="2" spans="1:2" x14ac:dyDescent="0.25">
      <c r="A2" s="3" t="s">
        <v>471</v>
      </c>
      <c r="B2" t="s">
        <v>472</v>
      </c>
    </row>
    <row r="3" spans="1:2" x14ac:dyDescent="0.25">
      <c r="A3" s="3" t="s">
        <v>473</v>
      </c>
      <c r="B3" s="4" t="s">
        <v>474</v>
      </c>
    </row>
    <row r="4" spans="1:2" x14ac:dyDescent="0.25">
      <c r="A4" s="3"/>
      <c r="B4" s="4" t="s">
        <v>475</v>
      </c>
    </row>
    <row r="5" spans="1:2" x14ac:dyDescent="0.25">
      <c r="A5" s="3" t="s">
        <v>476</v>
      </c>
      <c r="B5" t="s">
        <v>477</v>
      </c>
    </row>
    <row r="6" spans="1:2" x14ac:dyDescent="0.25">
      <c r="A6" s="3" t="s">
        <v>478</v>
      </c>
      <c r="B6" s="1" t="s">
        <v>540</v>
      </c>
    </row>
    <row r="8" spans="1:2" x14ac:dyDescent="0.25">
      <c r="A8" s="5" t="s">
        <v>0</v>
      </c>
      <c r="B8" s="5" t="s">
        <v>479</v>
      </c>
    </row>
    <row r="9" spans="1:2" x14ac:dyDescent="0.25">
      <c r="A9" s="6" t="s">
        <v>457</v>
      </c>
      <c r="B9" s="7" t="s">
        <v>550</v>
      </c>
    </row>
    <row r="10" spans="1:2" x14ac:dyDescent="0.25">
      <c r="A10" s="7" t="s">
        <v>480</v>
      </c>
      <c r="B10" s="7" t="s">
        <v>550</v>
      </c>
    </row>
    <row r="11" spans="1:2" x14ac:dyDescent="0.25">
      <c r="A11" s="7" t="s">
        <v>481</v>
      </c>
      <c r="B11" s="7" t="s">
        <v>550</v>
      </c>
    </row>
    <row r="12" spans="1:2" x14ac:dyDescent="0.25">
      <c r="A12" t="s">
        <v>482</v>
      </c>
      <c r="B12" t="s">
        <v>483</v>
      </c>
    </row>
    <row r="13" spans="1:2" x14ac:dyDescent="0.25">
      <c r="A13" t="s">
        <v>484</v>
      </c>
      <c r="B13" t="s">
        <v>485</v>
      </c>
    </row>
    <row r="14" spans="1:2" x14ac:dyDescent="0.25">
      <c r="A14" s="7" t="s">
        <v>486</v>
      </c>
      <c r="B14" s="7" t="s">
        <v>550</v>
      </c>
    </row>
    <row r="15" spans="1:2" x14ac:dyDescent="0.25">
      <c r="A15" t="s">
        <v>484</v>
      </c>
      <c r="B15" t="s">
        <v>487</v>
      </c>
    </row>
    <row r="16" spans="1:2" x14ac:dyDescent="0.25">
      <c r="A16" s="7" t="s">
        <v>488</v>
      </c>
      <c r="B16" s="7" t="s">
        <v>550</v>
      </c>
    </row>
    <row r="17" spans="1:2" x14ac:dyDescent="0.25">
      <c r="A17" s="7" t="s">
        <v>489</v>
      </c>
      <c r="B17" s="7" t="s">
        <v>550</v>
      </c>
    </row>
    <row r="18" spans="1:2" x14ac:dyDescent="0.25">
      <c r="A18" t="s">
        <v>490</v>
      </c>
      <c r="B18" t="s">
        <v>491</v>
      </c>
    </row>
    <row r="19" spans="1:2" x14ac:dyDescent="0.25">
      <c r="A19" t="s">
        <v>492</v>
      </c>
      <c r="B19" t="s">
        <v>491</v>
      </c>
    </row>
    <row r="20" spans="1:2" x14ac:dyDescent="0.25">
      <c r="A20" t="s">
        <v>493</v>
      </c>
      <c r="B20" t="s">
        <v>494</v>
      </c>
    </row>
    <row r="21" spans="1:2" x14ac:dyDescent="0.25">
      <c r="A21" t="s">
        <v>495</v>
      </c>
      <c r="B21" t="s">
        <v>496</v>
      </c>
    </row>
    <row r="22" spans="1:2" x14ac:dyDescent="0.25">
      <c r="A22" t="s">
        <v>497</v>
      </c>
      <c r="B22" t="s">
        <v>498</v>
      </c>
    </row>
    <row r="23" spans="1:2" x14ac:dyDescent="0.25">
      <c r="A23" t="s">
        <v>499</v>
      </c>
      <c r="B23" t="s">
        <v>500</v>
      </c>
    </row>
    <row r="24" spans="1:2" x14ac:dyDescent="0.25">
      <c r="A24" s="7" t="s">
        <v>501</v>
      </c>
      <c r="B24" s="7" t="s">
        <v>550</v>
      </c>
    </row>
    <row r="25" spans="1:2" x14ac:dyDescent="0.25">
      <c r="A25" s="6" t="s">
        <v>464</v>
      </c>
      <c r="B25" s="7" t="s">
        <v>550</v>
      </c>
    </row>
    <row r="26" spans="1:2" x14ac:dyDescent="0.25">
      <c r="A26" s="7" t="s">
        <v>502</v>
      </c>
      <c r="B26" s="7" t="s">
        <v>550</v>
      </c>
    </row>
    <row r="27" spans="1:2" x14ac:dyDescent="0.25">
      <c r="A27" s="7" t="s">
        <v>503</v>
      </c>
      <c r="B27" s="7" t="s">
        <v>550</v>
      </c>
    </row>
    <row r="28" spans="1:2" x14ac:dyDescent="0.25">
      <c r="A28" t="s">
        <v>504</v>
      </c>
      <c r="B28" t="s">
        <v>494</v>
      </c>
    </row>
    <row r="29" spans="1:2" x14ac:dyDescent="0.25">
      <c r="A29" t="s">
        <v>505</v>
      </c>
      <c r="B29" t="s">
        <v>491</v>
      </c>
    </row>
    <row r="30" spans="1:2" x14ac:dyDescent="0.25">
      <c r="A30" t="s">
        <v>506</v>
      </c>
      <c r="B30" t="s">
        <v>491</v>
      </c>
    </row>
    <row r="31" spans="1:2" x14ac:dyDescent="0.25">
      <c r="A31" t="s">
        <v>507</v>
      </c>
      <c r="B31" t="s">
        <v>491</v>
      </c>
    </row>
    <row r="32" spans="1:2" x14ac:dyDescent="0.25">
      <c r="A32" s="7" t="s">
        <v>508</v>
      </c>
      <c r="B32" s="7" t="s">
        <v>551</v>
      </c>
    </row>
  </sheetData>
  <hyperlinks>
    <hyperlink ref="B3" r:id="rId1" xr:uid="{00000000-0004-0000-02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ngcor</vt:lpstr>
      <vt:lpstr>Annual</vt:lpstr>
      <vt:lpstr>annual_psy</vt:lpstr>
      <vt:lpstr>annual_cbp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AJ Montesa</cp:lastModifiedBy>
  <cp:revision>2</cp:revision>
  <dcterms:created xsi:type="dcterms:W3CDTF">2021-01-14T04:12:53Z</dcterms:created>
  <dcterms:modified xsi:type="dcterms:W3CDTF">2026-08-09T12:33:51Z</dcterms:modified>
</cp:coreProperties>
</file>